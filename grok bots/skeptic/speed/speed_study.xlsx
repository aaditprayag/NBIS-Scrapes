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_PriceSeries" sheetId="2" state="visible" r:id="rId2"/>
    <sheet xmlns:r="http://schemas.openxmlformats.org/officeDocument/2006/relationships" name="S1_Steps" sheetId="3" state="visible" r:id="rId3"/>
    <sheet xmlns:r="http://schemas.openxmlformats.org/officeDocument/2006/relationships" name="S1_Timeline" sheetId="4" state="visible" r:id="rId4"/>
    <sheet xmlns:r="http://schemas.openxmlformats.org/officeDocument/2006/relationships" name="S1_Decay" sheetId="5" state="visible" r:id="rId5"/>
    <sheet xmlns:r="http://schemas.openxmlformats.org/officeDocument/2006/relationships" name="S1_PrevGen" sheetId="6" state="visible" r:id="rId6"/>
    <sheet xmlns:r="http://schemas.openxmlformats.org/officeDocument/2006/relationships" name="S1_HS_Entry" sheetId="7" state="visible" r:id="rId7"/>
    <sheet xmlns:r="http://schemas.openxmlformats.org/officeDocument/2006/relationships" name="S1_HeadStart" sheetId="8" state="visible" r:id="rId8"/>
    <sheet xmlns:r="http://schemas.openxmlformats.org/officeDocument/2006/relationships" name="S2_Residual" sheetId="9" state="visible" r:id="rId9"/>
    <sheet xmlns:r="http://schemas.openxmlformats.org/officeDocument/2006/relationships" name="S2_RentalPrecedent" sheetId="10" state="visible" r:id="rId10"/>
    <sheet xmlns:r="http://schemas.openxmlformats.org/officeDocument/2006/relationships" name="S3_Credit" sheetId="11" state="visible" r:id="rId11"/>
    <sheet xmlns:r="http://schemas.openxmlformats.org/officeDocument/2006/relationships" name="S1_Reconcile" sheetId="12" state="visible" r:id="rId12"/>
    <sheet xmlns:r="http://schemas.openxmlformats.org/officeDocument/2006/relationships" name="Sources" sheetId="13" state="visible" r:id="rId13"/>
  </sheets>
  <definedNames>
    <definedName name="_xlnm._FilterDatabase" localSheetId="1" hidden="1">'S1_PriceSeries'!$A$1:$H$500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"/>
    <numFmt numFmtId="165" formatCode="$0.000"/>
    <numFmt numFmtId="166" formatCode="+0.0%;-0.0%"/>
    <numFmt numFmtId="167" formatCode="0.0"/>
    <numFmt numFmtId="168" formatCode="+0%;-0%"/>
    <numFmt numFmtId="169" formatCode="0.00&quot;x&quot;"/>
    <numFmt numFmtId="170" formatCode="0.0%"/>
    <numFmt numFmtId="171" formatCode="0.0000"/>
    <numFmt numFmtId="172" formatCode="$0.00"/>
    <numFmt numFmtId="173" formatCode="$#,##0"/>
    <numFmt numFmtId="174" formatCode="0.00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7B1F1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0" fontId="3" fillId="0" borderId="0" pivotButton="0" quotePrefix="0" xfId="0"/>
    <xf numFmtId="170" fontId="0" fillId="0" borderId="0" pivotButton="0" quotePrefix="0" xfId="0"/>
    <xf numFmtId="0" fontId="0" fillId="3" borderId="0" pivotButton="0" quotePrefix="0" xfId="0"/>
    <xf numFmtId="172" fontId="0" fillId="0" borderId="0" pivotButton="0" quotePrefix="0" xfId="0"/>
    <xf numFmtId="9" fontId="0" fillId="3" borderId="0" pivotButton="0" quotePrefix="0" xfId="0"/>
    <xf numFmtId="171" fontId="0" fillId="0" borderId="0" pivotButton="0" quotePrefix="0" xfId="0"/>
    <xf numFmtId="10" fontId="0" fillId="0" borderId="0" pivotButton="0" quotePrefix="0" xfId="0"/>
    <xf numFmtId="173" fontId="0" fillId="0" borderId="0" pivotButton="0" quotePrefix="0" xfId="0"/>
    <xf numFmtId="9" fontId="0" fillId="0" borderId="0" pivotButton="0" quotePrefix="0" xfId="0"/>
    <xf numFmtId="2" fontId="0" fillId="0" borderId="0" pivotButton="0" quotePrefix="0" xfId="0"/>
    <xf numFmtId="17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Nebius Skeptic (Red Team) | Speed / residual value / credit studies | built 2026-10-04 (ET)</t>
        </is>
      </c>
    </row>
    <row r="2">
      <c r="A2" t="inlineStr">
        <is>
          <t>Tags: Reported = as published at source; Derived = arithmetic on reported inputs (formula in the cell, or math in the basis column); Estimated = method plus assumption, yellow input cells. "not found" means not found.</t>
        </is>
      </c>
    </row>
    <row r="3">
      <c r="A3" t="inlineStr">
        <is>
          <t>Prices are posted list or index rates, not transacted prices. Wayback captures were downloaded by the GPU Market teammate to /workspace/nebius/wayback_raw and parsed here (code/parse_series.py). The Wayback URL is on every row.</t>
        </is>
      </c>
    </row>
    <row r="4">
      <c r="A4" t="inlineStr">
        <is>
          <t>Sheets: S1_PriceSeries | S1_Steps | S1_Timeline | S1_Decay | S1_PrevGen | S1_HS_Entry | S1_HeadStart | S1_Reconcile | S2_Residual | S2_RentalPrecedent | S3_Credit | Sources</t>
        </is>
      </c>
    </row>
    <row r="5">
      <c r="A5" t="inlineStr">
        <is>
          <t>Yellow cells are inputs. Change them and the outputs recalc. Python-solved values (convert-implied spread/vol, Merton) are pasted as values and labeled Estimated (code/credit_model.py).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2" customWidth="1" min="3" max="3"/>
    <col width="10" customWidth="1" min="4" max="4"/>
    <col width="60" customWidth="1" min="5" max="5"/>
    <col width="10" customWidth="1" min="6" max="6"/>
    <col width="70" customWidth="1" min="7" max="7"/>
    <col width="60" customWidth="1" min="8" max="8"/>
  </cols>
  <sheetData>
    <row r="1">
      <c r="A1" s="2" t="inlineStr">
        <is>
          <t>provider</t>
        </is>
      </c>
      <c r="B1" s="2" t="inlineStr">
        <is>
          <t>chip</t>
        </is>
      </c>
      <c r="C1" s="2" t="inlineStr">
        <is>
          <t>capture/effective date</t>
        </is>
      </c>
      <c r="D1" s="2" t="inlineStr">
        <is>
          <t>$/GPU-hr</t>
        </is>
      </c>
      <c r="E1" s="2" t="inlineStr">
        <is>
          <t>basis</t>
        </is>
      </c>
      <c r="F1" s="2" t="inlineStr">
        <is>
          <t>tag</t>
        </is>
      </c>
      <c r="G1" s="2" t="inlineStr">
        <is>
          <t>source_url</t>
        </is>
      </c>
      <c r="H1" s="2" t="inlineStr">
        <is>
          <t>page text snippet</t>
        </is>
      </c>
    </row>
    <row r="2">
      <c r="A2" t="inlineStr">
        <is>
          <t>AWS Capacity Blocks</t>
        </is>
      </c>
      <c r="B2" t="inlineStr">
        <is>
          <t>A100 40GB</t>
        </is>
      </c>
      <c r="C2" s="3" t="n">
        <v>45379</v>
      </c>
      <c r="D2" s="4" t="n">
        <v>1.844</v>
      </c>
      <c r="E2" t="inlineStr">
        <is>
          <t>EC2 Capacity Block effective rate per accelerator-hr (reported)</t>
        </is>
      </c>
      <c r="F2" t="inlineStr">
        <is>
          <t>Reported</t>
        </is>
      </c>
      <c r="G2" t="inlineStr">
        <is>
          <t>https://web.archive.org/web/20240328143027/https://aws.amazon.com/ec2/capacityblocks/pricing/</t>
        </is>
      </c>
      <c r="H2" t="inlineStr">
        <is>
          <t>p4d.24xlarge|US East (Ohio)|$14.75 USD|$1.844</t>
        </is>
      </c>
    </row>
    <row r="3">
      <c r="A3" t="inlineStr">
        <is>
          <t>AWS Capacity Blocks</t>
        </is>
      </c>
      <c r="B3" t="inlineStr">
        <is>
          <t>A100 40GB</t>
        </is>
      </c>
      <c r="C3" s="3" t="n">
        <v>45383</v>
      </c>
      <c r="D3" s="4" t="n">
        <v>1.844</v>
      </c>
      <c r="E3" t="inlineStr">
        <is>
          <t>EC2 Capacity Block effective rate per accelerator-hr (reported)</t>
        </is>
      </c>
      <c r="F3" t="inlineStr">
        <is>
          <t>Reported</t>
        </is>
      </c>
      <c r="G3" t="inlineStr">
        <is>
          <t>https://web.archive.org/web/20240401131950/https://aws.amazon.com/ec2/capacityblocks/pricing/</t>
        </is>
      </c>
      <c r="H3" t="inlineStr">
        <is>
          <t>p4d.24xlarge|US East (Ohio)|$14.75 USD|$1.844</t>
        </is>
      </c>
    </row>
    <row r="4">
      <c r="A4" t="inlineStr">
        <is>
          <t>AWS Capacity Blocks</t>
        </is>
      </c>
      <c r="B4" t="inlineStr">
        <is>
          <t>A100 40GB</t>
        </is>
      </c>
      <c r="C4" s="3" t="n">
        <v>45429</v>
      </c>
      <c r="D4" s="4" t="n">
        <v>1.844</v>
      </c>
      <c r="E4" t="inlineStr">
        <is>
          <t>EC2 Capacity Block effective rate per accelerator-hr (reported)</t>
        </is>
      </c>
      <c r="F4" t="inlineStr">
        <is>
          <t>Reported</t>
        </is>
      </c>
      <c r="G4" t="inlineStr">
        <is>
          <t>https://web.archive.org/web/20240517002718/https://aws.amazon.com/ec2/capacityblocks/pricing/</t>
        </is>
      </c>
      <c r="H4" t="inlineStr">
        <is>
          <t>p4d.24xlarge|US East (Ohio)|$14.75 USD|$1.844</t>
        </is>
      </c>
    </row>
    <row r="5">
      <c r="A5" t="inlineStr">
        <is>
          <t>AWS Capacity Blocks</t>
        </is>
      </c>
      <c r="B5" t="inlineStr">
        <is>
          <t>A100 40GB</t>
        </is>
      </c>
      <c r="C5" s="3" t="n">
        <v>45444</v>
      </c>
      <c r="D5" s="4" t="n">
        <v>1.844</v>
      </c>
      <c r="E5" t="inlineStr">
        <is>
          <t>EC2 Capacity Block effective rate per accelerator-hr (reported)</t>
        </is>
      </c>
      <c r="F5" t="inlineStr">
        <is>
          <t>Reported</t>
        </is>
      </c>
      <c r="G5" t="inlineStr">
        <is>
          <t>https://web.archive.org/web/20240601005932/https://aws.amazon.com/ec2/capacityblocks/pricing/</t>
        </is>
      </c>
      <c r="H5" t="inlineStr">
        <is>
          <t>p4d.24xlarge|US East (Ohio)|$14.75 USD|$1.844</t>
        </is>
      </c>
    </row>
    <row r="6">
      <c r="A6" t="inlineStr">
        <is>
          <t>AWS Capacity Blocks</t>
        </is>
      </c>
      <c r="B6" t="inlineStr">
        <is>
          <t>A100 40GB</t>
        </is>
      </c>
      <c r="C6" s="3" t="n">
        <v>45479</v>
      </c>
      <c r="D6" s="4" t="n">
        <v>1.844</v>
      </c>
      <c r="E6" t="inlineStr">
        <is>
          <t>EC2 Capacity Block effective rate per accelerator-hr (reported)</t>
        </is>
      </c>
      <c r="F6" t="inlineStr">
        <is>
          <t>Reported</t>
        </is>
      </c>
      <c r="G6" t="inlineStr">
        <is>
          <t>https://web.archive.org/web/20240706033947/https://aws.amazon.com/ec2/capacityblocks/pricing/</t>
        </is>
      </c>
      <c r="H6" t="inlineStr">
        <is>
          <t>p4d.24xlarge|US East (Ohio)|$14.75 USD|$1.844</t>
        </is>
      </c>
    </row>
    <row r="7">
      <c r="A7" t="inlineStr">
        <is>
          <t>AWS Capacity Blocks</t>
        </is>
      </c>
      <c r="B7" t="inlineStr">
        <is>
          <t>A100 40GB</t>
        </is>
      </c>
      <c r="C7" s="3" t="n">
        <v>45507</v>
      </c>
      <c r="D7" s="4" t="n">
        <v>1.844</v>
      </c>
      <c r="E7" t="inlineStr">
        <is>
          <t>EC2 Capacity Block effective rate per accelerator-hr (reported)</t>
        </is>
      </c>
      <c r="F7" t="inlineStr">
        <is>
          <t>Reported</t>
        </is>
      </c>
      <c r="G7" t="inlineStr">
        <is>
          <t>https://web.archive.org/web/20240803063643/https://aws.amazon.com/ec2/capacityblocks/pricing/</t>
        </is>
      </c>
      <c r="H7" t="inlineStr">
        <is>
          <t>p4d.24xlarge|US East (Ohio)|$14.75 USD|$1.844</t>
        </is>
      </c>
    </row>
    <row r="8">
      <c r="A8" t="inlineStr">
        <is>
          <t>AWS Capacity Blocks</t>
        </is>
      </c>
      <c r="B8" t="inlineStr">
        <is>
          <t>A100 40GB</t>
        </is>
      </c>
      <c r="C8" s="3" t="n">
        <v>45537</v>
      </c>
      <c r="D8" s="4" t="n">
        <v>1.844</v>
      </c>
      <c r="E8" t="inlineStr">
        <is>
          <t>EC2 Capacity Block effective rate per accelerator-hr (reported)</t>
        </is>
      </c>
      <c r="F8" t="inlineStr">
        <is>
          <t>Reported</t>
        </is>
      </c>
      <c r="G8" t="inlineStr">
        <is>
          <t>https://web.archive.org/web/20240902083209/https://aws.amazon.com/ec2/capacityblocks/pricing/</t>
        </is>
      </c>
      <c r="H8" t="inlineStr">
        <is>
          <t>p4d.24xlarge|US East (Ohio)|$14.75 USD|$1.844</t>
        </is>
      </c>
    </row>
    <row r="9">
      <c r="A9" t="inlineStr">
        <is>
          <t>AWS Capacity Blocks</t>
        </is>
      </c>
      <c r="B9" t="inlineStr">
        <is>
          <t>A100 40GB</t>
        </is>
      </c>
      <c r="C9" s="3" t="n">
        <v>45566</v>
      </c>
      <c r="D9" s="4" t="n">
        <v>1.844</v>
      </c>
      <c r="E9" t="inlineStr">
        <is>
          <t>EC2 Capacity Block effective rate per accelerator-hr (reported)</t>
        </is>
      </c>
      <c r="F9" t="inlineStr">
        <is>
          <t>Reported</t>
        </is>
      </c>
      <c r="G9" t="inlineStr">
        <is>
          <t>https://web.archive.org/web/20241001024735/https://aws.amazon.com/ec2/capacityblocks/pricing/</t>
        </is>
      </c>
      <c r="H9" t="inlineStr">
        <is>
          <t>p4d.24xlarge|US East (Ohio)|$14.75 USD|$1.844</t>
        </is>
      </c>
    </row>
    <row r="10">
      <c r="A10" t="inlineStr">
        <is>
          <t>AWS Capacity Blocks</t>
        </is>
      </c>
      <c r="B10" t="inlineStr">
        <is>
          <t>A100 40GB</t>
        </is>
      </c>
      <c r="C10" s="3" t="n">
        <v>45621</v>
      </c>
      <c r="D10" s="4" t="n">
        <v>1.844</v>
      </c>
      <c r="E10" t="inlineStr">
        <is>
          <t>EC2 Capacity Block effective rate per accelerator-hr (reported)</t>
        </is>
      </c>
      <c r="F10" t="inlineStr">
        <is>
          <t>Reported</t>
        </is>
      </c>
      <c r="G10" t="inlineStr">
        <is>
          <t>https://web.archive.org/web/20241125121745/https://aws.amazon.com/ec2/capacityblocks/pricing/</t>
        </is>
      </c>
      <c r="H10" t="inlineStr">
        <is>
          <t>p4d.24xlarge|US East (Ohio)|$14.75 USD|$1.844</t>
        </is>
      </c>
    </row>
    <row r="11">
      <c r="A11" t="inlineStr">
        <is>
          <t>AWS Capacity Blocks</t>
        </is>
      </c>
      <c r="B11" t="inlineStr">
        <is>
          <t>A100 40GB</t>
        </is>
      </c>
      <c r="C11" s="3" t="n">
        <v>45631</v>
      </c>
      <c r="D11" s="4" t="n">
        <v>1.844</v>
      </c>
      <c r="E11" t="inlineStr">
        <is>
          <t>EC2 Capacity Block effective rate per accelerator-hr (reported)</t>
        </is>
      </c>
      <c r="F11" t="inlineStr">
        <is>
          <t>Reported</t>
        </is>
      </c>
      <c r="G11" t="inlineStr">
        <is>
          <t>https://web.archive.org/web/20241205143555/https://aws.amazon.com/ec2/capacityblocks/pricing/</t>
        </is>
      </c>
      <c r="H11" t="inlineStr">
        <is>
          <t>p4d.24xlarge|US East (Ohio)|$14.75 USD ($1.844 USD)|8</t>
        </is>
      </c>
    </row>
    <row r="12">
      <c r="A12" t="inlineStr">
        <is>
          <t>AWS Capacity Blocks</t>
        </is>
      </c>
      <c r="B12" t="inlineStr">
        <is>
          <t>A100 40GB</t>
        </is>
      </c>
      <c r="C12" s="3" t="n">
        <v>45669</v>
      </c>
      <c r="D12" s="4" t="n">
        <v>1.844</v>
      </c>
      <c r="E12" t="inlineStr">
        <is>
          <t>EC2 Capacity Block effective rate per accelerator-hr (reported)</t>
        </is>
      </c>
      <c r="F12" t="inlineStr">
        <is>
          <t>Reported</t>
        </is>
      </c>
      <c r="G12" t="inlineStr">
        <is>
          <t>https://web.archive.org/web/20250112155010/https://aws.amazon.com/ec2/capacityblocks/pricing/</t>
        </is>
      </c>
      <c r="H12" t="inlineStr">
        <is>
          <t>p4d.24xlarge|US East (Ohio)|$14.75 USD ($1.844 USD)|8</t>
        </is>
      </c>
    </row>
    <row r="13">
      <c r="A13" t="inlineStr">
        <is>
          <t>AWS Capacity Blocks</t>
        </is>
      </c>
      <c r="B13" t="inlineStr">
        <is>
          <t>A100 40GB</t>
        </is>
      </c>
      <c r="C13" s="3" t="n">
        <v>45690</v>
      </c>
      <c r="D13" s="4" t="n">
        <v>1.844</v>
      </c>
      <c r="E13" t="inlineStr">
        <is>
          <t>EC2 Capacity Block effective rate per accelerator-hr (reported)</t>
        </is>
      </c>
      <c r="F13" t="inlineStr">
        <is>
          <t>Reported</t>
        </is>
      </c>
      <c r="G13" t="inlineStr">
        <is>
          <t>https://web.archive.org/web/20250202112243/https://aws.amazon.com/ec2/capacityblocks/pricing/</t>
        </is>
      </c>
      <c r="H13" t="inlineStr">
        <is>
          <t>p4d.24xlarge|US East (Ohio)|$14.75 USD ($1.844 USD)|8</t>
        </is>
      </c>
    </row>
    <row r="14">
      <c r="A14" t="inlineStr">
        <is>
          <t>AWS Capacity Blocks</t>
        </is>
      </c>
      <c r="B14" t="inlineStr">
        <is>
          <t>A100 40GB</t>
        </is>
      </c>
      <c r="C14" s="3" t="n">
        <v>45724</v>
      </c>
      <c r="D14" s="4" t="n">
        <v>1.475</v>
      </c>
      <c r="E14" t="inlineStr">
        <is>
          <t>EC2 Capacity Block effective rate per accelerator-hr (reported)</t>
        </is>
      </c>
      <c r="F14" t="inlineStr">
        <is>
          <t>Reported</t>
        </is>
      </c>
      <c r="G14" t="inlineStr">
        <is>
          <t>https://web.archive.org/web/20250308091133/https://aws.amazon.com/ec2/capacityblocks/pricing/</t>
        </is>
      </c>
      <c r="H14" t="inlineStr">
        <is>
          <t>p4d.24xlarge|US East (Ohio)|$11.8 USD ($1.475 USD)|8</t>
        </is>
      </c>
    </row>
    <row r="15">
      <c r="A15" t="inlineStr">
        <is>
          <t>AWS Capacity Blocks</t>
        </is>
      </c>
      <c r="B15" t="inlineStr">
        <is>
          <t>A100 40GB</t>
        </is>
      </c>
      <c r="C15" s="3" t="n">
        <v>45748</v>
      </c>
      <c r="D15" s="4" t="n">
        <v>1.475</v>
      </c>
      <c r="E15" t="inlineStr">
        <is>
          <t>EC2 Capacity Block effective rate per accelerator-hr (reported)</t>
        </is>
      </c>
      <c r="F15" t="inlineStr">
        <is>
          <t>Reported</t>
        </is>
      </c>
      <c r="G15" t="inlineStr">
        <is>
          <t>https://web.archive.org/web/20250401074341/https://aws.amazon.com/ec2/capacityblocks/pricing/</t>
        </is>
      </c>
      <c r="H15" t="inlineStr">
        <is>
          <t>p4d.24xlarge|US East (Ohio)|$11.8 USD ($1.475 USD)|8</t>
        </is>
      </c>
    </row>
    <row r="16">
      <c r="A16" t="inlineStr">
        <is>
          <t>AWS Capacity Blocks</t>
        </is>
      </c>
      <c r="B16" t="inlineStr">
        <is>
          <t>A100 40GB</t>
        </is>
      </c>
      <c r="C16" s="3" t="n">
        <v>45799</v>
      </c>
      <c r="D16" s="4" t="n">
        <v>1.475</v>
      </c>
      <c r="E16" t="inlineStr">
        <is>
          <t>EC2 Capacity Block effective rate per accelerator-hr (reported)</t>
        </is>
      </c>
      <c r="F16" t="inlineStr">
        <is>
          <t>Reported</t>
        </is>
      </c>
      <c r="G16" t="inlineStr">
        <is>
          <t>https://web.archive.org/web/20250522053627/https://aws.amazon.com/ec2/capacityblocks/pricing/</t>
        </is>
      </c>
      <c r="H16" t="inlineStr">
        <is>
          <t>p4d.24xlarge|US East (Ohio)|$11.8 USD ($1.475 USD)|8</t>
        </is>
      </c>
    </row>
    <row r="17">
      <c r="A17" t="inlineStr">
        <is>
          <t>AWS Capacity Blocks</t>
        </is>
      </c>
      <c r="B17" t="inlineStr">
        <is>
          <t>A100 40GB</t>
        </is>
      </c>
      <c r="C17" s="3" t="n">
        <v>45817</v>
      </c>
      <c r="D17" s="4" t="n">
        <v>1.475</v>
      </c>
      <c r="E17" t="inlineStr">
        <is>
          <t>EC2 Capacity Block effective rate per accelerator-hr (reported)</t>
        </is>
      </c>
      <c r="F17" t="inlineStr">
        <is>
          <t>Reported</t>
        </is>
      </c>
      <c r="G17" t="inlineStr">
        <is>
          <t>https://web.archive.org/web/20250609034829/https://aws.amazon.com/ec2/capacityblocks/pricing/</t>
        </is>
      </c>
      <c r="H17" t="inlineStr">
        <is>
          <t>p4d.24xlarge|US East (Ohio)|$11.8 USD ($1.475 USD)|8</t>
        </is>
      </c>
    </row>
    <row r="18">
      <c r="A18" t="inlineStr">
        <is>
          <t>AWS Capacity Blocks</t>
        </is>
      </c>
      <c r="B18" t="inlineStr">
        <is>
          <t>A100 40GB</t>
        </is>
      </c>
      <c r="C18" s="3" t="n">
        <v>45874</v>
      </c>
      <c r="D18" s="4" t="n">
        <v>1.475</v>
      </c>
      <c r="E18" t="inlineStr">
        <is>
          <t>EC2 Capacity Block effective rate per accelerator-hr (reported)</t>
        </is>
      </c>
      <c r="F18" t="inlineStr">
        <is>
          <t>Reported</t>
        </is>
      </c>
      <c r="G18" t="inlineStr">
        <is>
          <t>https://web.archive.org/web/20250805162642/https://aws.amazon.com/ec2/capacityblocks/pricing/</t>
        </is>
      </c>
      <c r="H18" t="inlineStr">
        <is>
          <t>p4d.24xlarge|US East (Ohio)|$11.8 USD ($1.475 USD)|8</t>
        </is>
      </c>
    </row>
    <row r="19">
      <c r="A19" t="inlineStr">
        <is>
          <t>AWS Capacity Blocks</t>
        </is>
      </c>
      <c r="B19" t="inlineStr">
        <is>
          <t>A100 40GB</t>
        </is>
      </c>
      <c r="C19" s="3" t="n">
        <v>45920</v>
      </c>
      <c r="D19" s="4" t="n">
        <v>1.475</v>
      </c>
      <c r="E19" t="inlineStr">
        <is>
          <t>EC2 Capacity Block effective rate per accelerator-hr (reported)</t>
        </is>
      </c>
      <c r="F19" t="inlineStr">
        <is>
          <t>Reported</t>
        </is>
      </c>
      <c r="G19" t="inlineStr">
        <is>
          <t>https://web.archive.org/web/20250920043819/https://aws.amazon.com/ec2/capacityblocks/pricing/</t>
        </is>
      </c>
      <c r="H19" t="inlineStr">
        <is>
          <t>p4d.24xlarge|US East (Ohio)|$11.8 USD ($1.475 USD)|8</t>
        </is>
      </c>
    </row>
    <row r="20">
      <c r="A20" t="inlineStr">
        <is>
          <t>AWS Capacity Blocks</t>
        </is>
      </c>
      <c r="B20" t="inlineStr">
        <is>
          <t>A100 40GB</t>
        </is>
      </c>
      <c r="C20" s="3" t="n">
        <v>45947</v>
      </c>
      <c r="D20" s="4" t="n">
        <v>1.475</v>
      </c>
      <c r="E20" t="inlineStr">
        <is>
          <t>EC2 Capacity Block effective rate per accelerator-hr (reported)</t>
        </is>
      </c>
      <c r="F20" t="inlineStr">
        <is>
          <t>Reported</t>
        </is>
      </c>
      <c r="G20" t="inlineStr">
        <is>
          <t>https://web.archive.org/web/20251017060707/https://aws.amazon.com/ec2/capacityblocks/pricing/</t>
        </is>
      </c>
      <c r="H20" t="inlineStr">
        <is>
          <t>p4d.24xlarge|US East (Ohio)|$11.8 USD ($1.475 USD)|8</t>
        </is>
      </c>
    </row>
    <row r="21">
      <c r="A21" t="inlineStr">
        <is>
          <t>AWS Capacity Blocks</t>
        </is>
      </c>
      <c r="B21" t="inlineStr">
        <is>
          <t>A100 40GB</t>
        </is>
      </c>
      <c r="C21" s="3" t="n">
        <v>46015</v>
      </c>
      <c r="D21" s="4" t="n">
        <v>1.475</v>
      </c>
      <c r="E21" t="inlineStr">
        <is>
          <t>EC2 Capacity Block effective rate per accelerator-hr (reported)</t>
        </is>
      </c>
      <c r="F21" t="inlineStr">
        <is>
          <t>Reported</t>
        </is>
      </c>
      <c r="G21" t="inlineStr">
        <is>
          <t>https://web.archive.org/web/20251224105824/https://aws.amazon.com/ec2/capacityblocks/pricing/</t>
        </is>
      </c>
      <c r="H21" t="inlineStr">
        <is>
          <t>p4d.24xlarge|US East (Ohio)|$11.8 USD ($1.475 USD)|8</t>
        </is>
      </c>
    </row>
    <row r="22">
      <c r="A22" t="inlineStr">
        <is>
          <t>AWS Capacity Blocks</t>
        </is>
      </c>
      <c r="B22" t="inlineStr">
        <is>
          <t>A100 40GB</t>
        </is>
      </c>
      <c r="C22" s="3" t="n">
        <v>46025</v>
      </c>
      <c r="D22" s="4" t="n">
        <v>1.475</v>
      </c>
      <c r="E22" t="inlineStr">
        <is>
          <t>EC2 Capacity Block effective rate per accelerator-hr (reported)</t>
        </is>
      </c>
      <c r="F22" t="inlineStr">
        <is>
          <t>Reported</t>
        </is>
      </c>
      <c r="G22" t="inlineStr">
        <is>
          <t>https://web.archive.org/web/20260103105349/https://aws.amazon.com/ec2/capacityblocks/pricing/</t>
        </is>
      </c>
      <c r="H22" t="inlineStr">
        <is>
          <t>p4d.24xlarge|US East (Ohio)|$11.8 USD ($1.475 USD)|8</t>
        </is>
      </c>
    </row>
    <row r="23">
      <c r="A23" t="inlineStr">
        <is>
          <t>AWS Capacity Blocks</t>
        </is>
      </c>
      <c r="B23" t="inlineStr">
        <is>
          <t>A100 40GB</t>
        </is>
      </c>
      <c r="C23" s="3" t="n">
        <v>46062</v>
      </c>
      <c r="D23" s="4" t="n">
        <v>1.475</v>
      </c>
      <c r="E23" t="inlineStr">
        <is>
          <t>EC2 Capacity Block effective rate per accelerator-hr (reported)</t>
        </is>
      </c>
      <c r="F23" t="inlineStr">
        <is>
          <t>Reported</t>
        </is>
      </c>
      <c r="G23" t="inlineStr">
        <is>
          <t>https://web.archive.org/web/20260209223955/https://aws.amazon.com/ec2/capacityblocks/pricing/</t>
        </is>
      </c>
      <c r="H23" t="inlineStr">
        <is>
          <t>p4d.24xlarge|US East (Ohio)|$11.8 USD ($1.475 USD)|8</t>
        </is>
      </c>
    </row>
    <row r="24">
      <c r="A24" t="inlineStr">
        <is>
          <t>AWS Capacity Blocks</t>
        </is>
      </c>
      <c r="B24" t="inlineStr">
        <is>
          <t>A100 40GB</t>
        </is>
      </c>
      <c r="C24" s="3" t="n">
        <v>46112</v>
      </c>
      <c r="D24" s="4" t="n">
        <v>1.475</v>
      </c>
      <c r="E24" t="inlineStr">
        <is>
          <t>EC2 Capacity Block effective rate per accelerator-hr (reported)</t>
        </is>
      </c>
      <c r="F24" t="inlineStr">
        <is>
          <t>Reported</t>
        </is>
      </c>
      <c r="G24" t="inlineStr">
        <is>
          <t>https://web.archive.org/web/20260331164533/https://aws.amazon.com/ec2/capacityblocks/pricing/</t>
        </is>
      </c>
      <c r="H24" t="inlineStr">
        <is>
          <t>p4d.24xlarge|US East (Ohio)|$11.8 USD ($1.475 USD)|8</t>
        </is>
      </c>
    </row>
    <row r="25">
      <c r="A25" t="inlineStr">
        <is>
          <t>AWS Capacity Blocks</t>
        </is>
      </c>
      <c r="B25" t="inlineStr">
        <is>
          <t>A100 40GB</t>
        </is>
      </c>
      <c r="C25" s="3" t="n">
        <v>46127</v>
      </c>
      <c r="D25" s="4" t="n">
        <v>1.475</v>
      </c>
      <c r="E25" t="inlineStr">
        <is>
          <t>EC2 Capacity Block effective rate per accelerator-hr (reported)</t>
        </is>
      </c>
      <c r="F25" t="inlineStr">
        <is>
          <t>Reported</t>
        </is>
      </c>
      <c r="G25" t="inlineStr">
        <is>
          <t>https://web.archive.org/web/20260415185126/https://aws.amazon.com/ec2/capacityblocks/pricing/</t>
        </is>
      </c>
      <c r="H25" t="inlineStr">
        <is>
          <t>p4d.24xlarge|US East (Ohio)|$11.8 USD ($1.475 USD)|8</t>
        </is>
      </c>
    </row>
    <row r="26">
      <c r="A26" t="inlineStr">
        <is>
          <t>AWS Capacity Blocks</t>
        </is>
      </c>
      <c r="B26" t="inlineStr">
        <is>
          <t>A100 40GB</t>
        </is>
      </c>
      <c r="C26" s="3" t="n">
        <v>46157</v>
      </c>
      <c r="D26" s="4" t="n">
        <v>1.475</v>
      </c>
      <c r="E26" t="inlineStr">
        <is>
          <t>EC2 Capacity Block effective rate per accelerator-hr (reported)</t>
        </is>
      </c>
      <c r="F26" t="inlineStr">
        <is>
          <t>Reported</t>
        </is>
      </c>
      <c r="G26" t="inlineStr">
        <is>
          <t>https://web.archive.org/web/20260515000834/https://aws.amazon.com/ec2/capacityblocks/pricing/</t>
        </is>
      </c>
      <c r="H26" t="inlineStr">
        <is>
          <t>p4d.24xlarge|US East (Ohio)|$11.8 USD ($1.475 USD)|8</t>
        </is>
      </c>
    </row>
    <row r="27">
      <c r="A27" t="inlineStr">
        <is>
          <t>AWS Capacity Blocks</t>
        </is>
      </c>
      <c r="B27" t="inlineStr">
        <is>
          <t>A100 40GB</t>
        </is>
      </c>
      <c r="C27" s="3" t="n">
        <v>46184</v>
      </c>
      <c r="D27" s="4" t="n">
        <v>1.475</v>
      </c>
      <c r="E27" t="inlineStr">
        <is>
          <t>EC2 Capacity Block effective rate per accelerator-hr (reported)</t>
        </is>
      </c>
      <c r="F27" t="inlineStr">
        <is>
          <t>Reported</t>
        </is>
      </c>
      <c r="G27" t="inlineStr">
        <is>
          <t>https://web.archive.org/web/20260611145518/https://aws.amazon.com/ec2/capacityblocks/pricing/</t>
        </is>
      </c>
      <c r="H27" t="inlineStr">
        <is>
          <t>p4d.24xlarge|US East (Ohio)|$11.8 USD ($1.475 USD)|8</t>
        </is>
      </c>
    </row>
    <row r="28">
      <c r="A28" t="inlineStr">
        <is>
          <t>AWS Capacity Blocks</t>
        </is>
      </c>
      <c r="B28" t="inlineStr">
        <is>
          <t>A100 40GB</t>
        </is>
      </c>
      <c r="C28" s="3" t="n">
        <v>46207</v>
      </c>
      <c r="D28" s="4" t="n">
        <v>1.475</v>
      </c>
      <c r="E28" t="inlineStr">
        <is>
          <t>EC2 Capacity Block effective rate per accelerator-hr (reported)</t>
        </is>
      </c>
      <c r="F28" t="inlineStr">
        <is>
          <t>Reported</t>
        </is>
      </c>
      <c r="G28" t="inlineStr">
        <is>
          <t>https://web.archive.org/web/20260704092824/https://aws.amazon.com/ec2/capacityblocks/pricing/</t>
        </is>
      </c>
      <c r="H28" t="inlineStr">
        <is>
          <t>p4d.24xlarge|US East (Ohio)|$11.8 USD ($1.475 USD)|8</t>
        </is>
      </c>
    </row>
    <row r="29">
      <c r="A29" t="inlineStr">
        <is>
          <t>AWS Capacity Blocks</t>
        </is>
      </c>
      <c r="B29" t="inlineStr">
        <is>
          <t>A100 40GB</t>
        </is>
      </c>
      <c r="C29" s="3" t="n">
        <v>46259</v>
      </c>
      <c r="D29" s="4" t="n">
        <v>1.475</v>
      </c>
      <c r="E29" t="inlineStr">
        <is>
          <t>EC2 Capacity Block effective rate per accelerator-hr (reported)</t>
        </is>
      </c>
      <c r="F29" t="inlineStr">
        <is>
          <t>Reported</t>
        </is>
      </c>
      <c r="G29" t="inlineStr">
        <is>
          <t>https://web.archive.org/web/20260825162005/https://aws.amazon.com/ec2/capacityblocks/pricing/</t>
        </is>
      </c>
      <c r="H29" t="inlineStr">
        <is>
          <t>p4d.24xlarge|US East (Ohio)|$11.8 USD ($1.475 USD)|8</t>
        </is>
      </c>
    </row>
    <row r="30">
      <c r="A30" t="inlineStr">
        <is>
          <t>AWS Capacity Blocks</t>
        </is>
      </c>
      <c r="B30" t="inlineStr">
        <is>
          <t>A100 40GB</t>
        </is>
      </c>
      <c r="C30" s="3" t="n">
        <v>46292</v>
      </c>
      <c r="D30" s="4" t="n">
        <v>1.475</v>
      </c>
      <c r="E30" t="inlineStr">
        <is>
          <t>EC2 Capacity Block effective rate per accelerator-hr (reported)</t>
        </is>
      </c>
      <c r="F30" t="inlineStr">
        <is>
          <t>Reported</t>
        </is>
      </c>
      <c r="G30" t="inlineStr">
        <is>
          <t>https://web.archive.org/web/20260927111505/https://aws.amazon.com/ec2/capacityblocks/pricing/</t>
        </is>
      </c>
      <c r="H30" t="inlineStr">
        <is>
          <t>p4d.24xlarge|US East (Ohio)|$11.8 USD ($1.475 USD)|8</t>
        </is>
      </c>
    </row>
    <row r="31">
      <c r="A31" t="inlineStr">
        <is>
          <t>AWS Capacity Blocks</t>
        </is>
      </c>
      <c r="B31" t="inlineStr">
        <is>
          <t>A100 40GB</t>
        </is>
      </c>
      <c r="C31" s="3" t="n">
        <v>46296</v>
      </c>
      <c r="D31" s="4" t="n">
        <v>1.475</v>
      </c>
      <c r="E31" t="inlineStr">
        <is>
          <t>EC2 Capacity Block effective rate per accelerator-hr (reported)</t>
        </is>
      </c>
      <c r="F31" t="inlineStr">
        <is>
          <t>Reported</t>
        </is>
      </c>
      <c r="G31" t="inlineStr">
        <is>
          <t>https://web.archive.org/web/20261001113914/https://aws.amazon.com/ec2/capacityblocks/pricing/</t>
        </is>
      </c>
      <c r="H31" t="inlineStr">
        <is>
          <t>p4d.24xlarge|US East (Ohio)|$11.8 USD ($1.475 USD)|8</t>
        </is>
      </c>
    </row>
    <row r="32">
      <c r="A32" t="inlineStr">
        <is>
          <t>AWS Capacity Blocks</t>
        </is>
      </c>
      <c r="B32" t="inlineStr">
        <is>
          <t>B200</t>
        </is>
      </c>
      <c r="C32" s="3" t="n">
        <v>45799</v>
      </c>
      <c r="D32" s="4" t="n">
        <v>8.140000000000001</v>
      </c>
      <c r="E32" t="inlineStr">
        <is>
          <t>EC2 Capacity Block effective rate per accelerator-hr (reported)</t>
        </is>
      </c>
      <c r="F32" t="inlineStr">
        <is>
          <t>Reported</t>
        </is>
      </c>
      <c r="G32" t="inlineStr">
        <is>
          <t>https://web.archive.org/web/20250522053627/https://aws.amazon.com/ec2/capacityblocks/pricing/</t>
        </is>
      </c>
      <c r="H32" t="inlineStr">
        <is>
          <t>p6-b200.48xlarge|US West (Oregon)|$65.12 USD ( $8.14 USD)|8</t>
        </is>
      </c>
    </row>
    <row r="33">
      <c r="A33" t="inlineStr">
        <is>
          <t>AWS Capacity Blocks</t>
        </is>
      </c>
      <c r="B33" t="inlineStr">
        <is>
          <t>B200</t>
        </is>
      </c>
      <c r="C33" s="3" t="n">
        <v>45817</v>
      </c>
      <c r="D33" s="4" t="n">
        <v>8.140000000000001</v>
      </c>
      <c r="E33" t="inlineStr">
        <is>
          <t>EC2 Capacity Block effective rate per accelerator-hr (reported)</t>
        </is>
      </c>
      <c r="F33" t="inlineStr">
        <is>
          <t>Reported</t>
        </is>
      </c>
      <c r="G33" t="inlineStr">
        <is>
          <t>https://web.archive.org/web/20250609034829/https://aws.amazon.com/ec2/capacityblocks/pricing/</t>
        </is>
      </c>
      <c r="H33" t="inlineStr">
        <is>
          <t>p6-b200.48xlarge|US West (Oregon)|$65.12 USD ( $8.14 USD)|8</t>
        </is>
      </c>
    </row>
    <row r="34">
      <c r="A34" t="inlineStr">
        <is>
          <t>AWS Capacity Blocks</t>
        </is>
      </c>
      <c r="B34" t="inlineStr">
        <is>
          <t>B200</t>
        </is>
      </c>
      <c r="C34" s="3" t="n">
        <v>45874</v>
      </c>
      <c r="D34" s="4" t="n">
        <v>8.140000000000001</v>
      </c>
      <c r="E34" t="inlineStr">
        <is>
          <t>EC2 Capacity Block effective rate per accelerator-hr (reported)</t>
        </is>
      </c>
      <c r="F34" t="inlineStr">
        <is>
          <t>Reported</t>
        </is>
      </c>
      <c r="G34" t="inlineStr">
        <is>
          <t>https://web.archive.org/web/20250805162642/https://aws.amazon.com/ec2/capacityblocks/pricing/</t>
        </is>
      </c>
      <c r="H34" t="inlineStr">
        <is>
          <t>p6-b200.48xlarge|US East (N. Virginia)|$65.12 USD ( $8.14 USD)|8</t>
        </is>
      </c>
    </row>
    <row r="35">
      <c r="A35" t="inlineStr">
        <is>
          <t>AWS Capacity Blocks</t>
        </is>
      </c>
      <c r="B35" t="inlineStr">
        <is>
          <t>B200</t>
        </is>
      </c>
      <c r="C35" s="3" t="n">
        <v>45920</v>
      </c>
      <c r="D35" s="4" t="n">
        <v>8.140000000000001</v>
      </c>
      <c r="E35" t="inlineStr">
        <is>
          <t>EC2 Capacity Block effective rate per accelerator-hr (reported)</t>
        </is>
      </c>
      <c r="F35" t="inlineStr">
        <is>
          <t>Reported</t>
        </is>
      </c>
      <c r="G35" t="inlineStr">
        <is>
          <t>https://web.archive.org/web/20250920043819/https://aws.amazon.com/ec2/capacityblocks/pricing/</t>
        </is>
      </c>
      <c r="H35" t="inlineStr">
        <is>
          <t>p6-b200.48xlarge|US East (N. Virginia)|$65.12 USD ($8.14 USD)|8</t>
        </is>
      </c>
    </row>
    <row r="36">
      <c r="A36" t="inlineStr">
        <is>
          <t>AWS Capacity Blocks</t>
        </is>
      </c>
      <c r="B36" t="inlineStr">
        <is>
          <t>B200</t>
        </is>
      </c>
      <c r="C36" s="3" t="n">
        <v>45947</v>
      </c>
      <c r="D36" s="4" t="n">
        <v>9.359999999999999</v>
      </c>
      <c r="E36" t="inlineStr">
        <is>
          <t>EC2 Capacity Block effective rate per accelerator-hr (reported)</t>
        </is>
      </c>
      <c r="F36" t="inlineStr">
        <is>
          <t>Reported</t>
        </is>
      </c>
      <c r="G36" t="inlineStr">
        <is>
          <t>https://web.archive.org/web/20251017060707/https://aws.amazon.com/ec2/capacityblocks/pricing/</t>
        </is>
      </c>
      <c r="H36" t="inlineStr">
        <is>
          <t>p6-b200.48xlarge|US East (N. Virginia)|$74.88 USD ($9.36 USD)|8</t>
        </is>
      </c>
    </row>
    <row r="37">
      <c r="A37" t="inlineStr">
        <is>
          <t>AWS Capacity Blocks</t>
        </is>
      </c>
      <c r="B37" t="inlineStr">
        <is>
          <t>B200</t>
        </is>
      </c>
      <c r="C37" s="3" t="n">
        <v>46015</v>
      </c>
      <c r="D37" s="4" t="n">
        <v>9.359999999999999</v>
      </c>
      <c r="E37" t="inlineStr">
        <is>
          <t>EC2 Capacity Block effective rate per accelerator-hr (reported)</t>
        </is>
      </c>
      <c r="F37" t="inlineStr">
        <is>
          <t>Reported</t>
        </is>
      </c>
      <c r="G37" t="inlineStr">
        <is>
          <t>https://web.archive.org/web/20251224105824/https://aws.amazon.com/ec2/capacityblocks/pricing/</t>
        </is>
      </c>
      <c r="H37" t="inlineStr">
        <is>
          <t>p6-b200.48xlarge|US East (N. Virginia)|$74.88 USD ($9.36 USD)|8</t>
        </is>
      </c>
    </row>
    <row r="38">
      <c r="A38" t="inlineStr">
        <is>
          <t>AWS Capacity Blocks</t>
        </is>
      </c>
      <c r="B38" t="inlineStr">
        <is>
          <t>B200</t>
        </is>
      </c>
      <c r="C38" s="3" t="n">
        <v>46025</v>
      </c>
      <c r="D38" s="4" t="n">
        <v>9.359999999999999</v>
      </c>
      <c r="E38" t="inlineStr">
        <is>
          <t>EC2 Capacity Block effective rate per accelerator-hr (reported)</t>
        </is>
      </c>
      <c r="F38" t="inlineStr">
        <is>
          <t>Reported</t>
        </is>
      </c>
      <c r="G38" t="inlineStr">
        <is>
          <t>https://web.archive.org/web/20260103105349/https://aws.amazon.com/ec2/capacityblocks/pricing/</t>
        </is>
      </c>
      <c r="H38" t="inlineStr">
        <is>
          <t>p6-b200.48xlarge|US East (N. Virginia)|$74.88 USD ($9.36 USD)|8</t>
        </is>
      </c>
    </row>
    <row r="39">
      <c r="A39" t="inlineStr">
        <is>
          <t>AWS Capacity Blocks</t>
        </is>
      </c>
      <c r="B39" t="inlineStr">
        <is>
          <t>B200</t>
        </is>
      </c>
      <c r="C39" s="3" t="n">
        <v>46062</v>
      </c>
      <c r="D39" s="4" t="n">
        <v>9.359999999999999</v>
      </c>
      <c r="E39" t="inlineStr">
        <is>
          <t>EC2 Capacity Block effective rate per accelerator-hr (reported)</t>
        </is>
      </c>
      <c r="F39" t="inlineStr">
        <is>
          <t>Reported</t>
        </is>
      </c>
      <c r="G39" t="inlineStr">
        <is>
          <t>https://web.archive.org/web/20260209223955/https://aws.amazon.com/ec2/capacityblocks/pricing/</t>
        </is>
      </c>
      <c r="H39" t="inlineStr">
        <is>
          <t>p6-b200.48xlarge|US East (N. Virginia)|$74.88 USD ($9.36 USD)|8</t>
        </is>
      </c>
    </row>
    <row r="40">
      <c r="A40" t="inlineStr">
        <is>
          <t>AWS Capacity Blocks</t>
        </is>
      </c>
      <c r="B40" t="inlineStr">
        <is>
          <t>B200</t>
        </is>
      </c>
      <c r="C40" s="3" t="n">
        <v>46112</v>
      </c>
      <c r="D40" s="4" t="n">
        <v>9.359999999999999</v>
      </c>
      <c r="E40" t="inlineStr">
        <is>
          <t>EC2 Capacity Block effective rate per accelerator-hr (reported)</t>
        </is>
      </c>
      <c r="F40" t="inlineStr">
        <is>
          <t>Reported</t>
        </is>
      </c>
      <c r="G40" t="inlineStr">
        <is>
          <t>https://web.archive.org/web/20260331164533/https://aws.amazon.com/ec2/capacityblocks/pricing/</t>
        </is>
      </c>
      <c r="H40" t="inlineStr">
        <is>
          <t>p6-b200.48xlarge|US East (N. Virginia)|$74.88 USD ($9.36 USD)|8</t>
        </is>
      </c>
    </row>
    <row r="41">
      <c r="A41" t="inlineStr">
        <is>
          <t>AWS Capacity Blocks</t>
        </is>
      </c>
      <c r="B41" t="inlineStr">
        <is>
          <t>B200</t>
        </is>
      </c>
      <c r="C41" s="3" t="n">
        <v>46127</v>
      </c>
      <c r="D41" s="4" t="n">
        <v>10.296</v>
      </c>
      <c r="E41" t="inlineStr">
        <is>
          <t>EC2 Capacity Block effective rate per accelerator-hr (reported)</t>
        </is>
      </c>
      <c r="F41" t="inlineStr">
        <is>
          <t>Reported</t>
        </is>
      </c>
      <c r="G41" t="inlineStr">
        <is>
          <t>https://web.archive.org/web/20260415185126/https://aws.amazon.com/ec2/capacityblocks/pricing/</t>
        </is>
      </c>
      <c r="H41" t="inlineStr">
        <is>
          <t>p6-b200.48xlarge|US East (N. Virginia)|$82.368 USD ($10.296 USD)|8</t>
        </is>
      </c>
    </row>
    <row r="42">
      <c r="A42" t="inlineStr">
        <is>
          <t>AWS Capacity Blocks</t>
        </is>
      </c>
      <c r="B42" t="inlineStr">
        <is>
          <t>B200</t>
        </is>
      </c>
      <c r="C42" s="3" t="n">
        <v>46157</v>
      </c>
      <c r="D42" s="4" t="n">
        <v>10.296</v>
      </c>
      <c r="E42" t="inlineStr">
        <is>
          <t>EC2 Capacity Block effective rate per accelerator-hr (reported)</t>
        </is>
      </c>
      <c r="F42" t="inlineStr">
        <is>
          <t>Reported</t>
        </is>
      </c>
      <c r="G42" t="inlineStr">
        <is>
          <t>https://web.archive.org/web/20260515000834/https://aws.amazon.com/ec2/capacityblocks/pricing/</t>
        </is>
      </c>
      <c r="H42" t="inlineStr">
        <is>
          <t>p6-b200.48xlarge|US East (N. Virginia)|$82.368 USD ($10.296 USD)|8</t>
        </is>
      </c>
    </row>
    <row r="43">
      <c r="A43" t="inlineStr">
        <is>
          <t>AWS Capacity Blocks</t>
        </is>
      </c>
      <c r="B43" t="inlineStr">
        <is>
          <t>B200</t>
        </is>
      </c>
      <c r="C43" s="3" t="n">
        <v>46184</v>
      </c>
      <c r="D43" s="4" t="n">
        <v>10.296</v>
      </c>
      <c r="E43" t="inlineStr">
        <is>
          <t>EC2 Capacity Block effective rate per accelerator-hr (reported)</t>
        </is>
      </c>
      <c r="F43" t="inlineStr">
        <is>
          <t>Reported</t>
        </is>
      </c>
      <c r="G43" t="inlineStr">
        <is>
          <t>https://web.archive.org/web/20260611145518/https://aws.amazon.com/ec2/capacityblocks/pricing/</t>
        </is>
      </c>
      <c r="H43" t="inlineStr">
        <is>
          <t>p6-b200.48xlarge|US East (N. Virginia)|$82.368 USD ($10.296 USD)|8</t>
        </is>
      </c>
    </row>
    <row r="44">
      <c r="A44" t="inlineStr">
        <is>
          <t>AWS Capacity Blocks</t>
        </is>
      </c>
      <c r="B44" t="inlineStr">
        <is>
          <t>B200</t>
        </is>
      </c>
      <c r="C44" s="3" t="n">
        <v>46207</v>
      </c>
      <c r="D44" s="4" t="n">
        <v>10.296</v>
      </c>
      <c r="E44" t="inlineStr">
        <is>
          <t>EC2 Capacity Block effective rate per accelerator-hr (reported)</t>
        </is>
      </c>
      <c r="F44" t="inlineStr">
        <is>
          <t>Reported</t>
        </is>
      </c>
      <c r="G44" t="inlineStr">
        <is>
          <t>https://web.archive.org/web/20260704092824/https://aws.amazon.com/ec2/capacityblocks/pricing/</t>
        </is>
      </c>
      <c r="H44" t="inlineStr">
        <is>
          <t>p6-b200.48xlarge|US East (N. Virginia)|$82.368 USD ($10.296 USD)|8</t>
        </is>
      </c>
    </row>
    <row r="45">
      <c r="A45" t="inlineStr">
        <is>
          <t>AWS Capacity Blocks</t>
        </is>
      </c>
      <c r="B45" t="inlineStr">
        <is>
          <t>B200</t>
        </is>
      </c>
      <c r="C45" s="3" t="n">
        <v>46259</v>
      </c>
      <c r="D45" s="4" t="n">
        <v>12.355</v>
      </c>
      <c r="E45" t="inlineStr">
        <is>
          <t>EC2 Capacity Block effective rate per accelerator-hr (reported)</t>
        </is>
      </c>
      <c r="F45" t="inlineStr">
        <is>
          <t>Reported</t>
        </is>
      </c>
      <c r="G45" t="inlineStr">
        <is>
          <t>https://web.archive.org/web/20260825162005/https://aws.amazon.com/ec2/capacityblocks/pricing/</t>
        </is>
      </c>
      <c r="H45" t="inlineStr">
        <is>
          <t>p6-b200.48xlarge|US East (N. Virginia)|$98.84 USD ($12.355 USD)|8</t>
        </is>
      </c>
    </row>
    <row r="46">
      <c r="A46" t="inlineStr">
        <is>
          <t>AWS Capacity Blocks</t>
        </is>
      </c>
      <c r="B46" t="inlineStr">
        <is>
          <t>B200</t>
        </is>
      </c>
      <c r="C46" s="3" t="n">
        <v>46292</v>
      </c>
      <c r="D46" s="4" t="n">
        <v>12.355</v>
      </c>
      <c r="E46" t="inlineStr">
        <is>
          <t>EC2 Capacity Block effective rate per accelerator-hr (reported)</t>
        </is>
      </c>
      <c r="F46" t="inlineStr">
        <is>
          <t>Reported</t>
        </is>
      </c>
      <c r="G46" t="inlineStr">
        <is>
          <t>https://web.archive.org/web/20260927111505/https://aws.amazon.com/ec2/capacityblocks/pricing/</t>
        </is>
      </c>
      <c r="H46" t="inlineStr">
        <is>
          <t>p6-b200.48xlarge|US East (N. Virginia)|$98.84 USD ($12.355 USD)|8</t>
        </is>
      </c>
    </row>
    <row r="47">
      <c r="A47" t="inlineStr">
        <is>
          <t>AWS Capacity Blocks</t>
        </is>
      </c>
      <c r="B47" t="inlineStr">
        <is>
          <t>B200</t>
        </is>
      </c>
      <c r="C47" s="3" t="n">
        <v>46296</v>
      </c>
      <c r="D47" s="4" t="n">
        <v>12.355</v>
      </c>
      <c r="E47" t="inlineStr">
        <is>
          <t>EC2 Capacity Block effective rate per accelerator-hr (reported)</t>
        </is>
      </c>
      <c r="F47" t="inlineStr">
        <is>
          <t>Reported</t>
        </is>
      </c>
      <c r="G47" t="inlineStr">
        <is>
          <t>https://web.archive.org/web/20261001113914/https://aws.amazon.com/ec2/capacityblocks/pricing/</t>
        </is>
      </c>
      <c r="H47" t="inlineStr">
        <is>
          <t>p6-b200.48xlarge|US East (N. Virginia)|$98.84 USD ($12.355 USD)|8</t>
        </is>
      </c>
    </row>
    <row r="48">
      <c r="A48" t="inlineStr">
        <is>
          <t>AWS Capacity Blocks</t>
        </is>
      </c>
      <c r="B48" t="inlineStr">
        <is>
          <t>GB200 NVL72</t>
        </is>
      </c>
      <c r="C48" s="3" t="n">
        <v>45874</v>
      </c>
      <c r="D48" s="4" t="n">
        <v>10.582</v>
      </c>
      <c r="E48" t="inlineStr">
        <is>
          <t>EC2 Capacity Block effective rate per accelerator-hr (reported)</t>
        </is>
      </c>
      <c r="F48" t="inlineStr">
        <is>
          <t>Reported</t>
        </is>
      </c>
      <c r="G48" t="inlineStr">
        <is>
          <t>https://web.archive.org/web/20250805162642/https://aws.amazon.com/ec2/capacityblocks/pricing/</t>
        </is>
      </c>
      <c r="H48" t="inlineStr">
        <is>
          <t>p6e-gb200x72 (UltraServer)|Dallas Local Zone|(US East N. Virginia)|$761.904 USD ($10.582 USD)|72</t>
        </is>
      </c>
    </row>
    <row r="49">
      <c r="A49" t="inlineStr">
        <is>
          <t>AWS Capacity Blocks</t>
        </is>
      </c>
      <c r="B49" t="inlineStr">
        <is>
          <t>GB200 NVL72</t>
        </is>
      </c>
      <c r="C49" s="3" t="n">
        <v>45920</v>
      </c>
      <c r="D49" s="4" t="n">
        <v>10.582</v>
      </c>
      <c r="E49" t="inlineStr">
        <is>
          <t>EC2 Capacity Block effective rate per accelerator-hr (reported)</t>
        </is>
      </c>
      <c r="F49" t="inlineStr">
        <is>
          <t>Reported</t>
        </is>
      </c>
      <c r="G49" t="inlineStr">
        <is>
          <t>https://web.archive.org/web/20250920043819/https://aws.amazon.com/ec2/capacityblocks/pricing/</t>
        </is>
      </c>
      <c r="H49" t="inlineStr">
        <is>
          <t>p6e-gb200x72|Dallas Local Zone|(US East N. Virginia)|$761.904 ($10.582 USD)</t>
        </is>
      </c>
    </row>
    <row r="50">
      <c r="A50" t="inlineStr">
        <is>
          <t>AWS Capacity Blocks</t>
        </is>
      </c>
      <c r="B50" t="inlineStr">
        <is>
          <t>GB200 NVL72</t>
        </is>
      </c>
      <c r="C50" s="3" t="n">
        <v>45947</v>
      </c>
      <c r="D50" s="4" t="n">
        <v>10.582</v>
      </c>
      <c r="E50" t="inlineStr">
        <is>
          <t>EC2 Capacity Block effective rate per accelerator-hr (reported)</t>
        </is>
      </c>
      <c r="F50" t="inlineStr">
        <is>
          <t>Reported</t>
        </is>
      </c>
      <c r="G50" t="inlineStr">
        <is>
          <t>https://web.archive.org/web/20251017060707/https://aws.amazon.com/ec2/capacityblocks/pricing/</t>
        </is>
      </c>
      <c r="H50" t="inlineStr">
        <is>
          <t>p6e-gb200x72|Dallas Local Zone|(US East N. Virginia)|$761.904 ($10.582 USD)</t>
        </is>
      </c>
    </row>
    <row r="51">
      <c r="A51" t="inlineStr">
        <is>
          <t>AWS Capacity Blocks</t>
        </is>
      </c>
      <c r="B51" t="inlineStr">
        <is>
          <t>GB200 NVL72</t>
        </is>
      </c>
      <c r="C51" s="3" t="n">
        <v>46015</v>
      </c>
      <c r="D51" s="4" t="n">
        <v>10.582</v>
      </c>
      <c r="E51" t="inlineStr">
        <is>
          <t>EC2 Capacity Block effective rate per accelerator-hr (reported)</t>
        </is>
      </c>
      <c r="F51" t="inlineStr">
        <is>
          <t>Reported</t>
        </is>
      </c>
      <c r="G51" t="inlineStr">
        <is>
          <t>https://web.archive.org/web/20251224105824/https://aws.amazon.com/ec2/capacityblocks/pricing/</t>
        </is>
      </c>
      <c r="H51" t="inlineStr">
        <is>
          <t>p6e-gb200x72|Dallas Local Zone|(US East N. Virginia)|$761.904 ($10.582 USD)</t>
        </is>
      </c>
    </row>
    <row r="52">
      <c r="A52" t="inlineStr">
        <is>
          <t>AWS Capacity Blocks</t>
        </is>
      </c>
      <c r="B52" t="inlineStr">
        <is>
          <t>GB200 NVL72</t>
        </is>
      </c>
      <c r="C52" s="3" t="n">
        <v>46025</v>
      </c>
      <c r="D52" s="4" t="n">
        <v>10.582</v>
      </c>
      <c r="E52" t="inlineStr">
        <is>
          <t>EC2 Capacity Block effective rate per accelerator-hr (reported)</t>
        </is>
      </c>
      <c r="F52" t="inlineStr">
        <is>
          <t>Reported</t>
        </is>
      </c>
      <c r="G52" t="inlineStr">
        <is>
          <t>https://web.archive.org/web/20260103105349/https://aws.amazon.com/ec2/capacityblocks/pricing/</t>
        </is>
      </c>
      <c r="H52" t="inlineStr">
        <is>
          <t>p6e-gb200x72|Dallas Local Zone|(US East N. Virginia)|$761.904 ($10.582 USD)</t>
        </is>
      </c>
    </row>
    <row r="53">
      <c r="A53" t="inlineStr">
        <is>
          <t>AWS Capacity Blocks</t>
        </is>
      </c>
      <c r="B53" t="inlineStr">
        <is>
          <t>GB200 NVL72</t>
        </is>
      </c>
      <c r="C53" s="3" t="n">
        <v>46062</v>
      </c>
      <c r="D53" s="4" t="n">
        <v>10.582</v>
      </c>
      <c r="E53" t="inlineStr">
        <is>
          <t>EC2 Capacity Block effective rate per accelerator-hr (reported)</t>
        </is>
      </c>
      <c r="F53" t="inlineStr">
        <is>
          <t>Reported</t>
        </is>
      </c>
      <c r="G53" t="inlineStr">
        <is>
          <t>https://web.archive.org/web/20260209223955/https://aws.amazon.com/ec2/capacityblocks/pricing/</t>
        </is>
      </c>
      <c r="H53" t="inlineStr">
        <is>
          <t>p6e-gb200x72|Dallas Local Zone|(US East N. Virginia)|$761.904 ($10.582 USD)</t>
        </is>
      </c>
    </row>
    <row r="54">
      <c r="A54" t="inlineStr">
        <is>
          <t>AWS Capacity Blocks</t>
        </is>
      </c>
      <c r="B54" t="inlineStr">
        <is>
          <t>GB200 NVL72</t>
        </is>
      </c>
      <c r="C54" s="3" t="n">
        <v>46112</v>
      </c>
      <c r="D54" s="4" t="n">
        <v>10.582</v>
      </c>
      <c r="E54" t="inlineStr">
        <is>
          <t>EC2 Capacity Block effective rate per accelerator-hr (reported)</t>
        </is>
      </c>
      <c r="F54" t="inlineStr">
        <is>
          <t>Reported</t>
        </is>
      </c>
      <c r="G54" t="inlineStr">
        <is>
          <t>https://web.archive.org/web/20260331164533/https://aws.amazon.com/ec2/capacityblocks/pricing/</t>
        </is>
      </c>
      <c r="H54" t="inlineStr">
        <is>
          <t>p6e-gb200x72|US East (Dallas) Local Zone|$761.904 ($10.582 USD)</t>
        </is>
      </c>
    </row>
    <row r="55">
      <c r="A55" t="inlineStr">
        <is>
          <t>AWS Capacity Blocks</t>
        </is>
      </c>
      <c r="B55" t="inlineStr">
        <is>
          <t>GB200 NVL72</t>
        </is>
      </c>
      <c r="C55" s="3" t="n">
        <v>46127</v>
      </c>
      <c r="D55" s="4" t="n">
        <v>10.582</v>
      </c>
      <c r="E55" t="inlineStr">
        <is>
          <t>EC2 Capacity Block effective rate per accelerator-hr (reported)</t>
        </is>
      </c>
      <c r="F55" t="inlineStr">
        <is>
          <t>Reported</t>
        </is>
      </c>
      <c r="G55" t="inlineStr">
        <is>
          <t>https://web.archive.org/web/20260415185126/https://aws.amazon.com/ec2/capacityblocks/pricing/</t>
        </is>
      </c>
      <c r="H55" t="inlineStr">
        <is>
          <t>p6e-gb200x72|US East (Dallas) Local Zone|$761.904 ($10.582 USD)</t>
        </is>
      </c>
    </row>
    <row r="56">
      <c r="A56" t="inlineStr">
        <is>
          <t>AWS Capacity Blocks</t>
        </is>
      </c>
      <c r="B56" t="inlineStr">
        <is>
          <t>GB200 NVL72</t>
        </is>
      </c>
      <c r="C56" s="3" t="n">
        <v>46157</v>
      </c>
      <c r="D56" s="4" t="n">
        <v>10.582</v>
      </c>
      <c r="E56" t="inlineStr">
        <is>
          <t>EC2 Capacity Block effective rate per accelerator-hr (reported)</t>
        </is>
      </c>
      <c r="F56" t="inlineStr">
        <is>
          <t>Reported</t>
        </is>
      </c>
      <c r="G56" t="inlineStr">
        <is>
          <t>https://web.archive.org/web/20260515000834/https://aws.amazon.com/ec2/capacityblocks/pricing/</t>
        </is>
      </c>
      <c r="H56" t="inlineStr">
        <is>
          <t>p6e-gb200x72|US East (Dallas) Local Zone|$761.904 ($10.582 USD)</t>
        </is>
      </c>
    </row>
    <row r="57">
      <c r="A57" t="inlineStr">
        <is>
          <t>AWS Capacity Blocks</t>
        </is>
      </c>
      <c r="B57" t="inlineStr">
        <is>
          <t>GB200 NVL72</t>
        </is>
      </c>
      <c r="C57" s="3" t="n">
        <v>46184</v>
      </c>
      <c r="D57" s="4" t="n">
        <v>10.582</v>
      </c>
      <c r="E57" t="inlineStr">
        <is>
          <t>EC2 Capacity Block effective rate per accelerator-hr (reported)</t>
        </is>
      </c>
      <c r="F57" t="inlineStr">
        <is>
          <t>Reported</t>
        </is>
      </c>
      <c r="G57" t="inlineStr">
        <is>
          <t>https://web.archive.org/web/20260611145518/https://aws.amazon.com/ec2/capacityblocks/pricing/</t>
        </is>
      </c>
      <c r="H57" t="inlineStr">
        <is>
          <t>p6e-gb200x72|US East (Dallas) Local Zone|$761.904 ($10.582 USD)</t>
        </is>
      </c>
    </row>
    <row r="58">
      <c r="A58" t="inlineStr">
        <is>
          <t>AWS Capacity Blocks</t>
        </is>
      </c>
      <c r="B58" t="inlineStr">
        <is>
          <t>GB200 NVL72</t>
        </is>
      </c>
      <c r="C58" s="3" t="n">
        <v>46207</v>
      </c>
      <c r="D58" s="4" t="n">
        <v>10.582</v>
      </c>
      <c r="E58" t="inlineStr">
        <is>
          <t>EC2 Capacity Block effective rate per accelerator-hr (reported)</t>
        </is>
      </c>
      <c r="F58" t="inlineStr">
        <is>
          <t>Reported</t>
        </is>
      </c>
      <c r="G58" t="inlineStr">
        <is>
          <t>https://web.archive.org/web/20260704092824/https://aws.amazon.com/ec2/capacityblocks/pricing/</t>
        </is>
      </c>
      <c r="H58" t="inlineStr">
        <is>
          <t>p6e-gb200x72|US East (Dallas) Local Zone|$761.904 ($10.582 USD)</t>
        </is>
      </c>
    </row>
    <row r="59">
      <c r="A59" t="inlineStr">
        <is>
          <t>AWS Capacity Blocks</t>
        </is>
      </c>
      <c r="B59" t="inlineStr">
        <is>
          <t>GB200 NVL72</t>
        </is>
      </c>
      <c r="C59" s="3" t="n">
        <v>46259</v>
      </c>
      <c r="D59" s="4" t="n">
        <v>10.582</v>
      </c>
      <c r="E59" t="inlineStr">
        <is>
          <t>EC2 Capacity Block effective rate per accelerator-hr (reported)</t>
        </is>
      </c>
      <c r="F59" t="inlineStr">
        <is>
          <t>Reported</t>
        </is>
      </c>
      <c r="G59" t="inlineStr">
        <is>
          <t>https://web.archive.org/web/20260825162005/https://aws.amazon.com/ec2/capacityblocks/pricing/</t>
        </is>
      </c>
      <c r="H59" t="inlineStr">
        <is>
          <t>p6e-gb200x72|US East (Dallas) Local Zone|$761.904 ($10.582 USD)</t>
        </is>
      </c>
    </row>
    <row r="60">
      <c r="A60" t="inlineStr">
        <is>
          <t>AWS Capacity Blocks</t>
        </is>
      </c>
      <c r="B60" t="inlineStr">
        <is>
          <t>GB200 NVL72</t>
        </is>
      </c>
      <c r="C60" s="3" t="n">
        <v>46292</v>
      </c>
      <c r="D60" s="4" t="n">
        <v>10.582</v>
      </c>
      <c r="E60" t="inlineStr">
        <is>
          <t>EC2 Capacity Block effective rate per accelerator-hr (reported)</t>
        </is>
      </c>
      <c r="F60" t="inlineStr">
        <is>
          <t>Reported</t>
        </is>
      </c>
      <c r="G60" t="inlineStr">
        <is>
          <t>https://web.archive.org/web/20260927111505/https://aws.amazon.com/ec2/capacityblocks/pricing/</t>
        </is>
      </c>
      <c r="H60" t="inlineStr">
        <is>
          <t>p6e-gb200x72|US East (Dallas) Local Zone|$761.904 ($10.582 USD)</t>
        </is>
      </c>
    </row>
    <row r="61">
      <c r="A61" t="inlineStr">
        <is>
          <t>AWS Capacity Blocks</t>
        </is>
      </c>
      <c r="B61" t="inlineStr">
        <is>
          <t>GB200 NVL72</t>
        </is>
      </c>
      <c r="C61" s="3" t="n">
        <v>46296</v>
      </c>
      <c r="D61" s="4" t="n">
        <v>10.582</v>
      </c>
      <c r="E61" t="inlineStr">
        <is>
          <t>EC2 Capacity Block effective rate per accelerator-hr (reported)</t>
        </is>
      </c>
      <c r="F61" t="inlineStr">
        <is>
          <t>Reported</t>
        </is>
      </c>
      <c r="G61" t="inlineStr">
        <is>
          <t>https://web.archive.org/web/20261001113914/https://aws.amazon.com/ec2/capacityblocks/pricing/</t>
        </is>
      </c>
      <c r="H61" t="inlineStr">
        <is>
          <t>p6e-gb200x72|US East (Dallas) Local Zone|$761.904 ($10.582 USD)</t>
        </is>
      </c>
    </row>
    <row r="62">
      <c r="A62" t="inlineStr">
        <is>
          <t>AWS Capacity Blocks</t>
        </is>
      </c>
      <c r="B62" t="inlineStr">
        <is>
          <t>H100</t>
        </is>
      </c>
      <c r="C62" s="3" t="n">
        <v>45379</v>
      </c>
      <c r="D62" s="4" t="n">
        <v>4.916</v>
      </c>
      <c r="E62" t="inlineStr">
        <is>
          <t>EC2 Capacity Block effective rate per accelerator-hr (reported)</t>
        </is>
      </c>
      <c r="F62" t="inlineStr">
        <is>
          <t>Reported</t>
        </is>
      </c>
      <c r="G62" t="inlineStr">
        <is>
          <t>https://web.archive.org/web/20240328143027/https://aws.amazon.com/ec2/capacityblocks/pricing/</t>
        </is>
      </c>
      <c r="H62" t="inlineStr">
        <is>
          <t>p5.48xlarge|US East (N. Virginia)|$39.33 USD|$4.916</t>
        </is>
      </c>
    </row>
    <row r="63">
      <c r="A63" t="inlineStr">
        <is>
          <t>AWS Capacity Blocks</t>
        </is>
      </c>
      <c r="B63" t="inlineStr">
        <is>
          <t>H100</t>
        </is>
      </c>
      <c r="C63" s="3" t="n">
        <v>45383</v>
      </c>
      <c r="D63" s="4" t="n">
        <v>4.916</v>
      </c>
      <c r="E63" t="inlineStr">
        <is>
          <t>EC2 Capacity Block effective rate per accelerator-hr (reported)</t>
        </is>
      </c>
      <c r="F63" t="inlineStr">
        <is>
          <t>Reported</t>
        </is>
      </c>
      <c r="G63" t="inlineStr">
        <is>
          <t>https://web.archive.org/web/20240401131950/https://aws.amazon.com/ec2/capacityblocks/pricing/</t>
        </is>
      </c>
      <c r="H63" t="inlineStr">
        <is>
          <t>p5.48xlarge|US East (N. Virginia)|$39.33 USD|$4.916</t>
        </is>
      </c>
    </row>
    <row r="64">
      <c r="A64" t="inlineStr">
        <is>
          <t>AWS Capacity Blocks</t>
        </is>
      </c>
      <c r="B64" t="inlineStr">
        <is>
          <t>H100</t>
        </is>
      </c>
      <c r="C64" s="3" t="n">
        <v>45429</v>
      </c>
      <c r="D64" s="4" t="n">
        <v>4.916</v>
      </c>
      <c r="E64" t="inlineStr">
        <is>
          <t>EC2 Capacity Block effective rate per accelerator-hr (reported)</t>
        </is>
      </c>
      <c r="F64" t="inlineStr">
        <is>
          <t>Reported</t>
        </is>
      </c>
      <c r="G64" t="inlineStr">
        <is>
          <t>https://web.archive.org/web/20240517002718/https://aws.amazon.com/ec2/capacityblocks/pricing/</t>
        </is>
      </c>
      <c r="H64" t="inlineStr">
        <is>
          <t>p5.48xlarge|US East (N. Virginia)|$39.33 USD|$4.916</t>
        </is>
      </c>
    </row>
    <row r="65">
      <c r="A65" t="inlineStr">
        <is>
          <t>AWS Capacity Blocks</t>
        </is>
      </c>
      <c r="B65" t="inlineStr">
        <is>
          <t>H100</t>
        </is>
      </c>
      <c r="C65" s="3" t="n">
        <v>45444</v>
      </c>
      <c r="D65" s="4" t="n">
        <v>4.916</v>
      </c>
      <c r="E65" t="inlineStr">
        <is>
          <t>EC2 Capacity Block effective rate per accelerator-hr (reported)</t>
        </is>
      </c>
      <c r="F65" t="inlineStr">
        <is>
          <t>Reported</t>
        </is>
      </c>
      <c r="G65" t="inlineStr">
        <is>
          <t>https://web.archive.org/web/20240601005932/https://aws.amazon.com/ec2/capacityblocks/pricing/</t>
        </is>
      </c>
      <c r="H65" t="inlineStr">
        <is>
          <t>p5.48xlarge|US East (N. Virginia)|$39.33 USD|$4.916</t>
        </is>
      </c>
    </row>
    <row r="66">
      <c r="A66" t="inlineStr">
        <is>
          <t>AWS Capacity Blocks</t>
        </is>
      </c>
      <c r="B66" t="inlineStr">
        <is>
          <t>H100</t>
        </is>
      </c>
      <c r="C66" s="3" t="n">
        <v>45479</v>
      </c>
      <c r="D66" s="4" t="n">
        <v>4.916</v>
      </c>
      <c r="E66" t="inlineStr">
        <is>
          <t>EC2 Capacity Block effective rate per accelerator-hr (reported)</t>
        </is>
      </c>
      <c r="F66" t="inlineStr">
        <is>
          <t>Reported</t>
        </is>
      </c>
      <c r="G66" t="inlineStr">
        <is>
          <t>https://web.archive.org/web/20240706033947/https://aws.amazon.com/ec2/capacityblocks/pricing/</t>
        </is>
      </c>
      <c r="H66" t="inlineStr">
        <is>
          <t>p5.48xlarge|US East (N. Virginia)|$39.33 USD|$4.916</t>
        </is>
      </c>
    </row>
    <row r="67">
      <c r="A67" t="inlineStr">
        <is>
          <t>AWS Capacity Blocks</t>
        </is>
      </c>
      <c r="B67" t="inlineStr">
        <is>
          <t>H100</t>
        </is>
      </c>
      <c r="C67" s="3" t="n">
        <v>45507</v>
      </c>
      <c r="D67" s="4" t="n">
        <v>4.916</v>
      </c>
      <c r="E67" t="inlineStr">
        <is>
          <t>EC2 Capacity Block effective rate per accelerator-hr (reported)</t>
        </is>
      </c>
      <c r="F67" t="inlineStr">
        <is>
          <t>Reported</t>
        </is>
      </c>
      <c r="G67" t="inlineStr">
        <is>
          <t>https://web.archive.org/web/20240803063643/https://aws.amazon.com/ec2/capacityblocks/pricing/</t>
        </is>
      </c>
      <c r="H67" t="inlineStr">
        <is>
          <t>p5.48xlarge|US East (N. Virginia)|$39.33 USD|$4.916</t>
        </is>
      </c>
    </row>
    <row r="68">
      <c r="A68" t="inlineStr">
        <is>
          <t>AWS Capacity Blocks</t>
        </is>
      </c>
      <c r="B68" t="inlineStr">
        <is>
          <t>H100</t>
        </is>
      </c>
      <c r="C68" s="3" t="n">
        <v>45537</v>
      </c>
      <c r="D68" s="4" t="n">
        <v>4.916</v>
      </c>
      <c r="E68" t="inlineStr">
        <is>
          <t>EC2 Capacity Block effective rate per accelerator-hr (reported)</t>
        </is>
      </c>
      <c r="F68" t="inlineStr">
        <is>
          <t>Reported</t>
        </is>
      </c>
      <c r="G68" t="inlineStr">
        <is>
          <t>https://web.archive.org/web/20240902083209/https://aws.amazon.com/ec2/capacityblocks/pricing/</t>
        </is>
      </c>
      <c r="H68" t="inlineStr">
        <is>
          <t>p5.48xlarge|US East (N. Virginia)|$39.33 USD|$4.916</t>
        </is>
      </c>
    </row>
    <row r="69">
      <c r="A69" t="inlineStr">
        <is>
          <t>AWS Capacity Blocks</t>
        </is>
      </c>
      <c r="B69" t="inlineStr">
        <is>
          <t>H100</t>
        </is>
      </c>
      <c r="C69" s="3" t="n">
        <v>45566</v>
      </c>
      <c r="D69" s="4" t="n">
        <v>4.916</v>
      </c>
      <c r="E69" t="inlineStr">
        <is>
          <t>EC2 Capacity Block effective rate per accelerator-hr (reported)</t>
        </is>
      </c>
      <c r="F69" t="inlineStr">
        <is>
          <t>Reported</t>
        </is>
      </c>
      <c r="G69" t="inlineStr">
        <is>
          <t>https://web.archive.org/web/20241001024735/https://aws.amazon.com/ec2/capacityblocks/pricing/</t>
        </is>
      </c>
      <c r="H69" t="inlineStr">
        <is>
          <t>p5.48xlarge|US East (N. Virginia)|$39.33 USD|$4.916</t>
        </is>
      </c>
    </row>
    <row r="70">
      <c r="A70" t="inlineStr">
        <is>
          <t>AWS Capacity Blocks</t>
        </is>
      </c>
      <c r="B70" t="inlineStr">
        <is>
          <t>H100</t>
        </is>
      </c>
      <c r="C70" s="3" t="n">
        <v>45621</v>
      </c>
      <c r="D70" s="4" t="n">
        <v>4.916</v>
      </c>
      <c r="E70" t="inlineStr">
        <is>
          <t>EC2 Capacity Block effective rate per accelerator-hr (reported)</t>
        </is>
      </c>
      <c r="F70" t="inlineStr">
        <is>
          <t>Reported</t>
        </is>
      </c>
      <c r="G70" t="inlineStr">
        <is>
          <t>https://web.archive.org/web/20241125121745/https://aws.amazon.com/ec2/capacityblocks/pricing/</t>
        </is>
      </c>
      <c r="H70" t="inlineStr">
        <is>
          <t>p5.48xlarge|US East (N. Virginia)|$39.33 USD|$4.916</t>
        </is>
      </c>
    </row>
    <row r="71">
      <c r="A71" t="inlineStr">
        <is>
          <t>AWS Capacity Blocks</t>
        </is>
      </c>
      <c r="B71" t="inlineStr">
        <is>
          <t>H100</t>
        </is>
      </c>
      <c r="C71" s="3" t="n">
        <v>45631</v>
      </c>
      <c r="D71" s="4" t="n">
        <v>4.916</v>
      </c>
      <c r="E71" t="inlineStr">
        <is>
          <t>EC2 Capacity Block effective rate per accelerator-hr (reported)</t>
        </is>
      </c>
      <c r="F71" t="inlineStr">
        <is>
          <t>Reported</t>
        </is>
      </c>
      <c r="G71" t="inlineStr">
        <is>
          <t>https://web.archive.org/web/20241205143555/https://aws.amazon.com/ec2/capacityblocks/pricing/</t>
        </is>
      </c>
      <c r="H71" t="inlineStr">
        <is>
          <t>p5.48xlarge|US East (N. Virginia)|$39.33 USD ($4.916 USD)|8</t>
        </is>
      </c>
    </row>
    <row r="72">
      <c r="A72" t="inlineStr">
        <is>
          <t>AWS Capacity Blocks</t>
        </is>
      </c>
      <c r="B72" t="inlineStr">
        <is>
          <t>H100</t>
        </is>
      </c>
      <c r="C72" s="3" t="n">
        <v>45669</v>
      </c>
      <c r="D72" s="4" t="n">
        <v>4.916</v>
      </c>
      <c r="E72" t="inlineStr">
        <is>
          <t>EC2 Capacity Block effective rate per accelerator-hr (reported)</t>
        </is>
      </c>
      <c r="F72" t="inlineStr">
        <is>
          <t>Reported</t>
        </is>
      </c>
      <c r="G72" t="inlineStr">
        <is>
          <t>https://web.archive.org/web/20250112155010/https://aws.amazon.com/ec2/capacityblocks/pricing/</t>
        </is>
      </c>
      <c r="H72" t="inlineStr">
        <is>
          <t>p5.48xlarge|US East (N. Virginia)|$39.33 USD ($4.916 USD)|8</t>
        </is>
      </c>
    </row>
    <row r="73">
      <c r="A73" t="inlineStr">
        <is>
          <t>AWS Capacity Blocks</t>
        </is>
      </c>
      <c r="B73" t="inlineStr">
        <is>
          <t>H100</t>
        </is>
      </c>
      <c r="C73" s="3" t="n">
        <v>45690</v>
      </c>
      <c r="D73" s="4" t="n">
        <v>4.916</v>
      </c>
      <c r="E73" t="inlineStr">
        <is>
          <t>EC2 Capacity Block effective rate per accelerator-hr (reported)</t>
        </is>
      </c>
      <c r="F73" t="inlineStr">
        <is>
          <t>Reported</t>
        </is>
      </c>
      <c r="G73" t="inlineStr">
        <is>
          <t>https://web.archive.org/web/20250202112243/https://aws.amazon.com/ec2/capacityblocks/pricing/</t>
        </is>
      </c>
      <c r="H73" t="inlineStr">
        <is>
          <t>p5.48xlarge|US East (N. Virginia)|$39.33 USD ($4.916 USD)|8</t>
        </is>
      </c>
    </row>
    <row r="74">
      <c r="A74" t="inlineStr">
        <is>
          <t>AWS Capacity Blocks</t>
        </is>
      </c>
      <c r="B74" t="inlineStr">
        <is>
          <t>H100</t>
        </is>
      </c>
      <c r="C74" s="3" t="n">
        <v>45724</v>
      </c>
      <c r="D74" s="4" t="n">
        <v>3.933</v>
      </c>
      <c r="E74" t="inlineStr">
        <is>
          <t>EC2 Capacity Block effective rate per accelerator-hr (reported)</t>
        </is>
      </c>
      <c r="F74" t="inlineStr">
        <is>
          <t>Reported</t>
        </is>
      </c>
      <c r="G74" t="inlineStr">
        <is>
          <t>https://web.archive.org/web/20250308091133/https://aws.amazon.com/ec2/capacityblocks/pricing/</t>
        </is>
      </c>
      <c r="H74" t="inlineStr">
        <is>
          <t>p5.48xlarge|US East (N. Virginia)|$31.464 USD ($3.933 USD)|8</t>
        </is>
      </c>
    </row>
    <row r="75">
      <c r="A75" t="inlineStr">
        <is>
          <t>AWS Capacity Blocks</t>
        </is>
      </c>
      <c r="B75" t="inlineStr">
        <is>
          <t>H100</t>
        </is>
      </c>
      <c r="C75" s="3" t="n">
        <v>45748</v>
      </c>
      <c r="D75" s="4" t="n">
        <v>3.933</v>
      </c>
      <c r="E75" t="inlineStr">
        <is>
          <t>EC2 Capacity Block effective rate per accelerator-hr (reported)</t>
        </is>
      </c>
      <c r="F75" t="inlineStr">
        <is>
          <t>Reported</t>
        </is>
      </c>
      <c r="G75" t="inlineStr">
        <is>
          <t>https://web.archive.org/web/20250401074341/https://aws.amazon.com/ec2/capacityblocks/pricing/</t>
        </is>
      </c>
      <c r="H75" t="inlineStr">
        <is>
          <t>p5.48xlarge|US East (N. Virginia)|$31.464 USD ($3.933 USD)|8</t>
        </is>
      </c>
    </row>
    <row r="76">
      <c r="A76" t="inlineStr">
        <is>
          <t>AWS Capacity Blocks</t>
        </is>
      </c>
      <c r="B76" t="inlineStr">
        <is>
          <t>H100</t>
        </is>
      </c>
      <c r="C76" s="3" t="n">
        <v>45799</v>
      </c>
      <c r="D76" s="4" t="n">
        <v>3.933</v>
      </c>
      <c r="E76" t="inlineStr">
        <is>
          <t>EC2 Capacity Block effective rate per accelerator-hr (reported)</t>
        </is>
      </c>
      <c r="F76" t="inlineStr">
        <is>
          <t>Reported</t>
        </is>
      </c>
      <c r="G76" t="inlineStr">
        <is>
          <t>https://web.archive.org/web/20250522053627/https://aws.amazon.com/ec2/capacityblocks/pricing/</t>
        </is>
      </c>
      <c r="H76" t="inlineStr">
        <is>
          <t>p5.48xlarge|US East (N. Virginia)|$31.464 USD ($3.933 USD)|8</t>
        </is>
      </c>
    </row>
    <row r="77">
      <c r="A77" t="inlineStr">
        <is>
          <t>AWS Capacity Blocks</t>
        </is>
      </c>
      <c r="B77" t="inlineStr">
        <is>
          <t>H100</t>
        </is>
      </c>
      <c r="C77" s="3" t="n">
        <v>45817</v>
      </c>
      <c r="D77" s="4" t="n">
        <v>3.933</v>
      </c>
      <c r="E77" t="inlineStr">
        <is>
          <t>EC2 Capacity Block effective rate per accelerator-hr (reported)</t>
        </is>
      </c>
      <c r="F77" t="inlineStr">
        <is>
          <t>Reported</t>
        </is>
      </c>
      <c r="G77" t="inlineStr">
        <is>
          <t>https://web.archive.org/web/20250609034829/https://aws.amazon.com/ec2/capacityblocks/pricing/</t>
        </is>
      </c>
      <c r="H77" t="inlineStr">
        <is>
          <t>p5.48xlarge|US East (N. Virginia)|$31.464 USD ($3.933 USD)|8</t>
        </is>
      </c>
    </row>
    <row r="78">
      <c r="A78" t="inlineStr">
        <is>
          <t>AWS Capacity Blocks</t>
        </is>
      </c>
      <c r="B78" t="inlineStr">
        <is>
          <t>H100</t>
        </is>
      </c>
      <c r="C78" s="3" t="n">
        <v>45874</v>
      </c>
      <c r="D78" s="4" t="n">
        <v>3.933</v>
      </c>
      <c r="E78" t="inlineStr">
        <is>
          <t>EC2 Capacity Block effective rate per accelerator-hr (reported)</t>
        </is>
      </c>
      <c r="F78" t="inlineStr">
        <is>
          <t>Reported</t>
        </is>
      </c>
      <c r="G78" t="inlineStr">
        <is>
          <t>https://web.archive.org/web/20250805162642/https://aws.amazon.com/ec2/capacityblocks/pricing/</t>
        </is>
      </c>
      <c r="H78" t="inlineStr">
        <is>
          <t>p5.48xlarge|US East (N. Virginia)|$31.464 USD ($3.933 USD)|8</t>
        </is>
      </c>
    </row>
    <row r="79">
      <c r="A79" t="inlineStr">
        <is>
          <t>AWS Capacity Blocks</t>
        </is>
      </c>
      <c r="B79" t="inlineStr">
        <is>
          <t>H100</t>
        </is>
      </c>
      <c r="C79" s="3" t="n">
        <v>45920</v>
      </c>
      <c r="D79" s="4" t="n">
        <v>3.933</v>
      </c>
      <c r="E79" t="inlineStr">
        <is>
          <t>EC2 Capacity Block effective rate per accelerator-hr (reported)</t>
        </is>
      </c>
      <c r="F79" t="inlineStr">
        <is>
          <t>Reported</t>
        </is>
      </c>
      <c r="G79" t="inlineStr">
        <is>
          <t>https://web.archive.org/web/20250920043819/https://aws.amazon.com/ec2/capacityblocks/pricing/</t>
        </is>
      </c>
      <c r="H79" t="inlineStr">
        <is>
          <t>p5.48xlarge|US East (N. Virginia)|$31.464 USD ($3.933 USD)|8</t>
        </is>
      </c>
    </row>
    <row r="80">
      <c r="A80" t="inlineStr">
        <is>
          <t>AWS Capacity Blocks</t>
        </is>
      </c>
      <c r="B80" t="inlineStr">
        <is>
          <t>H100</t>
        </is>
      </c>
      <c r="C80" s="3" t="n">
        <v>45947</v>
      </c>
      <c r="D80" s="4" t="n">
        <v>3.933</v>
      </c>
      <c r="E80" t="inlineStr">
        <is>
          <t>EC2 Capacity Block effective rate per accelerator-hr (reported)</t>
        </is>
      </c>
      <c r="F80" t="inlineStr">
        <is>
          <t>Reported</t>
        </is>
      </c>
      <c r="G80" t="inlineStr">
        <is>
          <t>https://web.archive.org/web/20251017060707/https://aws.amazon.com/ec2/capacityblocks/pricing/</t>
        </is>
      </c>
      <c r="H80" t="inlineStr">
        <is>
          <t>p5.48xlarge|US East (N. Virginia)|$31.464 USD ($3.933 USD)|8</t>
        </is>
      </c>
    </row>
    <row r="81">
      <c r="A81" t="inlineStr">
        <is>
          <t>AWS Capacity Blocks</t>
        </is>
      </c>
      <c r="B81" t="inlineStr">
        <is>
          <t>H100</t>
        </is>
      </c>
      <c r="C81" s="3" t="n">
        <v>46015</v>
      </c>
      <c r="D81" s="4" t="n">
        <v>3.933</v>
      </c>
      <c r="E81" t="inlineStr">
        <is>
          <t>EC2 Capacity Block effective rate per accelerator-hr (reported)</t>
        </is>
      </c>
      <c r="F81" t="inlineStr">
        <is>
          <t>Reported</t>
        </is>
      </c>
      <c r="G81" t="inlineStr">
        <is>
          <t>https://web.archive.org/web/20251224105824/https://aws.amazon.com/ec2/capacityblocks/pricing/</t>
        </is>
      </c>
      <c r="H81" t="inlineStr">
        <is>
          <t>p5.48xlarge|US East (N. Virginia)|$31.464 USD ($3.933 USD)|8</t>
        </is>
      </c>
    </row>
    <row r="82">
      <c r="A82" t="inlineStr">
        <is>
          <t>AWS Capacity Blocks</t>
        </is>
      </c>
      <c r="B82" t="inlineStr">
        <is>
          <t>H100</t>
        </is>
      </c>
      <c r="C82" s="3" t="n">
        <v>46025</v>
      </c>
      <c r="D82" s="4" t="n">
        <v>3.933</v>
      </c>
      <c r="E82" t="inlineStr">
        <is>
          <t>EC2 Capacity Block effective rate per accelerator-hr (reported)</t>
        </is>
      </c>
      <c r="F82" t="inlineStr">
        <is>
          <t>Reported</t>
        </is>
      </c>
      <c r="G82" t="inlineStr">
        <is>
          <t>https://web.archive.org/web/20260103105349/https://aws.amazon.com/ec2/capacityblocks/pricing/</t>
        </is>
      </c>
      <c r="H82" t="inlineStr">
        <is>
          <t>p5.48xlarge|US East (N. Virginia)|$31.464 USD ($3.933 USD)|8</t>
        </is>
      </c>
    </row>
    <row r="83">
      <c r="A83" t="inlineStr">
        <is>
          <t>AWS Capacity Blocks</t>
        </is>
      </c>
      <c r="B83" t="inlineStr">
        <is>
          <t>H100</t>
        </is>
      </c>
      <c r="C83" s="3" t="n">
        <v>46062</v>
      </c>
      <c r="D83" s="4" t="n">
        <v>3.933</v>
      </c>
      <c r="E83" t="inlineStr">
        <is>
          <t>EC2 Capacity Block effective rate per accelerator-hr (reported)</t>
        </is>
      </c>
      <c r="F83" t="inlineStr">
        <is>
          <t>Reported</t>
        </is>
      </c>
      <c r="G83" t="inlineStr">
        <is>
          <t>https://web.archive.org/web/20260209223955/https://aws.amazon.com/ec2/capacityblocks/pricing/</t>
        </is>
      </c>
      <c r="H83" t="inlineStr">
        <is>
          <t>p5.48xlarge|US East (N. Virginia)|$31.464 USD ($3.933 USD)|8</t>
        </is>
      </c>
    </row>
    <row r="84">
      <c r="A84" t="inlineStr">
        <is>
          <t>AWS Capacity Blocks</t>
        </is>
      </c>
      <c r="B84" t="inlineStr">
        <is>
          <t>H100</t>
        </is>
      </c>
      <c r="C84" s="3" t="n">
        <v>46112</v>
      </c>
      <c r="D84" s="4" t="n">
        <v>3.933</v>
      </c>
      <c r="E84" t="inlineStr">
        <is>
          <t>EC2 Capacity Block effective rate per accelerator-hr (reported)</t>
        </is>
      </c>
      <c r="F84" t="inlineStr">
        <is>
          <t>Reported</t>
        </is>
      </c>
      <c r="G84" t="inlineStr">
        <is>
          <t>https://web.archive.org/web/20260331164533/https://aws.amazon.com/ec2/capacityblocks/pricing/</t>
        </is>
      </c>
      <c r="H84" t="inlineStr">
        <is>
          <t>p5.48xlarge|US East (N. Virginia)|$31.464 USD ($3.933 USD)|8</t>
        </is>
      </c>
    </row>
    <row r="85">
      <c r="A85" t="inlineStr">
        <is>
          <t>AWS Capacity Blocks</t>
        </is>
      </c>
      <c r="B85" t="inlineStr">
        <is>
          <t>H100</t>
        </is>
      </c>
      <c r="C85" s="3" t="n">
        <v>46127</v>
      </c>
      <c r="D85" s="4" t="n">
        <v>4.326</v>
      </c>
      <c r="E85" t="inlineStr">
        <is>
          <t>EC2 Capacity Block effective rate per accelerator-hr (reported)</t>
        </is>
      </c>
      <c r="F85" t="inlineStr">
        <is>
          <t>Reported</t>
        </is>
      </c>
      <c r="G85" t="inlineStr">
        <is>
          <t>https://web.archive.org/web/20260415185126/https://aws.amazon.com/ec2/capacityblocks/pricing/</t>
        </is>
      </c>
      <c r="H85" t="inlineStr">
        <is>
          <t>p5.48xlarge|US East (N. Virginia)|$34.608 USD ($4.326 USD)|8</t>
        </is>
      </c>
    </row>
    <row r="86">
      <c r="A86" t="inlineStr">
        <is>
          <t>AWS Capacity Blocks</t>
        </is>
      </c>
      <c r="B86" t="inlineStr">
        <is>
          <t>H100</t>
        </is>
      </c>
      <c r="C86" s="3" t="n">
        <v>46157</v>
      </c>
      <c r="D86" s="4" t="n">
        <v>4.326</v>
      </c>
      <c r="E86" t="inlineStr">
        <is>
          <t>EC2 Capacity Block effective rate per accelerator-hr (reported)</t>
        </is>
      </c>
      <c r="F86" t="inlineStr">
        <is>
          <t>Reported</t>
        </is>
      </c>
      <c r="G86" t="inlineStr">
        <is>
          <t>https://web.archive.org/web/20260515000834/https://aws.amazon.com/ec2/capacityblocks/pricing/</t>
        </is>
      </c>
      <c r="H86" t="inlineStr">
        <is>
          <t>p5.48xlarge|US East (N. Virginia)|$34.608 USD ($4.326 USD)|8</t>
        </is>
      </c>
    </row>
    <row r="87">
      <c r="A87" t="inlineStr">
        <is>
          <t>AWS Capacity Blocks</t>
        </is>
      </c>
      <c r="B87" t="inlineStr">
        <is>
          <t>H100</t>
        </is>
      </c>
      <c r="C87" s="3" t="n">
        <v>46184</v>
      </c>
      <c r="D87" s="4" t="n">
        <v>4.326</v>
      </c>
      <c r="E87" t="inlineStr">
        <is>
          <t>EC2 Capacity Block effective rate per accelerator-hr (reported)</t>
        </is>
      </c>
      <c r="F87" t="inlineStr">
        <is>
          <t>Reported</t>
        </is>
      </c>
      <c r="G87" t="inlineStr">
        <is>
          <t>https://web.archive.org/web/20260611145518/https://aws.amazon.com/ec2/capacityblocks/pricing/</t>
        </is>
      </c>
      <c r="H87" t="inlineStr">
        <is>
          <t>p5.48xlarge|US East (N. Virginia)|$34.608 USD ($4.326 USD)|8</t>
        </is>
      </c>
    </row>
    <row r="88">
      <c r="A88" t="inlineStr">
        <is>
          <t>AWS Capacity Blocks</t>
        </is>
      </c>
      <c r="B88" t="inlineStr">
        <is>
          <t>H100</t>
        </is>
      </c>
      <c r="C88" s="3" t="n">
        <v>46207</v>
      </c>
      <c r="D88" s="4" t="n">
        <v>4.326</v>
      </c>
      <c r="E88" t="inlineStr">
        <is>
          <t>EC2 Capacity Block effective rate per accelerator-hr (reported)</t>
        </is>
      </c>
      <c r="F88" t="inlineStr">
        <is>
          <t>Reported</t>
        </is>
      </c>
      <c r="G88" t="inlineStr">
        <is>
          <t>https://web.archive.org/web/20260704092824/https://aws.amazon.com/ec2/capacityblocks/pricing/</t>
        </is>
      </c>
      <c r="H88" t="inlineStr">
        <is>
          <t>p5.48xlarge|US East (N. Virginia)|$34.608 USD ($4.326 USD)|8</t>
        </is>
      </c>
    </row>
    <row r="89">
      <c r="A89" t="inlineStr">
        <is>
          <t>AWS Capacity Blocks</t>
        </is>
      </c>
      <c r="B89" t="inlineStr">
        <is>
          <t>H100</t>
        </is>
      </c>
      <c r="C89" s="3" t="n">
        <v>46259</v>
      </c>
      <c r="D89" s="4" t="n">
        <v>5.191</v>
      </c>
      <c r="E89" t="inlineStr">
        <is>
          <t>EC2 Capacity Block effective rate per accelerator-hr (reported)</t>
        </is>
      </c>
      <c r="F89" t="inlineStr">
        <is>
          <t>Reported</t>
        </is>
      </c>
      <c r="G89" t="inlineStr">
        <is>
          <t>https://web.archive.org/web/20260825162005/https://aws.amazon.com/ec2/capacityblocks/pricing/</t>
        </is>
      </c>
      <c r="H89" t="inlineStr">
        <is>
          <t>p5.48xlarge|US East (N. Virginia)|$41.528 USD ($5.191 USD)|8</t>
        </is>
      </c>
    </row>
    <row r="90">
      <c r="A90" t="inlineStr">
        <is>
          <t>AWS Capacity Blocks</t>
        </is>
      </c>
      <c r="B90" t="inlineStr">
        <is>
          <t>H100</t>
        </is>
      </c>
      <c r="C90" s="3" t="n">
        <v>46292</v>
      </c>
      <c r="D90" s="4" t="n">
        <v>5.191</v>
      </c>
      <c r="E90" t="inlineStr">
        <is>
          <t>EC2 Capacity Block effective rate per accelerator-hr (reported)</t>
        </is>
      </c>
      <c r="F90" t="inlineStr">
        <is>
          <t>Reported</t>
        </is>
      </c>
      <c r="G90" t="inlineStr">
        <is>
          <t>https://web.archive.org/web/20260927111505/https://aws.amazon.com/ec2/capacityblocks/pricing/</t>
        </is>
      </c>
      <c r="H90" t="inlineStr">
        <is>
          <t>p5.48xlarge|US East (N. Virginia)|$41.528 USD ($5.191 USD)|8</t>
        </is>
      </c>
    </row>
    <row r="91">
      <c r="A91" t="inlineStr">
        <is>
          <t>AWS Capacity Blocks</t>
        </is>
      </c>
      <c r="B91" t="inlineStr">
        <is>
          <t>H100</t>
        </is>
      </c>
      <c r="C91" s="3" t="n">
        <v>46296</v>
      </c>
      <c r="D91" s="4" t="n">
        <v>5.191</v>
      </c>
      <c r="E91" t="inlineStr">
        <is>
          <t>EC2 Capacity Block effective rate per accelerator-hr (reported)</t>
        </is>
      </c>
      <c r="F91" t="inlineStr">
        <is>
          <t>Reported</t>
        </is>
      </c>
      <c r="G91" t="inlineStr">
        <is>
          <t>https://web.archive.org/web/20261001113914/https://aws.amazon.com/ec2/capacityblocks/pricing/</t>
        </is>
      </c>
      <c r="H91" t="inlineStr">
        <is>
          <t>p5.48xlarge|US East (N. Virginia)|$41.528 USD ($5.191 USD)|8</t>
        </is>
      </c>
    </row>
    <row r="92">
      <c r="A92" t="inlineStr">
        <is>
          <t>AWS Capacity Blocks</t>
        </is>
      </c>
      <c r="B92" t="inlineStr">
        <is>
          <t>H200</t>
        </is>
      </c>
      <c r="C92" s="3" t="n">
        <v>45566</v>
      </c>
      <c r="D92" s="4" t="n">
        <v>5.408</v>
      </c>
      <c r="E92" t="inlineStr">
        <is>
          <t>EC2 Capacity Block effective rate per accelerator-hr (reported)</t>
        </is>
      </c>
      <c r="F92" t="inlineStr">
        <is>
          <t>Reported</t>
        </is>
      </c>
      <c r="G92" t="inlineStr">
        <is>
          <t>https://web.archive.org/web/20241001024735/https://aws.amazon.com/ec2/capacityblocks/pricing/</t>
        </is>
      </c>
      <c r="H92" t="inlineStr">
        <is>
          <t>p5e.48xlarge|US East (Ohio)|$43.26 USD|$5.408</t>
        </is>
      </c>
    </row>
    <row r="93">
      <c r="A93" t="inlineStr">
        <is>
          <t>AWS Capacity Blocks</t>
        </is>
      </c>
      <c r="B93" t="inlineStr">
        <is>
          <t>H200</t>
        </is>
      </c>
      <c r="C93" s="3" t="n">
        <v>45621</v>
      </c>
      <c r="D93" s="4" t="n">
        <v>5.408</v>
      </c>
      <c r="E93" t="inlineStr">
        <is>
          <t>EC2 Capacity Block effective rate per accelerator-hr (reported)</t>
        </is>
      </c>
      <c r="F93" t="inlineStr">
        <is>
          <t>Reported</t>
        </is>
      </c>
      <c r="G93" t="inlineStr">
        <is>
          <t>https://web.archive.org/web/20241125121745/https://aws.amazon.com/ec2/capacityblocks/pricing/</t>
        </is>
      </c>
      <c r="H93" t="inlineStr">
        <is>
          <t>p5e.48xlarge|US East (Ohio)|$43.26 USD|$5.408</t>
        </is>
      </c>
    </row>
    <row r="94">
      <c r="A94" t="inlineStr">
        <is>
          <t>AWS Capacity Blocks</t>
        </is>
      </c>
      <c r="B94" t="inlineStr">
        <is>
          <t>H200</t>
        </is>
      </c>
      <c r="C94" s="3" t="n">
        <v>45631</v>
      </c>
      <c r="D94" s="4" t="n">
        <v>5.408</v>
      </c>
      <c r="E94" t="inlineStr">
        <is>
          <t>EC2 Capacity Block effective rate per accelerator-hr (reported)</t>
        </is>
      </c>
      <c r="F94" t="inlineStr">
        <is>
          <t>Reported</t>
        </is>
      </c>
      <c r="G94" t="inlineStr">
        <is>
          <t>https://web.archive.org/web/20241205143555/https://aws.amazon.com/ec2/capacityblocks/pricing/</t>
        </is>
      </c>
      <c r="H94" t="inlineStr">
        <is>
          <t>p5e.48xlarge|US East (Ohio)|$43.26 USD ($5.408 USD)|8</t>
        </is>
      </c>
    </row>
    <row r="95">
      <c r="A95" t="inlineStr">
        <is>
          <t>AWS Capacity Blocks</t>
        </is>
      </c>
      <c r="B95" t="inlineStr">
        <is>
          <t>H200</t>
        </is>
      </c>
      <c r="C95" s="3" t="n">
        <v>45669</v>
      </c>
      <c r="D95" s="4" t="n">
        <v>5.408</v>
      </c>
      <c r="E95" t="inlineStr">
        <is>
          <t>EC2 Capacity Block effective rate per accelerator-hr (reported)</t>
        </is>
      </c>
      <c r="F95" t="inlineStr">
        <is>
          <t>Reported</t>
        </is>
      </c>
      <c r="G95" t="inlineStr">
        <is>
          <t>https://web.archive.org/web/20250112155010/https://aws.amazon.com/ec2/capacityblocks/pricing/</t>
        </is>
      </c>
      <c r="H95" t="inlineStr">
        <is>
          <t>p5e.48xlarge|US East (Ohio)|$43.26 USD ($5.408 USD)|8</t>
        </is>
      </c>
    </row>
    <row r="96">
      <c r="A96" t="inlineStr">
        <is>
          <t>AWS Capacity Blocks</t>
        </is>
      </c>
      <c r="B96" t="inlineStr">
        <is>
          <t>H200</t>
        </is>
      </c>
      <c r="C96" s="3" t="n">
        <v>45690</v>
      </c>
      <c r="D96" s="4" t="n">
        <v>5.408</v>
      </c>
      <c r="E96" t="inlineStr">
        <is>
          <t>EC2 Capacity Block effective rate per accelerator-hr (reported)</t>
        </is>
      </c>
      <c r="F96" t="inlineStr">
        <is>
          <t>Reported</t>
        </is>
      </c>
      <c r="G96" t="inlineStr">
        <is>
          <t>https://web.archive.org/web/20250202112243/https://aws.amazon.com/ec2/capacityblocks/pricing/</t>
        </is>
      </c>
      <c r="H96" t="inlineStr">
        <is>
          <t>p5e.48xlarge|US East (Ohio)|$43.26 USD ($5.408 USD)|8</t>
        </is>
      </c>
    </row>
    <row r="97">
      <c r="A97" t="inlineStr">
        <is>
          <t>AWS Capacity Blocks</t>
        </is>
      </c>
      <c r="B97" t="inlineStr">
        <is>
          <t>H200</t>
        </is>
      </c>
      <c r="C97" s="3" t="n">
        <v>45724</v>
      </c>
      <c r="D97" s="4" t="n">
        <v>4.326</v>
      </c>
      <c r="E97" t="inlineStr">
        <is>
          <t>EC2 Capacity Block effective rate per accelerator-hr (reported)</t>
        </is>
      </c>
      <c r="F97" t="inlineStr">
        <is>
          <t>Reported</t>
        </is>
      </c>
      <c r="G97" t="inlineStr">
        <is>
          <t>https://web.archive.org/web/20250308091133/https://aws.amazon.com/ec2/capacityblocks/pricing/</t>
        </is>
      </c>
      <c r="H97" t="inlineStr">
        <is>
          <t>p5e.48xlarge|US East (Ohio)|$34.608 USD ($4.326 USD)|8</t>
        </is>
      </c>
    </row>
    <row r="98">
      <c r="A98" t="inlineStr">
        <is>
          <t>AWS Capacity Blocks</t>
        </is>
      </c>
      <c r="B98" t="inlineStr">
        <is>
          <t>H200</t>
        </is>
      </c>
      <c r="C98" s="3" t="n">
        <v>45748</v>
      </c>
      <c r="D98" s="4" t="n">
        <v>4.326</v>
      </c>
      <c r="E98" t="inlineStr">
        <is>
          <t>EC2 Capacity Block effective rate per accelerator-hr (reported)</t>
        </is>
      </c>
      <c r="F98" t="inlineStr">
        <is>
          <t>Reported</t>
        </is>
      </c>
      <c r="G98" t="inlineStr">
        <is>
          <t>https://web.archive.org/web/20250401074341/https://aws.amazon.com/ec2/capacityblocks/pricing/</t>
        </is>
      </c>
      <c r="H98" t="inlineStr">
        <is>
          <t>p5e.48xlarge|US East (Ohio)|$34.608 USD ($4.326 USD)|8</t>
        </is>
      </c>
    </row>
    <row r="99">
      <c r="A99" t="inlineStr">
        <is>
          <t>AWS Capacity Blocks</t>
        </is>
      </c>
      <c r="B99" t="inlineStr">
        <is>
          <t>H200</t>
        </is>
      </c>
      <c r="C99" s="3" t="n">
        <v>45799</v>
      </c>
      <c r="D99" s="4" t="n">
        <v>4.326</v>
      </c>
      <c r="E99" t="inlineStr">
        <is>
          <t>EC2 Capacity Block effective rate per accelerator-hr (reported)</t>
        </is>
      </c>
      <c r="F99" t="inlineStr">
        <is>
          <t>Reported</t>
        </is>
      </c>
      <c r="G99" t="inlineStr">
        <is>
          <t>https://web.archive.org/web/20250522053627/https://aws.amazon.com/ec2/capacityblocks/pricing/</t>
        </is>
      </c>
      <c r="H99" t="inlineStr">
        <is>
          <t>p5e.48xlarge|US East (Ohio)|$34.608 USD ($4.326 USD)|8</t>
        </is>
      </c>
    </row>
    <row r="100">
      <c r="A100" t="inlineStr">
        <is>
          <t>AWS Capacity Blocks</t>
        </is>
      </c>
      <c r="B100" t="inlineStr">
        <is>
          <t>H200</t>
        </is>
      </c>
      <c r="C100" s="3" t="n">
        <v>45817</v>
      </c>
      <c r="D100" s="4" t="n">
        <v>4.326</v>
      </c>
      <c r="E100" t="inlineStr">
        <is>
          <t>EC2 Capacity Block effective rate per accelerator-hr (reported)</t>
        </is>
      </c>
      <c r="F100" t="inlineStr">
        <is>
          <t>Reported</t>
        </is>
      </c>
      <c r="G100" t="inlineStr">
        <is>
          <t>https://web.archive.org/web/20250609034829/https://aws.amazon.com/ec2/capacityblocks/pricing/</t>
        </is>
      </c>
      <c r="H100" t="inlineStr">
        <is>
          <t>p5e.48xlarge|US East (Ohio)|$34.608 USD ($4.326 USD)|8</t>
        </is>
      </c>
    </row>
    <row r="101">
      <c r="A101" t="inlineStr">
        <is>
          <t>AWS Capacity Blocks</t>
        </is>
      </c>
      <c r="B101" t="inlineStr">
        <is>
          <t>H200</t>
        </is>
      </c>
      <c r="C101" s="3" t="n">
        <v>45874</v>
      </c>
      <c r="D101" s="4" t="n">
        <v>4.326</v>
      </c>
      <c r="E101" t="inlineStr">
        <is>
          <t>EC2 Capacity Block effective rate per accelerator-hr (reported)</t>
        </is>
      </c>
      <c r="F101" t="inlineStr">
        <is>
          <t>Reported</t>
        </is>
      </c>
      <c r="G101" t="inlineStr">
        <is>
          <t>https://web.archive.org/web/20250805162642/https://aws.amazon.com/ec2/capacityblocks/pricing/</t>
        </is>
      </c>
      <c r="H101" t="inlineStr">
        <is>
          <t>p5e.48xlarge|US East (Ohio)|$34.608 USD ($4.326 USD)|8</t>
        </is>
      </c>
    </row>
    <row r="102">
      <c r="A102" t="inlineStr">
        <is>
          <t>AWS Capacity Blocks</t>
        </is>
      </c>
      <c r="B102" t="inlineStr">
        <is>
          <t>H200</t>
        </is>
      </c>
      <c r="C102" s="3" t="n">
        <v>45920</v>
      </c>
      <c r="D102" s="4" t="n">
        <v>4.326</v>
      </c>
      <c r="E102" t="inlineStr">
        <is>
          <t>EC2 Capacity Block effective rate per accelerator-hr (reported)</t>
        </is>
      </c>
      <c r="F102" t="inlineStr">
        <is>
          <t>Reported</t>
        </is>
      </c>
      <c r="G102" t="inlineStr">
        <is>
          <t>https://web.archive.org/web/20250920043819/https://aws.amazon.com/ec2/capacityblocks/pricing/</t>
        </is>
      </c>
      <c r="H102" t="inlineStr">
        <is>
          <t>p5e.48xlarge|US East (Ohio)|$34.608 USD ($4.326 USD)|8</t>
        </is>
      </c>
    </row>
    <row r="103">
      <c r="A103" t="inlineStr">
        <is>
          <t>AWS Capacity Blocks</t>
        </is>
      </c>
      <c r="B103" t="inlineStr">
        <is>
          <t>H200</t>
        </is>
      </c>
      <c r="C103" s="3" t="n">
        <v>45947</v>
      </c>
      <c r="D103" s="4" t="n">
        <v>4.326</v>
      </c>
      <c r="E103" t="inlineStr">
        <is>
          <t>EC2 Capacity Block effective rate per accelerator-hr (reported)</t>
        </is>
      </c>
      <c r="F103" t="inlineStr">
        <is>
          <t>Reported</t>
        </is>
      </c>
      <c r="G103" t="inlineStr">
        <is>
          <t>https://web.archive.org/web/20251017060707/https://aws.amazon.com/ec2/capacityblocks/pricing/</t>
        </is>
      </c>
      <c r="H103" t="inlineStr">
        <is>
          <t>p5e.48xlarge|US East (Ohio)|$34.608 USD ($4.326 USD)|8</t>
        </is>
      </c>
    </row>
    <row r="104">
      <c r="A104" t="inlineStr">
        <is>
          <t>AWS Capacity Blocks</t>
        </is>
      </c>
      <c r="B104" t="inlineStr">
        <is>
          <t>H200</t>
        </is>
      </c>
      <c r="C104" s="3" t="n">
        <v>46015</v>
      </c>
      <c r="D104" s="4" t="n">
        <v>4.326</v>
      </c>
      <c r="E104" t="inlineStr">
        <is>
          <t>EC2 Capacity Block effective rate per accelerator-hr (reported)</t>
        </is>
      </c>
      <c r="F104" t="inlineStr">
        <is>
          <t>Reported</t>
        </is>
      </c>
      <c r="G104" t="inlineStr">
        <is>
          <t>https://web.archive.org/web/20251224105824/https://aws.amazon.com/ec2/capacityblocks/pricing/</t>
        </is>
      </c>
      <c r="H104" t="inlineStr">
        <is>
          <t>p5e.48xlarge|US East (Ohio)|$34.608 USD ($4.326 USD)|8</t>
        </is>
      </c>
    </row>
    <row r="105">
      <c r="A105" t="inlineStr">
        <is>
          <t>AWS Capacity Blocks</t>
        </is>
      </c>
      <c r="B105" t="inlineStr">
        <is>
          <t>H200</t>
        </is>
      </c>
      <c r="C105" s="3" t="n">
        <v>46025</v>
      </c>
      <c r="D105" s="4" t="n">
        <v>4.975</v>
      </c>
      <c r="E105" t="inlineStr">
        <is>
          <t>EC2 Capacity Block effective rate per accelerator-hr (reported)</t>
        </is>
      </c>
      <c r="F105" t="inlineStr">
        <is>
          <t>Reported</t>
        </is>
      </c>
      <c r="G105" t="inlineStr">
        <is>
          <t>https://web.archive.org/web/20260103105349/https://aws.amazon.com/ec2/capacityblocks/pricing/</t>
        </is>
      </c>
      <c r="H105" t="inlineStr">
        <is>
          <t>p5e.48xlarge|US East (Ohio)|$39.799 USD ($4.975 USD)|8</t>
        </is>
      </c>
    </row>
    <row r="106">
      <c r="A106" t="inlineStr">
        <is>
          <t>AWS Capacity Blocks</t>
        </is>
      </c>
      <c r="B106" t="inlineStr">
        <is>
          <t>H200</t>
        </is>
      </c>
      <c r="C106" s="3" t="n">
        <v>46062</v>
      </c>
      <c r="D106" s="4" t="n">
        <v>4.975</v>
      </c>
      <c r="E106" t="inlineStr">
        <is>
          <t>EC2 Capacity Block effective rate per accelerator-hr (reported)</t>
        </is>
      </c>
      <c r="F106" t="inlineStr">
        <is>
          <t>Reported</t>
        </is>
      </c>
      <c r="G106" t="inlineStr">
        <is>
          <t>https://web.archive.org/web/20260209223955/https://aws.amazon.com/ec2/capacityblocks/pricing/</t>
        </is>
      </c>
      <c r="H106" t="inlineStr">
        <is>
          <t>p5e.48xlarge|US East (Ohio)|$39.799 USD ($4.975 USD)|8</t>
        </is>
      </c>
    </row>
    <row r="107">
      <c r="A107" t="inlineStr">
        <is>
          <t>AWS Capacity Blocks</t>
        </is>
      </c>
      <c r="B107" t="inlineStr">
        <is>
          <t>H200</t>
        </is>
      </c>
      <c r="C107" s="3" t="n">
        <v>46112</v>
      </c>
      <c r="D107" s="4" t="n">
        <v>4.975</v>
      </c>
      <c r="E107" t="inlineStr">
        <is>
          <t>EC2 Capacity Block effective rate per accelerator-hr (reported)</t>
        </is>
      </c>
      <c r="F107" t="inlineStr">
        <is>
          <t>Reported</t>
        </is>
      </c>
      <c r="G107" t="inlineStr">
        <is>
          <t>https://web.archive.org/web/20260331164533/https://aws.amazon.com/ec2/capacityblocks/pricing/</t>
        </is>
      </c>
      <c r="H107" t="inlineStr">
        <is>
          <t>p5e.48xlarge|US East (Ohio)|$39.799 USD ($4.975 USD)|8</t>
        </is>
      </c>
    </row>
    <row r="108">
      <c r="A108" t="inlineStr">
        <is>
          <t>AWS Capacity Blocks</t>
        </is>
      </c>
      <c r="B108" t="inlineStr">
        <is>
          <t>H200</t>
        </is>
      </c>
      <c r="C108" s="3" t="n">
        <v>46127</v>
      </c>
      <c r="D108" s="4" t="n">
        <v>4.975</v>
      </c>
      <c r="E108" t="inlineStr">
        <is>
          <t>EC2 Capacity Block effective rate per accelerator-hr (reported)</t>
        </is>
      </c>
      <c r="F108" t="inlineStr">
        <is>
          <t>Reported</t>
        </is>
      </c>
      <c r="G108" t="inlineStr">
        <is>
          <t>https://web.archive.org/web/20260415185126/https://aws.amazon.com/ec2/capacityblocks/pricing/</t>
        </is>
      </c>
      <c r="H108" t="inlineStr">
        <is>
          <t>p5e.48xlarge|US East (Ohio)|$39.799 USD ($4.975 USD)|8</t>
        </is>
      </c>
    </row>
    <row r="109">
      <c r="A109" t="inlineStr">
        <is>
          <t>AWS Capacity Blocks</t>
        </is>
      </c>
      <c r="B109" t="inlineStr">
        <is>
          <t>H200</t>
        </is>
      </c>
      <c r="C109" s="3" t="n">
        <v>46157</v>
      </c>
      <c r="D109" s="4" t="n">
        <v>4.975</v>
      </c>
      <c r="E109" t="inlineStr">
        <is>
          <t>EC2 Capacity Block effective rate per accelerator-hr (reported)</t>
        </is>
      </c>
      <c r="F109" t="inlineStr">
        <is>
          <t>Reported</t>
        </is>
      </c>
      <c r="G109" t="inlineStr">
        <is>
          <t>https://web.archive.org/web/20260515000834/https://aws.amazon.com/ec2/capacityblocks/pricing/</t>
        </is>
      </c>
      <c r="H109" t="inlineStr">
        <is>
          <t>p5e.48xlarge|US East (Ohio)|$39.799 USD ($4.975 USD)|8</t>
        </is>
      </c>
    </row>
    <row r="110">
      <c r="A110" t="inlineStr">
        <is>
          <t>AWS Capacity Blocks</t>
        </is>
      </c>
      <c r="B110" t="inlineStr">
        <is>
          <t>H200</t>
        </is>
      </c>
      <c r="C110" s="3" t="n">
        <v>46184</v>
      </c>
      <c r="D110" s="4" t="n">
        <v>4.975</v>
      </c>
      <c r="E110" t="inlineStr">
        <is>
          <t>EC2 Capacity Block effective rate per accelerator-hr (reported)</t>
        </is>
      </c>
      <c r="F110" t="inlineStr">
        <is>
          <t>Reported</t>
        </is>
      </c>
      <c r="G110" t="inlineStr">
        <is>
          <t>https://web.archive.org/web/20260611145518/https://aws.amazon.com/ec2/capacityblocks/pricing/</t>
        </is>
      </c>
      <c r="H110" t="inlineStr">
        <is>
          <t>p5e.48xlarge|US East (Ohio)|$39.799 USD ($4.975 USD)|8</t>
        </is>
      </c>
    </row>
    <row r="111">
      <c r="A111" t="inlineStr">
        <is>
          <t>AWS Capacity Blocks</t>
        </is>
      </c>
      <c r="B111" t="inlineStr">
        <is>
          <t>H200</t>
        </is>
      </c>
      <c r="C111" s="3" t="n">
        <v>46207</v>
      </c>
      <c r="D111" s="4" t="n">
        <v>4.975</v>
      </c>
      <c r="E111" t="inlineStr">
        <is>
          <t>EC2 Capacity Block effective rate per accelerator-hr (reported)</t>
        </is>
      </c>
      <c r="F111" t="inlineStr">
        <is>
          <t>Reported</t>
        </is>
      </c>
      <c r="G111" t="inlineStr">
        <is>
          <t>https://web.archive.org/web/20260704092824/https://aws.amazon.com/ec2/capacityblocks/pricing/</t>
        </is>
      </c>
      <c r="H111" t="inlineStr">
        <is>
          <t>p5e.48xlarge|US East (Ohio)|$39.799 USD ($4.975 USD)|8</t>
        </is>
      </c>
    </row>
    <row r="112">
      <c r="A112" t="inlineStr">
        <is>
          <t>AWS Capacity Blocks</t>
        </is>
      </c>
      <c r="B112" t="inlineStr">
        <is>
          <t>H200</t>
        </is>
      </c>
      <c r="C112" s="3" t="n">
        <v>46259</v>
      </c>
      <c r="D112" s="4" t="n">
        <v>5.97</v>
      </c>
      <c r="E112" t="inlineStr">
        <is>
          <t>EC2 Capacity Block effective rate per accelerator-hr (reported)</t>
        </is>
      </c>
      <c r="F112" t="inlineStr">
        <is>
          <t>Reported</t>
        </is>
      </c>
      <c r="G112" t="inlineStr">
        <is>
          <t>https://web.archive.org/web/20260825162005/https://aws.amazon.com/ec2/capacityblocks/pricing/</t>
        </is>
      </c>
      <c r="H112" t="inlineStr">
        <is>
          <t>p5e.48xlarge|US East (Ohio)|$47.76 USD ($5.97 USD)|8</t>
        </is>
      </c>
    </row>
    <row r="113">
      <c r="A113" t="inlineStr">
        <is>
          <t>AWS Capacity Blocks</t>
        </is>
      </c>
      <c r="B113" t="inlineStr">
        <is>
          <t>H200</t>
        </is>
      </c>
      <c r="C113" s="3" t="n">
        <v>46292</v>
      </c>
      <c r="D113" s="4" t="n">
        <v>5.97</v>
      </c>
      <c r="E113" t="inlineStr">
        <is>
          <t>EC2 Capacity Block effective rate per accelerator-hr (reported)</t>
        </is>
      </c>
      <c r="F113" t="inlineStr">
        <is>
          <t>Reported</t>
        </is>
      </c>
      <c r="G113" t="inlineStr">
        <is>
          <t>https://web.archive.org/web/20260927111505/https://aws.amazon.com/ec2/capacityblocks/pricing/</t>
        </is>
      </c>
      <c r="H113" t="inlineStr">
        <is>
          <t>p5e.48xlarge|US East (Ohio)|$47.76 USD ($5.97 USD)|8</t>
        </is>
      </c>
    </row>
    <row r="114">
      <c r="A114" t="inlineStr">
        <is>
          <t>AWS Capacity Blocks</t>
        </is>
      </c>
      <c r="B114" t="inlineStr">
        <is>
          <t>H200</t>
        </is>
      </c>
      <c r="C114" s="3" t="n">
        <v>46296</v>
      </c>
      <c r="D114" s="4" t="n">
        <v>5.97</v>
      </c>
      <c r="E114" t="inlineStr">
        <is>
          <t>EC2 Capacity Block effective rate per accelerator-hr (reported)</t>
        </is>
      </c>
      <c r="F114" t="inlineStr">
        <is>
          <t>Reported</t>
        </is>
      </c>
      <c r="G114" t="inlineStr">
        <is>
          <t>https://web.archive.org/web/20261001113914/https://aws.amazon.com/ec2/capacityblocks/pricing/</t>
        </is>
      </c>
      <c r="H114" t="inlineStr">
        <is>
          <t>p5e.48xlarge|US East (Ohio)|$47.76 USD ($5.97 USD)|8</t>
        </is>
      </c>
    </row>
    <row r="115">
      <c r="A115" t="inlineStr">
        <is>
          <t>AWS Capacity Blocks</t>
        </is>
      </c>
      <c r="B115" t="inlineStr">
        <is>
          <t>H200 (p5en)</t>
        </is>
      </c>
      <c r="C115" s="3" t="n">
        <v>45724</v>
      </c>
      <c r="D115" s="4" t="n">
        <v>4.523</v>
      </c>
      <c r="E115" t="inlineStr">
        <is>
          <t>EC2 Capacity Block effective rate per accelerator-hr (reported)</t>
        </is>
      </c>
      <c r="F115" t="inlineStr">
        <is>
          <t>Reported</t>
        </is>
      </c>
      <c r="G115" t="inlineStr">
        <is>
          <t>https://web.archive.org/web/20250308091133/https://aws.amazon.com/ec2/capacityblocks/pricing/</t>
        </is>
      </c>
      <c r="H115" t="inlineStr">
        <is>
          <t>p5en.48xlarge|US East (N. Virginia)|$36.184 USD ($4.523 USD)|8</t>
        </is>
      </c>
    </row>
    <row r="116">
      <c r="A116" t="inlineStr">
        <is>
          <t>AWS Capacity Blocks</t>
        </is>
      </c>
      <c r="B116" t="inlineStr">
        <is>
          <t>H200 (p5en)</t>
        </is>
      </c>
      <c r="C116" s="3" t="n">
        <v>45748</v>
      </c>
      <c r="D116" s="4" t="n">
        <v>4.523</v>
      </c>
      <c r="E116" t="inlineStr">
        <is>
          <t>EC2 Capacity Block effective rate per accelerator-hr (reported)</t>
        </is>
      </c>
      <c r="F116" t="inlineStr">
        <is>
          <t>Reported</t>
        </is>
      </c>
      <c r="G116" t="inlineStr">
        <is>
          <t>https://web.archive.org/web/20250401074341/https://aws.amazon.com/ec2/capacityblocks/pricing/</t>
        </is>
      </c>
      <c r="H116" t="inlineStr">
        <is>
          <t>p5en.48xlarge|US East (N. Virginia)|$36.184 USD ($4.523 USD)|8</t>
        </is>
      </c>
    </row>
    <row r="117">
      <c r="A117" t="inlineStr">
        <is>
          <t>AWS Capacity Blocks</t>
        </is>
      </c>
      <c r="B117" t="inlineStr">
        <is>
          <t>H200 (p5en)</t>
        </is>
      </c>
      <c r="C117" s="3" t="n">
        <v>45799</v>
      </c>
      <c r="D117" s="4" t="n">
        <v>4.523</v>
      </c>
      <c r="E117" t="inlineStr">
        <is>
          <t>EC2 Capacity Block effective rate per accelerator-hr (reported)</t>
        </is>
      </c>
      <c r="F117" t="inlineStr">
        <is>
          <t>Reported</t>
        </is>
      </c>
      <c r="G117" t="inlineStr">
        <is>
          <t>https://web.archive.org/web/20250522053627/https://aws.amazon.com/ec2/capacityblocks/pricing/</t>
        </is>
      </c>
      <c r="H117" t="inlineStr">
        <is>
          <t>p5en.48xlarge|US East (N. Virginia)|$36.184 USD ($4.523 USD)|8</t>
        </is>
      </c>
    </row>
    <row r="118">
      <c r="A118" t="inlineStr">
        <is>
          <t>AWS Capacity Blocks</t>
        </is>
      </c>
      <c r="B118" t="inlineStr">
        <is>
          <t>H200 (p5en)</t>
        </is>
      </c>
      <c r="C118" s="3" t="n">
        <v>45817</v>
      </c>
      <c r="D118" s="4" t="n">
        <v>4.523</v>
      </c>
      <c r="E118" t="inlineStr">
        <is>
          <t>EC2 Capacity Block effective rate per accelerator-hr (reported)</t>
        </is>
      </c>
      <c r="F118" t="inlineStr">
        <is>
          <t>Reported</t>
        </is>
      </c>
      <c r="G118" t="inlineStr">
        <is>
          <t>https://web.archive.org/web/20250609034829/https://aws.amazon.com/ec2/capacityblocks/pricing/</t>
        </is>
      </c>
      <c r="H118" t="inlineStr">
        <is>
          <t>p5en.48xlarge|US East (N. Virginia)|$36.184 USD ($4.523 USD)|8</t>
        </is>
      </c>
    </row>
    <row r="119">
      <c r="A119" t="inlineStr">
        <is>
          <t>AWS Capacity Blocks</t>
        </is>
      </c>
      <c r="B119" t="inlineStr">
        <is>
          <t>H200 (p5en)</t>
        </is>
      </c>
      <c r="C119" s="3" t="n">
        <v>45874</v>
      </c>
      <c r="D119" s="4" t="n">
        <v>4.523</v>
      </c>
      <c r="E119" t="inlineStr">
        <is>
          <t>EC2 Capacity Block effective rate per accelerator-hr (reported)</t>
        </is>
      </c>
      <c r="F119" t="inlineStr">
        <is>
          <t>Reported</t>
        </is>
      </c>
      <c r="G119" t="inlineStr">
        <is>
          <t>https://web.archive.org/web/20250805162642/https://aws.amazon.com/ec2/capacityblocks/pricing/</t>
        </is>
      </c>
      <c r="H119" t="inlineStr">
        <is>
          <t>p5en.48xlarge|US East (N. Virginia)|$36.184 USD ($4.523 USD)|8</t>
        </is>
      </c>
    </row>
    <row r="120">
      <c r="A120" t="inlineStr">
        <is>
          <t>AWS Capacity Blocks</t>
        </is>
      </c>
      <c r="B120" t="inlineStr">
        <is>
          <t>H200 (p5en)</t>
        </is>
      </c>
      <c r="C120" s="3" t="n">
        <v>45920</v>
      </c>
      <c r="D120" s="4" t="n">
        <v>4.523</v>
      </c>
      <c r="E120" t="inlineStr">
        <is>
          <t>EC2 Capacity Block effective rate per accelerator-hr (reported)</t>
        </is>
      </c>
      <c r="F120" t="inlineStr">
        <is>
          <t>Reported</t>
        </is>
      </c>
      <c r="G120" t="inlineStr">
        <is>
          <t>https://web.archive.org/web/20250920043819/https://aws.amazon.com/ec2/capacityblocks/pricing/</t>
        </is>
      </c>
      <c r="H120" t="inlineStr">
        <is>
          <t>p5en.48xlarge|US East (N. Virginia)|$36.184 USD ($4.523 USD)|8</t>
        </is>
      </c>
    </row>
    <row r="121">
      <c r="A121" t="inlineStr">
        <is>
          <t>AWS Capacity Blocks</t>
        </is>
      </c>
      <c r="B121" t="inlineStr">
        <is>
          <t>H200 (p5en)</t>
        </is>
      </c>
      <c r="C121" s="3" t="n">
        <v>45947</v>
      </c>
      <c r="D121" s="4" t="n">
        <v>4.523</v>
      </c>
      <c r="E121" t="inlineStr">
        <is>
          <t>EC2 Capacity Block effective rate per accelerator-hr (reported)</t>
        </is>
      </c>
      <c r="F121" t="inlineStr">
        <is>
          <t>Reported</t>
        </is>
      </c>
      <c r="G121" t="inlineStr">
        <is>
          <t>https://web.archive.org/web/20251017060707/https://aws.amazon.com/ec2/capacityblocks/pricing/</t>
        </is>
      </c>
      <c r="H121" t="inlineStr">
        <is>
          <t>p5en.48xlarge|US East (N. Virginia)|$36.184 USD ($4.523 USD)|8</t>
        </is>
      </c>
    </row>
    <row r="122">
      <c r="A122" t="inlineStr">
        <is>
          <t>AWS Capacity Blocks</t>
        </is>
      </c>
      <c r="B122" t="inlineStr">
        <is>
          <t>H200 (p5en)</t>
        </is>
      </c>
      <c r="C122" s="3" t="n">
        <v>46015</v>
      </c>
      <c r="D122" s="4" t="n">
        <v>4.523</v>
      </c>
      <c r="E122" t="inlineStr">
        <is>
          <t>EC2 Capacity Block effective rate per accelerator-hr (reported)</t>
        </is>
      </c>
      <c r="F122" t="inlineStr">
        <is>
          <t>Reported</t>
        </is>
      </c>
      <c r="G122" t="inlineStr">
        <is>
          <t>https://web.archive.org/web/20251224105824/https://aws.amazon.com/ec2/capacityblocks/pricing/</t>
        </is>
      </c>
      <c r="H122" t="inlineStr">
        <is>
          <t>p5en.48xlarge|US East (N. Virginia)|$36.184 USD ($4.523 USD)|8</t>
        </is>
      </c>
    </row>
    <row r="123">
      <c r="A123" t="inlineStr">
        <is>
          <t>AWS Capacity Blocks</t>
        </is>
      </c>
      <c r="B123" t="inlineStr">
        <is>
          <t>H200 (p5en)</t>
        </is>
      </c>
      <c r="C123" s="3" t="n">
        <v>46025</v>
      </c>
      <c r="D123" s="4" t="n">
        <v>5.201</v>
      </c>
      <c r="E123" t="inlineStr">
        <is>
          <t>EC2 Capacity Block effective rate per accelerator-hr (reported)</t>
        </is>
      </c>
      <c r="F123" t="inlineStr">
        <is>
          <t>Reported</t>
        </is>
      </c>
      <c r="G123" t="inlineStr">
        <is>
          <t>https://web.archive.org/web/20260103105349/https://aws.amazon.com/ec2/capacityblocks/pricing/</t>
        </is>
      </c>
      <c r="H123" t="inlineStr">
        <is>
          <t>p5en.48xlarge|US East (N. Virginia)|$41.612 USD ($5.201 USD)|8</t>
        </is>
      </c>
    </row>
    <row r="124">
      <c r="A124" t="inlineStr">
        <is>
          <t>AWS Capacity Blocks</t>
        </is>
      </c>
      <c r="B124" t="inlineStr">
        <is>
          <t>H200 (p5en)</t>
        </is>
      </c>
      <c r="C124" s="3" t="n">
        <v>46062</v>
      </c>
      <c r="D124" s="4" t="n">
        <v>5.201</v>
      </c>
      <c r="E124" t="inlineStr">
        <is>
          <t>EC2 Capacity Block effective rate per accelerator-hr (reported)</t>
        </is>
      </c>
      <c r="F124" t="inlineStr">
        <is>
          <t>Reported</t>
        </is>
      </c>
      <c r="G124" t="inlineStr">
        <is>
          <t>https://web.archive.org/web/20260209223955/https://aws.amazon.com/ec2/capacityblocks/pricing/</t>
        </is>
      </c>
      <c r="H124" t="inlineStr">
        <is>
          <t>p5en.48xlarge|US East (N. Virginia)|$41.612 USD ($5.201 USD)|8</t>
        </is>
      </c>
    </row>
    <row r="125">
      <c r="A125" t="inlineStr">
        <is>
          <t>AWS Capacity Blocks</t>
        </is>
      </c>
      <c r="B125" t="inlineStr">
        <is>
          <t>H200 (p5en)</t>
        </is>
      </c>
      <c r="C125" s="3" t="n">
        <v>46112</v>
      </c>
      <c r="D125" s="4" t="n">
        <v>5.201</v>
      </c>
      <c r="E125" t="inlineStr">
        <is>
          <t>EC2 Capacity Block effective rate per accelerator-hr (reported)</t>
        </is>
      </c>
      <c r="F125" t="inlineStr">
        <is>
          <t>Reported</t>
        </is>
      </c>
      <c r="G125" t="inlineStr">
        <is>
          <t>https://web.archive.org/web/20260331164533/https://aws.amazon.com/ec2/capacityblocks/pricing/</t>
        </is>
      </c>
      <c r="H125" t="inlineStr">
        <is>
          <t>p5en.48xlarge|US East (N. Virginia)|$41.612 USD ($5.201 USD)|8</t>
        </is>
      </c>
    </row>
    <row r="126">
      <c r="A126" t="inlineStr">
        <is>
          <t>AWS Capacity Blocks</t>
        </is>
      </c>
      <c r="B126" t="inlineStr">
        <is>
          <t>H200 (p5en)</t>
        </is>
      </c>
      <c r="C126" s="3" t="n">
        <v>46127</v>
      </c>
      <c r="D126" s="4" t="n">
        <v>5.721</v>
      </c>
      <c r="E126" t="inlineStr">
        <is>
          <t>EC2 Capacity Block effective rate per accelerator-hr (reported)</t>
        </is>
      </c>
      <c r="F126" t="inlineStr">
        <is>
          <t>Reported</t>
        </is>
      </c>
      <c r="G126" t="inlineStr">
        <is>
          <t>https://web.archive.org/web/20260415185126/https://aws.amazon.com/ec2/capacityblocks/pricing/</t>
        </is>
      </c>
      <c r="H126" t="inlineStr">
        <is>
          <t>p5en.48xlarge|US East (N. Virginia)|$45.768 USD ($5.721 USD)|8</t>
        </is>
      </c>
    </row>
    <row r="127">
      <c r="A127" t="inlineStr">
        <is>
          <t>AWS Capacity Blocks</t>
        </is>
      </c>
      <c r="B127" t="inlineStr">
        <is>
          <t>H200 (p5en)</t>
        </is>
      </c>
      <c r="C127" s="3" t="n">
        <v>46157</v>
      </c>
      <c r="D127" s="4" t="n">
        <v>5.721</v>
      </c>
      <c r="E127" t="inlineStr">
        <is>
          <t>EC2 Capacity Block effective rate per accelerator-hr (reported)</t>
        </is>
      </c>
      <c r="F127" t="inlineStr">
        <is>
          <t>Reported</t>
        </is>
      </c>
      <c r="G127" t="inlineStr">
        <is>
          <t>https://web.archive.org/web/20260515000834/https://aws.amazon.com/ec2/capacityblocks/pricing/</t>
        </is>
      </c>
      <c r="H127" t="inlineStr">
        <is>
          <t>p5en.48xlarge|US East (N. Virginia)|$45.768 USD ($5.721 USD)|8</t>
        </is>
      </c>
    </row>
    <row r="128">
      <c r="A128" t="inlineStr">
        <is>
          <t>AWS Capacity Blocks</t>
        </is>
      </c>
      <c r="B128" t="inlineStr">
        <is>
          <t>H200 (p5en)</t>
        </is>
      </c>
      <c r="C128" s="3" t="n">
        <v>46184</v>
      </c>
      <c r="D128" s="4" t="n">
        <v>5.721</v>
      </c>
      <c r="E128" t="inlineStr">
        <is>
          <t>EC2 Capacity Block effective rate per accelerator-hr (reported)</t>
        </is>
      </c>
      <c r="F128" t="inlineStr">
        <is>
          <t>Reported</t>
        </is>
      </c>
      <c r="G128" t="inlineStr">
        <is>
          <t>https://web.archive.org/web/20260611145518/https://aws.amazon.com/ec2/capacityblocks/pricing/</t>
        </is>
      </c>
      <c r="H128" t="inlineStr">
        <is>
          <t>p5en.48xlarge|US East (N. Virginia)|$45.768 USD ($5.721 USD)|8</t>
        </is>
      </c>
    </row>
    <row r="129">
      <c r="A129" t="inlineStr">
        <is>
          <t>AWS Capacity Blocks</t>
        </is>
      </c>
      <c r="B129" t="inlineStr">
        <is>
          <t>H200 (p5en)</t>
        </is>
      </c>
      <c r="C129" s="3" t="n">
        <v>46207</v>
      </c>
      <c r="D129" s="4" t="n">
        <v>5.721</v>
      </c>
      <c r="E129" t="inlineStr">
        <is>
          <t>EC2 Capacity Block effective rate per accelerator-hr (reported)</t>
        </is>
      </c>
      <c r="F129" t="inlineStr">
        <is>
          <t>Reported</t>
        </is>
      </c>
      <c r="G129" t="inlineStr">
        <is>
          <t>https://web.archive.org/web/20260704092824/https://aws.amazon.com/ec2/capacityblocks/pricing/</t>
        </is>
      </c>
      <c r="H129" t="inlineStr">
        <is>
          <t>p5en.48xlarge|US East (N. Virginia)|$45.768 USD ($5.721 USD)|8</t>
        </is>
      </c>
    </row>
    <row r="130">
      <c r="A130" t="inlineStr">
        <is>
          <t>AWS Capacity Blocks</t>
        </is>
      </c>
      <c r="B130" t="inlineStr">
        <is>
          <t>H200 (p5en)</t>
        </is>
      </c>
      <c r="C130" s="3" t="n">
        <v>46259</v>
      </c>
      <c r="D130" s="4" t="n">
        <v>6.865</v>
      </c>
      <c r="E130" t="inlineStr">
        <is>
          <t>EC2 Capacity Block effective rate per accelerator-hr (reported)</t>
        </is>
      </c>
      <c r="F130" t="inlineStr">
        <is>
          <t>Reported</t>
        </is>
      </c>
      <c r="G130" t="inlineStr">
        <is>
          <t>https://web.archive.org/web/20260825162005/https://aws.amazon.com/ec2/capacityblocks/pricing/</t>
        </is>
      </c>
      <c r="H130" t="inlineStr">
        <is>
          <t>p5en.48xlarge|US East (N. Virginia)|$54.920 USD ($6.865 USD)|8</t>
        </is>
      </c>
    </row>
    <row r="131">
      <c r="A131" t="inlineStr">
        <is>
          <t>AWS Capacity Blocks</t>
        </is>
      </c>
      <c r="B131" t="inlineStr">
        <is>
          <t>H200 (p5en)</t>
        </is>
      </c>
      <c r="C131" s="3" t="n">
        <v>46292</v>
      </c>
      <c r="D131" s="4" t="n">
        <v>6.865</v>
      </c>
      <c r="E131" t="inlineStr">
        <is>
          <t>EC2 Capacity Block effective rate per accelerator-hr (reported)</t>
        </is>
      </c>
      <c r="F131" t="inlineStr">
        <is>
          <t>Reported</t>
        </is>
      </c>
      <c r="G131" t="inlineStr">
        <is>
          <t>https://web.archive.org/web/20260927111505/https://aws.amazon.com/ec2/capacityblocks/pricing/</t>
        </is>
      </c>
      <c r="H131" t="inlineStr">
        <is>
          <t>p5en.48xlarge|US East (N. Virginia)|$54.920 USD ($6.865 USD)|8</t>
        </is>
      </c>
    </row>
    <row r="132">
      <c r="A132" t="inlineStr">
        <is>
          <t>AWS Capacity Blocks</t>
        </is>
      </c>
      <c r="B132" t="inlineStr">
        <is>
          <t>H200 (p5en)</t>
        </is>
      </c>
      <c r="C132" s="3" t="n">
        <v>46296</v>
      </c>
      <c r="D132" s="4" t="n">
        <v>6.865</v>
      </c>
      <c r="E132" t="inlineStr">
        <is>
          <t>EC2 Capacity Block effective rate per accelerator-hr (reported)</t>
        </is>
      </c>
      <c r="F132" t="inlineStr">
        <is>
          <t>Reported</t>
        </is>
      </c>
      <c r="G132" t="inlineStr">
        <is>
          <t>https://web.archive.org/web/20261001113914/https://aws.amazon.com/ec2/capacityblocks/pricing/</t>
        </is>
      </c>
      <c r="H132" t="inlineStr">
        <is>
          <t>p5en.48xlarge|US East (N. Virginia)|$54.920 USD ($6.865 USD)|8</t>
        </is>
      </c>
    </row>
    <row r="133">
      <c r="A133" t="inlineStr">
        <is>
          <t>AWS on-demand</t>
        </is>
      </c>
      <c r="B133" t="inlineStr">
        <is>
          <t>A100 40GB</t>
        </is>
      </c>
      <c r="C133" s="3" t="n">
        <v>44137</v>
      </c>
      <c r="D133" s="4" t="n">
        <v>4.0963</v>
      </c>
      <c r="E133" t="inlineStr">
        <is>
          <t>p4d.24xlarge on-demand $32.77/hr / 8 (launch)</t>
        </is>
      </c>
      <c r="F133" t="inlineStr">
        <is>
          <t>Derived</t>
        </is>
      </c>
      <c r="G133" t="inlineStr">
        <is>
          <t>https://techcrunch.com/2020/11/02/aws-launches-its-next-gen-gpu-instances/</t>
        </is>
      </c>
      <c r="H133" t="inlineStr"/>
    </row>
    <row r="134">
      <c r="A134" t="inlineStr">
        <is>
          <t>AWS on-demand</t>
        </is>
      </c>
      <c r="B134" t="inlineStr">
        <is>
          <t>A100 40GB</t>
        </is>
      </c>
      <c r="C134" s="3" t="n">
        <v>45809</v>
      </c>
      <c r="D134" s="4" t="n">
        <v>2.7447</v>
      </c>
      <c r="E134" t="inlineStr">
        <is>
          <t>p4d.24xlarge on-demand $21.96/hr / 8 after 33% cut</t>
        </is>
      </c>
      <c r="F134" t="inlineStr">
        <is>
          <t>Derived</t>
        </is>
      </c>
      <c r="G134" t="inlineStr">
        <is>
          <t>/workspace/nebius/raw/aws_od_use1.json ; AWS blog (above)</t>
        </is>
      </c>
      <c r="H134" t="inlineStr"/>
    </row>
    <row r="135">
      <c r="A135" t="inlineStr">
        <is>
          <t>AWS on-demand</t>
        </is>
      </c>
      <c r="B135" t="inlineStr">
        <is>
          <t>B200</t>
        </is>
      </c>
      <c r="C135" s="3" t="n">
        <v>46299</v>
      </c>
      <c r="D135" s="4" t="n">
        <v>14.2416</v>
      </c>
      <c r="E135" t="inlineStr">
        <is>
          <t>p6-b200.48xlarge on-demand $113.93/hr / 8</t>
        </is>
      </c>
      <c r="F135" t="inlineStr">
        <is>
          <t>Derived</t>
        </is>
      </c>
      <c r="G135" t="inlineStr">
        <is>
          <t>/workspace/nebius/raw/aws_od_use1.json</t>
        </is>
      </c>
      <c r="H135" t="inlineStr"/>
    </row>
    <row r="136">
      <c r="A136" t="inlineStr">
        <is>
          <t>AWS on-demand</t>
        </is>
      </c>
      <c r="B136" t="inlineStr">
        <is>
          <t>H100</t>
        </is>
      </c>
      <c r="C136" s="3" t="n">
        <v>45133</v>
      </c>
      <c r="D136" s="4" t="n">
        <v>12.29</v>
      </c>
      <c r="E136" t="inlineStr">
        <is>
          <t>p5.48xlarge on-demand $98.32/hr / 8 GPUs (us-east-1, launch)</t>
        </is>
      </c>
      <c r="F136" t="inlineStr">
        <is>
          <t>Derived</t>
        </is>
      </c>
      <c r="G136" t="inlineStr">
        <is>
          <t>https://www.nextplatform.com/ai/2023/07/27/h100-gpu-instance-pricing-on-aws-grin-and-bear-it/1658171 ; https://gpuperhour.com/providers/aws/h100-sxm-80gb</t>
        </is>
      </c>
      <c r="H136" t="inlineStr"/>
    </row>
    <row r="137">
      <c r="A137" t="inlineStr">
        <is>
          <t>AWS on-demand</t>
        </is>
      </c>
      <c r="B137" t="inlineStr">
        <is>
          <t>H100</t>
        </is>
      </c>
      <c r="C137" s="3" t="n">
        <v>45809</v>
      </c>
      <c r="D137" s="4" t="n">
        <v>6.88</v>
      </c>
      <c r="E137" t="inlineStr">
        <is>
          <t>p5.48xlarge on-demand $55.04/hr / 8 after 44% cut effective 2025-06-01 (price read from AWS price-list JSON on 2026-10-04)</t>
        </is>
      </c>
      <c r="F137" t="inlineStr">
        <is>
          <t>Derived</t>
        </is>
      </c>
      <c r="G137" t="inlineStr">
        <is>
          <t>https://aws.amazon.com/blogs/aws/announcing-up-to-45-price-reduction-for-amazon-ec2-nvidia-gpu-accelerated-instances/ ; /workspace/nebius/raw/aws_od_use1.json</t>
        </is>
      </c>
      <c r="H137" t="inlineStr"/>
    </row>
    <row r="138">
      <c r="A138" t="inlineStr">
        <is>
          <t>AWS on-demand</t>
        </is>
      </c>
      <c r="B138" t="inlineStr">
        <is>
          <t>H100</t>
        </is>
      </c>
      <c r="C138" s="3" t="n">
        <v>46299</v>
      </c>
      <c r="D138" s="4" t="n">
        <v>6.88</v>
      </c>
      <c r="E138" t="inlineStr">
        <is>
          <t>p5.48xlarge on-demand $55.04/hr / 8 (us-east-1)</t>
        </is>
      </c>
      <c r="F138" t="inlineStr">
        <is>
          <t>Derived</t>
        </is>
      </c>
      <c r="G138" t="inlineStr">
        <is>
          <t>/workspace/nebius/raw/aws_od_use1.json (GPU Market teammate pull of AWS public price list, 2026-10-04)</t>
        </is>
      </c>
      <c r="H138" t="inlineStr"/>
    </row>
    <row r="139">
      <c r="A139" t="inlineStr">
        <is>
          <t>AWS on-demand</t>
        </is>
      </c>
      <c r="B139" t="inlineStr">
        <is>
          <t>H200</t>
        </is>
      </c>
      <c r="C139" s="3" t="n">
        <v>45808</v>
      </c>
      <c r="D139" s="4" t="n">
        <v>10.5493</v>
      </c>
      <c r="E139" t="inlineStr">
        <is>
          <t>p5en.48xlarge pre-cut = post-cut $63.296 / (1-25%) / 8</t>
        </is>
      </c>
      <c r="F139" t="inlineStr">
        <is>
          <t>Derived</t>
        </is>
      </c>
      <c r="G139" t="inlineStr">
        <is>
          <t>https://aws.amazon.com/blogs/aws/announcing-up-to-45-price-reduction-for-amazon-ec2-nvidia-gpu-accelerated-instances/ ; /workspace/nebius/raw/aws_od_use1.json</t>
        </is>
      </c>
      <c r="H139" t="inlineStr"/>
    </row>
    <row r="140">
      <c r="A140" t="inlineStr">
        <is>
          <t>AWS on-demand</t>
        </is>
      </c>
      <c r="B140" t="inlineStr">
        <is>
          <t>H200</t>
        </is>
      </c>
      <c r="C140" s="3" t="n">
        <v>45809</v>
      </c>
      <c r="D140" s="4" t="n">
        <v>7.912</v>
      </c>
      <c r="E140" t="inlineStr">
        <is>
          <t>p5en.48xlarge on-demand $63.296/hr / 8</t>
        </is>
      </c>
      <c r="F140" t="inlineStr">
        <is>
          <t>Derived</t>
        </is>
      </c>
      <c r="G140" t="inlineStr">
        <is>
          <t>/workspace/nebius/raw/aws_od_use1.json</t>
        </is>
      </c>
      <c r="H140" t="inlineStr"/>
    </row>
    <row r="141">
      <c r="A141" t="inlineStr">
        <is>
          <t>AWS on-demand</t>
        </is>
      </c>
      <c r="B141" t="inlineStr">
        <is>
          <t>V100</t>
        </is>
      </c>
      <c r="C141" s="3" t="n">
        <v>46299</v>
      </c>
      <c r="D141" s="4" t="n">
        <v>3.06</v>
      </c>
      <c r="E141" t="inlineStr">
        <is>
          <t>p3.16xlarge on-demand $24.48/hr / 8 (us-east-1)</t>
        </is>
      </c>
      <c r="F141" t="inlineStr">
        <is>
          <t>Derived</t>
        </is>
      </c>
      <c r="G141" t="inlineStr">
        <is>
          <t>/workspace/nebius/raw/aws_od_use1.json</t>
        </is>
      </c>
      <c r="H141" t="inlineStr"/>
    </row>
    <row r="142">
      <c r="A142" t="inlineStr">
        <is>
          <t>CCIR posted panel median</t>
        </is>
      </c>
      <c r="B142" t="inlineStr">
        <is>
          <t>A100</t>
        </is>
      </c>
      <c r="C142" s="3" t="n">
        <v>44454</v>
      </c>
      <c r="D142" s="4" t="n">
        <v>2.2</v>
      </c>
      <c r="E142" t="inlineStr">
        <is>
          <t>panel median</t>
        </is>
      </c>
      <c r="F142" t="inlineStr">
        <is>
          <t>Reported</t>
        </is>
      </c>
      <c r="G142" t="inlineStr">
        <is>
          <t>https://ccir.io/research/rental-rates-by-generation</t>
        </is>
      </c>
      <c r="H142" t="inlineStr"/>
    </row>
    <row r="143">
      <c r="A143" t="inlineStr">
        <is>
          <t>CCIR posted panel median</t>
        </is>
      </c>
      <c r="B143" t="inlineStr">
        <is>
          <t>A100</t>
        </is>
      </c>
      <c r="C143" s="3" t="n">
        <v>44727</v>
      </c>
      <c r="D143" s="4" t="n">
        <v>3.05</v>
      </c>
      <c r="E143" t="inlineStr">
        <is>
          <t>2022 peak (month not stated; mid-2022 placeholder)</t>
        </is>
      </c>
      <c r="F143" t="inlineStr">
        <is>
          <t>Reported</t>
        </is>
      </c>
      <c r="G143" t="inlineStr">
        <is>
          <t>https://ccir.io/research/rental-rates-by-generation</t>
        </is>
      </c>
      <c r="H143" t="inlineStr"/>
    </row>
    <row r="144">
      <c r="A144" t="inlineStr">
        <is>
          <t>CCIR posted panel median</t>
        </is>
      </c>
      <c r="B144" t="inlineStr">
        <is>
          <t>A100</t>
        </is>
      </c>
      <c r="C144" s="3" t="n">
        <v>45853</v>
      </c>
      <c r="D144" s="4" t="n">
        <v>1.75</v>
      </c>
      <c r="E144" t="inlineStr">
        <is>
          <t>2025 trough (CCIR: declines bottomed Jul-Aug 2025)</t>
        </is>
      </c>
      <c r="F144" t="inlineStr">
        <is>
          <t>Reported</t>
        </is>
      </c>
      <c r="G144" t="inlineStr">
        <is>
          <t>https://ccir.io/research/rental-rates-by-generation</t>
        </is>
      </c>
      <c r="H144" t="inlineStr"/>
    </row>
    <row r="145">
      <c r="A145" t="inlineStr">
        <is>
          <t>CCIR posted panel median</t>
        </is>
      </c>
      <c r="B145" t="inlineStr">
        <is>
          <t>A100</t>
        </is>
      </c>
      <c r="C145" s="3" t="n">
        <v>46127</v>
      </c>
      <c r="D145" s="4" t="n">
        <v>1.99</v>
      </c>
      <c r="E145" t="inlineStr">
        <is>
          <t>Apr 2026</t>
        </is>
      </c>
      <c r="F145" t="inlineStr">
        <is>
          <t>Reported</t>
        </is>
      </c>
      <c r="G145" t="inlineStr">
        <is>
          <t>https://ccir.io/research/rental-rates-by-generation</t>
        </is>
      </c>
      <c r="H145" t="inlineStr"/>
    </row>
    <row r="146">
      <c r="A146" t="inlineStr">
        <is>
          <t>CCIR posted panel median</t>
        </is>
      </c>
      <c r="B146" t="inlineStr">
        <is>
          <t>H100</t>
        </is>
      </c>
      <c r="C146" s="3" t="n">
        <v>45184</v>
      </c>
      <c r="D146" s="4" t="n">
        <v>3.5</v>
      </c>
      <c r="E146" t="inlineStr">
        <is>
          <t>panel-median guaranteed on-demand, first month n&gt;=3</t>
        </is>
      </c>
      <c r="F146" t="inlineStr">
        <is>
          <t>Reported</t>
        </is>
      </c>
      <c r="G146" t="inlineStr">
        <is>
          <t>https://ccir.io/research/rental-rates-by-generation</t>
        </is>
      </c>
      <c r="H146" t="inlineStr"/>
    </row>
    <row r="147">
      <c r="A147" t="inlineStr">
        <is>
          <t>CCIR posted panel median</t>
        </is>
      </c>
      <c r="B147" t="inlineStr">
        <is>
          <t>H100</t>
        </is>
      </c>
      <c r="C147" s="3" t="n">
        <v>46127</v>
      </c>
      <c r="D147" s="4" t="n">
        <v>3.64</v>
      </c>
      <c r="E147" t="inlineStr">
        <is>
          <t>panel-median guaranteed on-demand, Apr 2026</t>
        </is>
      </c>
      <c r="F147" t="inlineStr">
        <is>
          <t>Reported</t>
        </is>
      </c>
      <c r="G147" t="inlineStr">
        <is>
          <t>https://ccir.io/research/rental-rates-by-generation</t>
        </is>
      </c>
      <c r="H147" t="inlineStr"/>
    </row>
    <row r="148">
      <c r="A148" t="inlineStr">
        <is>
          <t>CCIR posted panel median</t>
        </is>
      </c>
      <c r="B148" t="inlineStr">
        <is>
          <t>V100</t>
        </is>
      </c>
      <c r="C148" s="3" t="n">
        <v>43631</v>
      </c>
      <c r="D148" s="4" t="n">
        <v>2.69</v>
      </c>
      <c r="E148" t="inlineStr">
        <is>
          <t>Jun 2019</t>
        </is>
      </c>
      <c r="F148" t="inlineStr">
        <is>
          <t>Reported</t>
        </is>
      </c>
      <c r="G148" t="inlineStr">
        <is>
          <t>https://ccir.io/research/rental-rates-by-generation</t>
        </is>
      </c>
      <c r="H148" t="inlineStr"/>
    </row>
    <row r="149">
      <c r="A149" t="inlineStr">
        <is>
          <t>CCIR posted panel median</t>
        </is>
      </c>
      <c r="B149" t="inlineStr">
        <is>
          <t>V100</t>
        </is>
      </c>
      <c r="C149" s="3" t="n">
        <v>46127</v>
      </c>
      <c r="D149" s="4" t="n">
        <v>0.8100000000000001</v>
      </c>
      <c r="E149" t="inlineStr">
        <is>
          <t>Apr 2026</t>
        </is>
      </c>
      <c r="F149" t="inlineStr">
        <is>
          <t>Reported</t>
        </is>
      </c>
      <c r="G149" t="inlineStr">
        <is>
          <t>https://ccir.io/research/rental-rates-by-generation</t>
        </is>
      </c>
      <c r="H149" t="inlineStr"/>
    </row>
    <row r="150">
      <c r="A150" t="inlineStr">
        <is>
          <t>CoreWeave</t>
        </is>
      </c>
      <c r="B150" t="inlineStr">
        <is>
          <t>A100</t>
        </is>
      </c>
      <c r="C150" s="3" t="n">
        <v>45788</v>
      </c>
      <c r="D150" s="4" t="n">
        <v>2.7</v>
      </c>
      <c r="E150" t="inlineStr">
        <is>
          <t>instance on-demand $21.6/hr / 8 GPUs (derived)</t>
        </is>
      </c>
      <c r="F150" t="inlineStr">
        <is>
          <t>Derived</t>
        </is>
      </c>
      <c r="G150" t="inlineStr">
        <is>
          <t>https://web.archive.org/web/20250511175459/https://coreweave.com/pricing</t>
        </is>
      </c>
      <c r="H150" t="inlineStr">
        <is>
          <t>NVIDIA A100|8|80|128|2,048|7.68|$21.60</t>
        </is>
      </c>
    </row>
    <row r="151">
      <c r="A151" t="inlineStr">
        <is>
          <t>CoreWeave</t>
        </is>
      </c>
      <c r="B151" t="inlineStr">
        <is>
          <t>A100</t>
        </is>
      </c>
      <c r="C151" s="3" t="n">
        <v>45817</v>
      </c>
      <c r="D151" s="4" t="n">
        <v>2.7</v>
      </c>
      <c r="E151" t="inlineStr">
        <is>
          <t>instance on-demand $21.6/hr / 8 GPUs (derived)</t>
        </is>
      </c>
      <c r="F151" t="inlineStr">
        <is>
          <t>Derived</t>
        </is>
      </c>
      <c r="G151" t="inlineStr">
        <is>
          <t>https://web.archive.org/web/20250609162833/https://coreweave.com/pricing</t>
        </is>
      </c>
      <c r="H151" t="inlineStr">
        <is>
          <t>NVIDIA A100|8|80|128|2,048|7.68|$21.60</t>
        </is>
      </c>
    </row>
    <row r="152">
      <c r="A152" t="inlineStr">
        <is>
          <t>CoreWeave</t>
        </is>
      </c>
      <c r="B152" t="inlineStr">
        <is>
          <t>A100</t>
        </is>
      </c>
      <c r="C152" s="3" t="n">
        <v>45856</v>
      </c>
      <c r="D152" s="4" t="n">
        <v>2.7</v>
      </c>
      <c r="E152" t="inlineStr">
        <is>
          <t>instance on-demand $21.6/hr / 8 GPUs (derived)</t>
        </is>
      </c>
      <c r="F152" t="inlineStr">
        <is>
          <t>Derived</t>
        </is>
      </c>
      <c r="G152" t="inlineStr">
        <is>
          <t>https://web.archive.org/web/20250718045748/https://www.coreweave.com/pricing</t>
        </is>
      </c>
      <c r="H152" t="inlineStr">
        <is>
          <t>NVIDIA A100|8|80|128|2,048|7.68|$21.60</t>
        </is>
      </c>
    </row>
    <row r="153">
      <c r="A153" t="inlineStr">
        <is>
          <t>CoreWeave</t>
        </is>
      </c>
      <c r="B153" t="inlineStr">
        <is>
          <t>A100</t>
        </is>
      </c>
      <c r="C153" s="3" t="n">
        <v>45876</v>
      </c>
      <c r="D153" s="4" t="n">
        <v>2.7</v>
      </c>
      <c r="E153" t="inlineStr">
        <is>
          <t>instance on-demand $21.6/hr / 8 GPUs (derived)</t>
        </is>
      </c>
      <c r="F153" t="inlineStr">
        <is>
          <t>Derived</t>
        </is>
      </c>
      <c r="G153" t="inlineStr">
        <is>
          <t>https://web.archive.org/web/20250807194512/https://coreweave.com/pricing</t>
        </is>
      </c>
      <c r="H153" t="inlineStr">
        <is>
          <t>NVIDIA A100|8|80|128|2,048|7.68|$21.60</t>
        </is>
      </c>
    </row>
    <row r="154">
      <c r="A154" t="inlineStr">
        <is>
          <t>CoreWeave</t>
        </is>
      </c>
      <c r="B154" t="inlineStr">
        <is>
          <t>A100</t>
        </is>
      </c>
      <c r="C154" s="3" t="n">
        <v>45903</v>
      </c>
      <c r="D154" s="4" t="n">
        <v>2.7</v>
      </c>
      <c r="E154" t="inlineStr">
        <is>
          <t>instance on-demand $21.6/hr / 8 GPUs (derived)</t>
        </is>
      </c>
      <c r="F154" t="inlineStr">
        <is>
          <t>Derived</t>
        </is>
      </c>
      <c r="G154" t="inlineStr">
        <is>
          <t>https://web.archive.org/web/20250903111658/https://www.coreweave.com/pricing</t>
        </is>
      </c>
      <c r="H154" t="inlineStr">
        <is>
          <t>NVIDIA A100|8|80|128|2,048|7.68|$21.60</t>
        </is>
      </c>
    </row>
    <row r="155">
      <c r="A155" t="inlineStr">
        <is>
          <t>CoreWeave</t>
        </is>
      </c>
      <c r="B155" t="inlineStr">
        <is>
          <t>A100</t>
        </is>
      </c>
      <c r="C155" s="3" t="n">
        <v>45933</v>
      </c>
      <c r="D155" s="4" t="n">
        <v>2.7</v>
      </c>
      <c r="E155" t="inlineStr">
        <is>
          <t>instance on-demand $21.6/hr / 8 GPUs (derived)</t>
        </is>
      </c>
      <c r="F155" t="inlineStr">
        <is>
          <t>Derived</t>
        </is>
      </c>
      <c r="G155" t="inlineStr">
        <is>
          <t>https://web.archive.org/web/20251003103002/https://www.coreweave.com/pricing</t>
        </is>
      </c>
      <c r="H155" t="inlineStr">
        <is>
          <t>NVIDIA A100|8|80|128|2,048|7.68|$21.60</t>
        </is>
      </c>
    </row>
    <row r="156">
      <c r="A156" t="inlineStr">
        <is>
          <t>CoreWeave</t>
        </is>
      </c>
      <c r="B156" t="inlineStr">
        <is>
          <t>A100</t>
        </is>
      </c>
      <c r="C156" s="3" t="n">
        <v>45962</v>
      </c>
      <c r="D156" s="4" t="n">
        <v>2.7</v>
      </c>
      <c r="E156" t="inlineStr">
        <is>
          <t>instance on-demand $21.6/hr / 8 GPUs (derived)</t>
        </is>
      </c>
      <c r="F156" t="inlineStr">
        <is>
          <t>Derived</t>
        </is>
      </c>
      <c r="G156" t="inlineStr">
        <is>
          <t>https://web.archive.org/web/20251101141755/https://www.coreweave.com/pricing</t>
        </is>
      </c>
      <c r="H156" t="inlineStr">
        <is>
          <t>NVIDIA A100|8|80|128|2,048|7.68|$21.60</t>
        </is>
      </c>
    </row>
    <row r="157">
      <c r="A157" t="inlineStr">
        <is>
          <t>CoreWeave</t>
        </is>
      </c>
      <c r="B157" t="inlineStr">
        <is>
          <t>A100</t>
        </is>
      </c>
      <c r="C157" s="3" t="n">
        <v>46007</v>
      </c>
      <c r="D157" s="4" t="n">
        <v>2.7</v>
      </c>
      <c r="E157" t="inlineStr">
        <is>
          <t>instance on-demand $21.6/hr / 8 GPUs (derived)</t>
        </is>
      </c>
      <c r="F157" t="inlineStr">
        <is>
          <t>Derived</t>
        </is>
      </c>
      <c r="G157" t="inlineStr">
        <is>
          <t>https://web.archive.org/web/20251216064621/https://coreweave.com/pricing</t>
        </is>
      </c>
      <c r="H157" t="inlineStr">
        <is>
          <t>NVIDIA A100|8|80|128|2,048|7.68|$21.60</t>
        </is>
      </c>
    </row>
    <row r="158">
      <c r="A158" t="inlineStr">
        <is>
          <t>CoreWeave</t>
        </is>
      </c>
      <c r="B158" t="inlineStr">
        <is>
          <t>A100</t>
        </is>
      </c>
      <c r="C158" s="3" t="n">
        <v>46028</v>
      </c>
      <c r="D158" s="4" t="n">
        <v>2.7</v>
      </c>
      <c r="E158" t="inlineStr">
        <is>
          <t>instance on-demand $21.6/hr / 8 GPUs (derived)</t>
        </is>
      </c>
      <c r="F158" t="inlineStr">
        <is>
          <t>Derived</t>
        </is>
      </c>
      <c r="G158" t="inlineStr">
        <is>
          <t>https://web.archive.org/web/20260106014605/https://www.coreweave.com/pricing</t>
        </is>
      </c>
      <c r="H158" t="inlineStr">
        <is>
          <t>NVIDIA A100|8|80|128|2,048|7.68|$21.60</t>
        </is>
      </c>
    </row>
    <row r="159">
      <c r="A159" t="inlineStr">
        <is>
          <t>CoreWeave</t>
        </is>
      </c>
      <c r="B159" t="inlineStr">
        <is>
          <t>A100</t>
        </is>
      </c>
      <c r="C159" s="3" t="n">
        <v>46078</v>
      </c>
      <c r="D159" s="4" t="n">
        <v>2.7</v>
      </c>
      <c r="E159" t="inlineStr">
        <is>
          <t>instance on-demand $21.6/hr / 8 GPUs (derived)</t>
        </is>
      </c>
      <c r="F159" t="inlineStr">
        <is>
          <t>Derived</t>
        </is>
      </c>
      <c r="G159" t="inlineStr">
        <is>
          <t>https://web.archive.org/web/20260225001139/https://www.coreweave.com/pricing</t>
        </is>
      </c>
      <c r="H159" t="inlineStr">
        <is>
          <t>NVIDIA A100|8|80|128|2,048|7.68|$21.60</t>
        </is>
      </c>
    </row>
    <row r="160">
      <c r="A160" t="inlineStr">
        <is>
          <t>CoreWeave</t>
        </is>
      </c>
      <c r="B160" t="inlineStr">
        <is>
          <t>A100</t>
        </is>
      </c>
      <c r="C160" s="3" t="n">
        <v>46094</v>
      </c>
      <c r="D160" s="4" t="n">
        <v>2.7</v>
      </c>
      <c r="E160" t="inlineStr">
        <is>
          <t>instance on-demand $21.6/hr / 8 GPUs (derived)</t>
        </is>
      </c>
      <c r="F160" t="inlineStr">
        <is>
          <t>Derived</t>
        </is>
      </c>
      <c r="G160" t="inlineStr">
        <is>
          <t>https://web.archive.org/web/20260313081744/https://coreweave.com/pricing</t>
        </is>
      </c>
      <c r="H160" t="inlineStr">
        <is>
          <t>NVIDIA A100|8|80|128|2,048|7.68|$21.60</t>
        </is>
      </c>
    </row>
    <row r="161">
      <c r="A161" t="inlineStr">
        <is>
          <t>CoreWeave</t>
        </is>
      </c>
      <c r="B161" t="inlineStr">
        <is>
          <t>A100</t>
        </is>
      </c>
      <c r="C161" s="3" t="n">
        <v>46127</v>
      </c>
      <c r="D161" s="4" t="n">
        <v>2.7</v>
      </c>
      <c r="E161" t="inlineStr">
        <is>
          <t>instance on-demand $21.6/hr / 8 GPUs (derived)</t>
        </is>
      </c>
      <c r="F161" t="inlineStr">
        <is>
          <t>Derived</t>
        </is>
      </c>
      <c r="G161" t="inlineStr">
        <is>
          <t>https://web.archive.org/web/20260415105017/https://coreweave.com/pricing</t>
        </is>
      </c>
      <c r="H161" t="inlineStr">
        <is>
          <t>NVIDIA A100|8|80|128|2,048|7.68|$21.60</t>
        </is>
      </c>
    </row>
    <row r="162">
      <c r="A162" t="inlineStr">
        <is>
          <t>CoreWeave</t>
        </is>
      </c>
      <c r="B162" t="inlineStr">
        <is>
          <t>A100</t>
        </is>
      </c>
      <c r="C162" s="3" t="n">
        <v>46152</v>
      </c>
      <c r="D162" s="4" t="n">
        <v>2.7</v>
      </c>
      <c r="E162" t="inlineStr">
        <is>
          <t>instance on-demand $21.6/hr / 8 GPUs (derived)</t>
        </is>
      </c>
      <c r="F162" t="inlineStr">
        <is>
          <t>Derived</t>
        </is>
      </c>
      <c r="G162" t="inlineStr">
        <is>
          <t>https://web.archive.org/web/20260510055757/https://coreweave.com/pricing</t>
        </is>
      </c>
      <c r="H162" t="inlineStr">
        <is>
          <t>NVIDIA A100|8|80|128|2,048|7.68|$21.60</t>
        </is>
      </c>
    </row>
    <row r="163">
      <c r="A163" t="inlineStr">
        <is>
          <t>CoreWeave</t>
        </is>
      </c>
      <c r="B163" t="inlineStr">
        <is>
          <t>A100</t>
        </is>
      </c>
      <c r="C163" s="3" t="n">
        <v>46178</v>
      </c>
      <c r="D163" s="4" t="n">
        <v>2.7</v>
      </c>
      <c r="E163" t="inlineStr">
        <is>
          <t>instance on-demand $21.6/hr / 8 GPUs (derived)</t>
        </is>
      </c>
      <c r="F163" t="inlineStr">
        <is>
          <t>Derived</t>
        </is>
      </c>
      <c r="G163" t="inlineStr">
        <is>
          <t>https://web.archive.org/web/20260605195952/https://www.coreweave.com/pricing</t>
        </is>
      </c>
      <c r="H163" t="inlineStr">
        <is>
          <t>NVIDIA A100|8|80|128|2,048|7.68|$21.60</t>
        </is>
      </c>
    </row>
    <row r="164">
      <c r="A164" t="inlineStr">
        <is>
          <t>CoreWeave</t>
        </is>
      </c>
      <c r="B164" t="inlineStr">
        <is>
          <t>A100</t>
        </is>
      </c>
      <c r="C164" s="3" t="n">
        <v>46214</v>
      </c>
      <c r="D164" s="4" t="n">
        <v>2.7</v>
      </c>
      <c r="E164" t="inlineStr">
        <is>
          <t>instance on-demand $21.6/hr / 8 GPUs (derived)</t>
        </is>
      </c>
      <c r="F164" t="inlineStr">
        <is>
          <t>Derived</t>
        </is>
      </c>
      <c r="G164" t="inlineStr">
        <is>
          <t>https://web.archive.org/web/20260711021026/https://www.coreweave.com/pricing</t>
        </is>
      </c>
      <c r="H164" t="inlineStr">
        <is>
          <t>NVIDIA A100|8|80|128|2,048|7.68|$21.60</t>
        </is>
      </c>
    </row>
    <row r="165">
      <c r="A165" t="inlineStr">
        <is>
          <t>CoreWeave</t>
        </is>
      </c>
      <c r="B165" t="inlineStr">
        <is>
          <t>A100</t>
        </is>
      </c>
      <c r="C165" s="3" t="n">
        <v>46237</v>
      </c>
      <c r="D165" s="4" t="n">
        <v>2.7</v>
      </c>
      <c r="E165" t="inlineStr">
        <is>
          <t>instance on-demand $21.6/hr / 8 GPUs (derived)</t>
        </is>
      </c>
      <c r="F165" t="inlineStr">
        <is>
          <t>Derived</t>
        </is>
      </c>
      <c r="G165" t="inlineStr">
        <is>
          <t>https://web.archive.org/web/20260803103255/https://www.coreweave.com/pricing</t>
        </is>
      </c>
      <c r="H165" t="inlineStr">
        <is>
          <t>NVIDIA A100|8|80|128|2,048|7.68|$21.60</t>
        </is>
      </c>
    </row>
    <row r="166">
      <c r="A166" t="inlineStr">
        <is>
          <t>CoreWeave</t>
        </is>
      </c>
      <c r="B166" t="inlineStr">
        <is>
          <t>A100</t>
        </is>
      </c>
      <c r="C166" s="3" t="n">
        <v>46269</v>
      </c>
      <c r="D166" s="4" t="n">
        <v>2.7</v>
      </c>
      <c r="E166" t="inlineStr">
        <is>
          <t>instance on-demand $21.6/hr / 8 GPUs (derived)</t>
        </is>
      </c>
      <c r="F166" t="inlineStr">
        <is>
          <t>Derived</t>
        </is>
      </c>
      <c r="G166" t="inlineStr">
        <is>
          <t>https://web.archive.org/web/20260904032932/https://www.coreweave.com/pricing</t>
        </is>
      </c>
      <c r="H166" t="inlineStr">
        <is>
          <t>NVIDIA A100|8|80|128|2,048|7.68|$21.60</t>
        </is>
      </c>
    </row>
    <row r="167">
      <c r="A167" t="inlineStr">
        <is>
          <t>CoreWeave</t>
        </is>
      </c>
      <c r="B167" t="inlineStr">
        <is>
          <t>A100</t>
        </is>
      </c>
      <c r="C167" s="3" t="n">
        <v>46296</v>
      </c>
      <c r="D167" s="4" t="n">
        <v>2.7</v>
      </c>
      <c r="E167" t="inlineStr">
        <is>
          <t>instance on-demand $21.6/hr / 8 GPUs (derived)</t>
        </is>
      </c>
      <c r="F167" t="inlineStr">
        <is>
          <t>Derived</t>
        </is>
      </c>
      <c r="G167" t="inlineStr">
        <is>
          <t>https://web.archive.org/web/20261001003124/https://www.coreweave.com/pricing</t>
        </is>
      </c>
      <c r="H167" t="inlineStr">
        <is>
          <t>NVIDIA A100|8|80|128|2,048|7.68|$21.60</t>
        </is>
      </c>
    </row>
    <row r="168">
      <c r="A168" t="inlineStr">
        <is>
          <t>CoreWeave</t>
        </is>
      </c>
      <c r="B168" t="inlineStr">
        <is>
          <t>A100 80GB</t>
        </is>
      </c>
      <c r="C168" s="3" t="n">
        <v>45299</v>
      </c>
      <c r="D168" s="4" t="n">
        <v>2.21</v>
      </c>
      <c r="E168" t="inlineStr">
        <is>
          <t>GPU component price per GPU-hr (excl. CPU/RAM, legacy rate card)</t>
        </is>
      </c>
      <c r="F168" t="inlineStr">
        <is>
          <t>Reported</t>
        </is>
      </c>
      <c r="G168" t="inlineStr">
        <is>
          <t>https://web.archive.org/web/20240108002155/https://www.coreweave.com/gpu-cloud-pricing</t>
        </is>
      </c>
      <c r="H168" t="inlineStr">
        <is>
          <t>A100 80GB NVLINK|80|48|256|$2.21</t>
        </is>
      </c>
    </row>
    <row r="169">
      <c r="A169" t="inlineStr">
        <is>
          <t>CoreWeave</t>
        </is>
      </c>
      <c r="B169" t="inlineStr">
        <is>
          <t>A100 80GB</t>
        </is>
      </c>
      <c r="C169" s="3" t="n">
        <v>45327</v>
      </c>
      <c r="D169" s="4" t="n">
        <v>2.21</v>
      </c>
      <c r="E169" t="inlineStr">
        <is>
          <t>GPU component price per GPU-hr (excl. CPU/RAM, legacy rate card)</t>
        </is>
      </c>
      <c r="F169" t="inlineStr">
        <is>
          <t>Reported</t>
        </is>
      </c>
      <c r="G169" t="inlineStr">
        <is>
          <t>https://web.archive.org/web/20240205004831/https://www.coreweave.com/gpu-cloud-pricing</t>
        </is>
      </c>
      <c r="H169" t="inlineStr">
        <is>
          <t>A100 80GB NVLINK|80|48|256|$2.21</t>
        </is>
      </c>
    </row>
    <row r="170">
      <c r="A170" t="inlineStr">
        <is>
          <t>CoreWeave</t>
        </is>
      </c>
      <c r="B170" t="inlineStr">
        <is>
          <t>A100 80GB</t>
        </is>
      </c>
      <c r="C170" s="3" t="n">
        <v>45365</v>
      </c>
      <c r="D170" s="4" t="n">
        <v>2.21</v>
      </c>
      <c r="E170" t="inlineStr">
        <is>
          <t>GPU component price per GPU-hr (excl. CPU/RAM, legacy rate card)</t>
        </is>
      </c>
      <c r="F170" t="inlineStr">
        <is>
          <t>Reported</t>
        </is>
      </c>
      <c r="G170" t="inlineStr">
        <is>
          <t>https://web.archive.org/web/20240314134731/https://www.coreweave.com/gpu-cloud-pricing</t>
        </is>
      </c>
      <c r="H170" t="inlineStr">
        <is>
          <t>A100 80GB NVLINK|80|48|256|$2.21</t>
        </is>
      </c>
    </row>
    <row r="171">
      <c r="A171" t="inlineStr">
        <is>
          <t>CoreWeave</t>
        </is>
      </c>
      <c r="B171" t="inlineStr">
        <is>
          <t>A100 80GB</t>
        </is>
      </c>
      <c r="C171" s="3" t="n">
        <v>45395</v>
      </c>
      <c r="D171" s="4" t="n">
        <v>2.21</v>
      </c>
      <c r="E171" t="inlineStr">
        <is>
          <t>GPU component price per GPU-hr (excl. CPU/RAM, legacy rate card)</t>
        </is>
      </c>
      <c r="F171" t="inlineStr">
        <is>
          <t>Reported</t>
        </is>
      </c>
      <c r="G171" t="inlineStr">
        <is>
          <t>https://web.archive.org/web/20240413012946/https://coreweave.com/gpu-cloud-pricing</t>
        </is>
      </c>
      <c r="H171" t="inlineStr">
        <is>
          <t>A100 80GB NVLINK|80|48|256|$2.21</t>
        </is>
      </c>
    </row>
    <row r="172">
      <c r="A172" t="inlineStr">
        <is>
          <t>CoreWeave</t>
        </is>
      </c>
      <c r="B172" t="inlineStr">
        <is>
          <t>A100 80GB</t>
        </is>
      </c>
      <c r="C172" s="3" t="n">
        <v>45416</v>
      </c>
      <c r="D172" s="4" t="n">
        <v>2.21</v>
      </c>
      <c r="E172" t="inlineStr">
        <is>
          <t>GPU component price per GPU-hr (excl. CPU/RAM, legacy rate card)</t>
        </is>
      </c>
      <c r="F172" t="inlineStr">
        <is>
          <t>Reported</t>
        </is>
      </c>
      <c r="G172" t="inlineStr">
        <is>
          <t>https://web.archive.org/web/20240504090418/https://coreweave.com/gpu-cloud-pricing</t>
        </is>
      </c>
      <c r="H172" t="inlineStr">
        <is>
          <t>A100 80GB NVLINK|80|48|256|$2.21</t>
        </is>
      </c>
    </row>
    <row r="173">
      <c r="A173" t="inlineStr">
        <is>
          <t>CoreWeave</t>
        </is>
      </c>
      <c r="B173" t="inlineStr">
        <is>
          <t>A100 80GB</t>
        </is>
      </c>
      <c r="C173" s="3" t="n">
        <v>45461</v>
      </c>
      <c r="D173" s="4" t="n">
        <v>2.21</v>
      </c>
      <c r="E173" t="inlineStr">
        <is>
          <t>GPU component price per GPU-hr (excl. CPU/RAM, legacy rate card)</t>
        </is>
      </c>
      <c r="F173" t="inlineStr">
        <is>
          <t>Reported</t>
        </is>
      </c>
      <c r="G173" t="inlineStr">
        <is>
          <t>https://web.archive.org/web/20240618205634/https://www.coreweave.com/gpu-cloud-pricing</t>
        </is>
      </c>
      <c r="H173" t="inlineStr">
        <is>
          <t>A100 80GB NVLINK|80|48|256|$2.21</t>
        </is>
      </c>
    </row>
    <row r="174">
      <c r="A174" t="inlineStr">
        <is>
          <t>CoreWeave</t>
        </is>
      </c>
      <c r="B174" t="inlineStr">
        <is>
          <t>A100 80GB</t>
        </is>
      </c>
      <c r="C174" s="3" t="n">
        <v>45491</v>
      </c>
      <c r="D174" s="4" t="n">
        <v>2.21</v>
      </c>
      <c r="E174" t="inlineStr">
        <is>
          <t>GPU component price per GPU-hr (excl. CPU/RAM, legacy rate card)</t>
        </is>
      </c>
      <c r="F174" t="inlineStr">
        <is>
          <t>Reported</t>
        </is>
      </c>
      <c r="G174" t="inlineStr">
        <is>
          <t>https://web.archive.org/web/20240718045701/https://www.coreweave.com/gpu-cloud-pricing</t>
        </is>
      </c>
      <c r="H174" t="inlineStr">
        <is>
          <t>A100 80GB NVLINK|80|48|256|$2.21</t>
        </is>
      </c>
    </row>
    <row r="175">
      <c r="A175" t="inlineStr">
        <is>
          <t>CoreWeave</t>
        </is>
      </c>
      <c r="B175" t="inlineStr">
        <is>
          <t>A100 80GB</t>
        </is>
      </c>
      <c r="C175" s="3" t="n">
        <v>45510</v>
      </c>
      <c r="D175" s="4" t="n">
        <v>2.21</v>
      </c>
      <c r="E175" t="inlineStr">
        <is>
          <t>GPU component price per GPU-hr (excl. CPU/RAM, legacy rate card)</t>
        </is>
      </c>
      <c r="F175" t="inlineStr">
        <is>
          <t>Reported</t>
        </is>
      </c>
      <c r="G175" t="inlineStr">
        <is>
          <t>https://web.archive.org/web/20240806202622/https://coreweave.com/gpu-cloud-pricing</t>
        </is>
      </c>
      <c r="H175" t="inlineStr">
        <is>
          <t>A100 80GB NVLINK|80|48|256|$2.21</t>
        </is>
      </c>
    </row>
    <row r="176">
      <c r="A176" t="inlineStr">
        <is>
          <t>CoreWeave</t>
        </is>
      </c>
      <c r="B176" t="inlineStr">
        <is>
          <t>A100 80GB</t>
        </is>
      </c>
      <c r="C176" s="3" t="n">
        <v>45536</v>
      </c>
      <c r="D176" s="4" t="n">
        <v>2.21</v>
      </c>
      <c r="E176" t="inlineStr">
        <is>
          <t>GPU component price per GPU-hr (excl. CPU/RAM, legacy rate card)</t>
        </is>
      </c>
      <c r="F176" t="inlineStr">
        <is>
          <t>Reported</t>
        </is>
      </c>
      <c r="G176" t="inlineStr">
        <is>
          <t>https://web.archive.org/web/20240901110600/https://coreweave.com/gpu-cloud-pricing</t>
        </is>
      </c>
      <c r="H176" t="inlineStr">
        <is>
          <t>A100 80GB NVLINK|80|48|256|$2.21</t>
        </is>
      </c>
    </row>
    <row r="177">
      <c r="A177" t="inlineStr">
        <is>
          <t>CoreWeave</t>
        </is>
      </c>
      <c r="B177" t="inlineStr">
        <is>
          <t>A100 80GB</t>
        </is>
      </c>
      <c r="C177" s="3" t="n">
        <v>45569</v>
      </c>
      <c r="D177" s="4" t="n">
        <v>2.21</v>
      </c>
      <c r="E177" t="inlineStr">
        <is>
          <t>GPU component price per GPU-hr (excl. CPU/RAM, legacy rate card)</t>
        </is>
      </c>
      <c r="F177" t="inlineStr">
        <is>
          <t>Reported</t>
        </is>
      </c>
      <c r="G177" t="inlineStr">
        <is>
          <t>https://web.archive.org/web/20241004113315/https://www.coreweave.com/gpu-cloud-pricing</t>
        </is>
      </c>
      <c r="H177" t="inlineStr">
        <is>
          <t>A100 80GB NVLINK|80|48|256|$2.21</t>
        </is>
      </c>
    </row>
    <row r="178">
      <c r="A178" t="inlineStr">
        <is>
          <t>CoreWeave</t>
        </is>
      </c>
      <c r="B178" t="inlineStr">
        <is>
          <t>A100 80GB</t>
        </is>
      </c>
      <c r="C178" s="3" t="n">
        <v>45608</v>
      </c>
      <c r="D178" s="4" t="n">
        <v>2.21</v>
      </c>
      <c r="E178" t="inlineStr">
        <is>
          <t>GPU component price per GPU-hr (excl. CPU/RAM, legacy rate card)</t>
        </is>
      </c>
      <c r="F178" t="inlineStr">
        <is>
          <t>Reported</t>
        </is>
      </c>
      <c r="G178" t="inlineStr">
        <is>
          <t>https://web.archive.org/web/20241112201740/http://www.coreweave.com/gpu-cloud-pricing</t>
        </is>
      </c>
      <c r="H178" t="inlineStr">
        <is>
          <t>A100 80GB NVLINK|80|48|256|$2.21</t>
        </is>
      </c>
    </row>
    <row r="179">
      <c r="A179" t="inlineStr">
        <is>
          <t>CoreWeave</t>
        </is>
      </c>
      <c r="B179" t="inlineStr">
        <is>
          <t>A100 80GB</t>
        </is>
      </c>
      <c r="C179" s="3" t="n">
        <v>45632</v>
      </c>
      <c r="D179" s="4" t="n">
        <v>2.21</v>
      </c>
      <c r="E179" t="inlineStr">
        <is>
          <t>GPU component price per GPU-hr (excl. CPU/RAM, legacy rate card)</t>
        </is>
      </c>
      <c r="F179" t="inlineStr">
        <is>
          <t>Reported</t>
        </is>
      </c>
      <c r="G179" t="inlineStr">
        <is>
          <t>https://web.archive.org/web/20241206151408/https://coreweave.com/gpu-cloud-pricing</t>
        </is>
      </c>
      <c r="H179" t="inlineStr">
        <is>
          <t>A100 80GB NVLINK|80|48|256|$2.21</t>
        </is>
      </c>
    </row>
    <row r="180">
      <c r="A180" t="inlineStr">
        <is>
          <t>CoreWeave</t>
        </is>
      </c>
      <c r="B180" t="inlineStr">
        <is>
          <t>B200</t>
        </is>
      </c>
      <c r="C180" s="3" t="n">
        <v>45817</v>
      </c>
      <c r="D180" s="4" t="n">
        <v>8.6</v>
      </c>
      <c r="E180" t="inlineStr">
        <is>
          <t>instance on-demand $68.8/hr / 8 GPUs (derived)</t>
        </is>
      </c>
      <c r="F180" t="inlineStr">
        <is>
          <t>Derived</t>
        </is>
      </c>
      <c r="G180" t="inlineStr">
        <is>
          <t>https://web.archive.org/web/20250609162833/https://coreweave.com/pricing</t>
        </is>
      </c>
      <c r="H180" t="inlineStr">
        <is>
          <t>NVIDIA B200|8|180|128|2,048|61.44|$68.80</t>
        </is>
      </c>
    </row>
    <row r="181">
      <c r="A181" t="inlineStr">
        <is>
          <t>CoreWeave</t>
        </is>
      </c>
      <c r="B181" t="inlineStr">
        <is>
          <t>B200</t>
        </is>
      </c>
      <c r="C181" s="3" t="n">
        <v>45856</v>
      </c>
      <c r="D181" s="4" t="n">
        <v>8.6</v>
      </c>
      <c r="E181" t="inlineStr">
        <is>
          <t>instance on-demand $68.8/hr / 8 GPUs (derived)</t>
        </is>
      </c>
      <c r="F181" t="inlineStr">
        <is>
          <t>Derived</t>
        </is>
      </c>
      <c r="G181" t="inlineStr">
        <is>
          <t>https://web.archive.org/web/20250718045748/https://www.coreweave.com/pricing</t>
        </is>
      </c>
      <c r="H181" t="inlineStr">
        <is>
          <t>NVIDIA B200|8|180|128|2,048|61.44|$68.80</t>
        </is>
      </c>
    </row>
    <row r="182">
      <c r="A182" t="inlineStr">
        <is>
          <t>CoreWeave</t>
        </is>
      </c>
      <c r="B182" t="inlineStr">
        <is>
          <t>B200</t>
        </is>
      </c>
      <c r="C182" s="3" t="n">
        <v>45876</v>
      </c>
      <c r="D182" s="4" t="n">
        <v>8.6</v>
      </c>
      <c r="E182" t="inlineStr">
        <is>
          <t>instance on-demand $68.8/hr / 8 GPUs (derived)</t>
        </is>
      </c>
      <c r="F182" t="inlineStr">
        <is>
          <t>Derived</t>
        </is>
      </c>
      <c r="G182" t="inlineStr">
        <is>
          <t>https://web.archive.org/web/20250807194512/https://coreweave.com/pricing</t>
        </is>
      </c>
      <c r="H182" t="inlineStr">
        <is>
          <t>NVIDIA B200|8|180|128|2,048|61.44|$68.80</t>
        </is>
      </c>
    </row>
    <row r="183">
      <c r="A183" t="inlineStr">
        <is>
          <t>CoreWeave</t>
        </is>
      </c>
      <c r="B183" t="inlineStr">
        <is>
          <t>B200</t>
        </is>
      </c>
      <c r="C183" s="3" t="n">
        <v>45903</v>
      </c>
      <c r="D183" s="4" t="n">
        <v>8.6</v>
      </c>
      <c r="E183" t="inlineStr">
        <is>
          <t>instance on-demand $68.8/hr / 8 GPUs (derived)</t>
        </is>
      </c>
      <c r="F183" t="inlineStr">
        <is>
          <t>Derived</t>
        </is>
      </c>
      <c r="G183" t="inlineStr">
        <is>
          <t>https://web.archive.org/web/20250903111658/https://www.coreweave.com/pricing</t>
        </is>
      </c>
      <c r="H183" t="inlineStr">
        <is>
          <t>NVIDIA B200|8|180|128|2,048|61.44|$68.80</t>
        </is>
      </c>
    </row>
    <row r="184">
      <c r="A184" t="inlineStr">
        <is>
          <t>CoreWeave</t>
        </is>
      </c>
      <c r="B184" t="inlineStr">
        <is>
          <t>B200</t>
        </is>
      </c>
      <c r="C184" s="3" t="n">
        <v>45933</v>
      </c>
      <c r="D184" s="4" t="n">
        <v>8.6</v>
      </c>
      <c r="E184" t="inlineStr">
        <is>
          <t>instance on-demand $68.8/hr / 8 GPUs (derived)</t>
        </is>
      </c>
      <c r="F184" t="inlineStr">
        <is>
          <t>Derived</t>
        </is>
      </c>
      <c r="G184" t="inlineStr">
        <is>
          <t>https://web.archive.org/web/20251003103002/https://www.coreweave.com/pricing</t>
        </is>
      </c>
      <c r="H184" t="inlineStr">
        <is>
          <t>NVIDIA B200|8|180|128|2,048|61.44|$68.80</t>
        </is>
      </c>
    </row>
    <row r="185">
      <c r="A185" t="inlineStr">
        <is>
          <t>CoreWeave</t>
        </is>
      </c>
      <c r="B185" t="inlineStr">
        <is>
          <t>B200</t>
        </is>
      </c>
      <c r="C185" s="3" t="n">
        <v>45962</v>
      </c>
      <c r="D185" s="4" t="n">
        <v>8.6</v>
      </c>
      <c r="E185" t="inlineStr">
        <is>
          <t>instance on-demand $68.8/hr / 8 GPUs (derived)</t>
        </is>
      </c>
      <c r="F185" t="inlineStr">
        <is>
          <t>Derived</t>
        </is>
      </c>
      <c r="G185" t="inlineStr">
        <is>
          <t>https://web.archive.org/web/20251101141755/https://www.coreweave.com/pricing</t>
        </is>
      </c>
      <c r="H185" t="inlineStr">
        <is>
          <t>NVIDIA B200|8|180|128|2,048|61.44|$68.80</t>
        </is>
      </c>
    </row>
    <row r="186">
      <c r="A186" t="inlineStr">
        <is>
          <t>CoreWeave</t>
        </is>
      </c>
      <c r="B186" t="inlineStr">
        <is>
          <t>B200</t>
        </is>
      </c>
      <c r="C186" s="3" t="n">
        <v>46007</v>
      </c>
      <c r="D186" s="4" t="n">
        <v>8.6</v>
      </c>
      <c r="E186" t="inlineStr">
        <is>
          <t>instance on-demand $68.8/hr / 8 GPUs (derived)</t>
        </is>
      </c>
      <c r="F186" t="inlineStr">
        <is>
          <t>Derived</t>
        </is>
      </c>
      <c r="G186" t="inlineStr">
        <is>
          <t>https://web.archive.org/web/20251216064621/https://coreweave.com/pricing</t>
        </is>
      </c>
      <c r="H186" t="inlineStr">
        <is>
          <t>NVIDIA B200|8|180|128|2,048|61.44|$68.80</t>
        </is>
      </c>
    </row>
    <row r="187">
      <c r="A187" t="inlineStr">
        <is>
          <t>CoreWeave</t>
        </is>
      </c>
      <c r="B187" t="inlineStr">
        <is>
          <t>B200</t>
        </is>
      </c>
      <c r="C187" s="3" t="n">
        <v>46028</v>
      </c>
      <c r="D187" s="4" t="n">
        <v>8.6</v>
      </c>
      <c r="E187" t="inlineStr">
        <is>
          <t>instance on-demand $68.8/hr / 8 GPUs (derived)</t>
        </is>
      </c>
      <c r="F187" t="inlineStr">
        <is>
          <t>Derived</t>
        </is>
      </c>
      <c r="G187" t="inlineStr">
        <is>
          <t>https://web.archive.org/web/20260106014605/https://www.coreweave.com/pricing</t>
        </is>
      </c>
      <c r="H187" t="inlineStr">
        <is>
          <t>NVIDIA B200|8|180|128|2,048|61.44|$68.80</t>
        </is>
      </c>
    </row>
    <row r="188">
      <c r="A188" t="inlineStr">
        <is>
          <t>CoreWeave</t>
        </is>
      </c>
      <c r="B188" t="inlineStr">
        <is>
          <t>B200</t>
        </is>
      </c>
      <c r="C188" s="3" t="n">
        <v>46078</v>
      </c>
      <c r="D188" s="4" t="n">
        <v>8.6</v>
      </c>
      <c r="E188" t="inlineStr">
        <is>
          <t>instance on-demand $68.8/hr / 8 GPUs (derived)</t>
        </is>
      </c>
      <c r="F188" t="inlineStr">
        <is>
          <t>Derived</t>
        </is>
      </c>
      <c r="G188" t="inlineStr">
        <is>
          <t>https://web.archive.org/web/20260225001139/https://www.coreweave.com/pricing</t>
        </is>
      </c>
      <c r="H188" t="inlineStr">
        <is>
          <t>NVIDIA B200|8|180|128|2,048|61.44|$68.80</t>
        </is>
      </c>
    </row>
    <row r="189">
      <c r="A189" t="inlineStr">
        <is>
          <t>CoreWeave</t>
        </is>
      </c>
      <c r="B189" t="inlineStr">
        <is>
          <t>B200</t>
        </is>
      </c>
      <c r="C189" s="3" t="n">
        <v>46094</v>
      </c>
      <c r="D189" s="4" t="n">
        <v>8.6</v>
      </c>
      <c r="E189" t="inlineStr">
        <is>
          <t>instance on-demand $68.8/hr / 8 GPUs (derived)</t>
        </is>
      </c>
      <c r="F189" t="inlineStr">
        <is>
          <t>Derived</t>
        </is>
      </c>
      <c r="G189" t="inlineStr">
        <is>
          <t>https://web.archive.org/web/20260313081744/https://coreweave.com/pricing</t>
        </is>
      </c>
      <c r="H189" t="inlineStr">
        <is>
          <t>NVIDIA B200|8|180|128|2,048|61.44|$68.80</t>
        </is>
      </c>
    </row>
    <row r="190">
      <c r="A190" t="inlineStr">
        <is>
          <t>CoreWeave</t>
        </is>
      </c>
      <c r="B190" t="inlineStr">
        <is>
          <t>B200</t>
        </is>
      </c>
      <c r="C190" s="3" t="n">
        <v>46127</v>
      </c>
      <c r="D190" s="4" t="n">
        <v>8.6</v>
      </c>
      <c r="E190" t="inlineStr">
        <is>
          <t>instance on-demand $68.8/hr / 8 GPUs (derived)</t>
        </is>
      </c>
      <c r="F190" t="inlineStr">
        <is>
          <t>Derived</t>
        </is>
      </c>
      <c r="G190" t="inlineStr">
        <is>
          <t>https://web.archive.org/web/20260415105017/https://coreweave.com/pricing</t>
        </is>
      </c>
      <c r="H190" t="inlineStr">
        <is>
          <t>NVIDIA HGX B200|8|180|128|2,048|61.44|$68.80</t>
        </is>
      </c>
    </row>
    <row r="191">
      <c r="A191" t="inlineStr">
        <is>
          <t>CoreWeave</t>
        </is>
      </c>
      <c r="B191" t="inlineStr">
        <is>
          <t>B200</t>
        </is>
      </c>
      <c r="C191" s="3" t="n">
        <v>46152</v>
      </c>
      <c r="D191" s="4" t="n">
        <v>8.6</v>
      </c>
      <c r="E191" t="inlineStr">
        <is>
          <t>instance on-demand $68.8/hr / 8 GPUs (derived)</t>
        </is>
      </c>
      <c r="F191" t="inlineStr">
        <is>
          <t>Derived</t>
        </is>
      </c>
      <c r="G191" t="inlineStr">
        <is>
          <t>https://web.archive.org/web/20260510055757/https://coreweave.com/pricing</t>
        </is>
      </c>
      <c r="H191" t="inlineStr">
        <is>
          <t>NVIDIA HGX B200|8|180|128|2,048|61.44|$68.80</t>
        </is>
      </c>
    </row>
    <row r="192">
      <c r="A192" t="inlineStr">
        <is>
          <t>CoreWeave</t>
        </is>
      </c>
      <c r="B192" t="inlineStr">
        <is>
          <t>B200</t>
        </is>
      </c>
      <c r="C192" s="3" t="n">
        <v>46178</v>
      </c>
      <c r="D192" s="4" t="n">
        <v>8.6</v>
      </c>
      <c r="E192" t="inlineStr">
        <is>
          <t>instance on-demand $68.8/hr / 8 GPUs (derived)</t>
        </is>
      </c>
      <c r="F192" t="inlineStr">
        <is>
          <t>Derived</t>
        </is>
      </c>
      <c r="G192" t="inlineStr">
        <is>
          <t>https://web.archive.org/web/20260605195952/https://www.coreweave.com/pricing</t>
        </is>
      </c>
      <c r="H192" t="inlineStr">
        <is>
          <t>NVIDIA HGX B200|8|180|128|2,048|61.44|$68.80</t>
        </is>
      </c>
    </row>
    <row r="193">
      <c r="A193" t="inlineStr">
        <is>
          <t>CoreWeave</t>
        </is>
      </c>
      <c r="B193" t="inlineStr">
        <is>
          <t>B200</t>
        </is>
      </c>
      <c r="C193" s="3" t="n">
        <v>46214</v>
      </c>
      <c r="D193" s="4" t="n">
        <v>8.6</v>
      </c>
      <c r="E193" t="inlineStr">
        <is>
          <t>instance on-demand $68.8/hr / 8 GPUs (derived)</t>
        </is>
      </c>
      <c r="F193" t="inlineStr">
        <is>
          <t>Derived</t>
        </is>
      </c>
      <c r="G193" t="inlineStr">
        <is>
          <t>https://web.archive.org/web/20260711021026/https://www.coreweave.com/pricing</t>
        </is>
      </c>
      <c r="H193" t="inlineStr">
        <is>
          <t>NVIDIA HGX B200|8|180|128|2,048|61.44|$68.80</t>
        </is>
      </c>
    </row>
    <row r="194">
      <c r="A194" t="inlineStr">
        <is>
          <t>CoreWeave</t>
        </is>
      </c>
      <c r="B194" t="inlineStr">
        <is>
          <t>B200</t>
        </is>
      </c>
      <c r="C194" s="3" t="n">
        <v>46237</v>
      </c>
      <c r="D194" s="4" t="n">
        <v>8.6</v>
      </c>
      <c r="E194" t="inlineStr">
        <is>
          <t>instance on-demand $68.8/hr / 8 GPUs (derived)</t>
        </is>
      </c>
      <c r="F194" t="inlineStr">
        <is>
          <t>Derived</t>
        </is>
      </c>
      <c r="G194" t="inlineStr">
        <is>
          <t>https://web.archive.org/web/20260803103255/https://www.coreweave.com/pricing</t>
        </is>
      </c>
      <c r="H194" t="inlineStr">
        <is>
          <t>NVIDIA HGX B200|8|180|128|2,048|61.44|$68.80</t>
        </is>
      </c>
    </row>
    <row r="195">
      <c r="A195" t="inlineStr">
        <is>
          <t>CoreWeave</t>
        </is>
      </c>
      <c r="B195" t="inlineStr">
        <is>
          <t>B200</t>
        </is>
      </c>
      <c r="C195" s="3" t="n">
        <v>46269</v>
      </c>
      <c r="D195" s="4" t="n">
        <v>8.6</v>
      </c>
      <c r="E195" t="inlineStr">
        <is>
          <t>instance on-demand $68.8/hr / 8 GPUs (derived)</t>
        </is>
      </c>
      <c r="F195" t="inlineStr">
        <is>
          <t>Derived</t>
        </is>
      </c>
      <c r="G195" t="inlineStr">
        <is>
          <t>https://web.archive.org/web/20260904032932/https://www.coreweave.com/pricing</t>
        </is>
      </c>
      <c r="H195" t="inlineStr">
        <is>
          <t>NVIDIA HGX B200|8|180|128|2,048|61.44|$68.80</t>
        </is>
      </c>
    </row>
    <row r="196">
      <c r="A196" t="inlineStr">
        <is>
          <t>CoreWeave</t>
        </is>
      </c>
      <c r="B196" t="inlineStr">
        <is>
          <t>B200</t>
        </is>
      </c>
      <c r="C196" s="3" t="n">
        <v>46296</v>
      </c>
      <c r="D196" s="4" t="n">
        <v>8.6</v>
      </c>
      <c r="E196" t="inlineStr">
        <is>
          <t>instance on-demand $68.8/hr / 8 GPUs (derived)</t>
        </is>
      </c>
      <c r="F196" t="inlineStr">
        <is>
          <t>Derived</t>
        </is>
      </c>
      <c r="G196" t="inlineStr">
        <is>
          <t>https://web.archive.org/web/20261001003124/https://www.coreweave.com/pricing</t>
        </is>
      </c>
      <c r="H196" t="inlineStr">
        <is>
          <t>NVIDIA HGX B200|8|180|128|2,048|61.44|$68.80</t>
        </is>
      </c>
    </row>
    <row r="197">
      <c r="A197" t="inlineStr">
        <is>
          <t>CoreWeave</t>
        </is>
      </c>
      <c r="B197" t="inlineStr">
        <is>
          <t>GB200 NVL72</t>
        </is>
      </c>
      <c r="C197" s="3" t="n">
        <v>45697</v>
      </c>
      <c r="D197" s="4" t="n">
        <v>10.5</v>
      </c>
      <c r="E197" t="inlineStr">
        <is>
          <t>instance on-demand $42.0/hr / 4 GPUs (derived)</t>
        </is>
      </c>
      <c r="F197" t="inlineStr">
        <is>
          <t>Derived</t>
        </is>
      </c>
      <c r="G197" t="inlineStr">
        <is>
          <t>https://web.archive.org/web/20250209162626/https://www.coreweave.com/pricing</t>
        </is>
      </c>
      <c r="H197" t="inlineStr">
        <is>
          <t>NVIDIA GB200 NVL72|4^1|192|144|960|30.72|$42</t>
        </is>
      </c>
    </row>
    <row r="198">
      <c r="A198" t="inlineStr">
        <is>
          <t>CoreWeave</t>
        </is>
      </c>
      <c r="B198" t="inlineStr">
        <is>
          <t>GB200 NVL72</t>
        </is>
      </c>
      <c r="C198" s="3" t="n">
        <v>45721</v>
      </c>
      <c r="D198" s="4" t="n">
        <v>10.5</v>
      </c>
      <c r="E198" t="inlineStr">
        <is>
          <t>instance on-demand $42.0/hr / 4 GPUs (derived)</t>
        </is>
      </c>
      <c r="F198" t="inlineStr">
        <is>
          <t>Derived</t>
        </is>
      </c>
      <c r="G198" t="inlineStr">
        <is>
          <t>https://web.archive.org/web/20250305013810/https://www.coreweave.com/pricing</t>
        </is>
      </c>
      <c r="H198" t="inlineStr">
        <is>
          <t>NVIDIA GB200 NVL72|4^1|186|144|960|30.72|$42</t>
        </is>
      </c>
    </row>
    <row r="199">
      <c r="A199" t="inlineStr">
        <is>
          <t>CoreWeave</t>
        </is>
      </c>
      <c r="B199" t="inlineStr">
        <is>
          <t>GB200 NVL72</t>
        </is>
      </c>
      <c r="C199" s="3" t="n">
        <v>45763</v>
      </c>
      <c r="D199" s="4" t="n">
        <v>10.5</v>
      </c>
      <c r="E199" t="inlineStr">
        <is>
          <t>instance on-demand $42.0/hr / 4 GPUs (derived)</t>
        </is>
      </c>
      <c r="F199" t="inlineStr">
        <is>
          <t>Derived</t>
        </is>
      </c>
      <c r="G199" t="inlineStr">
        <is>
          <t>https://web.archive.org/web/20250416205610/https://coreweave.com/pricing</t>
        </is>
      </c>
      <c r="H199" t="inlineStr">
        <is>
          <t>NVIDIA GB200 NVL72|4^1|186|144|960|30.72|$42.00</t>
        </is>
      </c>
    </row>
    <row r="200">
      <c r="A200" t="inlineStr">
        <is>
          <t>CoreWeave</t>
        </is>
      </c>
      <c r="B200" t="inlineStr">
        <is>
          <t>GB200 NVL72</t>
        </is>
      </c>
      <c r="C200" s="3" t="n">
        <v>45788</v>
      </c>
      <c r="D200" s="4" t="n">
        <v>10.5</v>
      </c>
      <c r="E200" t="inlineStr">
        <is>
          <t>instance on-demand $42.0/hr / 4 GPUs (derived)</t>
        </is>
      </c>
      <c r="F200" t="inlineStr">
        <is>
          <t>Derived</t>
        </is>
      </c>
      <c r="G200" t="inlineStr">
        <is>
          <t>https://web.archive.org/web/20250511175459/https://coreweave.com/pricing</t>
        </is>
      </c>
      <c r="H200" t="inlineStr">
        <is>
          <t>NVIDIA GB200 NVL72|4^1|192|144|960|30.72|$42.00</t>
        </is>
      </c>
    </row>
    <row r="201">
      <c r="A201" t="inlineStr">
        <is>
          <t>CoreWeave</t>
        </is>
      </c>
      <c r="B201" t="inlineStr">
        <is>
          <t>GB200 NVL72</t>
        </is>
      </c>
      <c r="C201" s="3" t="n">
        <v>45817</v>
      </c>
      <c r="D201" s="4" t="n">
        <v>10.5</v>
      </c>
      <c r="E201" t="inlineStr">
        <is>
          <t>instance on-demand $42.0/hr / 4 GPUs (derived)</t>
        </is>
      </c>
      <c r="F201" t="inlineStr">
        <is>
          <t>Derived</t>
        </is>
      </c>
      <c r="G201" t="inlineStr">
        <is>
          <t>https://web.archive.org/web/20250609162833/https://coreweave.com/pricing</t>
        </is>
      </c>
      <c r="H201" t="inlineStr">
        <is>
          <t>NVIDIA GB200 NVL72|4^1|186|144|960|30.72|$42.00</t>
        </is>
      </c>
    </row>
    <row r="202">
      <c r="A202" t="inlineStr">
        <is>
          <t>CoreWeave</t>
        </is>
      </c>
      <c r="B202" t="inlineStr">
        <is>
          <t>GB200 NVL72</t>
        </is>
      </c>
      <c r="C202" s="3" t="n">
        <v>45856</v>
      </c>
      <c r="D202" s="4" t="n">
        <v>10.5</v>
      </c>
      <c r="E202" t="inlineStr">
        <is>
          <t>instance on-demand $42.0/hr / 4 GPUs (derived)</t>
        </is>
      </c>
      <c r="F202" t="inlineStr">
        <is>
          <t>Derived</t>
        </is>
      </c>
      <c r="G202" t="inlineStr">
        <is>
          <t>https://web.archive.org/web/20250718045748/https://www.coreweave.com/pricing</t>
        </is>
      </c>
      <c r="H202" t="inlineStr">
        <is>
          <t>NVIDIA GB200 NVL72|4^1|186|144|960|30.72|$42.00</t>
        </is>
      </c>
    </row>
    <row r="203">
      <c r="A203" t="inlineStr">
        <is>
          <t>CoreWeave</t>
        </is>
      </c>
      <c r="B203" t="inlineStr">
        <is>
          <t>GB200 NVL72</t>
        </is>
      </c>
      <c r="C203" s="3" t="n">
        <v>45876</v>
      </c>
      <c r="D203" s="4" t="n">
        <v>10.5</v>
      </c>
      <c r="E203" t="inlineStr">
        <is>
          <t>instance on-demand $42.0/hr / 4 GPUs (derived)</t>
        </is>
      </c>
      <c r="F203" t="inlineStr">
        <is>
          <t>Derived</t>
        </is>
      </c>
      <c r="G203" t="inlineStr">
        <is>
          <t>https://web.archive.org/web/20250807194512/https://coreweave.com/pricing</t>
        </is>
      </c>
      <c r="H203" t="inlineStr">
        <is>
          <t>NVIDIA GB200 NVL72|4^1|186|144|960|30.72|$42.00</t>
        </is>
      </c>
    </row>
    <row r="204">
      <c r="A204" t="inlineStr">
        <is>
          <t>CoreWeave</t>
        </is>
      </c>
      <c r="B204" t="inlineStr">
        <is>
          <t>GB200 NVL72</t>
        </is>
      </c>
      <c r="C204" s="3" t="n">
        <v>45903</v>
      </c>
      <c r="D204" s="4" t="n">
        <v>10.5</v>
      </c>
      <c r="E204" t="inlineStr">
        <is>
          <t>instance on-demand $42.0/hr / 4 GPUs (derived)</t>
        </is>
      </c>
      <c r="F204" t="inlineStr">
        <is>
          <t>Derived</t>
        </is>
      </c>
      <c r="G204" t="inlineStr">
        <is>
          <t>https://web.archive.org/web/20250903111658/https://www.coreweave.com/pricing</t>
        </is>
      </c>
      <c r="H204" t="inlineStr">
        <is>
          <t>NVIDIA GB200 NVL72|4^1|186|144|960|30.72|$42.00</t>
        </is>
      </c>
    </row>
    <row r="205">
      <c r="A205" t="inlineStr">
        <is>
          <t>CoreWeave</t>
        </is>
      </c>
      <c r="B205" t="inlineStr">
        <is>
          <t>GB200 NVL72</t>
        </is>
      </c>
      <c r="C205" s="3" t="n">
        <v>45933</v>
      </c>
      <c r="D205" s="4" t="n">
        <v>10.5</v>
      </c>
      <c r="E205" t="inlineStr">
        <is>
          <t>instance on-demand $42.0/hr / 4 GPUs (derived)</t>
        </is>
      </c>
      <c r="F205" t="inlineStr">
        <is>
          <t>Derived</t>
        </is>
      </c>
      <c r="G205" t="inlineStr">
        <is>
          <t>https://web.archive.org/web/20251003103002/https://www.coreweave.com/pricing</t>
        </is>
      </c>
      <c r="H205" t="inlineStr">
        <is>
          <t>NVIDIA GB200 NVL72|4^1|186|144|960|30.72|$42.00</t>
        </is>
      </c>
    </row>
    <row r="206">
      <c r="A206" t="inlineStr">
        <is>
          <t>CoreWeave</t>
        </is>
      </c>
      <c r="B206" t="inlineStr">
        <is>
          <t>GB200 NVL72</t>
        </is>
      </c>
      <c r="C206" s="3" t="n">
        <v>45962</v>
      </c>
      <c r="D206" s="4" t="n">
        <v>10.5</v>
      </c>
      <c r="E206" t="inlineStr">
        <is>
          <t>instance on-demand $42.0/hr / 4 GPUs (derived)</t>
        </is>
      </c>
      <c r="F206" t="inlineStr">
        <is>
          <t>Derived</t>
        </is>
      </c>
      <c r="G206" t="inlineStr">
        <is>
          <t>https://web.archive.org/web/20251101141755/https://www.coreweave.com/pricing</t>
        </is>
      </c>
      <c r="H206" t="inlineStr">
        <is>
          <t>NVIDIA GB200 NVL72|4^1|186|144|960|30.72|$42.00</t>
        </is>
      </c>
    </row>
    <row r="207">
      <c r="A207" t="inlineStr">
        <is>
          <t>CoreWeave</t>
        </is>
      </c>
      <c r="B207" t="inlineStr">
        <is>
          <t>GB200 NVL72</t>
        </is>
      </c>
      <c r="C207" s="3" t="n">
        <v>46007</v>
      </c>
      <c r="D207" s="4" t="n">
        <v>10.5</v>
      </c>
      <c r="E207" t="inlineStr">
        <is>
          <t>instance on-demand $42.0/hr / 4 GPUs (derived)</t>
        </is>
      </c>
      <c r="F207" t="inlineStr">
        <is>
          <t>Derived</t>
        </is>
      </c>
      <c r="G207" t="inlineStr">
        <is>
          <t>https://web.archive.org/web/20251216064621/https://coreweave.com/pricing</t>
        </is>
      </c>
      <c r="H207" t="inlineStr">
        <is>
          <t>NVIDIA GB200 NVL72|4^1|186|144|960|30.72|$42.00</t>
        </is>
      </c>
    </row>
    <row r="208">
      <c r="A208" t="inlineStr">
        <is>
          <t>CoreWeave</t>
        </is>
      </c>
      <c r="B208" t="inlineStr">
        <is>
          <t>GB200 NVL72</t>
        </is>
      </c>
      <c r="C208" s="3" t="n">
        <v>46028</v>
      </c>
      <c r="D208" s="4" t="n">
        <v>10.5</v>
      </c>
      <c r="E208" t="inlineStr">
        <is>
          <t>instance on-demand $42.0/hr / 4 GPUs (derived)</t>
        </is>
      </c>
      <c r="F208" t="inlineStr">
        <is>
          <t>Derived</t>
        </is>
      </c>
      <c r="G208" t="inlineStr">
        <is>
          <t>https://web.archive.org/web/20260106014605/https://www.coreweave.com/pricing</t>
        </is>
      </c>
      <c r="H208" t="inlineStr">
        <is>
          <t>NVIDIA GB200 NVL72|4^1|186|144|960|30.72|$42.00</t>
        </is>
      </c>
    </row>
    <row r="209">
      <c r="A209" t="inlineStr">
        <is>
          <t>CoreWeave</t>
        </is>
      </c>
      <c r="B209" t="inlineStr">
        <is>
          <t>GB200 NVL72</t>
        </is>
      </c>
      <c r="C209" s="3" t="n">
        <v>46078</v>
      </c>
      <c r="D209" s="4" t="n">
        <v>10.5</v>
      </c>
      <c r="E209" t="inlineStr">
        <is>
          <t>instance on-demand $42.0/hr / 4 GPUs (derived)</t>
        </is>
      </c>
      <c r="F209" t="inlineStr">
        <is>
          <t>Derived</t>
        </is>
      </c>
      <c r="G209" t="inlineStr">
        <is>
          <t>https://web.archive.org/web/20260225001139/https://www.coreweave.com/pricing</t>
        </is>
      </c>
      <c r="H209" t="inlineStr">
        <is>
          <t>NVIDIA GB200 NVL72|4^1|186|144|960|30.72|$42.00</t>
        </is>
      </c>
    </row>
    <row r="210">
      <c r="A210" t="inlineStr">
        <is>
          <t>CoreWeave</t>
        </is>
      </c>
      <c r="B210" t="inlineStr">
        <is>
          <t>GB200 NVL72</t>
        </is>
      </c>
      <c r="C210" s="3" t="n">
        <v>46094</v>
      </c>
      <c r="D210" s="4" t="n">
        <v>10.5</v>
      </c>
      <c r="E210" t="inlineStr">
        <is>
          <t>instance on-demand $42.0/hr / 4 GPUs (derived)</t>
        </is>
      </c>
      <c r="F210" t="inlineStr">
        <is>
          <t>Derived</t>
        </is>
      </c>
      <c r="G210" t="inlineStr">
        <is>
          <t>https://web.archive.org/web/20260313081744/https://coreweave.com/pricing</t>
        </is>
      </c>
      <c r="H210" t="inlineStr">
        <is>
          <t>NVIDIA GB200 NVL72|4^1|186|144|960|30.72|$42.00</t>
        </is>
      </c>
    </row>
    <row r="211">
      <c r="A211" t="inlineStr">
        <is>
          <t>CoreWeave</t>
        </is>
      </c>
      <c r="B211" t="inlineStr">
        <is>
          <t>GB200 NVL72</t>
        </is>
      </c>
      <c r="C211" s="3" t="n">
        <v>46127</v>
      </c>
      <c r="D211" s="4" t="n">
        <v>10.5</v>
      </c>
      <c r="E211" t="inlineStr">
        <is>
          <t>instance on-demand $42.0/hr / 4 GPUs (derived)</t>
        </is>
      </c>
      <c r="F211" t="inlineStr">
        <is>
          <t>Derived</t>
        </is>
      </c>
      <c r="G211" t="inlineStr">
        <is>
          <t>https://web.archive.org/web/20260415105017/https://coreweave.com/pricing</t>
        </is>
      </c>
      <c r="H211" t="inlineStr">
        <is>
          <t>NVIDIA GB200 NVL72|4^1|186|144|960|30.72|$42.00</t>
        </is>
      </c>
    </row>
    <row r="212">
      <c r="A212" t="inlineStr">
        <is>
          <t>CoreWeave</t>
        </is>
      </c>
      <c r="B212" t="inlineStr">
        <is>
          <t>GB200 NVL72</t>
        </is>
      </c>
      <c r="C212" s="3" t="n">
        <v>46152</v>
      </c>
      <c r="D212" s="4" t="n">
        <v>10.5</v>
      </c>
      <c r="E212" t="inlineStr">
        <is>
          <t>instance on-demand $42.0/hr / 4 GPUs (derived)</t>
        </is>
      </c>
      <c r="F212" t="inlineStr">
        <is>
          <t>Derived</t>
        </is>
      </c>
      <c r="G212" t="inlineStr">
        <is>
          <t>https://web.archive.org/web/20260510055757/https://coreweave.com/pricing</t>
        </is>
      </c>
      <c r="H212" t="inlineStr">
        <is>
          <t>NVIDIA GB200 NVL72|4^1|186|144|960|30.72|$42.00</t>
        </is>
      </c>
    </row>
    <row r="213">
      <c r="A213" t="inlineStr">
        <is>
          <t>CoreWeave</t>
        </is>
      </c>
      <c r="B213" t="inlineStr">
        <is>
          <t>GB200 NVL72</t>
        </is>
      </c>
      <c r="C213" s="3" t="n">
        <v>46178</v>
      </c>
      <c r="D213" s="4" t="n">
        <v>10.5</v>
      </c>
      <c r="E213" t="inlineStr">
        <is>
          <t>instance on-demand $42.0/hr / 4 GPUs (derived)</t>
        </is>
      </c>
      <c r="F213" t="inlineStr">
        <is>
          <t>Derived</t>
        </is>
      </c>
      <c r="G213" t="inlineStr">
        <is>
          <t>https://web.archive.org/web/20260605195952/https://www.coreweave.com/pricing</t>
        </is>
      </c>
      <c r="H213" t="inlineStr">
        <is>
          <t>NVIDIA GB200 NVL72|4^1|186|144|960|30.72|$42.00</t>
        </is>
      </c>
    </row>
    <row r="214">
      <c r="A214" t="inlineStr">
        <is>
          <t>CoreWeave</t>
        </is>
      </c>
      <c r="B214" t="inlineStr">
        <is>
          <t>GB200 NVL72</t>
        </is>
      </c>
      <c r="C214" s="3" t="n">
        <v>46214</v>
      </c>
      <c r="D214" s="4" t="n">
        <v>10.5</v>
      </c>
      <c r="E214" t="inlineStr">
        <is>
          <t>instance on-demand $42.0/hr / 4 GPUs (derived)</t>
        </is>
      </c>
      <c r="F214" t="inlineStr">
        <is>
          <t>Derived</t>
        </is>
      </c>
      <c r="G214" t="inlineStr">
        <is>
          <t>https://web.archive.org/web/20260711021026/https://www.coreweave.com/pricing</t>
        </is>
      </c>
      <c r="H214" t="inlineStr">
        <is>
          <t>NVIDIA GB200 NVL72|4^1|186|144|960|30.72|$42.00</t>
        </is>
      </c>
    </row>
    <row r="215">
      <c r="A215" t="inlineStr">
        <is>
          <t>CoreWeave</t>
        </is>
      </c>
      <c r="B215" t="inlineStr">
        <is>
          <t>GB200 NVL72</t>
        </is>
      </c>
      <c r="C215" s="3" t="n">
        <v>46237</v>
      </c>
      <c r="D215" s="4" t="n">
        <v>10.5</v>
      </c>
      <c r="E215" t="inlineStr">
        <is>
          <t>instance on-demand $42.0/hr / 4 GPUs (derived)</t>
        </is>
      </c>
      <c r="F215" t="inlineStr">
        <is>
          <t>Derived</t>
        </is>
      </c>
      <c r="G215" t="inlineStr">
        <is>
          <t>https://web.archive.org/web/20260803103255/https://www.coreweave.com/pricing</t>
        </is>
      </c>
      <c r="H215" t="inlineStr">
        <is>
          <t>NVIDIA GB200 NVL72|4^1|186|144|960|30.72|$42.00</t>
        </is>
      </c>
    </row>
    <row r="216">
      <c r="A216" t="inlineStr">
        <is>
          <t>CoreWeave</t>
        </is>
      </c>
      <c r="B216" t="inlineStr">
        <is>
          <t>GB200 NVL72</t>
        </is>
      </c>
      <c r="C216" s="3" t="n">
        <v>46269</v>
      </c>
      <c r="D216" s="4" t="n">
        <v>10.5</v>
      </c>
      <c r="E216" t="inlineStr">
        <is>
          <t>instance on-demand $42.0/hr / 4 GPUs (derived)</t>
        </is>
      </c>
      <c r="F216" t="inlineStr">
        <is>
          <t>Derived</t>
        </is>
      </c>
      <c r="G216" t="inlineStr">
        <is>
          <t>https://web.archive.org/web/20260904032932/https://www.coreweave.com/pricing</t>
        </is>
      </c>
      <c r="H216" t="inlineStr">
        <is>
          <t>NVIDIA GB200 NVL72|4^1|186|144|960|30.72|$42.00</t>
        </is>
      </c>
    </row>
    <row r="217">
      <c r="A217" t="inlineStr">
        <is>
          <t>CoreWeave</t>
        </is>
      </c>
      <c r="B217" t="inlineStr">
        <is>
          <t>GB200 NVL72</t>
        </is>
      </c>
      <c r="C217" s="3" t="n">
        <v>46296</v>
      </c>
      <c r="D217" s="4" t="n">
        <v>10.5</v>
      </c>
      <c r="E217" t="inlineStr">
        <is>
          <t>instance on-demand $42.0/hr / 4 GPUs (derived)</t>
        </is>
      </c>
      <c r="F217" t="inlineStr">
        <is>
          <t>Derived</t>
        </is>
      </c>
      <c r="G217" t="inlineStr">
        <is>
          <t>https://web.archive.org/web/20261001003124/https://www.coreweave.com/pricing</t>
        </is>
      </c>
      <c r="H217" t="inlineStr">
        <is>
          <t>NVIDIA GB200 NVL72|4^1|186|144|960|30.72|$42.00</t>
        </is>
      </c>
    </row>
    <row r="218">
      <c r="A218" t="inlineStr">
        <is>
          <t>CoreWeave</t>
        </is>
      </c>
      <c r="B218" t="inlineStr">
        <is>
          <t>H100</t>
        </is>
      </c>
      <c r="C218" s="3" t="n">
        <v>45299</v>
      </c>
      <c r="D218" s="4" t="n">
        <v>4.76</v>
      </c>
      <c r="E218" t="inlineStr">
        <is>
          <t>GPU component price per GPU-hr (excl. CPU/RAM, legacy rate card)</t>
        </is>
      </c>
      <c r="F218" t="inlineStr">
        <is>
          <t>Reported</t>
        </is>
      </c>
      <c r="G218" t="inlineStr">
        <is>
          <t>https://web.archive.org/web/20240108002155/https://www.coreweave.com/gpu-cloud-pricing</t>
        </is>
      </c>
      <c r="H218" t="inlineStr">
        <is>
          <t>NVIDIA HGX H100|80|48|256|$4.76</t>
        </is>
      </c>
    </row>
    <row r="219">
      <c r="A219" t="inlineStr">
        <is>
          <t>CoreWeave</t>
        </is>
      </c>
      <c r="B219" t="inlineStr">
        <is>
          <t>H100</t>
        </is>
      </c>
      <c r="C219" s="3" t="n">
        <v>45327</v>
      </c>
      <c r="D219" s="4" t="n">
        <v>4.76</v>
      </c>
      <c r="E219" t="inlineStr">
        <is>
          <t>GPU component price per GPU-hr (excl. CPU/RAM, legacy rate card)</t>
        </is>
      </c>
      <c r="F219" t="inlineStr">
        <is>
          <t>Reported</t>
        </is>
      </c>
      <c r="G219" t="inlineStr">
        <is>
          <t>https://web.archive.org/web/20240205004831/https://www.coreweave.com/gpu-cloud-pricing</t>
        </is>
      </c>
      <c r="H219" t="inlineStr">
        <is>
          <t>NVIDIA HGX H100|80|48|256|$4.76</t>
        </is>
      </c>
    </row>
    <row r="220">
      <c r="A220" t="inlineStr">
        <is>
          <t>CoreWeave</t>
        </is>
      </c>
      <c r="B220" t="inlineStr">
        <is>
          <t>H100</t>
        </is>
      </c>
      <c r="C220" s="3" t="n">
        <v>45365</v>
      </c>
      <c r="D220" s="4" t="n">
        <v>4.76</v>
      </c>
      <c r="E220" t="inlineStr">
        <is>
          <t>GPU component price per GPU-hr (excl. CPU/RAM, legacy rate card)</t>
        </is>
      </c>
      <c r="F220" t="inlineStr">
        <is>
          <t>Reported</t>
        </is>
      </c>
      <c r="G220" t="inlineStr">
        <is>
          <t>https://web.archive.org/web/20240314134731/https://www.coreweave.com/gpu-cloud-pricing</t>
        </is>
      </c>
      <c r="H220" t="inlineStr">
        <is>
          <t>NVIDIA HGX H100|80|48|256|$4.76</t>
        </is>
      </c>
    </row>
    <row r="221">
      <c r="A221" t="inlineStr">
        <is>
          <t>CoreWeave</t>
        </is>
      </c>
      <c r="B221" t="inlineStr">
        <is>
          <t>H100</t>
        </is>
      </c>
      <c r="C221" s="3" t="n">
        <v>45395</v>
      </c>
      <c r="D221" s="4" t="n">
        <v>4.76</v>
      </c>
      <c r="E221" t="inlineStr">
        <is>
          <t>GPU component price per GPU-hr (excl. CPU/RAM, legacy rate card)</t>
        </is>
      </c>
      <c r="F221" t="inlineStr">
        <is>
          <t>Reported</t>
        </is>
      </c>
      <c r="G221" t="inlineStr">
        <is>
          <t>https://web.archive.org/web/20240413012946/https://coreweave.com/gpu-cloud-pricing</t>
        </is>
      </c>
      <c r="H221" t="inlineStr">
        <is>
          <t>NVIDIA HGX H100|80|48|256|$4.76</t>
        </is>
      </c>
    </row>
    <row r="222">
      <c r="A222" t="inlineStr">
        <is>
          <t>CoreWeave</t>
        </is>
      </c>
      <c r="B222" t="inlineStr">
        <is>
          <t>H100</t>
        </is>
      </c>
      <c r="C222" s="3" t="n">
        <v>45416</v>
      </c>
      <c r="D222" s="4" t="n">
        <v>4.76</v>
      </c>
      <c r="E222" t="inlineStr">
        <is>
          <t>GPU component price per GPU-hr (excl. CPU/RAM, legacy rate card)</t>
        </is>
      </c>
      <c r="F222" t="inlineStr">
        <is>
          <t>Reported</t>
        </is>
      </c>
      <c r="G222" t="inlineStr">
        <is>
          <t>https://web.archive.org/web/20240504090418/https://coreweave.com/gpu-cloud-pricing</t>
        </is>
      </c>
      <c r="H222" t="inlineStr">
        <is>
          <t>NVIDIA HGX H100|80|48|256|$4.76</t>
        </is>
      </c>
    </row>
    <row r="223">
      <c r="A223" t="inlineStr">
        <is>
          <t>CoreWeave</t>
        </is>
      </c>
      <c r="B223" t="inlineStr">
        <is>
          <t>H100</t>
        </is>
      </c>
      <c r="C223" s="3" t="n">
        <v>45461</v>
      </c>
      <c r="D223" s="4" t="n">
        <v>4.76</v>
      </c>
      <c r="E223" t="inlineStr">
        <is>
          <t>GPU component price per GPU-hr (excl. CPU/RAM, legacy rate card)</t>
        </is>
      </c>
      <c r="F223" t="inlineStr">
        <is>
          <t>Reported</t>
        </is>
      </c>
      <c r="G223" t="inlineStr">
        <is>
          <t>https://web.archive.org/web/20240618205634/https://www.coreweave.com/gpu-cloud-pricing</t>
        </is>
      </c>
      <c r="H223" t="inlineStr">
        <is>
          <t>NVIDIA HGX H100|80|48|256|$4.76</t>
        </is>
      </c>
    </row>
    <row r="224">
      <c r="A224" t="inlineStr">
        <is>
          <t>CoreWeave</t>
        </is>
      </c>
      <c r="B224" t="inlineStr">
        <is>
          <t>H100</t>
        </is>
      </c>
      <c r="C224" s="3" t="n">
        <v>45491</v>
      </c>
      <c r="D224" s="4" t="n">
        <v>4.76</v>
      </c>
      <c r="E224" t="inlineStr">
        <is>
          <t>GPU component price per GPU-hr (excl. CPU/RAM, legacy rate card)</t>
        </is>
      </c>
      <c r="F224" t="inlineStr">
        <is>
          <t>Reported</t>
        </is>
      </c>
      <c r="G224" t="inlineStr">
        <is>
          <t>https://web.archive.org/web/20240718045701/https://www.coreweave.com/gpu-cloud-pricing</t>
        </is>
      </c>
      <c r="H224" t="inlineStr">
        <is>
          <t>NVIDIA HGX H100|80|48|256|$4.76</t>
        </is>
      </c>
    </row>
    <row r="225">
      <c r="A225" t="inlineStr">
        <is>
          <t>CoreWeave</t>
        </is>
      </c>
      <c r="B225" t="inlineStr">
        <is>
          <t>H100</t>
        </is>
      </c>
      <c r="C225" s="3" t="n">
        <v>45510</v>
      </c>
      <c r="D225" s="4" t="n">
        <v>4.76</v>
      </c>
      <c r="E225" t="inlineStr">
        <is>
          <t>GPU component price per GPU-hr (excl. CPU/RAM, legacy rate card)</t>
        </is>
      </c>
      <c r="F225" t="inlineStr">
        <is>
          <t>Reported</t>
        </is>
      </c>
      <c r="G225" t="inlineStr">
        <is>
          <t>https://web.archive.org/web/20240806202622/https://coreweave.com/gpu-cloud-pricing</t>
        </is>
      </c>
      <c r="H225" t="inlineStr">
        <is>
          <t>NVIDIA HGX H100|80|48|256|$4.76</t>
        </is>
      </c>
    </row>
    <row r="226">
      <c r="A226" t="inlineStr">
        <is>
          <t>CoreWeave</t>
        </is>
      </c>
      <c r="B226" t="inlineStr">
        <is>
          <t>H100</t>
        </is>
      </c>
      <c r="C226" s="3" t="n">
        <v>45536</v>
      </c>
      <c r="D226" s="4" t="n">
        <v>4.76</v>
      </c>
      <c r="E226" t="inlineStr">
        <is>
          <t>GPU component price per GPU-hr (excl. CPU/RAM, legacy rate card)</t>
        </is>
      </c>
      <c r="F226" t="inlineStr">
        <is>
          <t>Reported</t>
        </is>
      </c>
      <c r="G226" t="inlineStr">
        <is>
          <t>https://web.archive.org/web/20240901110600/https://coreweave.com/gpu-cloud-pricing</t>
        </is>
      </c>
      <c r="H226" t="inlineStr">
        <is>
          <t>NVIDIA HGX H100|80|48|256|$4.76</t>
        </is>
      </c>
    </row>
    <row r="227">
      <c r="A227" t="inlineStr">
        <is>
          <t>CoreWeave</t>
        </is>
      </c>
      <c r="B227" t="inlineStr">
        <is>
          <t>H100</t>
        </is>
      </c>
      <c r="C227" s="3" t="n">
        <v>45569</v>
      </c>
      <c r="D227" s="4" t="n">
        <v>4.76</v>
      </c>
      <c r="E227" t="inlineStr">
        <is>
          <t>GPU component price per GPU-hr (excl. CPU/RAM, legacy rate card)</t>
        </is>
      </c>
      <c r="F227" t="inlineStr">
        <is>
          <t>Reported</t>
        </is>
      </c>
      <c r="G227" t="inlineStr">
        <is>
          <t>https://web.archive.org/web/20241004113315/https://www.coreweave.com/gpu-cloud-pricing</t>
        </is>
      </c>
      <c r="H227" t="inlineStr">
        <is>
          <t>NVIDIA HGX H100|80|48|256|$4.76</t>
        </is>
      </c>
    </row>
    <row r="228">
      <c r="A228" t="inlineStr">
        <is>
          <t>CoreWeave</t>
        </is>
      </c>
      <c r="B228" t="inlineStr">
        <is>
          <t>H100</t>
        </is>
      </c>
      <c r="C228" s="3" t="n">
        <v>45608</v>
      </c>
      <c r="D228" s="4" t="n">
        <v>4.76</v>
      </c>
      <c r="E228" t="inlineStr">
        <is>
          <t>GPU component price per GPU-hr (excl. CPU/RAM, legacy rate card)</t>
        </is>
      </c>
      <c r="F228" t="inlineStr">
        <is>
          <t>Reported</t>
        </is>
      </c>
      <c r="G228" t="inlineStr">
        <is>
          <t>https://web.archive.org/web/20241112201740/http://www.coreweave.com/gpu-cloud-pricing</t>
        </is>
      </c>
      <c r="H228" t="inlineStr">
        <is>
          <t>NVIDIA HGX H100|80|48|256|$4.76</t>
        </is>
      </c>
    </row>
    <row r="229">
      <c r="A229" t="inlineStr">
        <is>
          <t>CoreWeave</t>
        </is>
      </c>
      <c r="B229" t="inlineStr">
        <is>
          <t>H100</t>
        </is>
      </c>
      <c r="C229" s="3" t="n">
        <v>45632</v>
      </c>
      <c r="D229" s="4" t="n">
        <v>4.76</v>
      </c>
      <c r="E229" t="inlineStr">
        <is>
          <t>GPU component price per GPU-hr (excl. CPU/RAM, legacy rate card)</t>
        </is>
      </c>
      <c r="F229" t="inlineStr">
        <is>
          <t>Reported</t>
        </is>
      </c>
      <c r="G229" t="inlineStr">
        <is>
          <t>https://web.archive.org/web/20241206151408/https://coreweave.com/gpu-cloud-pricing</t>
        </is>
      </c>
      <c r="H229" t="inlineStr">
        <is>
          <t>NVIDIA HGX H100|80|48|256|$4.76</t>
        </is>
      </c>
    </row>
    <row r="230">
      <c r="A230" t="inlineStr">
        <is>
          <t>CoreWeave</t>
        </is>
      </c>
      <c r="B230" t="inlineStr">
        <is>
          <t>H100</t>
        </is>
      </c>
      <c r="C230" s="3" t="n">
        <v>45658</v>
      </c>
      <c r="D230" s="4" t="n">
        <v>6.155</v>
      </c>
      <c r="E230" t="inlineStr">
        <is>
          <t>instance on-demand $49.24/hr / 8 GPUs (derived)</t>
        </is>
      </c>
      <c r="F230" t="inlineStr">
        <is>
          <t>Derived</t>
        </is>
      </c>
      <c r="G230" t="inlineStr">
        <is>
          <t>https://web.archive.org/web/20250101002525/https://www.coreweave.com/pricing</t>
        </is>
      </c>
      <c r="H230" t="inlineStr">
        <is>
          <t>NVIDIA HGX H100|8|80|128|2,048|61.44|$49.24</t>
        </is>
      </c>
    </row>
    <row r="231">
      <c r="A231" t="inlineStr">
        <is>
          <t>CoreWeave</t>
        </is>
      </c>
      <c r="B231" t="inlineStr">
        <is>
          <t>H100</t>
        </is>
      </c>
      <c r="C231" s="3" t="n">
        <v>45697</v>
      </c>
      <c r="D231" s="4" t="n">
        <v>6.155</v>
      </c>
      <c r="E231" t="inlineStr">
        <is>
          <t>instance on-demand $49.24/hr / 8 GPUs (derived)</t>
        </is>
      </c>
      <c r="F231" t="inlineStr">
        <is>
          <t>Derived</t>
        </is>
      </c>
      <c r="G231" t="inlineStr">
        <is>
          <t>https://web.archive.org/web/20250209162626/https://www.coreweave.com/pricing</t>
        </is>
      </c>
      <c r="H231" t="inlineStr">
        <is>
          <t>NVIDIA HGX H100|8|80|128|2,048|61.44|$49.24</t>
        </is>
      </c>
    </row>
    <row r="232">
      <c r="A232" t="inlineStr">
        <is>
          <t>CoreWeave</t>
        </is>
      </c>
      <c r="B232" t="inlineStr">
        <is>
          <t>H100</t>
        </is>
      </c>
      <c r="C232" s="3" t="n">
        <v>45721</v>
      </c>
      <c r="D232" s="4" t="n">
        <v>6.155</v>
      </c>
      <c r="E232" t="inlineStr">
        <is>
          <t>instance on-demand $49.24/hr / 8 GPUs (derived)</t>
        </is>
      </c>
      <c r="F232" t="inlineStr">
        <is>
          <t>Derived</t>
        </is>
      </c>
      <c r="G232" t="inlineStr">
        <is>
          <t>https://web.archive.org/web/20250305013810/https://www.coreweave.com/pricing</t>
        </is>
      </c>
      <c r="H232" t="inlineStr">
        <is>
          <t>NVIDIA HGX H100|8|80|128|2,048|61.44|$49.24</t>
        </is>
      </c>
    </row>
    <row r="233">
      <c r="A233" t="inlineStr">
        <is>
          <t>CoreWeave</t>
        </is>
      </c>
      <c r="B233" t="inlineStr">
        <is>
          <t>H100</t>
        </is>
      </c>
      <c r="C233" s="3" t="n">
        <v>45763</v>
      </c>
      <c r="D233" s="4" t="n">
        <v>6.155</v>
      </c>
      <c r="E233" t="inlineStr">
        <is>
          <t>instance on-demand $49.24/hr / 8 GPUs (derived)</t>
        </is>
      </c>
      <c r="F233" t="inlineStr">
        <is>
          <t>Derived</t>
        </is>
      </c>
      <c r="G233" t="inlineStr">
        <is>
          <t>https://web.archive.org/web/20250416205610/https://coreweave.com/pricing</t>
        </is>
      </c>
      <c r="H233" t="inlineStr">
        <is>
          <t>NVIDIA HGX H100|8|80|128|2,048|61.44|$49.24</t>
        </is>
      </c>
    </row>
    <row r="234">
      <c r="A234" t="inlineStr">
        <is>
          <t>CoreWeave</t>
        </is>
      </c>
      <c r="B234" t="inlineStr">
        <is>
          <t>H100</t>
        </is>
      </c>
      <c r="C234" s="3" t="n">
        <v>45788</v>
      </c>
      <c r="D234" s="4" t="n">
        <v>6.155</v>
      </c>
      <c r="E234" t="inlineStr">
        <is>
          <t>instance on-demand $49.24/hr / 8 GPUs (derived)</t>
        </is>
      </c>
      <c r="F234" t="inlineStr">
        <is>
          <t>Derived</t>
        </is>
      </c>
      <c r="G234" t="inlineStr">
        <is>
          <t>https://web.archive.org/web/20250511175459/https://coreweave.com/pricing</t>
        </is>
      </c>
      <c r="H234" t="inlineStr">
        <is>
          <t>NVIDIA HGX H100|8|80|128|2,048|61.44|$49.24</t>
        </is>
      </c>
    </row>
    <row r="235">
      <c r="A235" t="inlineStr">
        <is>
          <t>CoreWeave</t>
        </is>
      </c>
      <c r="B235" t="inlineStr">
        <is>
          <t>H100</t>
        </is>
      </c>
      <c r="C235" s="3" t="n">
        <v>45817</v>
      </c>
      <c r="D235" s="4" t="n">
        <v>6.155</v>
      </c>
      <c r="E235" t="inlineStr">
        <is>
          <t>instance on-demand $49.24/hr / 8 GPUs (derived)</t>
        </is>
      </c>
      <c r="F235" t="inlineStr">
        <is>
          <t>Derived</t>
        </is>
      </c>
      <c r="G235" t="inlineStr">
        <is>
          <t>https://web.archive.org/web/20250609162833/https://coreweave.com/pricing</t>
        </is>
      </c>
      <c r="H235" t="inlineStr">
        <is>
          <t>NVIDIA HGX H100|8|80|128|2,048|61.44|$49.24</t>
        </is>
      </c>
    </row>
    <row r="236">
      <c r="A236" t="inlineStr">
        <is>
          <t>CoreWeave</t>
        </is>
      </c>
      <c r="B236" t="inlineStr">
        <is>
          <t>H100</t>
        </is>
      </c>
      <c r="C236" s="3" t="n">
        <v>45856</v>
      </c>
      <c r="D236" s="4" t="n">
        <v>6.155</v>
      </c>
      <c r="E236" t="inlineStr">
        <is>
          <t>instance on-demand $49.24/hr / 8 GPUs (derived)</t>
        </is>
      </c>
      <c r="F236" t="inlineStr">
        <is>
          <t>Derived</t>
        </is>
      </c>
      <c r="G236" t="inlineStr">
        <is>
          <t>https://web.archive.org/web/20250718045748/https://www.coreweave.com/pricing</t>
        </is>
      </c>
      <c r="H236" t="inlineStr">
        <is>
          <t>NVIDIA HGX H100|8|80|128|2,048|61.44|$49.24</t>
        </is>
      </c>
    </row>
    <row r="237">
      <c r="A237" t="inlineStr">
        <is>
          <t>CoreWeave</t>
        </is>
      </c>
      <c r="B237" t="inlineStr">
        <is>
          <t>H100</t>
        </is>
      </c>
      <c r="C237" s="3" t="n">
        <v>45876</v>
      </c>
      <c r="D237" s="4" t="n">
        <v>6.155</v>
      </c>
      <c r="E237" t="inlineStr">
        <is>
          <t>instance on-demand $49.24/hr / 8 GPUs (derived)</t>
        </is>
      </c>
      <c r="F237" t="inlineStr">
        <is>
          <t>Derived</t>
        </is>
      </c>
      <c r="G237" t="inlineStr">
        <is>
          <t>https://web.archive.org/web/20250807194512/https://coreweave.com/pricing</t>
        </is>
      </c>
      <c r="H237" t="inlineStr">
        <is>
          <t>NVIDIA HGX H100|8|80|128|2,048|61.44|$49.24</t>
        </is>
      </c>
    </row>
    <row r="238">
      <c r="A238" t="inlineStr">
        <is>
          <t>CoreWeave</t>
        </is>
      </c>
      <c r="B238" t="inlineStr">
        <is>
          <t>H100</t>
        </is>
      </c>
      <c r="C238" s="3" t="n">
        <v>45903</v>
      </c>
      <c r="D238" s="4" t="n">
        <v>6.155</v>
      </c>
      <c r="E238" t="inlineStr">
        <is>
          <t>instance on-demand $49.24/hr / 8 GPUs (derived)</t>
        </is>
      </c>
      <c r="F238" t="inlineStr">
        <is>
          <t>Derived</t>
        </is>
      </c>
      <c r="G238" t="inlineStr">
        <is>
          <t>https://web.archive.org/web/20250903111658/https://www.coreweave.com/pricing</t>
        </is>
      </c>
      <c r="H238" t="inlineStr">
        <is>
          <t>NVIDIA HGX H100|8|80|128|2,048|61.44|$49.24</t>
        </is>
      </c>
    </row>
    <row r="239">
      <c r="A239" t="inlineStr">
        <is>
          <t>CoreWeave</t>
        </is>
      </c>
      <c r="B239" t="inlineStr">
        <is>
          <t>H100</t>
        </is>
      </c>
      <c r="C239" s="3" t="n">
        <v>45933</v>
      </c>
      <c r="D239" s="4" t="n">
        <v>6.155</v>
      </c>
      <c r="E239" t="inlineStr">
        <is>
          <t>instance on-demand $49.24/hr / 8 GPUs (derived)</t>
        </is>
      </c>
      <c r="F239" t="inlineStr">
        <is>
          <t>Derived</t>
        </is>
      </c>
      <c r="G239" t="inlineStr">
        <is>
          <t>https://web.archive.org/web/20251003103002/https://www.coreweave.com/pricing</t>
        </is>
      </c>
      <c r="H239" t="inlineStr">
        <is>
          <t>NVIDIA HGX H100|8|80|128|2,048|61.44|$49.24</t>
        </is>
      </c>
    </row>
    <row r="240">
      <c r="A240" t="inlineStr">
        <is>
          <t>CoreWeave</t>
        </is>
      </c>
      <c r="B240" t="inlineStr">
        <is>
          <t>H100</t>
        </is>
      </c>
      <c r="C240" s="3" t="n">
        <v>45962</v>
      </c>
      <c r="D240" s="4" t="n">
        <v>6.155</v>
      </c>
      <c r="E240" t="inlineStr">
        <is>
          <t>instance on-demand $49.24/hr / 8 GPUs (derived)</t>
        </is>
      </c>
      <c r="F240" t="inlineStr">
        <is>
          <t>Derived</t>
        </is>
      </c>
      <c r="G240" t="inlineStr">
        <is>
          <t>https://web.archive.org/web/20251101141755/https://www.coreweave.com/pricing</t>
        </is>
      </c>
      <c r="H240" t="inlineStr">
        <is>
          <t>NVIDIA HGX H100|8|80|128|2,048|61.44|$49.24</t>
        </is>
      </c>
    </row>
    <row r="241">
      <c r="A241" t="inlineStr">
        <is>
          <t>CoreWeave</t>
        </is>
      </c>
      <c r="B241" t="inlineStr">
        <is>
          <t>H100</t>
        </is>
      </c>
      <c r="C241" s="3" t="n">
        <v>46007</v>
      </c>
      <c r="D241" s="4" t="n">
        <v>6.155</v>
      </c>
      <c r="E241" t="inlineStr">
        <is>
          <t>instance on-demand $49.24/hr / 8 GPUs (derived)</t>
        </is>
      </c>
      <c r="F241" t="inlineStr">
        <is>
          <t>Derived</t>
        </is>
      </c>
      <c r="G241" t="inlineStr">
        <is>
          <t>https://web.archive.org/web/20251216064621/https://coreweave.com/pricing</t>
        </is>
      </c>
      <c r="H241" t="inlineStr">
        <is>
          <t>NVIDIA HGX H100|8|80|128|2,048|61.44|$49.24</t>
        </is>
      </c>
    </row>
    <row r="242">
      <c r="A242" t="inlineStr">
        <is>
          <t>CoreWeave</t>
        </is>
      </c>
      <c r="B242" t="inlineStr">
        <is>
          <t>H100</t>
        </is>
      </c>
      <c r="C242" s="3" t="n">
        <v>46028</v>
      </c>
      <c r="D242" s="4" t="n">
        <v>6.155</v>
      </c>
      <c r="E242" t="inlineStr">
        <is>
          <t>instance on-demand $49.24/hr / 8 GPUs (derived)</t>
        </is>
      </c>
      <c r="F242" t="inlineStr">
        <is>
          <t>Derived</t>
        </is>
      </c>
      <c r="G242" t="inlineStr">
        <is>
          <t>https://web.archive.org/web/20260106014605/https://www.coreweave.com/pricing</t>
        </is>
      </c>
      <c r="H242" t="inlineStr">
        <is>
          <t>NVIDIA HGX H100|8|80|128|2,048|61.44|$49.24</t>
        </is>
      </c>
    </row>
    <row r="243">
      <c r="A243" t="inlineStr">
        <is>
          <t>CoreWeave</t>
        </is>
      </c>
      <c r="B243" t="inlineStr">
        <is>
          <t>H100</t>
        </is>
      </c>
      <c r="C243" s="3" t="n">
        <v>46078</v>
      </c>
      <c r="D243" s="4" t="n">
        <v>6.155</v>
      </c>
      <c r="E243" t="inlineStr">
        <is>
          <t>instance on-demand $49.24/hr / 8 GPUs (derived)</t>
        </is>
      </c>
      <c r="F243" t="inlineStr">
        <is>
          <t>Derived</t>
        </is>
      </c>
      <c r="G243" t="inlineStr">
        <is>
          <t>https://web.archive.org/web/20260225001139/https://www.coreweave.com/pricing</t>
        </is>
      </c>
      <c r="H243" t="inlineStr">
        <is>
          <t>NVIDIA HGX H100|8|80|128|2,048|61.44|$49.24</t>
        </is>
      </c>
    </row>
    <row r="244">
      <c r="A244" t="inlineStr">
        <is>
          <t>CoreWeave</t>
        </is>
      </c>
      <c r="B244" t="inlineStr">
        <is>
          <t>H100</t>
        </is>
      </c>
      <c r="C244" s="3" t="n">
        <v>46094</v>
      </c>
      <c r="D244" s="4" t="n">
        <v>6.155</v>
      </c>
      <c r="E244" t="inlineStr">
        <is>
          <t>instance on-demand $49.24/hr / 8 GPUs (derived)</t>
        </is>
      </c>
      <c r="F244" t="inlineStr">
        <is>
          <t>Derived</t>
        </is>
      </c>
      <c r="G244" t="inlineStr">
        <is>
          <t>https://web.archive.org/web/20260313081744/https://coreweave.com/pricing</t>
        </is>
      </c>
      <c r="H244" t="inlineStr">
        <is>
          <t>NVIDIA HGX H100|8|80|128|2,048|61.44|$49.24</t>
        </is>
      </c>
    </row>
    <row r="245">
      <c r="A245" t="inlineStr">
        <is>
          <t>CoreWeave</t>
        </is>
      </c>
      <c r="B245" t="inlineStr">
        <is>
          <t>H100</t>
        </is>
      </c>
      <c r="C245" s="3" t="n">
        <v>46127</v>
      </c>
      <c r="D245" s="4" t="n">
        <v>6.155</v>
      </c>
      <c r="E245" t="inlineStr">
        <is>
          <t>instance on-demand $49.24/hr / 8 GPUs (derived)</t>
        </is>
      </c>
      <c r="F245" t="inlineStr">
        <is>
          <t>Derived</t>
        </is>
      </c>
      <c r="G245" t="inlineStr">
        <is>
          <t>https://web.archive.org/web/20260415105017/https://coreweave.com/pricing</t>
        </is>
      </c>
      <c r="H245" t="inlineStr">
        <is>
          <t>NVIDIA HGX H100|8|80|128|2,048|61.44|$49.24</t>
        </is>
      </c>
    </row>
    <row r="246">
      <c r="A246" t="inlineStr">
        <is>
          <t>CoreWeave</t>
        </is>
      </c>
      <c r="B246" t="inlineStr">
        <is>
          <t>H100</t>
        </is>
      </c>
      <c r="C246" s="3" t="n">
        <v>46152</v>
      </c>
      <c r="D246" s="4" t="n">
        <v>6.155</v>
      </c>
      <c r="E246" t="inlineStr">
        <is>
          <t>instance on-demand $49.24/hr / 8 GPUs (derived)</t>
        </is>
      </c>
      <c r="F246" t="inlineStr">
        <is>
          <t>Derived</t>
        </is>
      </c>
      <c r="G246" t="inlineStr">
        <is>
          <t>https://web.archive.org/web/20260510055757/https://coreweave.com/pricing</t>
        </is>
      </c>
      <c r="H246" t="inlineStr">
        <is>
          <t>NVIDIA HGX H100|8|80|128|2,048|61.44|$49.24</t>
        </is>
      </c>
    </row>
    <row r="247">
      <c r="A247" t="inlineStr">
        <is>
          <t>CoreWeave</t>
        </is>
      </c>
      <c r="B247" t="inlineStr">
        <is>
          <t>H100</t>
        </is>
      </c>
      <c r="C247" s="3" t="n">
        <v>46178</v>
      </c>
      <c r="D247" s="4" t="n">
        <v>6.155</v>
      </c>
      <c r="E247" t="inlineStr">
        <is>
          <t>instance on-demand $49.24/hr / 8 GPUs (derived)</t>
        </is>
      </c>
      <c r="F247" t="inlineStr">
        <is>
          <t>Derived</t>
        </is>
      </c>
      <c r="G247" t="inlineStr">
        <is>
          <t>https://web.archive.org/web/20260605195952/https://www.coreweave.com/pricing</t>
        </is>
      </c>
      <c r="H247" t="inlineStr">
        <is>
          <t>NVIDIA HGX H100|8|80|128|2,048|61.44|$49.24</t>
        </is>
      </c>
    </row>
    <row r="248">
      <c r="A248" t="inlineStr">
        <is>
          <t>CoreWeave</t>
        </is>
      </c>
      <c r="B248" t="inlineStr">
        <is>
          <t>H100</t>
        </is>
      </c>
      <c r="C248" s="3" t="n">
        <v>46214</v>
      </c>
      <c r="D248" s="4" t="n">
        <v>6.155</v>
      </c>
      <c r="E248" t="inlineStr">
        <is>
          <t>instance on-demand $49.24/hr / 8 GPUs (derived)</t>
        </is>
      </c>
      <c r="F248" t="inlineStr">
        <is>
          <t>Derived</t>
        </is>
      </c>
      <c r="G248" t="inlineStr">
        <is>
          <t>https://web.archive.org/web/20260711021026/https://www.coreweave.com/pricing</t>
        </is>
      </c>
      <c r="H248" t="inlineStr">
        <is>
          <t>NVIDIA HGX H100|8|80|128|2,048|61.44|$49.24</t>
        </is>
      </c>
    </row>
    <row r="249">
      <c r="A249" t="inlineStr">
        <is>
          <t>CoreWeave</t>
        </is>
      </c>
      <c r="B249" t="inlineStr">
        <is>
          <t>H100</t>
        </is>
      </c>
      <c r="C249" s="3" t="n">
        <v>46237</v>
      </c>
      <c r="D249" s="4" t="n">
        <v>6.155</v>
      </c>
      <c r="E249" t="inlineStr">
        <is>
          <t>instance on-demand $49.24/hr / 8 GPUs (derived)</t>
        </is>
      </c>
      <c r="F249" t="inlineStr">
        <is>
          <t>Derived</t>
        </is>
      </c>
      <c r="G249" t="inlineStr">
        <is>
          <t>https://web.archive.org/web/20260803103255/https://www.coreweave.com/pricing</t>
        </is>
      </c>
      <c r="H249" t="inlineStr">
        <is>
          <t>NVIDIA HGX H100|8|80|128|2,048|61.44|$49.24</t>
        </is>
      </c>
    </row>
    <row r="250">
      <c r="A250" t="inlineStr">
        <is>
          <t>CoreWeave</t>
        </is>
      </c>
      <c r="B250" t="inlineStr">
        <is>
          <t>H100</t>
        </is>
      </c>
      <c r="C250" s="3" t="n">
        <v>46269</v>
      </c>
      <c r="D250" s="4" t="n">
        <v>6.155</v>
      </c>
      <c r="E250" t="inlineStr">
        <is>
          <t>instance on-demand $49.24/hr / 8 GPUs (derived)</t>
        </is>
      </c>
      <c r="F250" t="inlineStr">
        <is>
          <t>Derived</t>
        </is>
      </c>
      <c r="G250" t="inlineStr">
        <is>
          <t>https://web.archive.org/web/20260904032932/https://www.coreweave.com/pricing</t>
        </is>
      </c>
      <c r="H250" t="inlineStr">
        <is>
          <t>NVIDIA HGX H100|8|80|128|2,048|61.44|$49.24</t>
        </is>
      </c>
    </row>
    <row r="251">
      <c r="A251" t="inlineStr">
        <is>
          <t>CoreWeave</t>
        </is>
      </c>
      <c r="B251" t="inlineStr">
        <is>
          <t>H100</t>
        </is>
      </c>
      <c r="C251" s="3" t="n">
        <v>46296</v>
      </c>
      <c r="D251" s="4" t="n">
        <v>6.155</v>
      </c>
      <c r="E251" t="inlineStr">
        <is>
          <t>instance on-demand $49.24/hr / 8 GPUs (derived)</t>
        </is>
      </c>
      <c r="F251" t="inlineStr">
        <is>
          <t>Derived</t>
        </is>
      </c>
      <c r="G251" t="inlineStr">
        <is>
          <t>https://web.archive.org/web/20261001003124/https://www.coreweave.com/pricing</t>
        </is>
      </c>
      <c r="H251" t="inlineStr">
        <is>
          <t>NVIDIA HGX H100|8|80|128|2,048|61.44|$49.24</t>
        </is>
      </c>
    </row>
    <row r="252">
      <c r="A252" t="inlineStr">
        <is>
          <t>CoreWeave</t>
        </is>
      </c>
      <c r="B252" t="inlineStr">
        <is>
          <t>H200</t>
        </is>
      </c>
      <c r="C252" s="3" t="n">
        <v>45658</v>
      </c>
      <c r="D252" s="4" t="n">
        <v>6.305</v>
      </c>
      <c r="E252" t="inlineStr">
        <is>
          <t>instance on-demand $50.44/hr / 8 GPUs (derived)</t>
        </is>
      </c>
      <c r="F252" t="inlineStr">
        <is>
          <t>Derived</t>
        </is>
      </c>
      <c r="G252" t="inlineStr">
        <is>
          <t>https://web.archive.org/web/20250101002525/https://www.coreweave.com/pricing</t>
        </is>
      </c>
      <c r="H252" t="inlineStr">
        <is>
          <t>NVIDIA HGX H200|8|141|128|2,048|61.44|$50.44</t>
        </is>
      </c>
    </row>
    <row r="253">
      <c r="A253" t="inlineStr">
        <is>
          <t>CoreWeave</t>
        </is>
      </c>
      <c r="B253" t="inlineStr">
        <is>
          <t>H200</t>
        </is>
      </c>
      <c r="C253" s="3" t="n">
        <v>45697</v>
      </c>
      <c r="D253" s="4" t="n">
        <v>6.305</v>
      </c>
      <c r="E253" t="inlineStr">
        <is>
          <t>instance on-demand $50.44/hr / 8 GPUs (derived)</t>
        </is>
      </c>
      <c r="F253" t="inlineStr">
        <is>
          <t>Derived</t>
        </is>
      </c>
      <c r="G253" t="inlineStr">
        <is>
          <t>https://web.archive.org/web/20250209162626/https://www.coreweave.com/pricing</t>
        </is>
      </c>
      <c r="H253" t="inlineStr">
        <is>
          <t>NVIDIA HGX H200|8|141|128|2,048|61.44|$50.44</t>
        </is>
      </c>
    </row>
    <row r="254">
      <c r="A254" t="inlineStr">
        <is>
          <t>CoreWeave</t>
        </is>
      </c>
      <c r="B254" t="inlineStr">
        <is>
          <t>H200</t>
        </is>
      </c>
      <c r="C254" s="3" t="n">
        <v>45721</v>
      </c>
      <c r="D254" s="4" t="n">
        <v>6.305</v>
      </c>
      <c r="E254" t="inlineStr">
        <is>
          <t>instance on-demand $50.44/hr / 8 GPUs (derived)</t>
        </is>
      </c>
      <c r="F254" t="inlineStr">
        <is>
          <t>Derived</t>
        </is>
      </c>
      <c r="G254" t="inlineStr">
        <is>
          <t>https://web.archive.org/web/20250305013810/https://www.coreweave.com/pricing</t>
        </is>
      </c>
      <c r="H254" t="inlineStr">
        <is>
          <t>NVIDIA HGX H200|8|141|128|2,048|61.44|$50.44</t>
        </is>
      </c>
    </row>
    <row r="255">
      <c r="A255" t="inlineStr">
        <is>
          <t>CoreWeave</t>
        </is>
      </c>
      <c r="B255" t="inlineStr">
        <is>
          <t>H200</t>
        </is>
      </c>
      <c r="C255" s="3" t="n">
        <v>45763</v>
      </c>
      <c r="D255" s="4" t="n">
        <v>6.305</v>
      </c>
      <c r="E255" t="inlineStr">
        <is>
          <t>instance on-demand $50.44/hr / 8 GPUs (derived)</t>
        </is>
      </c>
      <c r="F255" t="inlineStr">
        <is>
          <t>Derived</t>
        </is>
      </c>
      <c r="G255" t="inlineStr">
        <is>
          <t>https://web.archive.org/web/20250416205610/https://coreweave.com/pricing</t>
        </is>
      </c>
      <c r="H255" t="inlineStr">
        <is>
          <t>NVIDIA HGX H200|8|141|128|2,048|61.44|$50.44</t>
        </is>
      </c>
    </row>
    <row r="256">
      <c r="A256" t="inlineStr">
        <is>
          <t>CoreWeave</t>
        </is>
      </c>
      <c r="B256" t="inlineStr">
        <is>
          <t>H200</t>
        </is>
      </c>
      <c r="C256" s="3" t="n">
        <v>45788</v>
      </c>
      <c r="D256" s="4" t="n">
        <v>6.305</v>
      </c>
      <c r="E256" t="inlineStr">
        <is>
          <t>instance on-demand $50.44/hr / 8 GPUs (derived)</t>
        </is>
      </c>
      <c r="F256" t="inlineStr">
        <is>
          <t>Derived</t>
        </is>
      </c>
      <c r="G256" t="inlineStr">
        <is>
          <t>https://web.archive.org/web/20250511175459/https://coreweave.com/pricing</t>
        </is>
      </c>
      <c r="H256" t="inlineStr">
        <is>
          <t>NVIDIA HGX H200|8|141|128|2,048|61.44|$50.44</t>
        </is>
      </c>
    </row>
    <row r="257">
      <c r="A257" t="inlineStr">
        <is>
          <t>CoreWeave</t>
        </is>
      </c>
      <c r="B257" t="inlineStr">
        <is>
          <t>H200</t>
        </is>
      </c>
      <c r="C257" s="3" t="n">
        <v>45817</v>
      </c>
      <c r="D257" s="4" t="n">
        <v>6.305</v>
      </c>
      <c r="E257" t="inlineStr">
        <is>
          <t>instance on-demand $50.44/hr / 8 GPUs (derived)</t>
        </is>
      </c>
      <c r="F257" t="inlineStr">
        <is>
          <t>Derived</t>
        </is>
      </c>
      <c r="G257" t="inlineStr">
        <is>
          <t>https://web.archive.org/web/20250609162833/https://coreweave.com/pricing</t>
        </is>
      </c>
      <c r="H257" t="inlineStr">
        <is>
          <t>NVIDIA HGX H200|8|141|128|2,048|61.44|$50.44</t>
        </is>
      </c>
    </row>
    <row r="258">
      <c r="A258" t="inlineStr">
        <is>
          <t>CoreWeave</t>
        </is>
      </c>
      <c r="B258" t="inlineStr">
        <is>
          <t>H200</t>
        </is>
      </c>
      <c r="C258" s="3" t="n">
        <v>45856</v>
      </c>
      <c r="D258" s="4" t="n">
        <v>6.305</v>
      </c>
      <c r="E258" t="inlineStr">
        <is>
          <t>instance on-demand $50.44/hr / 8 GPUs (derived)</t>
        </is>
      </c>
      <c r="F258" t="inlineStr">
        <is>
          <t>Derived</t>
        </is>
      </c>
      <c r="G258" t="inlineStr">
        <is>
          <t>https://web.archive.org/web/20250718045748/https://www.coreweave.com/pricing</t>
        </is>
      </c>
      <c r="H258" t="inlineStr">
        <is>
          <t>NVIDIA HGX H200|8|141|128|2,048|61.44|$50.44</t>
        </is>
      </c>
    </row>
    <row r="259">
      <c r="A259" t="inlineStr">
        <is>
          <t>CoreWeave</t>
        </is>
      </c>
      <c r="B259" t="inlineStr">
        <is>
          <t>H200</t>
        </is>
      </c>
      <c r="C259" s="3" t="n">
        <v>45876</v>
      </c>
      <c r="D259" s="4" t="n">
        <v>6.305</v>
      </c>
      <c r="E259" t="inlineStr">
        <is>
          <t>instance on-demand $50.44/hr / 8 GPUs (derived)</t>
        </is>
      </c>
      <c r="F259" t="inlineStr">
        <is>
          <t>Derived</t>
        </is>
      </c>
      <c r="G259" t="inlineStr">
        <is>
          <t>https://web.archive.org/web/20250807194512/https://coreweave.com/pricing</t>
        </is>
      </c>
      <c r="H259" t="inlineStr">
        <is>
          <t>NVIDIA HGX H200|8|141|128|2,048|61.44|$50.44</t>
        </is>
      </c>
    </row>
    <row r="260">
      <c r="A260" t="inlineStr">
        <is>
          <t>CoreWeave</t>
        </is>
      </c>
      <c r="B260" t="inlineStr">
        <is>
          <t>H200</t>
        </is>
      </c>
      <c r="C260" s="3" t="n">
        <v>45903</v>
      </c>
      <c r="D260" s="4" t="n">
        <v>6.305</v>
      </c>
      <c r="E260" t="inlineStr">
        <is>
          <t>instance on-demand $50.44/hr / 8 GPUs (derived)</t>
        </is>
      </c>
      <c r="F260" t="inlineStr">
        <is>
          <t>Derived</t>
        </is>
      </c>
      <c r="G260" t="inlineStr">
        <is>
          <t>https://web.archive.org/web/20250903111658/https://www.coreweave.com/pricing</t>
        </is>
      </c>
      <c r="H260" t="inlineStr">
        <is>
          <t>NVIDIA HGX H200|8|141|128|2,048|61.44|$50.44</t>
        </is>
      </c>
    </row>
    <row r="261">
      <c r="A261" t="inlineStr">
        <is>
          <t>CoreWeave</t>
        </is>
      </c>
      <c r="B261" t="inlineStr">
        <is>
          <t>H200</t>
        </is>
      </c>
      <c r="C261" s="3" t="n">
        <v>45933</v>
      </c>
      <c r="D261" s="4" t="n">
        <v>6.305</v>
      </c>
      <c r="E261" t="inlineStr">
        <is>
          <t>instance on-demand $50.44/hr / 8 GPUs (derived)</t>
        </is>
      </c>
      <c r="F261" t="inlineStr">
        <is>
          <t>Derived</t>
        </is>
      </c>
      <c r="G261" t="inlineStr">
        <is>
          <t>https://web.archive.org/web/20251003103002/https://www.coreweave.com/pricing</t>
        </is>
      </c>
      <c r="H261" t="inlineStr">
        <is>
          <t>NVIDIA HGX H200|8|141|128|2,048|61.44|$50.44</t>
        </is>
      </c>
    </row>
    <row r="262">
      <c r="A262" t="inlineStr">
        <is>
          <t>CoreWeave</t>
        </is>
      </c>
      <c r="B262" t="inlineStr">
        <is>
          <t>H200</t>
        </is>
      </c>
      <c r="C262" s="3" t="n">
        <v>45962</v>
      </c>
      <c r="D262" s="4" t="n">
        <v>6.305</v>
      </c>
      <c r="E262" t="inlineStr">
        <is>
          <t>instance on-demand $50.44/hr / 8 GPUs (derived)</t>
        </is>
      </c>
      <c r="F262" t="inlineStr">
        <is>
          <t>Derived</t>
        </is>
      </c>
      <c r="G262" t="inlineStr">
        <is>
          <t>https://web.archive.org/web/20251101141755/https://www.coreweave.com/pricing</t>
        </is>
      </c>
      <c r="H262" t="inlineStr">
        <is>
          <t>NVIDIA HGX H200|8|141|128|2,048|61.44|$50.44</t>
        </is>
      </c>
    </row>
    <row r="263">
      <c r="A263" t="inlineStr">
        <is>
          <t>CoreWeave</t>
        </is>
      </c>
      <c r="B263" t="inlineStr">
        <is>
          <t>H200</t>
        </is>
      </c>
      <c r="C263" s="3" t="n">
        <v>46007</v>
      </c>
      <c r="D263" s="4" t="n">
        <v>6.305</v>
      </c>
      <c r="E263" t="inlineStr">
        <is>
          <t>instance on-demand $50.44/hr / 8 GPUs (derived)</t>
        </is>
      </c>
      <c r="F263" t="inlineStr">
        <is>
          <t>Derived</t>
        </is>
      </c>
      <c r="G263" t="inlineStr">
        <is>
          <t>https://web.archive.org/web/20251216064621/https://coreweave.com/pricing</t>
        </is>
      </c>
      <c r="H263" t="inlineStr">
        <is>
          <t>NVIDIA HGX H200|8|141|128|2,048|61.44|$50.44</t>
        </is>
      </c>
    </row>
    <row r="264">
      <c r="A264" t="inlineStr">
        <is>
          <t>CoreWeave</t>
        </is>
      </c>
      <c r="B264" t="inlineStr">
        <is>
          <t>H200</t>
        </is>
      </c>
      <c r="C264" s="3" t="n">
        <v>46028</v>
      </c>
      <c r="D264" s="4" t="n">
        <v>6.305</v>
      </c>
      <c r="E264" t="inlineStr">
        <is>
          <t>instance on-demand $50.44/hr / 8 GPUs (derived)</t>
        </is>
      </c>
      <c r="F264" t="inlineStr">
        <is>
          <t>Derived</t>
        </is>
      </c>
      <c r="G264" t="inlineStr">
        <is>
          <t>https://web.archive.org/web/20260106014605/https://www.coreweave.com/pricing</t>
        </is>
      </c>
      <c r="H264" t="inlineStr">
        <is>
          <t>NVIDIA HGX H200|8|141|128|2,048|61.44|$50.44</t>
        </is>
      </c>
    </row>
    <row r="265">
      <c r="A265" t="inlineStr">
        <is>
          <t>CoreWeave</t>
        </is>
      </c>
      <c r="B265" t="inlineStr">
        <is>
          <t>H200</t>
        </is>
      </c>
      <c r="C265" s="3" t="n">
        <v>46078</v>
      </c>
      <c r="D265" s="4" t="n">
        <v>6.305</v>
      </c>
      <c r="E265" t="inlineStr">
        <is>
          <t>instance on-demand $50.44/hr / 8 GPUs (derived)</t>
        </is>
      </c>
      <c r="F265" t="inlineStr">
        <is>
          <t>Derived</t>
        </is>
      </c>
      <c r="G265" t="inlineStr">
        <is>
          <t>https://web.archive.org/web/20260225001139/https://www.coreweave.com/pricing</t>
        </is>
      </c>
      <c r="H265" t="inlineStr">
        <is>
          <t>NVIDIA HGX H200|8|141|128|2,048|61.44|$50.44</t>
        </is>
      </c>
    </row>
    <row r="266">
      <c r="A266" t="inlineStr">
        <is>
          <t>CoreWeave</t>
        </is>
      </c>
      <c r="B266" t="inlineStr">
        <is>
          <t>H200</t>
        </is>
      </c>
      <c r="C266" s="3" t="n">
        <v>46094</v>
      </c>
      <c r="D266" s="4" t="n">
        <v>6.305</v>
      </c>
      <c r="E266" t="inlineStr">
        <is>
          <t>instance on-demand $50.44/hr / 8 GPUs (derived)</t>
        </is>
      </c>
      <c r="F266" t="inlineStr">
        <is>
          <t>Derived</t>
        </is>
      </c>
      <c r="G266" t="inlineStr">
        <is>
          <t>https://web.archive.org/web/20260313081744/https://coreweave.com/pricing</t>
        </is>
      </c>
      <c r="H266" t="inlineStr">
        <is>
          <t>NVIDIA HGX H200|8|141|128|2,048|61.44|$50.44</t>
        </is>
      </c>
    </row>
    <row r="267">
      <c r="A267" t="inlineStr">
        <is>
          <t>CoreWeave</t>
        </is>
      </c>
      <c r="B267" t="inlineStr">
        <is>
          <t>H200</t>
        </is>
      </c>
      <c r="C267" s="3" t="n">
        <v>46127</v>
      </c>
      <c r="D267" s="4" t="n">
        <v>6.305</v>
      </c>
      <c r="E267" t="inlineStr">
        <is>
          <t>instance on-demand $50.44/hr / 8 GPUs (derived)</t>
        </is>
      </c>
      <c r="F267" t="inlineStr">
        <is>
          <t>Derived</t>
        </is>
      </c>
      <c r="G267" t="inlineStr">
        <is>
          <t>https://web.archive.org/web/20260415105017/https://coreweave.com/pricing</t>
        </is>
      </c>
      <c r="H267" t="inlineStr">
        <is>
          <t>NVIDIA HGX H200|8|141|128|2,048|61.44|$50.44</t>
        </is>
      </c>
    </row>
    <row r="268">
      <c r="A268" t="inlineStr">
        <is>
          <t>CoreWeave</t>
        </is>
      </c>
      <c r="B268" t="inlineStr">
        <is>
          <t>H200</t>
        </is>
      </c>
      <c r="C268" s="3" t="n">
        <v>46152</v>
      </c>
      <c r="D268" s="4" t="n">
        <v>6.305</v>
      </c>
      <c r="E268" t="inlineStr">
        <is>
          <t>instance on-demand $50.44/hr / 8 GPUs (derived)</t>
        </is>
      </c>
      <c r="F268" t="inlineStr">
        <is>
          <t>Derived</t>
        </is>
      </c>
      <c r="G268" t="inlineStr">
        <is>
          <t>https://web.archive.org/web/20260510055757/https://coreweave.com/pricing</t>
        </is>
      </c>
      <c r="H268" t="inlineStr">
        <is>
          <t>NVIDIA HGX H200|8|141|128|2,048|61.44|$50.44</t>
        </is>
      </c>
    </row>
    <row r="269">
      <c r="A269" t="inlineStr">
        <is>
          <t>CoreWeave</t>
        </is>
      </c>
      <c r="B269" t="inlineStr">
        <is>
          <t>H200</t>
        </is>
      </c>
      <c r="C269" s="3" t="n">
        <v>46178</v>
      </c>
      <c r="D269" s="4" t="n">
        <v>6.305</v>
      </c>
      <c r="E269" t="inlineStr">
        <is>
          <t>instance on-demand $50.44/hr / 8 GPUs (derived)</t>
        </is>
      </c>
      <c r="F269" t="inlineStr">
        <is>
          <t>Derived</t>
        </is>
      </c>
      <c r="G269" t="inlineStr">
        <is>
          <t>https://web.archive.org/web/20260605195952/https://www.coreweave.com/pricing</t>
        </is>
      </c>
      <c r="H269" t="inlineStr">
        <is>
          <t>NVIDIA HGX H200|8|141|128|2,048|61.44|$50.44</t>
        </is>
      </c>
    </row>
    <row r="270">
      <c r="A270" t="inlineStr">
        <is>
          <t>CoreWeave</t>
        </is>
      </c>
      <c r="B270" t="inlineStr">
        <is>
          <t>H200</t>
        </is>
      </c>
      <c r="C270" s="3" t="n">
        <v>46214</v>
      </c>
      <c r="D270" s="4" t="n">
        <v>6.305</v>
      </c>
      <c r="E270" t="inlineStr">
        <is>
          <t>instance on-demand $50.44/hr / 8 GPUs (derived)</t>
        </is>
      </c>
      <c r="F270" t="inlineStr">
        <is>
          <t>Derived</t>
        </is>
      </c>
      <c r="G270" t="inlineStr">
        <is>
          <t>https://web.archive.org/web/20260711021026/https://www.coreweave.com/pricing</t>
        </is>
      </c>
      <c r="H270" t="inlineStr">
        <is>
          <t>NVIDIA HGX H200|8|141|128|2,048|61.44|$50.44</t>
        </is>
      </c>
    </row>
    <row r="271">
      <c r="A271" t="inlineStr">
        <is>
          <t>CoreWeave</t>
        </is>
      </c>
      <c r="B271" t="inlineStr">
        <is>
          <t>H200</t>
        </is>
      </c>
      <c r="C271" s="3" t="n">
        <v>46237</v>
      </c>
      <c r="D271" s="4" t="n">
        <v>6.305</v>
      </c>
      <c r="E271" t="inlineStr">
        <is>
          <t>instance on-demand $50.44/hr / 8 GPUs (derived)</t>
        </is>
      </c>
      <c r="F271" t="inlineStr">
        <is>
          <t>Derived</t>
        </is>
      </c>
      <c r="G271" t="inlineStr">
        <is>
          <t>https://web.archive.org/web/20260803103255/https://www.coreweave.com/pricing</t>
        </is>
      </c>
      <c r="H271" t="inlineStr">
        <is>
          <t>NVIDIA HGX H200|8|141|128|2,048|61.44|$50.44</t>
        </is>
      </c>
    </row>
    <row r="272">
      <c r="A272" t="inlineStr">
        <is>
          <t>CoreWeave</t>
        </is>
      </c>
      <c r="B272" t="inlineStr">
        <is>
          <t>H200</t>
        </is>
      </c>
      <c r="C272" s="3" t="n">
        <v>46269</v>
      </c>
      <c r="D272" s="4" t="n">
        <v>6.305</v>
      </c>
      <c r="E272" t="inlineStr">
        <is>
          <t>instance on-demand $50.44/hr / 8 GPUs (derived)</t>
        </is>
      </c>
      <c r="F272" t="inlineStr">
        <is>
          <t>Derived</t>
        </is>
      </c>
      <c r="G272" t="inlineStr">
        <is>
          <t>https://web.archive.org/web/20260904032932/https://www.coreweave.com/pricing</t>
        </is>
      </c>
      <c r="H272" t="inlineStr">
        <is>
          <t>NVIDIA HGX H200|8|141|128|2,048|61.44|$50.44</t>
        </is>
      </c>
    </row>
    <row r="273">
      <c r="A273" t="inlineStr">
        <is>
          <t>CoreWeave</t>
        </is>
      </c>
      <c r="B273" t="inlineStr">
        <is>
          <t>H200</t>
        </is>
      </c>
      <c r="C273" s="3" t="n">
        <v>46296</v>
      </c>
      <c r="D273" s="4" t="n">
        <v>6.305</v>
      </c>
      <c r="E273" t="inlineStr">
        <is>
          <t>instance on-demand $50.44/hr / 8 GPUs (derived)</t>
        </is>
      </c>
      <c r="F273" t="inlineStr">
        <is>
          <t>Derived</t>
        </is>
      </c>
      <c r="G273" t="inlineStr">
        <is>
          <t>https://web.archive.org/web/20261001003124/https://www.coreweave.com/pricing</t>
        </is>
      </c>
      <c r="H273" t="inlineStr">
        <is>
          <t>NVIDIA HGX H200|8|141|128|2,048|61.44|$50.44</t>
        </is>
      </c>
    </row>
    <row r="274">
      <c r="A274" t="inlineStr">
        <is>
          <t>Lambda</t>
        </is>
      </c>
      <c r="B274" t="inlineStr">
        <is>
          <t>A100 40GB</t>
        </is>
      </c>
      <c r="C274" s="3" t="n">
        <v>45140</v>
      </c>
      <c r="D274" s="4" t="n">
        <v>1.1</v>
      </c>
      <c r="E274" t="inlineStr">
        <is>
          <t>8x instance on-demand, "2023 Price" column /8 (derived) [valid from 8x HGX on-demand launch 2023-08-02 through 2023-12-31]</t>
        </is>
      </c>
      <c r="F274" t="inlineStr">
        <is>
          <t>Derived</t>
        </is>
      </c>
      <c r="G274" t="inlineStr">
        <is>
          <t>https://web.archive.org/web/20231231/https://lambdalabs.com/service/gpu-cloud</t>
        </is>
      </c>
      <c r="H274" t="inlineStr">
        <is>
          <t>8x NVIDIA A100 SXM|40 GB|124|1800 GiB|6 TiB SSD|$8.80 / hr|$10.32 / hr</t>
        </is>
      </c>
    </row>
    <row r="275">
      <c r="A275" t="inlineStr">
        <is>
          <t>Lambda</t>
        </is>
      </c>
      <c r="B275" t="inlineStr">
        <is>
          <t>A100 40GB</t>
        </is>
      </c>
      <c r="C275" s="3" t="n">
        <v>45292</v>
      </c>
      <c r="D275" s="4" t="n">
        <v>1.29</v>
      </c>
      <c r="E275" t="inlineStr">
        <is>
          <t>8x instance on-demand, "2024 Price (effective 1/1/2024)" /8 (derived)</t>
        </is>
      </c>
      <c r="F275" t="inlineStr">
        <is>
          <t>Derived</t>
        </is>
      </c>
      <c r="G275" t="inlineStr">
        <is>
          <t>https://web.archive.org/web/20240101073433/https://lambdalabs.com/service/gpu-cloud</t>
        </is>
      </c>
      <c r="H275" t="inlineStr">
        <is>
          <t>8x NVIDIA A100 SXM|40 GB|124|1800 GiB|6 TiB SSD|$8.80 / hr|$10.32 / hr</t>
        </is>
      </c>
    </row>
    <row r="276">
      <c r="A276" t="inlineStr">
        <is>
          <t>Lambda</t>
        </is>
      </c>
      <c r="B276" t="inlineStr">
        <is>
          <t>A100 40GB</t>
        </is>
      </c>
      <c r="C276" s="3" t="n">
        <v>45348</v>
      </c>
      <c r="D276" s="4" t="n">
        <v>1.29</v>
      </c>
      <c r="E276" t="inlineStr">
        <is>
          <t>8x instance on-demand /8 (derived)</t>
        </is>
      </c>
      <c r="F276" t="inlineStr">
        <is>
          <t>Derived</t>
        </is>
      </c>
      <c r="G276" t="inlineStr">
        <is>
          <t>https://web.archive.org/web/20240226155153/https://lambdalabs.com/service/gpu-cloud</t>
        </is>
      </c>
      <c r="H276" t="inlineStr">
        <is>
          <t>8x NVIDIA A100 SXM|40 GB|124|1800 GiB|6 TiB SSD|$10.32 / hr</t>
        </is>
      </c>
    </row>
    <row r="277">
      <c r="A277" t="inlineStr">
        <is>
          <t>Lambda</t>
        </is>
      </c>
      <c r="B277" t="inlineStr">
        <is>
          <t>A100 40GB</t>
        </is>
      </c>
      <c r="C277" s="3" t="n">
        <v>45355</v>
      </c>
      <c r="D277" s="4" t="n">
        <v>1.29</v>
      </c>
      <c r="E277" t="inlineStr">
        <is>
          <t>8x instance on-demand /8 (derived)</t>
        </is>
      </c>
      <c r="F277" t="inlineStr">
        <is>
          <t>Derived</t>
        </is>
      </c>
      <c r="G277" t="inlineStr">
        <is>
          <t>https://web.archive.org/web/20240304172245/https://lambdalabs.com/service/gpu-cloud</t>
        </is>
      </c>
      <c r="H277" t="inlineStr">
        <is>
          <t>8x NVIDIA A100 SXM|40 GB|124|1800 GiB|6 TiB SSD|$10.32 / hr</t>
        </is>
      </c>
    </row>
    <row r="278">
      <c r="A278" t="inlineStr">
        <is>
          <t>Lambda</t>
        </is>
      </c>
      <c r="B278" t="inlineStr">
        <is>
          <t>A100 40GB</t>
        </is>
      </c>
      <c r="C278" s="3" t="n">
        <v>45383</v>
      </c>
      <c r="D278" s="4" t="n">
        <v>1.29</v>
      </c>
      <c r="E278" t="inlineStr">
        <is>
          <t>8x instance on-demand /8 (derived)</t>
        </is>
      </c>
      <c r="F278" t="inlineStr">
        <is>
          <t>Derived</t>
        </is>
      </c>
      <c r="G278" t="inlineStr">
        <is>
          <t>https://web.archive.org/web/20240401123621/https://lambdalabs.com/service/gpu-cloud</t>
        </is>
      </c>
      <c r="H278" t="inlineStr">
        <is>
          <t>8x NVIDIA A100 SXM|40 GB|124|1800 GiB|6 TiB SSD|$10.32 / hr</t>
        </is>
      </c>
    </row>
    <row r="279">
      <c r="A279" t="inlineStr">
        <is>
          <t>Lambda</t>
        </is>
      </c>
      <c r="B279" t="inlineStr">
        <is>
          <t>A100 40GB</t>
        </is>
      </c>
      <c r="C279" s="3" t="n">
        <v>45425</v>
      </c>
      <c r="D279" s="4" t="n">
        <v>1.29</v>
      </c>
      <c r="E279" t="inlineStr">
        <is>
          <t>8x instance on-demand /8 (derived)</t>
        </is>
      </c>
      <c r="F279" t="inlineStr">
        <is>
          <t>Derived</t>
        </is>
      </c>
      <c r="G279" t="inlineStr">
        <is>
          <t>https://web.archive.org/web/20240513150455/https://lambdalabs.com/service/gpu-cloud</t>
        </is>
      </c>
      <c r="H279" t="inlineStr">
        <is>
          <t>8x NVIDIA A100 SXM|40 GB|124|1800 GiB|6 TiB SSD|$10.32 / hr</t>
        </is>
      </c>
    </row>
    <row r="280">
      <c r="A280" t="inlineStr">
        <is>
          <t>Lambda</t>
        </is>
      </c>
      <c r="B280" t="inlineStr">
        <is>
          <t>A100 40GB</t>
        </is>
      </c>
      <c r="C280" s="3" t="n">
        <v>45484</v>
      </c>
      <c r="D280" s="4" t="n">
        <v>1.29</v>
      </c>
      <c r="E280" t="inlineStr">
        <is>
          <t>8x instance on-demand /8 (derived)</t>
        </is>
      </c>
      <c r="F280" t="inlineStr">
        <is>
          <t>Derived</t>
        </is>
      </c>
      <c r="G280" t="inlineStr">
        <is>
          <t>https://web.archive.org/web/20240711213314/https://lambdalabs.com/service/gpu-cloud</t>
        </is>
      </c>
      <c r="H280" t="inlineStr">
        <is>
          <t>8x NVIDIA A100 SXM|40 GB|124|1800 GiB|6 TiB SSD|$10.32 / hr</t>
        </is>
      </c>
    </row>
    <row r="281">
      <c r="A281" t="inlineStr">
        <is>
          <t>Lambda</t>
        </is>
      </c>
      <c r="B281" t="inlineStr">
        <is>
          <t>A100 40GB</t>
        </is>
      </c>
      <c r="C281" s="3" t="n">
        <v>45519</v>
      </c>
      <c r="D281" s="4" t="n">
        <v>1.29</v>
      </c>
      <c r="E281" t="inlineStr">
        <is>
          <t>8x instance on-demand per GPU-hr</t>
        </is>
      </c>
      <c r="F281" t="inlineStr">
        <is>
          <t>Reported</t>
        </is>
      </c>
      <c r="G281" t="inlineStr">
        <is>
          <t>https://web.archive.org/web/20240815145430/https://lambdalabs.com/service/gpu-cloud</t>
        </is>
      </c>
      <c r="H281" t="inlineStr">
        <is>
          <t>8x NVIDIA A100 SXM|40 GB|124|1800 GiB|6 TiB SSD|$1.29 / GPU / hr</t>
        </is>
      </c>
    </row>
    <row r="282">
      <c r="A282" t="inlineStr">
        <is>
          <t>Lambda</t>
        </is>
      </c>
      <c r="B282" t="inlineStr">
        <is>
          <t>A100 40GB</t>
        </is>
      </c>
      <c r="C282" s="3" t="n">
        <v>45536</v>
      </c>
      <c r="D282" s="4" t="n">
        <v>1.29</v>
      </c>
      <c r="E282" t="inlineStr">
        <is>
          <t>8x instance on-demand per GPU-hr</t>
        </is>
      </c>
      <c r="F282" t="inlineStr">
        <is>
          <t>Reported</t>
        </is>
      </c>
      <c r="G282" t="inlineStr">
        <is>
          <t>https://web.archive.org/web/20240901231348/https://lambdalabs.com/service/gpu-cloud</t>
        </is>
      </c>
      <c r="H282" t="inlineStr">
        <is>
          <t>8x NVIDIA A100 SXM|40 GB|124|1800 GiB|6 TiB SSD|$1.29 / GPU / hr</t>
        </is>
      </c>
    </row>
    <row r="283">
      <c r="A283" t="inlineStr">
        <is>
          <t>Lambda</t>
        </is>
      </c>
      <c r="B283" t="inlineStr">
        <is>
          <t>A100 40GB</t>
        </is>
      </c>
      <c r="C283" s="3" t="n">
        <v>45572</v>
      </c>
      <c r="D283" s="4" t="n">
        <v>1.29</v>
      </c>
      <c r="E283" t="inlineStr">
        <is>
          <t>8x instance on-demand per GPU-hr</t>
        </is>
      </c>
      <c r="F283" t="inlineStr">
        <is>
          <t>Reported</t>
        </is>
      </c>
      <c r="G283" t="inlineStr">
        <is>
          <t>https://web.archive.org/web/20241007220259/https://lambdalabs.com/service/gpu-cloud</t>
        </is>
      </c>
      <c r="H283" t="inlineStr">
        <is>
          <t>8x NVIDIA A100 SXM|40 GB|124|1800 GiB|6 TiB SSD|$1.29 / GPU / hr</t>
        </is>
      </c>
    </row>
    <row r="284">
      <c r="A284" t="inlineStr">
        <is>
          <t>Lambda</t>
        </is>
      </c>
      <c r="B284" t="inlineStr">
        <is>
          <t>A100 40GB</t>
        </is>
      </c>
      <c r="C284" s="3" t="n">
        <v>45599</v>
      </c>
      <c r="D284" s="4" t="n">
        <v>1.29</v>
      </c>
      <c r="E284" t="inlineStr">
        <is>
          <t>8x instance on-demand per GPU-hr</t>
        </is>
      </c>
      <c r="F284" t="inlineStr">
        <is>
          <t>Reported</t>
        </is>
      </c>
      <c r="G284" t="inlineStr">
        <is>
          <t>https://web.archive.org/web/20241103180910/https://lambdalabs.com/service/gpu-cloud</t>
        </is>
      </c>
      <c r="H284" t="inlineStr">
        <is>
          <t>8x NVIDIA A100 SXM|40 GB|124|1800 GiB|5.8 TiB SSD|$1.29 / GPU / hr</t>
        </is>
      </c>
    </row>
    <row r="285">
      <c r="A285" t="inlineStr">
        <is>
          <t>Lambda</t>
        </is>
      </c>
      <c r="B285" t="inlineStr">
        <is>
          <t>A100 40GB</t>
        </is>
      </c>
      <c r="C285" s="3" t="n">
        <v>45630</v>
      </c>
      <c r="D285" s="4" t="n">
        <v>1.29</v>
      </c>
      <c r="E285" t="inlineStr">
        <is>
          <t>8x instance on-demand per GPU-hr</t>
        </is>
      </c>
      <c r="F285" t="inlineStr">
        <is>
          <t>Reported</t>
        </is>
      </c>
      <c r="G285" t="inlineStr">
        <is>
          <t>https://web.archive.org/web/20241204052806/https://lambdalabs.com/service/gpu-cloud</t>
        </is>
      </c>
      <c r="H285" t="inlineStr">
        <is>
          <t>8x NVIDIA A100 SXM|40 GB|124|1800 GiB|5.8 TiB SSD|$1.29 / GPU / hr</t>
        </is>
      </c>
    </row>
    <row r="286">
      <c r="A286" t="inlineStr">
        <is>
          <t>Lambda</t>
        </is>
      </c>
      <c r="B286" t="inlineStr">
        <is>
          <t>A100 40GB</t>
        </is>
      </c>
      <c r="C286" s="3" t="n">
        <v>45658</v>
      </c>
      <c r="D286" s="4" t="n">
        <v>1.29</v>
      </c>
      <c r="E286" t="inlineStr">
        <is>
          <t>8x instance on-demand per GPU-hr</t>
        </is>
      </c>
      <c r="F286" t="inlineStr">
        <is>
          <t>Reported</t>
        </is>
      </c>
      <c r="G286" t="inlineStr">
        <is>
          <t>https://web.archive.org/web/20250101080209/https://lambdalabs.com/service/gpu-cloud</t>
        </is>
      </c>
      <c r="H286" t="inlineStr">
        <is>
          <t>8x NVIDIA A100 SXM|40 GB|124|1800 GiB|5.8 TiB SSD|$1.29 / GPU / hr</t>
        </is>
      </c>
    </row>
    <row r="287">
      <c r="A287" t="inlineStr">
        <is>
          <t>Lambda</t>
        </is>
      </c>
      <c r="B287" t="inlineStr">
        <is>
          <t>A100 40GB</t>
        </is>
      </c>
      <c r="C287" s="3" t="n">
        <v>45693</v>
      </c>
      <c r="D287" s="4" t="n">
        <v>1.29</v>
      </c>
      <c r="E287" t="inlineStr">
        <is>
          <t>8x instance on-demand per GPU-hr</t>
        </is>
      </c>
      <c r="F287" t="inlineStr">
        <is>
          <t>Reported</t>
        </is>
      </c>
      <c r="G287" t="inlineStr">
        <is>
          <t>https://web.archive.org/web/20250205150624/https://lambdalabs.com/service/gpu-cloud</t>
        </is>
      </c>
      <c r="H287" t="inlineStr">
        <is>
          <t>8x NVIDIA A100 SXM|40 GB|124|1800 GiB|5.8 TiB SSD|$1.29 / GPU / hr</t>
        </is>
      </c>
    </row>
    <row r="288">
      <c r="A288" t="inlineStr">
        <is>
          <t>Lambda</t>
        </is>
      </c>
      <c r="B288" t="inlineStr">
        <is>
          <t>A100 40GB</t>
        </is>
      </c>
      <c r="C288" s="3" t="n">
        <v>45732</v>
      </c>
      <c r="D288" s="4" t="n">
        <v>1.29</v>
      </c>
      <c r="E288" t="inlineStr">
        <is>
          <t>8x instance on-demand per GPU-hr</t>
        </is>
      </c>
      <c r="F288" t="inlineStr">
        <is>
          <t>Reported</t>
        </is>
      </c>
      <c r="G288" t="inlineStr">
        <is>
          <t>https://web.archive.org/web/20250316063514/https://lambdalabs.com/service/gpu-cloud</t>
        </is>
      </c>
      <c r="H288" t="inlineStr">
        <is>
          <t>8x NVIDIA A100 SXM|40 GB|124|1800 GiB|5.8 TiB SSD|$1.29 / GPU / hr</t>
        </is>
      </c>
    </row>
    <row r="289">
      <c r="A289" t="inlineStr">
        <is>
          <t>Lambda</t>
        </is>
      </c>
      <c r="B289" t="inlineStr">
        <is>
          <t>A100 40GB</t>
        </is>
      </c>
      <c r="C289" s="3" t="n">
        <v>45744</v>
      </c>
      <c r="D289" s="4" t="n">
        <v>1.29</v>
      </c>
      <c r="E289" t="inlineStr">
        <is>
          <t>8x instance on-demand per GPU-hr</t>
        </is>
      </c>
      <c r="F289" t="inlineStr">
        <is>
          <t>Reported</t>
        </is>
      </c>
      <c r="G289" t="inlineStr">
        <is>
          <t>https://web.archive.org/web/20250328114330/https://lambda.ai/service/gpu-cloud</t>
        </is>
      </c>
      <c r="H289" t="inlineStr">
        <is>
          <t>8x NVIDIA A100 SXM|40 GB|124|1800 GiB|5.8 TiB SSD|$1.29 / GPU / hr</t>
        </is>
      </c>
    </row>
    <row r="290">
      <c r="A290" t="inlineStr">
        <is>
          <t>Lambda</t>
        </is>
      </c>
      <c r="B290" t="inlineStr">
        <is>
          <t>A100 40GB</t>
        </is>
      </c>
      <c r="C290" s="3" t="n">
        <v>45754</v>
      </c>
      <c r="D290" s="4" t="n">
        <v>1.29</v>
      </c>
      <c r="E290" t="inlineStr">
        <is>
          <t>8x instance on-demand per GPU-hr</t>
        </is>
      </c>
      <c r="F290" t="inlineStr">
        <is>
          <t>Reported</t>
        </is>
      </c>
      <c r="G290" t="inlineStr">
        <is>
          <t>https://web.archive.org/web/20250407203919/https://lambda.ai/service/gpu-cloud</t>
        </is>
      </c>
      <c r="H290" t="inlineStr">
        <is>
          <t>8x NVIDIA A100 SXM|40 GB|124|1800 GiB|5.8 TiB SSD|$1.29 / GPU / hr</t>
        </is>
      </c>
    </row>
    <row r="291">
      <c r="A291" t="inlineStr">
        <is>
          <t>Lambda</t>
        </is>
      </c>
      <c r="B291" t="inlineStr">
        <is>
          <t>A100 40GB</t>
        </is>
      </c>
      <c r="C291" s="3" t="n">
        <v>45782</v>
      </c>
      <c r="D291" s="4" t="n">
        <v>1.29</v>
      </c>
      <c r="E291" t="inlineStr">
        <is>
          <t>8x instance on-demand per GPU-hr</t>
        </is>
      </c>
      <c r="F291" t="inlineStr">
        <is>
          <t>Reported</t>
        </is>
      </c>
      <c r="G291" t="inlineStr">
        <is>
          <t>https://web.archive.org/web/20250505010805/https://lambda.ai/service/gpu-cloud</t>
        </is>
      </c>
      <c r="H291" t="inlineStr">
        <is>
          <t>8x NVIDIA A100 SXM|40 GB|124|1800 GiB|5.8 TiB SSD|$1.29 / GPU / hr</t>
        </is>
      </c>
    </row>
    <row r="292">
      <c r="A292" t="inlineStr">
        <is>
          <t>Lambda</t>
        </is>
      </c>
      <c r="B292" t="inlineStr">
        <is>
          <t>A100 40GB</t>
        </is>
      </c>
      <c r="C292" s="3" t="n">
        <v>45812</v>
      </c>
      <c r="D292" s="4" t="n">
        <v>1.29</v>
      </c>
      <c r="E292" t="inlineStr">
        <is>
          <t>8x instance on-demand per GPU-hr</t>
        </is>
      </c>
      <c r="F292" t="inlineStr">
        <is>
          <t>Reported</t>
        </is>
      </c>
      <c r="G292" t="inlineStr">
        <is>
          <t>https://web.archive.org/web/20250604191644/https://lambda.ai/pricing</t>
        </is>
      </c>
      <c r="H292" t="inlineStr">
        <is>
          <t>8x NVIDIA A100 SXM|40 GB|124|1800 GiB|5.8 TiB SSD|$1.29</t>
        </is>
      </c>
    </row>
    <row r="293">
      <c r="A293" t="inlineStr">
        <is>
          <t>Lambda</t>
        </is>
      </c>
      <c r="B293" t="inlineStr">
        <is>
          <t>A100 40GB</t>
        </is>
      </c>
      <c r="C293" s="3" t="n">
        <v>45824</v>
      </c>
      <c r="D293" s="4" t="n">
        <v>1.29</v>
      </c>
      <c r="E293" t="inlineStr">
        <is>
          <t>8x instance on-demand per GPU-hr</t>
        </is>
      </c>
      <c r="F293" t="inlineStr">
        <is>
          <t>Reported</t>
        </is>
      </c>
      <c r="G293" t="inlineStr">
        <is>
          <t>https://web.archive.org/web/20250616213050/https://lambda.ai/service/gpu-cloud</t>
        </is>
      </c>
      <c r="H293" t="inlineStr">
        <is>
          <t>8x NVIDIA A100 SXM|40 GB|124|1800 GiB|5.8 TiB SSD|$1.29 / GPU / hr</t>
        </is>
      </c>
    </row>
    <row r="294">
      <c r="A294" t="inlineStr">
        <is>
          <t>Lambda</t>
        </is>
      </c>
      <c r="B294" t="inlineStr">
        <is>
          <t>A100 40GB</t>
        </is>
      </c>
      <c r="C294" s="3" t="n">
        <v>45839</v>
      </c>
      <c r="D294" s="4" t="n">
        <v>1.29</v>
      </c>
      <c r="E294" t="inlineStr">
        <is>
          <t>8x instance on-demand per GPU-hr</t>
        </is>
      </c>
      <c r="F294" t="inlineStr">
        <is>
          <t>Reported</t>
        </is>
      </c>
      <c r="G294" t="inlineStr">
        <is>
          <t>https://web.archive.org/web/20250701222124/https://lambda.ai/service/gpu-cloud</t>
        </is>
      </c>
      <c r="H294" t="inlineStr">
        <is>
          <t>8x NVIDIA A100 SXM|40 GB|124|1800 GiB|5.8 TiB SSD|$1.29 / GPU / hr</t>
        </is>
      </c>
    </row>
    <row r="295">
      <c r="A295" t="inlineStr">
        <is>
          <t>Lambda</t>
        </is>
      </c>
      <c r="B295" t="inlineStr">
        <is>
          <t>A100 40GB</t>
        </is>
      </c>
      <c r="C295" s="3" t="n">
        <v>45850</v>
      </c>
      <c r="D295" s="4" t="n">
        <v>1.29</v>
      </c>
      <c r="E295" t="inlineStr">
        <is>
          <t>8x instance on-demand per GPU-hr</t>
        </is>
      </c>
      <c r="F295" t="inlineStr">
        <is>
          <t>Reported</t>
        </is>
      </c>
      <c r="G295" t="inlineStr">
        <is>
          <t>https://web.archive.org/web/20250712004630/https://lambda.ai/pricing</t>
        </is>
      </c>
      <c r="H295" t="inlineStr">
        <is>
          <t>8x NVIDIA A100 SXM|40 GB|124|1800 GiB|5.8 TiB SSD|$1.29</t>
        </is>
      </c>
    </row>
    <row r="296">
      <c r="A296" t="inlineStr">
        <is>
          <t>Lambda</t>
        </is>
      </c>
      <c r="B296" t="inlineStr">
        <is>
          <t>A100 40GB</t>
        </is>
      </c>
      <c r="C296" s="3" t="n">
        <v>45871</v>
      </c>
      <c r="D296" s="4" t="n">
        <v>1.29</v>
      </c>
      <c r="E296" t="inlineStr">
        <is>
          <t>8x instance on-demand per GPU-hr</t>
        </is>
      </c>
      <c r="F296" t="inlineStr">
        <is>
          <t>Reported</t>
        </is>
      </c>
      <c r="G296" t="inlineStr">
        <is>
          <t>https://web.archive.org/web/20250802164952/https://lambda.ai/service/gpu-cloud</t>
        </is>
      </c>
      <c r="H296" t="inlineStr">
        <is>
          <t>8x NVIDIA A100 SXM|40 GB|124|1800 GiB|5.8 TiB SSD|$1.29 / GPU / hr</t>
        </is>
      </c>
    </row>
    <row r="297">
      <c r="A297" t="inlineStr">
        <is>
          <t>Lambda</t>
        </is>
      </c>
      <c r="B297" t="inlineStr">
        <is>
          <t>A100 40GB</t>
        </is>
      </c>
      <c r="C297" s="3" t="n">
        <v>45881</v>
      </c>
      <c r="D297" s="4" t="n">
        <v>1.29</v>
      </c>
      <c r="E297" t="inlineStr">
        <is>
          <t>8x instance on-demand per GPU-hr</t>
        </is>
      </c>
      <c r="F297" t="inlineStr">
        <is>
          <t>Reported</t>
        </is>
      </c>
      <c r="G297" t="inlineStr">
        <is>
          <t>https://web.archive.org/web/20250812162642/https://lambda.ai/pricing</t>
        </is>
      </c>
      <c r="H297" t="inlineStr">
        <is>
          <t>8x NVIDIA A100 SXM|40 GB|124|1800 GiB|5.8 TiB SSD|$1.29</t>
        </is>
      </c>
    </row>
    <row r="298">
      <c r="A298" t="inlineStr">
        <is>
          <t>Lambda</t>
        </is>
      </c>
      <c r="B298" t="inlineStr">
        <is>
          <t>A100 40GB</t>
        </is>
      </c>
      <c r="C298" s="3" t="n">
        <v>45911</v>
      </c>
      <c r="D298" s="4" t="n">
        <v>1.29</v>
      </c>
      <c r="E298" t="inlineStr">
        <is>
          <t>8x instance on-demand per GPU-hr</t>
        </is>
      </c>
      <c r="F298" t="inlineStr">
        <is>
          <t>Reported</t>
        </is>
      </c>
      <c r="G298" t="inlineStr">
        <is>
          <t>https://web.archive.org/web/20250911191244/https://lambda.ai/pricing</t>
        </is>
      </c>
      <c r="H298" t="inlineStr">
        <is>
          <t>8x NVIDIA A100 SXM|40 GB|124|1800 GiB|5.8 TiB SSD|$1.29</t>
        </is>
      </c>
    </row>
    <row r="299">
      <c r="A299" t="inlineStr">
        <is>
          <t>Lambda</t>
        </is>
      </c>
      <c r="B299" t="inlineStr">
        <is>
          <t>A100 40GB</t>
        </is>
      </c>
      <c r="C299" s="3" t="n">
        <v>45911</v>
      </c>
      <c r="D299" s="4" t="n">
        <v>1.29</v>
      </c>
      <c r="E299" t="inlineStr">
        <is>
          <t>8x instance on-demand per GPU-hr</t>
        </is>
      </c>
      <c r="F299" t="inlineStr">
        <is>
          <t>Reported</t>
        </is>
      </c>
      <c r="G299" t="inlineStr">
        <is>
          <t>https://web.archive.org/web/20250911183105/https://lambda.ai/service/gpu-cloud</t>
        </is>
      </c>
      <c r="H299" t="inlineStr">
        <is>
          <t>8x NVIDIA A100 SXM|40 GB|124|1800 GiB|5.8 TiB SSD|$1.29</t>
        </is>
      </c>
    </row>
    <row r="300">
      <c r="A300" t="inlineStr">
        <is>
          <t>Lambda</t>
        </is>
      </c>
      <c r="B300" t="inlineStr">
        <is>
          <t>A100 40GB</t>
        </is>
      </c>
      <c r="C300" s="3" t="n">
        <v>45940</v>
      </c>
      <c r="D300" s="4" t="n">
        <v>1.29</v>
      </c>
      <c r="E300" t="inlineStr">
        <is>
          <t>8x instance on-demand per GPU-hr</t>
        </is>
      </c>
      <c r="F300" t="inlineStr">
        <is>
          <t>Reported</t>
        </is>
      </c>
      <c r="G300" t="inlineStr">
        <is>
          <t>https://web.archive.org/web/20251010223149/https://lambda.ai/pricing</t>
        </is>
      </c>
      <c r="H300" t="inlineStr">
        <is>
          <t>8x NVIDIA A100 SXM|40 GB|124|1800 GiB|5.8 TiB SSD|$1.29</t>
        </is>
      </c>
    </row>
    <row r="301">
      <c r="A301" t="inlineStr">
        <is>
          <t>Lambda</t>
        </is>
      </c>
      <c r="B301" t="inlineStr">
        <is>
          <t>A100 40GB</t>
        </is>
      </c>
      <c r="C301" s="3" t="n">
        <v>45940</v>
      </c>
      <c r="D301" s="4" t="n">
        <v>1.29</v>
      </c>
      <c r="E301" t="inlineStr">
        <is>
          <t>8x instance on-demand per GPU-hr</t>
        </is>
      </c>
      <c r="F301" t="inlineStr">
        <is>
          <t>Reported</t>
        </is>
      </c>
      <c r="G301" t="inlineStr">
        <is>
          <t>https://web.archive.org/web/20251010215133/https://lambda.ai/service/gpu-cloud</t>
        </is>
      </c>
      <c r="H301" t="inlineStr">
        <is>
          <t>8x NVIDIA A100 SXM|40 GB|124|1800 GiB|5.8 TiB SSD|$1.29</t>
        </is>
      </c>
    </row>
    <row r="302">
      <c r="A302" t="inlineStr">
        <is>
          <t>Lambda</t>
        </is>
      </c>
      <c r="B302" t="inlineStr">
        <is>
          <t>A100 40GB</t>
        </is>
      </c>
      <c r="C302" s="3" t="n">
        <v>45966</v>
      </c>
      <c r="D302" s="4" t="n">
        <v>1.29</v>
      </c>
      <c r="E302" t="inlineStr">
        <is>
          <t>8x instance on-demand per GPU-hr</t>
        </is>
      </c>
      <c r="F302" t="inlineStr">
        <is>
          <t>Reported</t>
        </is>
      </c>
      <c r="G302" t="inlineStr">
        <is>
          <t>https://web.archive.org/web/20251105190524/https://lambda.ai/pricing</t>
        </is>
      </c>
      <c r="H302" t="inlineStr">
        <is>
          <t>8x NVIDIA A100 SXM|40 GB|124|1800 GiB|5.8 TiB SSD|$1.29</t>
        </is>
      </c>
    </row>
    <row r="303">
      <c r="A303" t="inlineStr">
        <is>
          <t>Lambda</t>
        </is>
      </c>
      <c r="B303" t="inlineStr">
        <is>
          <t>A100 40GB</t>
        </is>
      </c>
      <c r="C303" s="3" t="n">
        <v>45966</v>
      </c>
      <c r="D303" s="4" t="n">
        <v>1.29</v>
      </c>
      <c r="E303" t="inlineStr">
        <is>
          <t>8x instance on-demand per GPU-hr</t>
        </is>
      </c>
      <c r="F303" t="inlineStr">
        <is>
          <t>Reported</t>
        </is>
      </c>
      <c r="G303" t="inlineStr">
        <is>
          <t>https://web.archive.org/web/20251105171343/https://lambda.ai/service/gpu-cloud</t>
        </is>
      </c>
      <c r="H303" t="inlineStr">
        <is>
          <t>8x NVIDIA A100 SXM|40 GB|124|1800 GiB|5.8 TiB SSD|$1.29</t>
        </is>
      </c>
    </row>
    <row r="304">
      <c r="A304" t="inlineStr">
        <is>
          <t>Lambda</t>
        </is>
      </c>
      <c r="B304" t="inlineStr">
        <is>
          <t>A100 40GB</t>
        </is>
      </c>
      <c r="C304" s="3" t="n">
        <v>45996</v>
      </c>
      <c r="D304" s="4" t="n">
        <v>1.29</v>
      </c>
      <c r="E304" t="inlineStr">
        <is>
          <t>8x instance on-demand per GPU-hr</t>
        </is>
      </c>
      <c r="F304" t="inlineStr">
        <is>
          <t>Reported</t>
        </is>
      </c>
      <c r="G304" t="inlineStr">
        <is>
          <t>https://web.archive.org/web/20251205232122/https://lambda.ai/pricing</t>
        </is>
      </c>
      <c r="H304" t="inlineStr">
        <is>
          <t>NVIDIA A100 SXM|40 GB|124|1800 GiB|5.8 TiB SSD|$1.29</t>
        </is>
      </c>
    </row>
    <row r="305">
      <c r="A305" t="inlineStr">
        <is>
          <t>Lambda</t>
        </is>
      </c>
      <c r="B305" t="inlineStr">
        <is>
          <t>A100 40GB</t>
        </is>
      </c>
      <c r="C305" s="3" t="n">
        <v>46031</v>
      </c>
      <c r="D305" s="4" t="n">
        <v>1.29</v>
      </c>
      <c r="E305" t="inlineStr">
        <is>
          <t>8x instance on-demand per GPU-hr</t>
        </is>
      </c>
      <c r="F305" t="inlineStr">
        <is>
          <t>Reported</t>
        </is>
      </c>
      <c r="G305" t="inlineStr">
        <is>
          <t>https://web.archive.org/web/20260109103934/https://lambda.ai/pricing</t>
        </is>
      </c>
      <c r="H305" t="inlineStr">
        <is>
          <t>NVIDIA A100 SXM|40 GB|124|1800 GiB|5.8 TiB SSD|$1.29</t>
        </is>
      </c>
    </row>
    <row r="306">
      <c r="A306" t="inlineStr">
        <is>
          <t>Lambda</t>
        </is>
      </c>
      <c r="B306" t="inlineStr">
        <is>
          <t>A100 40GB</t>
        </is>
      </c>
      <c r="C306" s="3" t="n">
        <v>46056</v>
      </c>
      <c r="D306" s="4" t="n">
        <v>1.29</v>
      </c>
      <c r="E306" t="inlineStr">
        <is>
          <t>8x instance on-demand per GPU-hr</t>
        </is>
      </c>
      <c r="F306" t="inlineStr">
        <is>
          <t>Reported</t>
        </is>
      </c>
      <c r="G306" t="inlineStr">
        <is>
          <t>https://web.archive.org/web/20260203015539/https://lambda.ai/pricing</t>
        </is>
      </c>
      <c r="H306" t="inlineStr">
        <is>
          <t>NVIDIA A100 SXM|40 GB|124|1800 GiB|5.8 TiB SSD|$1.29</t>
        </is>
      </c>
    </row>
    <row r="307">
      <c r="A307" t="inlineStr">
        <is>
          <t>Lambda</t>
        </is>
      </c>
      <c r="B307" t="inlineStr">
        <is>
          <t>A100 40GB</t>
        </is>
      </c>
      <c r="C307" s="3" t="n">
        <v>46091</v>
      </c>
      <c r="D307" s="4" t="n">
        <v>1.48</v>
      </c>
      <c r="E307" t="inlineStr">
        <is>
          <t>8x instance on-demand per GPU-hr</t>
        </is>
      </c>
      <c r="F307" t="inlineStr">
        <is>
          <t>Reported</t>
        </is>
      </c>
      <c r="G307" t="inlineStr">
        <is>
          <t>https://web.archive.org/web/20260310143253/https://lambda.ai/pricing</t>
        </is>
      </c>
      <c r="H307" t="inlineStr">
        <is>
          <t>NVIDIA A100 SXM|40 GB|124|1800 GiB|5.8 TiB SSD|$1.48</t>
        </is>
      </c>
    </row>
    <row r="308">
      <c r="A308" t="inlineStr">
        <is>
          <t>Lambda</t>
        </is>
      </c>
      <c r="B308" t="inlineStr">
        <is>
          <t>A100 40GB</t>
        </is>
      </c>
      <c r="C308" s="3" t="n">
        <v>46113</v>
      </c>
      <c r="D308" s="4" t="n">
        <v>1.99</v>
      </c>
      <c r="E308" t="inlineStr">
        <is>
          <t>8x instance on-demand per GPU-hr</t>
        </is>
      </c>
      <c r="F308" t="inlineStr">
        <is>
          <t>Reported</t>
        </is>
      </c>
      <c r="G308" t="inlineStr">
        <is>
          <t>https://web.archive.org/web/20260401163040/https://lambda.ai/pricing</t>
        </is>
      </c>
      <c r="H308" t="inlineStr">
        <is>
          <t>NVIDIA A100 SXM|40 GB|124|1800 GiB|5.8 TiB SSD|$1.99</t>
        </is>
      </c>
    </row>
    <row r="309">
      <c r="A309" t="inlineStr">
        <is>
          <t>Lambda</t>
        </is>
      </c>
      <c r="B309" t="inlineStr">
        <is>
          <t>A100 40GB</t>
        </is>
      </c>
      <c r="C309" s="3" t="n">
        <v>46158</v>
      </c>
      <c r="D309" s="4" t="n">
        <v>1.99</v>
      </c>
      <c r="E309" t="inlineStr">
        <is>
          <t>8x instance on-demand per GPU-hr</t>
        </is>
      </c>
      <c r="F309" t="inlineStr">
        <is>
          <t>Reported</t>
        </is>
      </c>
      <c r="G309" t="inlineStr">
        <is>
          <t>https://web.archive.org/web/20260516025341/https://lambda.ai/pricing</t>
        </is>
      </c>
      <c r="H309" t="inlineStr">
        <is>
          <t>NVIDIA A100 SXM|40 GB|124|1800 GiB|5.8 TiB SSD|$1.99</t>
        </is>
      </c>
    </row>
    <row r="310">
      <c r="A310" t="inlineStr">
        <is>
          <t>Lambda</t>
        </is>
      </c>
      <c r="B310" t="inlineStr">
        <is>
          <t>A100 40GB</t>
        </is>
      </c>
      <c r="C310" s="3" t="n">
        <v>46182</v>
      </c>
      <c r="D310" s="4" t="n">
        <v>1.99</v>
      </c>
      <c r="E310" t="inlineStr">
        <is>
          <t>8x instance on-demand per GPU-hr</t>
        </is>
      </c>
      <c r="F310" t="inlineStr">
        <is>
          <t>Reported</t>
        </is>
      </c>
      <c r="G310" t="inlineStr">
        <is>
          <t>https://web.archive.org/web/20260609001655/https://lambda.ai/pricing</t>
        </is>
      </c>
      <c r="H310" t="inlineStr">
        <is>
          <t>NVIDIA A100 SXM|40 GB|124|1800 GiB|5.8 TiB SSD|$1.99</t>
        </is>
      </c>
    </row>
    <row r="311">
      <c r="A311" t="inlineStr">
        <is>
          <t>Lambda</t>
        </is>
      </c>
      <c r="B311" t="inlineStr">
        <is>
          <t>A100 40GB</t>
        </is>
      </c>
      <c r="C311" s="3" t="n">
        <v>46209</v>
      </c>
      <c r="D311" s="4" t="n">
        <v>1.99</v>
      </c>
      <c r="E311" t="inlineStr">
        <is>
          <t>8x instance on-demand per GPU-hr</t>
        </is>
      </c>
      <c r="F311" t="inlineStr">
        <is>
          <t>Reported</t>
        </is>
      </c>
      <c r="G311" t="inlineStr">
        <is>
          <t>https://web.archive.org/web/20260706151751/https://lambda.ai/pricing</t>
        </is>
      </c>
      <c r="H311" t="inlineStr">
        <is>
          <t>NVIDIA A100 SXM|40 GB|124|1800 GiB|5.8 TiB SSD|$1.99</t>
        </is>
      </c>
    </row>
    <row r="312">
      <c r="A312" t="inlineStr">
        <is>
          <t>Lambda</t>
        </is>
      </c>
      <c r="B312" t="inlineStr">
        <is>
          <t>A100 40GB</t>
        </is>
      </c>
      <c r="C312" s="3" t="n">
        <v>46235</v>
      </c>
      <c r="D312" s="4" t="n">
        <v>1.99</v>
      </c>
      <c r="E312" t="inlineStr">
        <is>
          <t>8x instance on-demand per GPU-hr</t>
        </is>
      </c>
      <c r="F312" t="inlineStr">
        <is>
          <t>Reported</t>
        </is>
      </c>
      <c r="G312" t="inlineStr">
        <is>
          <t>https://web.archive.org/web/20260801090859/https://lambda.ai/pricing</t>
        </is>
      </c>
      <c r="H312" t="inlineStr">
        <is>
          <t>NVIDIA A100 SXM|40 GB|124|1800 GiB|5.8 TiB SSD|$1.99</t>
        </is>
      </c>
    </row>
    <row r="313">
      <c r="A313" t="inlineStr">
        <is>
          <t>Lambda</t>
        </is>
      </c>
      <c r="B313" t="inlineStr">
        <is>
          <t>A100 40GB</t>
        </is>
      </c>
      <c r="C313" s="3" t="n">
        <v>46266</v>
      </c>
      <c r="D313" s="4" t="n">
        <v>1.99</v>
      </c>
      <c r="E313" t="inlineStr">
        <is>
          <t>8x instance on-demand per GPU-hr</t>
        </is>
      </c>
      <c r="F313" t="inlineStr">
        <is>
          <t>Reported</t>
        </is>
      </c>
      <c r="G313" t="inlineStr">
        <is>
          <t>https://web.archive.org/web/20260901102422/https://lambda.ai/pricing</t>
        </is>
      </c>
      <c r="H313" t="inlineStr">
        <is>
          <t>NVIDIA A100 SXM|40 GB|124|1800 GiB|5.8 TiB SSD|$1.99</t>
        </is>
      </c>
    </row>
    <row r="314">
      <c r="A314" t="inlineStr">
        <is>
          <t>Lambda</t>
        </is>
      </c>
      <c r="B314" t="inlineStr">
        <is>
          <t>A100 40GB</t>
        </is>
      </c>
      <c r="C314" s="3" t="n">
        <v>46296</v>
      </c>
      <c r="D314" s="4" t="n">
        <v>1.99</v>
      </c>
      <c r="E314" t="inlineStr">
        <is>
          <t>8x instance on-demand per GPU-hr</t>
        </is>
      </c>
      <c r="F314" t="inlineStr">
        <is>
          <t>Reported</t>
        </is>
      </c>
      <c r="G314" t="inlineStr">
        <is>
          <t>https://web.archive.org/web/20261001114850/https://lambda.ai/pricing</t>
        </is>
      </c>
      <c r="H314" t="inlineStr">
        <is>
          <t>NVIDIA A100 SXM|40 GB|124|1800 GiB|5.8 TiB SSD|$1.99</t>
        </is>
      </c>
    </row>
    <row r="315">
      <c r="A315" t="inlineStr">
        <is>
          <t>Lambda</t>
        </is>
      </c>
      <c r="B315" t="inlineStr">
        <is>
          <t>A100 80GB</t>
        </is>
      </c>
      <c r="C315" s="3" t="n">
        <v>45140</v>
      </c>
      <c r="D315" s="4" t="n">
        <v>1.5</v>
      </c>
      <c r="E315" t="inlineStr">
        <is>
          <t>8x instance on-demand, "2023 Price" column /8 (derived) [valid from 8x HGX on-demand launch 2023-08-02 through 2023-12-31]</t>
        </is>
      </c>
      <c r="F315" t="inlineStr">
        <is>
          <t>Derived</t>
        </is>
      </c>
      <c r="G315" t="inlineStr">
        <is>
          <t>https://web.archive.org/web/20231231/https://lambdalabs.com/service/gpu-cloud</t>
        </is>
      </c>
      <c r="H315" t="inlineStr">
        <is>
          <t>8x NVIDIA A100 SXM|80 GB|240|1800 GiB|20 TiB SSD|$12.00 / hr|$14.32 / hr</t>
        </is>
      </c>
    </row>
    <row r="316">
      <c r="A316" t="inlineStr">
        <is>
          <t>Lambda</t>
        </is>
      </c>
      <c r="B316" t="inlineStr">
        <is>
          <t>A100 80GB</t>
        </is>
      </c>
      <c r="C316" s="3" t="n">
        <v>45292</v>
      </c>
      <c r="D316" s="4" t="n">
        <v>1.79</v>
      </c>
      <c r="E316" t="inlineStr">
        <is>
          <t>8x instance on-demand, "2024 Price (effective 1/1/2024)" /8 (derived)</t>
        </is>
      </c>
      <c r="F316" t="inlineStr">
        <is>
          <t>Derived</t>
        </is>
      </c>
      <c r="G316" t="inlineStr">
        <is>
          <t>https://web.archive.org/web/20240101073433/https://lambdalabs.com/service/gpu-cloud</t>
        </is>
      </c>
      <c r="H316" t="inlineStr">
        <is>
          <t>8x NVIDIA A100 SXM|80 GB|240|1800 GiB|20 TiB SSD|$12.00 / hr|$14.32 / hr</t>
        </is>
      </c>
    </row>
    <row r="317">
      <c r="A317" t="inlineStr">
        <is>
          <t>Lambda</t>
        </is>
      </c>
      <c r="B317" t="inlineStr">
        <is>
          <t>A100 80GB</t>
        </is>
      </c>
      <c r="C317" s="3" t="n">
        <v>45348</v>
      </c>
      <c r="D317" s="4" t="n">
        <v>1.79</v>
      </c>
      <c r="E317" t="inlineStr">
        <is>
          <t>8x instance on-demand /8 (derived)</t>
        </is>
      </c>
      <c r="F317" t="inlineStr">
        <is>
          <t>Derived</t>
        </is>
      </c>
      <c r="G317" t="inlineStr">
        <is>
          <t>https://web.archive.org/web/20240226155153/https://lambdalabs.com/service/gpu-cloud</t>
        </is>
      </c>
      <c r="H317" t="inlineStr">
        <is>
          <t>8x NVIDIA A100 SXM|80 GB|240|1800 GiB|20 TiB SSD|$14.32 / hr</t>
        </is>
      </c>
    </row>
    <row r="318">
      <c r="A318" t="inlineStr">
        <is>
          <t>Lambda</t>
        </is>
      </c>
      <c r="B318" t="inlineStr">
        <is>
          <t>A100 80GB</t>
        </is>
      </c>
      <c r="C318" s="3" t="n">
        <v>45355</v>
      </c>
      <c r="D318" s="4" t="n">
        <v>1.79</v>
      </c>
      <c r="E318" t="inlineStr">
        <is>
          <t>8x instance on-demand /8 (derived)</t>
        </is>
      </c>
      <c r="F318" t="inlineStr">
        <is>
          <t>Derived</t>
        </is>
      </c>
      <c r="G318" t="inlineStr">
        <is>
          <t>https://web.archive.org/web/20240304172245/https://lambdalabs.com/service/gpu-cloud</t>
        </is>
      </c>
      <c r="H318" t="inlineStr">
        <is>
          <t>8x NVIDIA A100 SXM|80 GB|240|1800 GiB|20 TiB SSD|$14.32 / hr</t>
        </is>
      </c>
    </row>
    <row r="319">
      <c r="A319" t="inlineStr">
        <is>
          <t>Lambda</t>
        </is>
      </c>
      <c r="B319" t="inlineStr">
        <is>
          <t>A100 80GB</t>
        </is>
      </c>
      <c r="C319" s="3" t="n">
        <v>45383</v>
      </c>
      <c r="D319" s="4" t="n">
        <v>1.79</v>
      </c>
      <c r="E319" t="inlineStr">
        <is>
          <t>8x instance on-demand /8 (derived)</t>
        </is>
      </c>
      <c r="F319" t="inlineStr">
        <is>
          <t>Derived</t>
        </is>
      </c>
      <c r="G319" t="inlineStr">
        <is>
          <t>https://web.archive.org/web/20240401123621/https://lambdalabs.com/service/gpu-cloud</t>
        </is>
      </c>
      <c r="H319" t="inlineStr">
        <is>
          <t>8x NVIDIA A100 SXM|80 GB|240|1800 GiB|20 TiB SSD|$14.32 / hr</t>
        </is>
      </c>
    </row>
    <row r="320">
      <c r="A320" t="inlineStr">
        <is>
          <t>Lambda</t>
        </is>
      </c>
      <c r="B320" t="inlineStr">
        <is>
          <t>A100 80GB</t>
        </is>
      </c>
      <c r="C320" s="3" t="n">
        <v>45425</v>
      </c>
      <c r="D320" s="4" t="n">
        <v>1.79</v>
      </c>
      <c r="E320" t="inlineStr">
        <is>
          <t>8x instance on-demand /8 (derived)</t>
        </is>
      </c>
      <c r="F320" t="inlineStr">
        <is>
          <t>Derived</t>
        </is>
      </c>
      <c r="G320" t="inlineStr">
        <is>
          <t>https://web.archive.org/web/20240513150455/https://lambdalabs.com/service/gpu-cloud</t>
        </is>
      </c>
      <c r="H320" t="inlineStr">
        <is>
          <t>8x NVIDIA A100 SXM|80 GB|240|1800 GiB|20 TiB SSD|$14.32 / hr</t>
        </is>
      </c>
    </row>
    <row r="321">
      <c r="A321" t="inlineStr">
        <is>
          <t>Lambda</t>
        </is>
      </c>
      <c r="B321" t="inlineStr">
        <is>
          <t>A100 80GB</t>
        </is>
      </c>
      <c r="C321" s="3" t="n">
        <v>45484</v>
      </c>
      <c r="D321" s="4" t="n">
        <v>1.79</v>
      </c>
      <c r="E321" t="inlineStr">
        <is>
          <t>8x instance on-demand /8 (derived)</t>
        </is>
      </c>
      <c r="F321" t="inlineStr">
        <is>
          <t>Derived</t>
        </is>
      </c>
      <c r="G321" t="inlineStr">
        <is>
          <t>https://web.archive.org/web/20240711213314/https://lambdalabs.com/service/gpu-cloud</t>
        </is>
      </c>
      <c r="H321" t="inlineStr">
        <is>
          <t>8x NVIDIA A100 SXM|80 GB|240|1800 GiB|20 TiB SSD|$14.32 / hr</t>
        </is>
      </c>
    </row>
    <row r="322">
      <c r="A322" t="inlineStr">
        <is>
          <t>Lambda</t>
        </is>
      </c>
      <c r="B322" t="inlineStr">
        <is>
          <t>A100 80GB</t>
        </is>
      </c>
      <c r="C322" s="3" t="n">
        <v>45519</v>
      </c>
      <c r="D322" s="4" t="n">
        <v>1.79</v>
      </c>
      <c r="E322" t="inlineStr">
        <is>
          <t>8x instance on-demand per GPU-hr</t>
        </is>
      </c>
      <c r="F322" t="inlineStr">
        <is>
          <t>Reported</t>
        </is>
      </c>
      <c r="G322" t="inlineStr">
        <is>
          <t>https://web.archive.org/web/20240815145430/https://lambdalabs.com/service/gpu-cloud</t>
        </is>
      </c>
      <c r="H322" t="inlineStr">
        <is>
          <t>8x NVIDIA A100 SXM|80 GB|240|1800 GiB|20 TiB SSD|$1.79 / GPU / hr</t>
        </is>
      </c>
    </row>
    <row r="323">
      <c r="A323" t="inlineStr">
        <is>
          <t>Lambda</t>
        </is>
      </c>
      <c r="B323" t="inlineStr">
        <is>
          <t>A100 80GB</t>
        </is>
      </c>
      <c r="C323" s="3" t="n">
        <v>45536</v>
      </c>
      <c r="D323" s="4" t="n">
        <v>1.79</v>
      </c>
      <c r="E323" t="inlineStr">
        <is>
          <t>8x instance on-demand per GPU-hr</t>
        </is>
      </c>
      <c r="F323" t="inlineStr">
        <is>
          <t>Reported</t>
        </is>
      </c>
      <c r="G323" t="inlineStr">
        <is>
          <t>https://web.archive.org/web/20240901231348/https://lambdalabs.com/service/gpu-cloud</t>
        </is>
      </c>
      <c r="H323" t="inlineStr">
        <is>
          <t>8x NVIDIA A100 SXM|80 GB|240|1800 GiB|20 TiB SSD|$1.79 / GPU / hr</t>
        </is>
      </c>
    </row>
    <row r="324">
      <c r="A324" t="inlineStr">
        <is>
          <t>Lambda</t>
        </is>
      </c>
      <c r="B324" t="inlineStr">
        <is>
          <t>A100 80GB</t>
        </is>
      </c>
      <c r="C324" s="3" t="n">
        <v>45572</v>
      </c>
      <c r="D324" s="4" t="n">
        <v>1.79</v>
      </c>
      <c r="E324" t="inlineStr">
        <is>
          <t>8x instance on-demand per GPU-hr</t>
        </is>
      </c>
      <c r="F324" t="inlineStr">
        <is>
          <t>Reported</t>
        </is>
      </c>
      <c r="G324" t="inlineStr">
        <is>
          <t>https://web.archive.org/web/20241007220259/https://lambdalabs.com/service/gpu-cloud</t>
        </is>
      </c>
      <c r="H324" t="inlineStr">
        <is>
          <t>8x NVIDIA A100 SXM|80 GB|240|1800 GiB|20 TiB SSD|$1.79 / GPU / hr</t>
        </is>
      </c>
    </row>
    <row r="325">
      <c r="A325" t="inlineStr">
        <is>
          <t>Lambda</t>
        </is>
      </c>
      <c r="B325" t="inlineStr">
        <is>
          <t>A100 80GB</t>
        </is>
      </c>
      <c r="C325" s="3" t="n">
        <v>45599</v>
      </c>
      <c r="D325" s="4" t="n">
        <v>1.79</v>
      </c>
      <c r="E325" t="inlineStr">
        <is>
          <t>8x instance on-demand per GPU-hr</t>
        </is>
      </c>
      <c r="F325" t="inlineStr">
        <is>
          <t>Reported</t>
        </is>
      </c>
      <c r="G325" t="inlineStr">
        <is>
          <t>https://web.archive.org/web/20241103180910/https://lambdalabs.com/service/gpu-cloud</t>
        </is>
      </c>
      <c r="H325" t="inlineStr">
        <is>
          <t>8x NVIDIA A100 SXM|80 GB|240|1800 GiB|19.5 TiB SSD|$1.79 / GPU / hr</t>
        </is>
      </c>
    </row>
    <row r="326">
      <c r="A326" t="inlineStr">
        <is>
          <t>Lambda</t>
        </is>
      </c>
      <c r="B326" t="inlineStr">
        <is>
          <t>A100 80GB</t>
        </is>
      </c>
      <c r="C326" s="3" t="n">
        <v>45630</v>
      </c>
      <c r="D326" s="4" t="n">
        <v>1.79</v>
      </c>
      <c r="E326" t="inlineStr">
        <is>
          <t>8x instance on-demand per GPU-hr</t>
        </is>
      </c>
      <c r="F326" t="inlineStr">
        <is>
          <t>Reported</t>
        </is>
      </c>
      <c r="G326" t="inlineStr">
        <is>
          <t>https://web.archive.org/web/20241204052806/https://lambdalabs.com/service/gpu-cloud</t>
        </is>
      </c>
      <c r="H326" t="inlineStr">
        <is>
          <t>8x NVIDIA A100 SXM|80 GB|240|1800 GiB|19.5 TiB SSD|$1.79 / GPU / hr</t>
        </is>
      </c>
    </row>
    <row r="327">
      <c r="A327" t="inlineStr">
        <is>
          <t>Lambda</t>
        </is>
      </c>
      <c r="B327" t="inlineStr">
        <is>
          <t>A100 80GB</t>
        </is>
      </c>
      <c r="C327" s="3" t="n">
        <v>45658</v>
      </c>
      <c r="D327" s="4" t="n">
        <v>1.79</v>
      </c>
      <c r="E327" t="inlineStr">
        <is>
          <t>8x instance on-demand per GPU-hr</t>
        </is>
      </c>
      <c r="F327" t="inlineStr">
        <is>
          <t>Reported</t>
        </is>
      </c>
      <c r="G327" t="inlineStr">
        <is>
          <t>https://web.archive.org/web/20250101080209/https://lambdalabs.com/service/gpu-cloud</t>
        </is>
      </c>
      <c r="H327" t="inlineStr">
        <is>
          <t>8x NVIDIA A100 SXM|80 GB|240|1800 GiB|19.5 TiB SSD|$1.79 / GPU / hr</t>
        </is>
      </c>
    </row>
    <row r="328">
      <c r="A328" t="inlineStr">
        <is>
          <t>Lambda</t>
        </is>
      </c>
      <c r="B328" t="inlineStr">
        <is>
          <t>A100 80GB</t>
        </is>
      </c>
      <c r="C328" s="3" t="n">
        <v>45693</v>
      </c>
      <c r="D328" s="4" t="n">
        <v>1.79</v>
      </c>
      <c r="E328" t="inlineStr">
        <is>
          <t>8x instance on-demand per GPU-hr</t>
        </is>
      </c>
      <c r="F328" t="inlineStr">
        <is>
          <t>Reported</t>
        </is>
      </c>
      <c r="G328" t="inlineStr">
        <is>
          <t>https://web.archive.org/web/20250205150624/https://lambdalabs.com/service/gpu-cloud</t>
        </is>
      </c>
      <c r="H328" t="inlineStr">
        <is>
          <t>8x NVIDIA A100 SXM|80 GB|240|1800 GiB|19.5 TiB SSD|$1.79 / GPU / hr</t>
        </is>
      </c>
    </row>
    <row r="329">
      <c r="A329" t="inlineStr">
        <is>
          <t>Lambda</t>
        </is>
      </c>
      <c r="B329" t="inlineStr">
        <is>
          <t>A100 80GB</t>
        </is>
      </c>
      <c r="C329" s="3" t="n">
        <v>45732</v>
      </c>
      <c r="D329" s="4" t="n">
        <v>1.79</v>
      </c>
      <c r="E329" t="inlineStr">
        <is>
          <t>8x instance on-demand per GPU-hr</t>
        </is>
      </c>
      <c r="F329" t="inlineStr">
        <is>
          <t>Reported</t>
        </is>
      </c>
      <c r="G329" t="inlineStr">
        <is>
          <t>https://web.archive.org/web/20250316063514/https://lambdalabs.com/service/gpu-cloud</t>
        </is>
      </c>
      <c r="H329" t="inlineStr">
        <is>
          <t>8x NVIDIA A100 SXM|80 GB|240|1800 GiB|19.5 TiB SSD|$1.79 / GPU / hr</t>
        </is>
      </c>
    </row>
    <row r="330">
      <c r="A330" t="inlineStr">
        <is>
          <t>Lambda</t>
        </is>
      </c>
      <c r="B330" t="inlineStr">
        <is>
          <t>A100 80GB</t>
        </is>
      </c>
      <c r="C330" s="3" t="n">
        <v>45744</v>
      </c>
      <c r="D330" s="4" t="n">
        <v>1.79</v>
      </c>
      <c r="E330" t="inlineStr">
        <is>
          <t>8x instance on-demand per GPU-hr</t>
        </is>
      </c>
      <c r="F330" t="inlineStr">
        <is>
          <t>Reported</t>
        </is>
      </c>
      <c r="G330" t="inlineStr">
        <is>
          <t>https://web.archive.org/web/20250328114330/https://lambda.ai/service/gpu-cloud</t>
        </is>
      </c>
      <c r="H330" t="inlineStr">
        <is>
          <t>8x NVIDIA A100 SXM|80 GB|240|1800 GiB|19.5 TiB SSD|$1.79 / GPU / hr</t>
        </is>
      </c>
    </row>
    <row r="331">
      <c r="A331" t="inlineStr">
        <is>
          <t>Lambda</t>
        </is>
      </c>
      <c r="B331" t="inlineStr">
        <is>
          <t>A100 80GB</t>
        </is>
      </c>
      <c r="C331" s="3" t="n">
        <v>45754</v>
      </c>
      <c r="D331" s="4" t="n">
        <v>1.79</v>
      </c>
      <c r="E331" t="inlineStr">
        <is>
          <t>8x instance on-demand per GPU-hr</t>
        </is>
      </c>
      <c r="F331" t="inlineStr">
        <is>
          <t>Reported</t>
        </is>
      </c>
      <c r="G331" t="inlineStr">
        <is>
          <t>https://web.archive.org/web/20250407203919/https://lambda.ai/service/gpu-cloud</t>
        </is>
      </c>
      <c r="H331" t="inlineStr">
        <is>
          <t>8x NVIDIA A100 SXM|80 GB|240|1800 GiB|19.5 TiB SSD|$1.79 / GPU / hr</t>
        </is>
      </c>
    </row>
    <row r="332">
      <c r="A332" t="inlineStr">
        <is>
          <t>Lambda</t>
        </is>
      </c>
      <c r="B332" t="inlineStr">
        <is>
          <t>A100 80GB</t>
        </is>
      </c>
      <c r="C332" s="3" t="n">
        <v>45782</v>
      </c>
      <c r="D332" s="4" t="n">
        <v>1.79</v>
      </c>
      <c r="E332" t="inlineStr">
        <is>
          <t>8x instance on-demand per GPU-hr</t>
        </is>
      </c>
      <c r="F332" t="inlineStr">
        <is>
          <t>Reported</t>
        </is>
      </c>
      <c r="G332" t="inlineStr">
        <is>
          <t>https://web.archive.org/web/20250505010805/https://lambda.ai/service/gpu-cloud</t>
        </is>
      </c>
      <c r="H332" t="inlineStr">
        <is>
          <t>8x NVIDIA A100 SXM|80 GB|240|1800 GiB|19.5 TiB SSD|$1.79 / GPU / hr</t>
        </is>
      </c>
    </row>
    <row r="333">
      <c r="A333" t="inlineStr">
        <is>
          <t>Lambda</t>
        </is>
      </c>
      <c r="B333" t="inlineStr">
        <is>
          <t>A100 80GB</t>
        </is>
      </c>
      <c r="C333" s="3" t="n">
        <v>45812</v>
      </c>
      <c r="D333" s="4" t="n">
        <v>1.79</v>
      </c>
      <c r="E333" t="inlineStr">
        <is>
          <t>8x instance on-demand per GPU-hr</t>
        </is>
      </c>
      <c r="F333" t="inlineStr">
        <is>
          <t>Reported</t>
        </is>
      </c>
      <c r="G333" t="inlineStr">
        <is>
          <t>https://web.archive.org/web/20250604191644/https://lambda.ai/pricing</t>
        </is>
      </c>
      <c r="H333" t="inlineStr">
        <is>
          <t>8x NVIDIA A100 SXM|80 GB|240|1800 GiB|19.5 TiB SSD|$1.79</t>
        </is>
      </c>
    </row>
    <row r="334">
      <c r="A334" t="inlineStr">
        <is>
          <t>Lambda</t>
        </is>
      </c>
      <c r="B334" t="inlineStr">
        <is>
          <t>A100 80GB</t>
        </is>
      </c>
      <c r="C334" s="3" t="n">
        <v>45824</v>
      </c>
      <c r="D334" s="4" t="n">
        <v>1.79</v>
      </c>
      <c r="E334" t="inlineStr">
        <is>
          <t>8x instance on-demand per GPU-hr</t>
        </is>
      </c>
      <c r="F334" t="inlineStr">
        <is>
          <t>Reported</t>
        </is>
      </c>
      <c r="G334" t="inlineStr">
        <is>
          <t>https://web.archive.org/web/20250616213050/https://lambda.ai/service/gpu-cloud</t>
        </is>
      </c>
      <c r="H334" t="inlineStr">
        <is>
          <t>8x NVIDIA A100 SXM|80 GB|240|1800 GiB|19.5 TiB SSD|$1.79 / GPU / hr</t>
        </is>
      </c>
    </row>
    <row r="335">
      <c r="A335" t="inlineStr">
        <is>
          <t>Lambda</t>
        </is>
      </c>
      <c r="B335" t="inlineStr">
        <is>
          <t>A100 80GB</t>
        </is>
      </c>
      <c r="C335" s="3" t="n">
        <v>45839</v>
      </c>
      <c r="D335" s="4" t="n">
        <v>1.79</v>
      </c>
      <c r="E335" t="inlineStr">
        <is>
          <t>8x instance on-demand per GPU-hr</t>
        </is>
      </c>
      <c r="F335" t="inlineStr">
        <is>
          <t>Reported</t>
        </is>
      </c>
      <c r="G335" t="inlineStr">
        <is>
          <t>https://web.archive.org/web/20250701222124/https://lambda.ai/service/gpu-cloud</t>
        </is>
      </c>
      <c r="H335" t="inlineStr">
        <is>
          <t>8x NVIDIA A100 SXM|80 GB|240|1800 GiB|19.5 TiB SSD|$1.79 / GPU / hr</t>
        </is>
      </c>
    </row>
    <row r="336">
      <c r="A336" t="inlineStr">
        <is>
          <t>Lambda</t>
        </is>
      </c>
      <c r="B336" t="inlineStr">
        <is>
          <t>A100 80GB</t>
        </is>
      </c>
      <c r="C336" s="3" t="n">
        <v>45850</v>
      </c>
      <c r="D336" s="4" t="n">
        <v>1.79</v>
      </c>
      <c r="E336" t="inlineStr">
        <is>
          <t>8x instance on-demand per GPU-hr</t>
        </is>
      </c>
      <c r="F336" t="inlineStr">
        <is>
          <t>Reported</t>
        </is>
      </c>
      <c r="G336" t="inlineStr">
        <is>
          <t>https://web.archive.org/web/20250712004630/https://lambda.ai/pricing</t>
        </is>
      </c>
      <c r="H336" t="inlineStr">
        <is>
          <t>8x NVIDIA A100 SXM|80 GB|240|1800 GiB|19.5 TiB SSD|$1.79</t>
        </is>
      </c>
    </row>
    <row r="337">
      <c r="A337" t="inlineStr">
        <is>
          <t>Lambda</t>
        </is>
      </c>
      <c r="B337" t="inlineStr">
        <is>
          <t>A100 80GB</t>
        </is>
      </c>
      <c r="C337" s="3" t="n">
        <v>45871</v>
      </c>
      <c r="D337" s="4" t="n">
        <v>1.79</v>
      </c>
      <c r="E337" t="inlineStr">
        <is>
          <t>8x instance on-demand per GPU-hr</t>
        </is>
      </c>
      <c r="F337" t="inlineStr">
        <is>
          <t>Reported</t>
        </is>
      </c>
      <c r="G337" t="inlineStr">
        <is>
          <t>https://web.archive.org/web/20250802164952/https://lambda.ai/service/gpu-cloud</t>
        </is>
      </c>
      <c r="H337" t="inlineStr">
        <is>
          <t>8x NVIDIA A100 SXM|80 GB|240|1800 GiB|19.5 TiB SSD|$1.79 / GPU / hr</t>
        </is>
      </c>
    </row>
    <row r="338">
      <c r="A338" t="inlineStr">
        <is>
          <t>Lambda</t>
        </is>
      </c>
      <c r="B338" t="inlineStr">
        <is>
          <t>A100 80GB</t>
        </is>
      </c>
      <c r="C338" s="3" t="n">
        <v>45881</v>
      </c>
      <c r="D338" s="4" t="n">
        <v>1.79</v>
      </c>
      <c r="E338" t="inlineStr">
        <is>
          <t>8x instance on-demand per GPU-hr</t>
        </is>
      </c>
      <c r="F338" t="inlineStr">
        <is>
          <t>Reported</t>
        </is>
      </c>
      <c r="G338" t="inlineStr">
        <is>
          <t>https://web.archive.org/web/20250812162642/https://lambda.ai/pricing</t>
        </is>
      </c>
      <c r="H338" t="inlineStr">
        <is>
          <t>8x NVIDIA A100 SXM|80 GB|240|1800 GiB|19.5 TiB SSD|$1.79</t>
        </is>
      </c>
    </row>
    <row r="339">
      <c r="A339" t="inlineStr">
        <is>
          <t>Lambda</t>
        </is>
      </c>
      <c r="B339" t="inlineStr">
        <is>
          <t>A100 80GB</t>
        </is>
      </c>
      <c r="C339" s="3" t="n">
        <v>45911</v>
      </c>
      <c r="D339" s="4" t="n">
        <v>1.79</v>
      </c>
      <c r="E339" t="inlineStr">
        <is>
          <t>8x instance on-demand per GPU-hr</t>
        </is>
      </c>
      <c r="F339" t="inlineStr">
        <is>
          <t>Reported</t>
        </is>
      </c>
      <c r="G339" t="inlineStr">
        <is>
          <t>https://web.archive.org/web/20250911191244/https://lambda.ai/pricing</t>
        </is>
      </c>
      <c r="H339" t="inlineStr">
        <is>
          <t>8x NVIDIA A100 SXM|80 GB|240|1800 GiB|19.5 TiB SSD|$1.79</t>
        </is>
      </c>
    </row>
    <row r="340">
      <c r="A340" t="inlineStr">
        <is>
          <t>Lambda</t>
        </is>
      </c>
      <c r="B340" t="inlineStr">
        <is>
          <t>A100 80GB</t>
        </is>
      </c>
      <c r="C340" s="3" t="n">
        <v>45911</v>
      </c>
      <c r="D340" s="4" t="n">
        <v>1.79</v>
      </c>
      <c r="E340" t="inlineStr">
        <is>
          <t>8x instance on-demand per GPU-hr</t>
        </is>
      </c>
      <c r="F340" t="inlineStr">
        <is>
          <t>Reported</t>
        </is>
      </c>
      <c r="G340" t="inlineStr">
        <is>
          <t>https://web.archive.org/web/20250911183105/https://lambda.ai/service/gpu-cloud</t>
        </is>
      </c>
      <c r="H340" t="inlineStr">
        <is>
          <t>8x NVIDIA A100 SXM|80 GB|240|1800 GiB|19.5 TiB SSD|$1.79</t>
        </is>
      </c>
    </row>
    <row r="341">
      <c r="A341" t="inlineStr">
        <is>
          <t>Lambda</t>
        </is>
      </c>
      <c r="B341" t="inlineStr">
        <is>
          <t>A100 80GB</t>
        </is>
      </c>
      <c r="C341" s="3" t="n">
        <v>45940</v>
      </c>
      <c r="D341" s="4" t="n">
        <v>1.79</v>
      </c>
      <c r="E341" t="inlineStr">
        <is>
          <t>8x instance on-demand per GPU-hr</t>
        </is>
      </c>
      <c r="F341" t="inlineStr">
        <is>
          <t>Reported</t>
        </is>
      </c>
      <c r="G341" t="inlineStr">
        <is>
          <t>https://web.archive.org/web/20251010223149/https://lambda.ai/pricing</t>
        </is>
      </c>
      <c r="H341" t="inlineStr">
        <is>
          <t>8x NVIDIA A100 SXM|80 GB|240|1800 GiB|19.5 TiB SSD|$1.79</t>
        </is>
      </c>
    </row>
    <row r="342">
      <c r="A342" t="inlineStr">
        <is>
          <t>Lambda</t>
        </is>
      </c>
      <c r="B342" t="inlineStr">
        <is>
          <t>A100 80GB</t>
        </is>
      </c>
      <c r="C342" s="3" t="n">
        <v>45940</v>
      </c>
      <c r="D342" s="4" t="n">
        <v>1.79</v>
      </c>
      <c r="E342" t="inlineStr">
        <is>
          <t>8x instance on-demand per GPU-hr</t>
        </is>
      </c>
      <c r="F342" t="inlineStr">
        <is>
          <t>Reported</t>
        </is>
      </c>
      <c r="G342" t="inlineStr">
        <is>
          <t>https://web.archive.org/web/20251010215133/https://lambda.ai/service/gpu-cloud</t>
        </is>
      </c>
      <c r="H342" t="inlineStr">
        <is>
          <t>8x NVIDIA A100 SXM|80 GB|240|1800 GiB|19.5 TiB SSD|$1.79</t>
        </is>
      </c>
    </row>
    <row r="343">
      <c r="A343" t="inlineStr">
        <is>
          <t>Lambda</t>
        </is>
      </c>
      <c r="B343" t="inlineStr">
        <is>
          <t>A100 80GB</t>
        </is>
      </c>
      <c r="C343" s="3" t="n">
        <v>45966</v>
      </c>
      <c r="D343" s="4" t="n">
        <v>1.79</v>
      </c>
      <c r="E343" t="inlineStr">
        <is>
          <t>8x instance on-demand per GPU-hr</t>
        </is>
      </c>
      <c r="F343" t="inlineStr">
        <is>
          <t>Reported</t>
        </is>
      </c>
      <c r="G343" t="inlineStr">
        <is>
          <t>https://web.archive.org/web/20251105190524/https://lambda.ai/pricing</t>
        </is>
      </c>
      <c r="H343" t="inlineStr">
        <is>
          <t>8x NVIDIA A100 SXM|80 GB|240|1800 GiB|19.5 TiB SSD|$1.79</t>
        </is>
      </c>
    </row>
    <row r="344">
      <c r="A344" t="inlineStr">
        <is>
          <t>Lambda</t>
        </is>
      </c>
      <c r="B344" t="inlineStr">
        <is>
          <t>A100 80GB</t>
        </is>
      </c>
      <c r="C344" s="3" t="n">
        <v>45966</v>
      </c>
      <c r="D344" s="4" t="n">
        <v>1.79</v>
      </c>
      <c r="E344" t="inlineStr">
        <is>
          <t>8x instance on-demand per GPU-hr</t>
        </is>
      </c>
      <c r="F344" t="inlineStr">
        <is>
          <t>Reported</t>
        </is>
      </c>
      <c r="G344" t="inlineStr">
        <is>
          <t>https://web.archive.org/web/20251105171343/https://lambda.ai/service/gpu-cloud</t>
        </is>
      </c>
      <c r="H344" t="inlineStr">
        <is>
          <t>8x NVIDIA A100 SXM|80 GB|240|1800 GiB|19.5 TiB SSD|$1.79</t>
        </is>
      </c>
    </row>
    <row r="345">
      <c r="A345" t="inlineStr">
        <is>
          <t>Lambda</t>
        </is>
      </c>
      <c r="B345" t="inlineStr">
        <is>
          <t>A100 80GB</t>
        </is>
      </c>
      <c r="C345" s="3" t="n">
        <v>45996</v>
      </c>
      <c r="D345" s="4" t="n">
        <v>1.79</v>
      </c>
      <c r="E345" t="inlineStr">
        <is>
          <t>8x instance on-demand per GPU-hr</t>
        </is>
      </c>
      <c r="F345" t="inlineStr">
        <is>
          <t>Reported</t>
        </is>
      </c>
      <c r="G345" t="inlineStr">
        <is>
          <t>https://web.archive.org/web/20251205232122/https://lambda.ai/pricing</t>
        </is>
      </c>
      <c r="H345" t="inlineStr">
        <is>
          <t>NVIDIA A100 SXM|80 GB|240|1800 GiB|19.5 TiB SSD|$1.79</t>
        </is>
      </c>
    </row>
    <row r="346">
      <c r="A346" t="inlineStr">
        <is>
          <t>Lambda</t>
        </is>
      </c>
      <c r="B346" t="inlineStr">
        <is>
          <t>A100 80GB</t>
        </is>
      </c>
      <c r="C346" s="3" t="n">
        <v>46031</v>
      </c>
      <c r="D346" s="4" t="n">
        <v>1.79</v>
      </c>
      <c r="E346" t="inlineStr">
        <is>
          <t>8x instance on-demand per GPU-hr</t>
        </is>
      </c>
      <c r="F346" t="inlineStr">
        <is>
          <t>Reported</t>
        </is>
      </c>
      <c r="G346" t="inlineStr">
        <is>
          <t>https://web.archive.org/web/20260109103934/https://lambda.ai/pricing</t>
        </is>
      </c>
      <c r="H346" t="inlineStr">
        <is>
          <t>NVIDIA A100 SXM|80 GB|240|1800 GiB|19.5 TiB SSD|$1.79</t>
        </is>
      </c>
    </row>
    <row r="347">
      <c r="A347" t="inlineStr">
        <is>
          <t>Lambda</t>
        </is>
      </c>
      <c r="B347" t="inlineStr">
        <is>
          <t>A100 80GB</t>
        </is>
      </c>
      <c r="C347" s="3" t="n">
        <v>46056</v>
      </c>
      <c r="D347" s="4" t="n">
        <v>1.79</v>
      </c>
      <c r="E347" t="inlineStr">
        <is>
          <t>8x instance on-demand per GPU-hr</t>
        </is>
      </c>
      <c r="F347" t="inlineStr">
        <is>
          <t>Reported</t>
        </is>
      </c>
      <c r="G347" t="inlineStr">
        <is>
          <t>https://web.archive.org/web/20260203015539/https://lambda.ai/pricing</t>
        </is>
      </c>
      <c r="H347" t="inlineStr">
        <is>
          <t>NVIDIA A100 SXM|80 GB|240|1800 GiB|19.5 TiB SSD|$1.79</t>
        </is>
      </c>
    </row>
    <row r="348">
      <c r="A348" t="inlineStr">
        <is>
          <t>Lambda</t>
        </is>
      </c>
      <c r="B348" t="inlineStr">
        <is>
          <t>A100 80GB</t>
        </is>
      </c>
      <c r="C348" s="3" t="n">
        <v>46091</v>
      </c>
      <c r="D348" s="4" t="n">
        <v>2.06</v>
      </c>
      <c r="E348" t="inlineStr">
        <is>
          <t>8x instance on-demand per GPU-hr</t>
        </is>
      </c>
      <c r="F348" t="inlineStr">
        <is>
          <t>Reported</t>
        </is>
      </c>
      <c r="G348" t="inlineStr">
        <is>
          <t>https://web.archive.org/web/20260310143253/https://lambda.ai/pricing</t>
        </is>
      </c>
      <c r="H348" t="inlineStr">
        <is>
          <t>NVIDIA A100 SXM|80 GB|240|1800 GiB|19.5 TiB SSD|$2.06</t>
        </is>
      </c>
    </row>
    <row r="349">
      <c r="A349" t="inlineStr">
        <is>
          <t>Lambda</t>
        </is>
      </c>
      <c r="B349" t="inlineStr">
        <is>
          <t>A100 80GB</t>
        </is>
      </c>
      <c r="C349" s="3" t="n">
        <v>46113</v>
      </c>
      <c r="D349" s="4" t="n">
        <v>2.79</v>
      </c>
      <c r="E349" t="inlineStr">
        <is>
          <t>8x instance on-demand per GPU-hr</t>
        </is>
      </c>
      <c r="F349" t="inlineStr">
        <is>
          <t>Reported</t>
        </is>
      </c>
      <c r="G349" t="inlineStr">
        <is>
          <t>https://web.archive.org/web/20260401163040/https://lambda.ai/pricing</t>
        </is>
      </c>
      <c r="H349" t="inlineStr">
        <is>
          <t>NVIDIA A100 SXM|80 GB|240|1800 GiB|19.5 TiB SSD|$2.79</t>
        </is>
      </c>
    </row>
    <row r="350">
      <c r="A350" t="inlineStr">
        <is>
          <t>Lambda</t>
        </is>
      </c>
      <c r="B350" t="inlineStr">
        <is>
          <t>A100 80GB</t>
        </is>
      </c>
      <c r="C350" s="3" t="n">
        <v>46158</v>
      </c>
      <c r="D350" s="4" t="n">
        <v>2.79</v>
      </c>
      <c r="E350" t="inlineStr">
        <is>
          <t>8x instance on-demand per GPU-hr</t>
        </is>
      </c>
      <c r="F350" t="inlineStr">
        <is>
          <t>Reported</t>
        </is>
      </c>
      <c r="G350" t="inlineStr">
        <is>
          <t>https://web.archive.org/web/20260516025341/https://lambda.ai/pricing</t>
        </is>
      </c>
      <c r="H350" t="inlineStr">
        <is>
          <t>NVIDIA A100 SXM|80 GB|240|1800 GiB|19.5 TiB SSD|$2.79</t>
        </is>
      </c>
    </row>
    <row r="351">
      <c r="A351" t="inlineStr">
        <is>
          <t>Lambda</t>
        </is>
      </c>
      <c r="B351" t="inlineStr">
        <is>
          <t>A100 80GB</t>
        </is>
      </c>
      <c r="C351" s="3" t="n">
        <v>46182</v>
      </c>
      <c r="D351" s="4" t="n">
        <v>2.79</v>
      </c>
      <c r="E351" t="inlineStr">
        <is>
          <t>8x instance on-demand per GPU-hr</t>
        </is>
      </c>
      <c r="F351" t="inlineStr">
        <is>
          <t>Reported</t>
        </is>
      </c>
      <c r="G351" t="inlineStr">
        <is>
          <t>https://web.archive.org/web/20260609001655/https://lambda.ai/pricing</t>
        </is>
      </c>
      <c r="H351" t="inlineStr">
        <is>
          <t>NVIDIA A100 SXM|80 GB|240|1800 GiB|19.5 TiB SSD|$2.79</t>
        </is>
      </c>
    </row>
    <row r="352">
      <c r="A352" t="inlineStr">
        <is>
          <t>Lambda</t>
        </is>
      </c>
      <c r="B352" t="inlineStr">
        <is>
          <t>A100 80GB</t>
        </is>
      </c>
      <c r="C352" s="3" t="n">
        <v>46209</v>
      </c>
      <c r="D352" s="4" t="n">
        <v>2.79</v>
      </c>
      <c r="E352" t="inlineStr">
        <is>
          <t>8x instance on-demand per GPU-hr</t>
        </is>
      </c>
      <c r="F352" t="inlineStr">
        <is>
          <t>Reported</t>
        </is>
      </c>
      <c r="G352" t="inlineStr">
        <is>
          <t>https://web.archive.org/web/20260706151751/https://lambda.ai/pricing</t>
        </is>
      </c>
      <c r="H352" t="inlineStr">
        <is>
          <t>NVIDIA A100 SXM|80 GB|240|1800 GiB|19.5 TiB SSD|$2.79</t>
        </is>
      </c>
    </row>
    <row r="353">
      <c r="A353" t="inlineStr">
        <is>
          <t>Lambda</t>
        </is>
      </c>
      <c r="B353" t="inlineStr">
        <is>
          <t>A100 80GB</t>
        </is>
      </c>
      <c r="C353" s="3" t="n">
        <v>46235</v>
      </c>
      <c r="D353" s="4" t="n">
        <v>2.79</v>
      </c>
      <c r="E353" t="inlineStr">
        <is>
          <t>8x instance on-demand per GPU-hr</t>
        </is>
      </c>
      <c r="F353" t="inlineStr">
        <is>
          <t>Reported</t>
        </is>
      </c>
      <c r="G353" t="inlineStr">
        <is>
          <t>https://web.archive.org/web/20260801090859/https://lambda.ai/pricing</t>
        </is>
      </c>
      <c r="H353" t="inlineStr">
        <is>
          <t>NVIDIA A100 SXM|80 GB|240|1800 GiB|19.5 TiB SSD|$2.79</t>
        </is>
      </c>
    </row>
    <row r="354">
      <c r="A354" t="inlineStr">
        <is>
          <t>Lambda</t>
        </is>
      </c>
      <c r="B354" t="inlineStr">
        <is>
          <t>A100 80GB</t>
        </is>
      </c>
      <c r="C354" s="3" t="n">
        <v>46266</v>
      </c>
      <c r="D354" s="4" t="n">
        <v>2.79</v>
      </c>
      <c r="E354" t="inlineStr">
        <is>
          <t>8x instance on-demand per GPU-hr</t>
        </is>
      </c>
      <c r="F354" t="inlineStr">
        <is>
          <t>Reported</t>
        </is>
      </c>
      <c r="G354" t="inlineStr">
        <is>
          <t>https://web.archive.org/web/20260901102422/https://lambda.ai/pricing</t>
        </is>
      </c>
      <c r="H354" t="inlineStr">
        <is>
          <t>NVIDIA A100 SXM|80 GB|240|1800 GiB|19.5 TiB SSD|$2.79</t>
        </is>
      </c>
    </row>
    <row r="355">
      <c r="A355" t="inlineStr">
        <is>
          <t>Lambda</t>
        </is>
      </c>
      <c r="B355" t="inlineStr">
        <is>
          <t>A100 80GB</t>
        </is>
      </c>
      <c r="C355" s="3" t="n">
        <v>46296</v>
      </c>
      <c r="D355" s="4" t="n">
        <v>2.79</v>
      </c>
      <c r="E355" t="inlineStr">
        <is>
          <t>8x instance on-demand per GPU-hr</t>
        </is>
      </c>
      <c r="F355" t="inlineStr">
        <is>
          <t>Reported</t>
        </is>
      </c>
      <c r="G355" t="inlineStr">
        <is>
          <t>https://web.archive.org/web/20261001114850/https://lambda.ai/pricing</t>
        </is>
      </c>
      <c r="H355" t="inlineStr">
        <is>
          <t>NVIDIA A100 SXM|80 GB|240|1800 GiB|19.5 TiB SSD|$2.79</t>
        </is>
      </c>
    </row>
    <row r="356">
      <c r="A356" t="inlineStr">
        <is>
          <t>Lambda</t>
        </is>
      </c>
      <c r="B356" t="inlineStr">
        <is>
          <t>B200</t>
        </is>
      </c>
      <c r="C356" s="3" t="n">
        <v>45911</v>
      </c>
      <c r="D356" s="4" t="n">
        <v>4.99</v>
      </c>
      <c r="E356" t="inlineStr">
        <is>
          <t>8x instance on-demand per GPU-hr</t>
        </is>
      </c>
      <c r="F356" t="inlineStr">
        <is>
          <t>Reported</t>
        </is>
      </c>
      <c r="G356" t="inlineStr">
        <is>
          <t>https://web.archive.org/web/20250911191244/https://lambda.ai/pricing</t>
        </is>
      </c>
      <c r="H356" t="inlineStr">
        <is>
          <t>8x NVIDIA B200 SXM6|180 GB|208|2900 GiB|22 TiB SSD|$4.99</t>
        </is>
      </c>
    </row>
    <row r="357">
      <c r="A357" t="inlineStr">
        <is>
          <t>Lambda</t>
        </is>
      </c>
      <c r="B357" t="inlineStr">
        <is>
          <t>B200</t>
        </is>
      </c>
      <c r="C357" s="3" t="n">
        <v>45911</v>
      </c>
      <c r="D357" s="4" t="n">
        <v>4.99</v>
      </c>
      <c r="E357" t="inlineStr">
        <is>
          <t>8x instance on-demand per GPU-hr</t>
        </is>
      </c>
      <c r="F357" t="inlineStr">
        <is>
          <t>Reported</t>
        </is>
      </c>
      <c r="G357" t="inlineStr">
        <is>
          <t>https://web.archive.org/web/20250911183105/https://lambda.ai/service/gpu-cloud</t>
        </is>
      </c>
      <c r="H357" t="inlineStr">
        <is>
          <t>8x NVIDIA B200 SXM6|180 GB|208|2900 GiB|22 TiB SSD|$4.99</t>
        </is>
      </c>
    </row>
    <row r="358">
      <c r="A358" t="inlineStr">
        <is>
          <t>Lambda</t>
        </is>
      </c>
      <c r="B358" t="inlineStr">
        <is>
          <t>B200</t>
        </is>
      </c>
      <c r="C358" s="3" t="n">
        <v>45940</v>
      </c>
      <c r="D358" s="4" t="n">
        <v>4.99</v>
      </c>
      <c r="E358" t="inlineStr">
        <is>
          <t>8x instance on-demand per GPU-hr</t>
        </is>
      </c>
      <c r="F358" t="inlineStr">
        <is>
          <t>Reported</t>
        </is>
      </c>
      <c r="G358" t="inlineStr">
        <is>
          <t>https://web.archive.org/web/20251010223149/https://lambda.ai/pricing</t>
        </is>
      </c>
      <c r="H358" t="inlineStr">
        <is>
          <t>8x NVIDIA B200 SXM6|180 GB|208|2900 GiB|22 TiB SSD|$4.99</t>
        </is>
      </c>
    </row>
    <row r="359">
      <c r="A359" t="inlineStr">
        <is>
          <t>Lambda</t>
        </is>
      </c>
      <c r="B359" t="inlineStr">
        <is>
          <t>B200</t>
        </is>
      </c>
      <c r="C359" s="3" t="n">
        <v>45940</v>
      </c>
      <c r="D359" s="4" t="n">
        <v>4.99</v>
      </c>
      <c r="E359" t="inlineStr">
        <is>
          <t>8x instance on-demand per GPU-hr</t>
        </is>
      </c>
      <c r="F359" t="inlineStr">
        <is>
          <t>Reported</t>
        </is>
      </c>
      <c r="G359" t="inlineStr">
        <is>
          <t>https://web.archive.org/web/20251010215133/https://lambda.ai/service/gpu-cloud</t>
        </is>
      </c>
      <c r="H359" t="inlineStr">
        <is>
          <t>8x NVIDIA B200 SXM6|180 GB|208|2900 GiB|22 TiB SSD|$4.99</t>
        </is>
      </c>
    </row>
    <row r="360">
      <c r="A360" t="inlineStr">
        <is>
          <t>Lambda</t>
        </is>
      </c>
      <c r="B360" t="inlineStr">
        <is>
          <t>B200</t>
        </is>
      </c>
      <c r="C360" s="3" t="n">
        <v>45966</v>
      </c>
      <c r="D360" s="4" t="n">
        <v>4.99</v>
      </c>
      <c r="E360" t="inlineStr">
        <is>
          <t>8x instance on-demand per GPU-hr</t>
        </is>
      </c>
      <c r="F360" t="inlineStr">
        <is>
          <t>Reported</t>
        </is>
      </c>
      <c r="G360" t="inlineStr">
        <is>
          <t>https://web.archive.org/web/20251105190524/https://lambda.ai/pricing</t>
        </is>
      </c>
      <c r="H360" t="inlineStr">
        <is>
          <t>8x NVIDIA B200 SXM6|180 GB|208|2900 GiB|22 TiB SSD|$4.99</t>
        </is>
      </c>
    </row>
    <row r="361">
      <c r="A361" t="inlineStr">
        <is>
          <t>Lambda</t>
        </is>
      </c>
      <c r="B361" t="inlineStr">
        <is>
          <t>B200</t>
        </is>
      </c>
      <c r="C361" s="3" t="n">
        <v>45966</v>
      </c>
      <c r="D361" s="4" t="n">
        <v>4.99</v>
      </c>
      <c r="E361" t="inlineStr">
        <is>
          <t>8x instance on-demand per GPU-hr</t>
        </is>
      </c>
      <c r="F361" t="inlineStr">
        <is>
          <t>Reported</t>
        </is>
      </c>
      <c r="G361" t="inlineStr">
        <is>
          <t>https://web.archive.org/web/20251105171343/https://lambda.ai/service/gpu-cloud</t>
        </is>
      </c>
      <c r="H361" t="inlineStr">
        <is>
          <t>8x NVIDIA B200 SXM6|180 GB|208|2900 GiB|22 TiB SSD|$4.99</t>
        </is>
      </c>
    </row>
    <row r="362">
      <c r="A362" t="inlineStr">
        <is>
          <t>Lambda</t>
        </is>
      </c>
      <c r="B362" t="inlineStr">
        <is>
          <t>B200</t>
        </is>
      </c>
      <c r="C362" s="3" t="n">
        <v>45996</v>
      </c>
      <c r="D362" s="4" t="n">
        <v>4.99</v>
      </c>
      <c r="E362" t="inlineStr">
        <is>
          <t>8x instance on-demand per GPU-hr</t>
        </is>
      </c>
      <c r="F362" t="inlineStr">
        <is>
          <t>Reported</t>
        </is>
      </c>
      <c r="G362" t="inlineStr">
        <is>
          <t>https://web.archive.org/web/20251205232122/https://lambda.ai/pricing</t>
        </is>
      </c>
      <c r="H362" t="inlineStr">
        <is>
          <t>NVIDIA B200 SXM6|180 GB|208|2900 GiB|22 TiB SSD|$4.99</t>
        </is>
      </c>
    </row>
    <row r="363">
      <c r="A363" t="inlineStr">
        <is>
          <t>Lambda</t>
        </is>
      </c>
      <c r="B363" t="inlineStr">
        <is>
          <t>B200</t>
        </is>
      </c>
      <c r="C363" s="3" t="n">
        <v>46031</v>
      </c>
      <c r="D363" s="4" t="n">
        <v>4.99</v>
      </c>
      <c r="E363" t="inlineStr">
        <is>
          <t>8x instance on-demand per GPU-hr</t>
        </is>
      </c>
      <c r="F363" t="inlineStr">
        <is>
          <t>Reported</t>
        </is>
      </c>
      <c r="G363" t="inlineStr">
        <is>
          <t>https://web.archive.org/web/20260109103934/https://lambda.ai/pricing</t>
        </is>
      </c>
      <c r="H363" t="inlineStr">
        <is>
          <t>NVIDIA B200 SXM6|180 GB|208|2900 GiB|22 TiB SSD|$4.99</t>
        </is>
      </c>
    </row>
    <row r="364">
      <c r="A364" t="inlineStr">
        <is>
          <t>Lambda</t>
        </is>
      </c>
      <c r="B364" t="inlineStr">
        <is>
          <t>B200</t>
        </is>
      </c>
      <c r="C364" s="3" t="n">
        <v>46056</v>
      </c>
      <c r="D364" s="4" t="n">
        <v>4.99</v>
      </c>
      <c r="E364" t="inlineStr">
        <is>
          <t>8x instance on-demand per GPU-hr</t>
        </is>
      </c>
      <c r="F364" t="inlineStr">
        <is>
          <t>Reported</t>
        </is>
      </c>
      <c r="G364" t="inlineStr">
        <is>
          <t>https://web.archive.org/web/20260203015539/https://lambda.ai/pricing</t>
        </is>
      </c>
      <c r="H364" t="inlineStr">
        <is>
          <t>NVIDIA B200 SXM6|180 GB|208|2900 GiB|22 TiB SSD|$4.99</t>
        </is>
      </c>
    </row>
    <row r="365">
      <c r="A365" t="inlineStr">
        <is>
          <t>Lambda</t>
        </is>
      </c>
      <c r="B365" t="inlineStr">
        <is>
          <t>B200</t>
        </is>
      </c>
      <c r="C365" s="3" t="n">
        <v>46091</v>
      </c>
      <c r="D365" s="4" t="n">
        <v>5.74</v>
      </c>
      <c r="E365" t="inlineStr">
        <is>
          <t>8x instance on-demand per GPU-hr</t>
        </is>
      </c>
      <c r="F365" t="inlineStr">
        <is>
          <t>Reported</t>
        </is>
      </c>
      <c r="G365" t="inlineStr">
        <is>
          <t>https://web.archive.org/web/20260310143253/https://lambda.ai/pricing</t>
        </is>
      </c>
      <c r="H365" t="inlineStr">
        <is>
          <t>NVIDIA B200 SXM6|180 GB|208|2900 GiB|22 TiB SSD|$5.74</t>
        </is>
      </c>
    </row>
    <row r="366">
      <c r="A366" t="inlineStr">
        <is>
          <t>Lambda</t>
        </is>
      </c>
      <c r="B366" t="inlineStr">
        <is>
          <t>B200</t>
        </is>
      </c>
      <c r="C366" s="3" t="n">
        <v>46113</v>
      </c>
      <c r="D366" s="4" t="n">
        <v>6.69</v>
      </c>
      <c r="E366" t="inlineStr">
        <is>
          <t>8x instance on-demand per GPU-hr</t>
        </is>
      </c>
      <c r="F366" t="inlineStr">
        <is>
          <t>Reported</t>
        </is>
      </c>
      <c r="G366" t="inlineStr">
        <is>
          <t>https://web.archive.org/web/20260401163040/https://lambda.ai/pricing</t>
        </is>
      </c>
      <c r="H366" t="inlineStr">
        <is>
          <t>NVIDIA B200 SXM6|180 GB|208|2900 GiB|22 TiB SSD|$6.69</t>
        </is>
      </c>
    </row>
    <row r="367">
      <c r="A367" t="inlineStr">
        <is>
          <t>Lambda</t>
        </is>
      </c>
      <c r="B367" t="inlineStr">
        <is>
          <t>B200</t>
        </is>
      </c>
      <c r="C367" s="3" t="n">
        <v>46158</v>
      </c>
      <c r="D367" s="4" t="n">
        <v>6.69</v>
      </c>
      <c r="E367" t="inlineStr">
        <is>
          <t>8x instance on-demand per GPU-hr</t>
        </is>
      </c>
      <c r="F367" t="inlineStr">
        <is>
          <t>Reported</t>
        </is>
      </c>
      <c r="G367" t="inlineStr">
        <is>
          <t>https://web.archive.org/web/20260516025341/https://lambda.ai/pricing</t>
        </is>
      </c>
      <c r="H367" t="inlineStr">
        <is>
          <t>NVIDIA B200 SXM6|180 GB|208|2900 GiB|22 TiB SSD|$6.69</t>
        </is>
      </c>
    </row>
    <row r="368">
      <c r="A368" t="inlineStr">
        <is>
          <t>Lambda</t>
        </is>
      </c>
      <c r="B368" t="inlineStr">
        <is>
          <t>B200</t>
        </is>
      </c>
      <c r="C368" s="3" t="n">
        <v>46182</v>
      </c>
      <c r="D368" s="4" t="n">
        <v>6.69</v>
      </c>
      <c r="E368" t="inlineStr">
        <is>
          <t>8x instance on-demand per GPU-hr</t>
        </is>
      </c>
      <c r="F368" t="inlineStr">
        <is>
          <t>Reported</t>
        </is>
      </c>
      <c r="G368" t="inlineStr">
        <is>
          <t>https://web.archive.org/web/20260609001655/https://lambda.ai/pricing</t>
        </is>
      </c>
      <c r="H368" t="inlineStr">
        <is>
          <t>NVIDIA B200 SXM6|180 GB|208|2900 GiB|22 TiB SSD|$6.69</t>
        </is>
      </c>
    </row>
    <row r="369">
      <c r="A369" t="inlineStr">
        <is>
          <t>Lambda</t>
        </is>
      </c>
      <c r="B369" t="inlineStr">
        <is>
          <t>B200</t>
        </is>
      </c>
      <c r="C369" s="3" t="n">
        <v>46209</v>
      </c>
      <c r="D369" s="4" t="n">
        <v>6.69</v>
      </c>
      <c r="E369" t="inlineStr">
        <is>
          <t>8x instance on-demand per GPU-hr</t>
        </is>
      </c>
      <c r="F369" t="inlineStr">
        <is>
          <t>Reported</t>
        </is>
      </c>
      <c r="G369" t="inlineStr">
        <is>
          <t>https://web.archive.org/web/20260706151751/https://lambda.ai/pricing</t>
        </is>
      </c>
      <c r="H369" t="inlineStr">
        <is>
          <t>NVIDIA B200 SXM6|180 GB|208|2900 GiB|22 TiB SSD|$6.69</t>
        </is>
      </c>
    </row>
    <row r="370">
      <c r="A370" t="inlineStr">
        <is>
          <t>Lambda</t>
        </is>
      </c>
      <c r="B370" t="inlineStr">
        <is>
          <t>B200</t>
        </is>
      </c>
      <c r="C370" s="3" t="n">
        <v>46235</v>
      </c>
      <c r="D370" s="4" t="n">
        <v>6.69</v>
      </c>
      <c r="E370" t="inlineStr">
        <is>
          <t>8x instance on-demand per GPU-hr</t>
        </is>
      </c>
      <c r="F370" t="inlineStr">
        <is>
          <t>Reported</t>
        </is>
      </c>
      <c r="G370" t="inlineStr">
        <is>
          <t>https://web.archive.org/web/20260801090859/https://lambda.ai/pricing</t>
        </is>
      </c>
      <c r="H370" t="inlineStr">
        <is>
          <t>NVIDIA B200 SXM6|180 GB|208|2900 GiB|22 TiB SSD|$6.69</t>
        </is>
      </c>
    </row>
    <row r="371">
      <c r="A371" t="inlineStr">
        <is>
          <t>Lambda</t>
        </is>
      </c>
      <c r="B371" t="inlineStr">
        <is>
          <t>B200</t>
        </is>
      </c>
      <c r="C371" s="3" t="n">
        <v>46266</v>
      </c>
      <c r="D371" s="4" t="n">
        <v>6.69</v>
      </c>
      <c r="E371" t="inlineStr">
        <is>
          <t>8x instance on-demand per GPU-hr</t>
        </is>
      </c>
      <c r="F371" t="inlineStr">
        <is>
          <t>Reported</t>
        </is>
      </c>
      <c r="G371" t="inlineStr">
        <is>
          <t>https://web.archive.org/web/20260901102422/https://lambda.ai/pricing</t>
        </is>
      </c>
      <c r="H371" t="inlineStr">
        <is>
          <t>NVIDIA B200 SXM6|180 GB|208|2900 GiB|22 TiB SSD|$6.69</t>
        </is>
      </c>
    </row>
    <row r="372">
      <c r="A372" t="inlineStr">
        <is>
          <t>Lambda</t>
        </is>
      </c>
      <c r="B372" t="inlineStr">
        <is>
          <t>B200</t>
        </is>
      </c>
      <c r="C372" s="3" t="n">
        <v>46296</v>
      </c>
      <c r="D372" s="4" t="n">
        <v>6.69</v>
      </c>
      <c r="E372" t="inlineStr">
        <is>
          <t>8x instance on-demand per GPU-hr</t>
        </is>
      </c>
      <c r="F372" t="inlineStr">
        <is>
          <t>Reported</t>
        </is>
      </c>
      <c r="G372" t="inlineStr">
        <is>
          <t>https://web.archive.org/web/20261001114850/https://lambda.ai/pricing</t>
        </is>
      </c>
      <c r="H372" t="inlineStr">
        <is>
          <t>NVIDIA B200 SXM6|180 GB|208|2900 GiB|22 TiB SSD|$6.69</t>
        </is>
      </c>
    </row>
    <row r="373">
      <c r="A373" t="inlineStr">
        <is>
          <t>Lambda</t>
        </is>
      </c>
      <c r="B373" t="inlineStr">
        <is>
          <t>H100</t>
        </is>
      </c>
      <c r="C373" s="3" t="n">
        <v>45140</v>
      </c>
      <c r="D373" s="4" t="n">
        <v>2.59</v>
      </c>
      <c r="E373" t="inlineStr">
        <is>
          <t>8x instance on-demand, "2023 Price" column /8 (derived) [valid from 8x HGX on-demand launch 2023-08-02 through 2023-12-31]</t>
        </is>
      </c>
      <c r="F373" t="inlineStr">
        <is>
          <t>Derived</t>
        </is>
      </c>
      <c r="G373" t="inlineStr">
        <is>
          <t>https://web.archive.org/web/20231231/https://lambdalabs.com/service/gpu-cloud</t>
        </is>
      </c>
      <c r="H373" t="inlineStr">
        <is>
          <t>8x NVIDIA H100 SXM|New|80 GB|208|1800 GiB|26 TiB SSD|$20.72 / hr|$27.92 / hr</t>
        </is>
      </c>
    </row>
    <row r="374">
      <c r="A374" t="inlineStr">
        <is>
          <t>Lambda</t>
        </is>
      </c>
      <c r="B374" t="inlineStr">
        <is>
          <t>H100</t>
        </is>
      </c>
      <c r="C374" s="3" t="n">
        <v>45292</v>
      </c>
      <c r="D374" s="4" t="n">
        <v>3.49</v>
      </c>
      <c r="E374" t="inlineStr">
        <is>
          <t>8x instance on-demand, "2024 Price (effective 1/1/2024)" /8 (derived)</t>
        </is>
      </c>
      <c r="F374" t="inlineStr">
        <is>
          <t>Derived</t>
        </is>
      </c>
      <c r="G374" t="inlineStr">
        <is>
          <t>https://web.archive.org/web/20240101073433/https://lambdalabs.com/service/gpu-cloud</t>
        </is>
      </c>
      <c r="H374" t="inlineStr">
        <is>
          <t>8x NVIDIA H100 SXM|New|80 GB|208|1800 GiB|26 TiB SSD|$20.72 / hr|$27.92 / hr</t>
        </is>
      </c>
    </row>
    <row r="375">
      <c r="A375" t="inlineStr">
        <is>
          <t>Lambda</t>
        </is>
      </c>
      <c r="B375" t="inlineStr">
        <is>
          <t>H100</t>
        </is>
      </c>
      <c r="C375" s="3" t="n">
        <v>45348</v>
      </c>
      <c r="D375" s="4" t="n">
        <v>3.49</v>
      </c>
      <c r="E375" t="inlineStr">
        <is>
          <t>8x instance on-demand /8 (derived)</t>
        </is>
      </c>
      <c r="F375" t="inlineStr">
        <is>
          <t>Derived</t>
        </is>
      </c>
      <c r="G375" t="inlineStr">
        <is>
          <t>https://web.archive.org/web/20240226155153/https://lambdalabs.com/service/gpu-cloud</t>
        </is>
      </c>
      <c r="H375" t="inlineStr">
        <is>
          <t>8x NVIDIA H100 SXM|New|80 GB|208|1800 GiB|26 TiB SSD|$27.92 / hr</t>
        </is>
      </c>
    </row>
    <row r="376">
      <c r="A376" t="inlineStr">
        <is>
          <t>Lambda</t>
        </is>
      </c>
      <c r="B376" t="inlineStr">
        <is>
          <t>H100</t>
        </is>
      </c>
      <c r="C376" s="3" t="n">
        <v>45355</v>
      </c>
      <c r="D376" s="4" t="n">
        <v>3.49</v>
      </c>
      <c r="E376" t="inlineStr">
        <is>
          <t>8x instance on-demand /8 (derived)</t>
        </is>
      </c>
      <c r="F376" t="inlineStr">
        <is>
          <t>Derived</t>
        </is>
      </c>
      <c r="G376" t="inlineStr">
        <is>
          <t>https://web.archive.org/web/20240304172245/https://lambdalabs.com/service/gpu-cloud</t>
        </is>
      </c>
      <c r="H376" t="inlineStr">
        <is>
          <t>8x NVIDIA H100 SXM|New|80 GB|208|1800 GiB|26 TiB SSD|$27.92 / hr</t>
        </is>
      </c>
    </row>
    <row r="377">
      <c r="A377" t="inlineStr">
        <is>
          <t>Lambda</t>
        </is>
      </c>
      <c r="B377" t="inlineStr">
        <is>
          <t>H100</t>
        </is>
      </c>
      <c r="C377" s="3" t="n">
        <v>45383</v>
      </c>
      <c r="D377" s="4" t="n">
        <v>3.49</v>
      </c>
      <c r="E377" t="inlineStr">
        <is>
          <t>8x instance on-demand /8 (derived)</t>
        </is>
      </c>
      <c r="F377" t="inlineStr">
        <is>
          <t>Derived</t>
        </is>
      </c>
      <c r="G377" t="inlineStr">
        <is>
          <t>https://web.archive.org/web/20240401123621/https://lambdalabs.com/service/gpu-cloud</t>
        </is>
      </c>
      <c r="H377" t="inlineStr">
        <is>
          <t>8x NVIDIA H100 SXM|New|80 GB|208|1800 GiB|26 TiB SSD|$27.92 / hr</t>
        </is>
      </c>
    </row>
    <row r="378">
      <c r="A378" t="inlineStr">
        <is>
          <t>Lambda</t>
        </is>
      </c>
      <c r="B378" t="inlineStr">
        <is>
          <t>H100</t>
        </is>
      </c>
      <c r="C378" s="3" t="n">
        <v>45425</v>
      </c>
      <c r="D378" s="4" t="n">
        <v>3.49</v>
      </c>
      <c r="E378" t="inlineStr">
        <is>
          <t>8x instance on-demand /8 (derived)</t>
        </is>
      </c>
      <c r="F378" t="inlineStr">
        <is>
          <t>Derived</t>
        </is>
      </c>
      <c r="G378" t="inlineStr">
        <is>
          <t>https://web.archive.org/web/20240513150455/https://lambdalabs.com/service/gpu-cloud</t>
        </is>
      </c>
      <c r="H378" t="inlineStr">
        <is>
          <t>8x NVIDIA H100 SXM|New|80 GB|208|1800 GiB|26 TiB SSD|$27.92 / hr</t>
        </is>
      </c>
    </row>
    <row r="379">
      <c r="A379" t="inlineStr">
        <is>
          <t>Lambda</t>
        </is>
      </c>
      <c r="B379" t="inlineStr">
        <is>
          <t>H100</t>
        </is>
      </c>
      <c r="C379" s="3" t="n">
        <v>45484</v>
      </c>
      <c r="D379" s="4" t="n">
        <v>3.49</v>
      </c>
      <c r="E379" t="inlineStr">
        <is>
          <t>8x instance on-demand /8 (derived)</t>
        </is>
      </c>
      <c r="F379" t="inlineStr">
        <is>
          <t>Derived</t>
        </is>
      </c>
      <c r="G379" t="inlineStr">
        <is>
          <t>https://web.archive.org/web/20240711213314/https://lambdalabs.com/service/gpu-cloud</t>
        </is>
      </c>
      <c r="H379" t="inlineStr">
        <is>
          <t>8x NVIDIA H100 SXM|New|80 GB|208|1800 GiB|26 TiB SSD|$27.92 / hr</t>
        </is>
      </c>
    </row>
    <row r="380">
      <c r="A380" t="inlineStr">
        <is>
          <t>Lambda</t>
        </is>
      </c>
      <c r="B380" t="inlineStr">
        <is>
          <t>H100</t>
        </is>
      </c>
      <c r="C380" s="3" t="n">
        <v>45519</v>
      </c>
      <c r="D380" s="4" t="n">
        <v>2.99</v>
      </c>
      <c r="E380" t="inlineStr">
        <is>
          <t>8x instance on-demand per GPU-hr</t>
        </is>
      </c>
      <c r="F380" t="inlineStr">
        <is>
          <t>Reported</t>
        </is>
      </c>
      <c r="G380" t="inlineStr">
        <is>
          <t>https://web.archive.org/web/20240815145430/https://lambdalabs.com/service/gpu-cloud</t>
        </is>
      </c>
      <c r="H380" t="inlineStr">
        <is>
          <t>8x NVIDIA H100 SXM|New Price|80 GB|208|1800 GiB|26 TiB SSD|$2.99 / GPU / hr</t>
        </is>
      </c>
    </row>
    <row r="381">
      <c r="A381" t="inlineStr">
        <is>
          <t>Lambda</t>
        </is>
      </c>
      <c r="B381" t="inlineStr">
        <is>
          <t>H100</t>
        </is>
      </c>
      <c r="C381" s="3" t="n">
        <v>45536</v>
      </c>
      <c r="D381" s="4" t="n">
        <v>2.99</v>
      </c>
      <c r="E381" t="inlineStr">
        <is>
          <t>8x instance on-demand per GPU-hr</t>
        </is>
      </c>
      <c r="F381" t="inlineStr">
        <is>
          <t>Reported</t>
        </is>
      </c>
      <c r="G381" t="inlineStr">
        <is>
          <t>https://web.archive.org/web/20240901231348/https://lambdalabs.com/service/gpu-cloud</t>
        </is>
      </c>
      <c r="H381" t="inlineStr">
        <is>
          <t>8x NVIDIA H100 SXM|New Price|80 GB|208|1800 GiB|26 TiB SSD|$2.99 / GPU / hr</t>
        </is>
      </c>
    </row>
    <row r="382">
      <c r="A382" t="inlineStr">
        <is>
          <t>Lambda</t>
        </is>
      </c>
      <c r="B382" t="inlineStr">
        <is>
          <t>H100</t>
        </is>
      </c>
      <c r="C382" s="3" t="n">
        <v>45572</v>
      </c>
      <c r="D382" s="4" t="n">
        <v>2.99</v>
      </c>
      <c r="E382" t="inlineStr">
        <is>
          <t>8x instance on-demand per GPU-hr</t>
        </is>
      </c>
      <c r="F382" t="inlineStr">
        <is>
          <t>Reported</t>
        </is>
      </c>
      <c r="G382" t="inlineStr">
        <is>
          <t>https://web.archive.org/web/20241007220259/https://lambdalabs.com/service/gpu-cloud</t>
        </is>
      </c>
      <c r="H382" t="inlineStr">
        <is>
          <t>8x NVIDIA H100 SXM|New Price|80 GB|208|1800 GiB|22 TiB SSD|$2.99 / GPU / hr</t>
        </is>
      </c>
    </row>
    <row r="383">
      <c r="A383" t="inlineStr">
        <is>
          <t>Lambda</t>
        </is>
      </c>
      <c r="B383" t="inlineStr">
        <is>
          <t>H100</t>
        </is>
      </c>
      <c r="C383" s="3" t="n">
        <v>45599</v>
      </c>
      <c r="D383" s="4" t="n">
        <v>2.99</v>
      </c>
      <c r="E383" t="inlineStr">
        <is>
          <t>8x instance on-demand per GPU-hr</t>
        </is>
      </c>
      <c r="F383" t="inlineStr">
        <is>
          <t>Reported</t>
        </is>
      </c>
      <c r="G383" t="inlineStr">
        <is>
          <t>https://web.archive.org/web/20241103180910/https://lambdalabs.com/service/gpu-cloud</t>
        </is>
      </c>
      <c r="H383" t="inlineStr">
        <is>
          <t>8x NVIDIA H100 SXM|80 GB|208|1800 GiB|26 TiB SSD|$2.99 / GPU / hr</t>
        </is>
      </c>
    </row>
    <row r="384">
      <c r="A384" t="inlineStr">
        <is>
          <t>Lambda</t>
        </is>
      </c>
      <c r="B384" t="inlineStr">
        <is>
          <t>H100</t>
        </is>
      </c>
      <c r="C384" s="3" t="n">
        <v>45630</v>
      </c>
      <c r="D384" s="4" t="n">
        <v>2.99</v>
      </c>
      <c r="E384" t="inlineStr">
        <is>
          <t>8x instance on-demand per GPU-hr</t>
        </is>
      </c>
      <c r="F384" t="inlineStr">
        <is>
          <t>Reported</t>
        </is>
      </c>
      <c r="G384" t="inlineStr">
        <is>
          <t>https://web.archive.org/web/20241204052806/https://lambdalabs.com/service/gpu-cloud</t>
        </is>
      </c>
      <c r="H384" t="inlineStr">
        <is>
          <t>8x NVIDIA H100 SXM|80 GB|208|1800 GiB|22 TiB SSD|$2.99 / GPU / hr</t>
        </is>
      </c>
    </row>
    <row r="385">
      <c r="A385" t="inlineStr">
        <is>
          <t>Lambda</t>
        </is>
      </c>
      <c r="B385" t="inlineStr">
        <is>
          <t>H100</t>
        </is>
      </c>
      <c r="C385" s="3" t="n">
        <v>45658</v>
      </c>
      <c r="D385" s="4" t="n">
        <v>2.99</v>
      </c>
      <c r="E385" t="inlineStr">
        <is>
          <t>8x instance on-demand per GPU-hr</t>
        </is>
      </c>
      <c r="F385" t="inlineStr">
        <is>
          <t>Reported</t>
        </is>
      </c>
      <c r="G385" t="inlineStr">
        <is>
          <t>https://web.archive.org/web/20250101080209/https://lambdalabs.com/service/gpu-cloud</t>
        </is>
      </c>
      <c r="H385" t="inlineStr">
        <is>
          <t>8x NVIDIA H100 SXM|80 GB|208|1800 GiB|22 TiB SSD|$2.99 / GPU / hr</t>
        </is>
      </c>
    </row>
    <row r="386">
      <c r="A386" t="inlineStr">
        <is>
          <t>Lambda</t>
        </is>
      </c>
      <c r="B386" t="inlineStr">
        <is>
          <t>H100</t>
        </is>
      </c>
      <c r="C386" s="3" t="n">
        <v>45693</v>
      </c>
      <c r="D386" s="4" t="n">
        <v>2.99</v>
      </c>
      <c r="E386" t="inlineStr">
        <is>
          <t>8x instance on-demand per GPU-hr</t>
        </is>
      </c>
      <c r="F386" t="inlineStr">
        <is>
          <t>Reported</t>
        </is>
      </c>
      <c r="G386" t="inlineStr">
        <is>
          <t>https://web.archive.org/web/20250205150624/https://lambdalabs.com/service/gpu-cloud</t>
        </is>
      </c>
      <c r="H386" t="inlineStr">
        <is>
          <t>8x NVIDIA H100 SXM|80 GB|208|1800 GiB|22 TiB SSD|$2.99 / GPU / hr</t>
        </is>
      </c>
    </row>
    <row r="387">
      <c r="A387" t="inlineStr">
        <is>
          <t>Lambda</t>
        </is>
      </c>
      <c r="B387" t="inlineStr">
        <is>
          <t>H100</t>
        </is>
      </c>
      <c r="C387" s="3" t="n">
        <v>45732</v>
      </c>
      <c r="D387" s="4" t="n">
        <v>2.99</v>
      </c>
      <c r="E387" t="inlineStr">
        <is>
          <t>8x instance on-demand per GPU-hr</t>
        </is>
      </c>
      <c r="F387" t="inlineStr">
        <is>
          <t>Reported</t>
        </is>
      </c>
      <c r="G387" t="inlineStr">
        <is>
          <t>https://web.archive.org/web/20250316063514/https://lambdalabs.com/service/gpu-cloud</t>
        </is>
      </c>
      <c r="H387" t="inlineStr">
        <is>
          <t>8x NVIDIA H100 SXM|80 GB|208|1800 GiB|22 TiB SSD|$2.99 / GPU / hr</t>
        </is>
      </c>
    </row>
    <row r="388">
      <c r="A388" t="inlineStr">
        <is>
          <t>Lambda</t>
        </is>
      </c>
      <c r="B388" t="inlineStr">
        <is>
          <t>H100</t>
        </is>
      </c>
      <c r="C388" s="3" t="n">
        <v>45744</v>
      </c>
      <c r="D388" s="4" t="n">
        <v>2.99</v>
      </c>
      <c r="E388" t="inlineStr">
        <is>
          <t>8x instance on-demand per GPU-hr</t>
        </is>
      </c>
      <c r="F388" t="inlineStr">
        <is>
          <t>Reported</t>
        </is>
      </c>
      <c r="G388" t="inlineStr">
        <is>
          <t>https://web.archive.org/web/20250328114330/https://lambda.ai/service/gpu-cloud</t>
        </is>
      </c>
      <c r="H388" t="inlineStr">
        <is>
          <t>8x NVIDIA H100 SXM|80 GB|208|1800 GiB|22 TiB SSD|$2.99 / GPU / hr</t>
        </is>
      </c>
    </row>
    <row r="389">
      <c r="A389" t="inlineStr">
        <is>
          <t>Lambda</t>
        </is>
      </c>
      <c r="B389" t="inlineStr">
        <is>
          <t>H100</t>
        </is>
      </c>
      <c r="C389" s="3" t="n">
        <v>45754</v>
      </c>
      <c r="D389" s="4" t="n">
        <v>2.99</v>
      </c>
      <c r="E389" t="inlineStr">
        <is>
          <t>8x instance on-demand per GPU-hr</t>
        </is>
      </c>
      <c r="F389" t="inlineStr">
        <is>
          <t>Reported</t>
        </is>
      </c>
      <c r="G389" t="inlineStr">
        <is>
          <t>https://web.archive.org/web/20250407203919/https://lambda.ai/service/gpu-cloud</t>
        </is>
      </c>
      <c r="H389" t="inlineStr">
        <is>
          <t>8x NVIDIA H100 SXM|80 GB|208|1800 GiB|22 TiB SSD|$2.99 / GPU / hr</t>
        </is>
      </c>
    </row>
    <row r="390">
      <c r="A390" t="inlineStr">
        <is>
          <t>Lambda</t>
        </is>
      </c>
      <c r="B390" t="inlineStr">
        <is>
          <t>H100</t>
        </is>
      </c>
      <c r="C390" s="3" t="n">
        <v>45782</v>
      </c>
      <c r="D390" s="4" t="n">
        <v>2.99</v>
      </c>
      <c r="E390" t="inlineStr">
        <is>
          <t>8x instance on-demand per GPU-hr</t>
        </is>
      </c>
      <c r="F390" t="inlineStr">
        <is>
          <t>Reported</t>
        </is>
      </c>
      <c r="G390" t="inlineStr">
        <is>
          <t>https://web.archive.org/web/20250505010805/https://lambda.ai/service/gpu-cloud</t>
        </is>
      </c>
      <c r="H390" t="inlineStr">
        <is>
          <t>8x NVIDIA H100 SXM|80 GB|208|1800 GiB|22 TiB SSD|$2.99 / GPU / hr</t>
        </is>
      </c>
    </row>
    <row r="391">
      <c r="A391" t="inlineStr">
        <is>
          <t>Lambda</t>
        </is>
      </c>
      <c r="B391" t="inlineStr">
        <is>
          <t>H100</t>
        </is>
      </c>
      <c r="C391" s="3" t="n">
        <v>45812</v>
      </c>
      <c r="D391" s="4" t="n">
        <v>2.99</v>
      </c>
      <c r="E391" t="inlineStr">
        <is>
          <t>8x instance on-demand per GPU-hr</t>
        </is>
      </c>
      <c r="F391" t="inlineStr">
        <is>
          <t>Reported</t>
        </is>
      </c>
      <c r="G391" t="inlineStr">
        <is>
          <t>https://web.archive.org/web/20250604191644/https://lambda.ai/pricing</t>
        </is>
      </c>
      <c r="H391" t="inlineStr">
        <is>
          <t>8x NVIDIA H100 SXM|80 GB|208|1800 GiB|22 TiB SSD|$2.99</t>
        </is>
      </c>
    </row>
    <row r="392">
      <c r="A392" t="inlineStr">
        <is>
          <t>Lambda</t>
        </is>
      </c>
      <c r="B392" t="inlineStr">
        <is>
          <t>H100</t>
        </is>
      </c>
      <c r="C392" s="3" t="n">
        <v>45824</v>
      </c>
      <c r="D392" s="4" t="n">
        <v>2.99</v>
      </c>
      <c r="E392" t="inlineStr">
        <is>
          <t>8x instance on-demand per GPU-hr</t>
        </is>
      </c>
      <c r="F392" t="inlineStr">
        <is>
          <t>Reported</t>
        </is>
      </c>
      <c r="G392" t="inlineStr">
        <is>
          <t>https://web.archive.org/web/20250616213050/https://lambda.ai/service/gpu-cloud</t>
        </is>
      </c>
      <c r="H392" t="inlineStr">
        <is>
          <t>8x NVIDIA H100 SXM|80 GB|208|1800 GiB|22 TiB SSD|$2.99 / GPU / hr</t>
        </is>
      </c>
    </row>
    <row r="393">
      <c r="A393" t="inlineStr">
        <is>
          <t>Lambda</t>
        </is>
      </c>
      <c r="B393" t="inlineStr">
        <is>
          <t>H100</t>
        </is>
      </c>
      <c r="C393" s="3" t="n">
        <v>45839</v>
      </c>
      <c r="D393" s="4" t="n">
        <v>2.99</v>
      </c>
      <c r="E393" t="inlineStr">
        <is>
          <t>8x instance on-demand per GPU-hr</t>
        </is>
      </c>
      <c r="F393" t="inlineStr">
        <is>
          <t>Reported</t>
        </is>
      </c>
      <c r="G393" t="inlineStr">
        <is>
          <t>https://web.archive.org/web/20250701222124/https://lambda.ai/service/gpu-cloud</t>
        </is>
      </c>
      <c r="H393" t="inlineStr">
        <is>
          <t>8x NVIDIA H100 SXM|80 GB|208|1800 GiB|22 TiB SSD|$2.99 / GPU / hr</t>
        </is>
      </c>
    </row>
    <row r="394">
      <c r="A394" t="inlineStr">
        <is>
          <t>Lambda</t>
        </is>
      </c>
      <c r="B394" t="inlineStr">
        <is>
          <t>H100</t>
        </is>
      </c>
      <c r="C394" s="3" t="n">
        <v>45850</v>
      </c>
      <c r="D394" s="4" t="n">
        <v>2.99</v>
      </c>
      <c r="E394" t="inlineStr">
        <is>
          <t>8x instance on-demand per GPU-hr</t>
        </is>
      </c>
      <c r="F394" t="inlineStr">
        <is>
          <t>Reported</t>
        </is>
      </c>
      <c r="G394" t="inlineStr">
        <is>
          <t>https://web.archive.org/web/20250712004630/https://lambda.ai/pricing</t>
        </is>
      </c>
      <c r="H394" t="inlineStr">
        <is>
          <t>8x NVIDIA H100 SXM|80 GB|208|1800 GiB|22 TiB SSD|$2.99</t>
        </is>
      </c>
    </row>
    <row r="395">
      <c r="A395" t="inlineStr">
        <is>
          <t>Lambda</t>
        </is>
      </c>
      <c r="B395" t="inlineStr">
        <is>
          <t>H100</t>
        </is>
      </c>
      <c r="C395" s="3" t="n">
        <v>45871</v>
      </c>
      <c r="D395" s="4" t="n">
        <v>2.99</v>
      </c>
      <c r="E395" t="inlineStr">
        <is>
          <t>8x instance on-demand per GPU-hr</t>
        </is>
      </c>
      <c r="F395" t="inlineStr">
        <is>
          <t>Reported</t>
        </is>
      </c>
      <c r="G395" t="inlineStr">
        <is>
          <t>https://web.archive.org/web/20250802164952/https://lambda.ai/service/gpu-cloud</t>
        </is>
      </c>
      <c r="H395" t="inlineStr">
        <is>
          <t>8x NVIDIA H100 SXM|80 GB|208|1800 GiB|22 TiB SSD|$2.99 / GPU / hr</t>
        </is>
      </c>
    </row>
    <row r="396">
      <c r="A396" t="inlineStr">
        <is>
          <t>Lambda</t>
        </is>
      </c>
      <c r="B396" t="inlineStr">
        <is>
          <t>H100</t>
        </is>
      </c>
      <c r="C396" s="3" t="n">
        <v>45881</v>
      </c>
      <c r="D396" s="4" t="n">
        <v>2.99</v>
      </c>
      <c r="E396" t="inlineStr">
        <is>
          <t>8x instance on-demand per GPU-hr</t>
        </is>
      </c>
      <c r="F396" t="inlineStr">
        <is>
          <t>Reported</t>
        </is>
      </c>
      <c r="G396" t="inlineStr">
        <is>
          <t>https://web.archive.org/web/20250812162642/https://lambda.ai/pricing</t>
        </is>
      </c>
      <c r="H396" t="inlineStr">
        <is>
          <t>8x NVIDIA H100 SXM|80 GB|208|1800 GiB|22 TiB SSD|$2.99</t>
        </is>
      </c>
    </row>
    <row r="397">
      <c r="A397" t="inlineStr">
        <is>
          <t>Lambda</t>
        </is>
      </c>
      <c r="B397" t="inlineStr">
        <is>
          <t>H100</t>
        </is>
      </c>
      <c r="C397" s="3" t="n">
        <v>45911</v>
      </c>
      <c r="D397" s="4" t="n">
        <v>2.99</v>
      </c>
      <c r="E397" t="inlineStr">
        <is>
          <t>8x instance on-demand per GPU-hr</t>
        </is>
      </c>
      <c r="F397" t="inlineStr">
        <is>
          <t>Reported</t>
        </is>
      </c>
      <c r="G397" t="inlineStr">
        <is>
          <t>https://web.archive.org/web/20250911191244/https://lambda.ai/pricing</t>
        </is>
      </c>
      <c r="H397" t="inlineStr">
        <is>
          <t>8x NVIDIA H100 SXM|80 GB|208|1800 GiB|22 TiB SSD|$2.99</t>
        </is>
      </c>
    </row>
    <row r="398">
      <c r="A398" t="inlineStr">
        <is>
          <t>Lambda</t>
        </is>
      </c>
      <c r="B398" t="inlineStr">
        <is>
          <t>H100</t>
        </is>
      </c>
      <c r="C398" s="3" t="n">
        <v>45911</v>
      </c>
      <c r="D398" s="4" t="n">
        <v>2.99</v>
      </c>
      <c r="E398" t="inlineStr">
        <is>
          <t>8x instance on-demand per GPU-hr</t>
        </is>
      </c>
      <c r="F398" t="inlineStr">
        <is>
          <t>Reported</t>
        </is>
      </c>
      <c r="G398" t="inlineStr">
        <is>
          <t>https://web.archive.org/web/20250911183105/https://lambda.ai/service/gpu-cloud</t>
        </is>
      </c>
      <c r="H398" t="inlineStr">
        <is>
          <t>8x NVIDIA H100 SXM|80 GB|208|1800 GiB|22 TiB SSD|$2.99</t>
        </is>
      </c>
    </row>
    <row r="399">
      <c r="A399" t="inlineStr">
        <is>
          <t>Lambda</t>
        </is>
      </c>
      <c r="B399" t="inlineStr">
        <is>
          <t>H100</t>
        </is>
      </c>
      <c r="C399" s="3" t="n">
        <v>45940</v>
      </c>
      <c r="D399" s="4" t="n">
        <v>2.99</v>
      </c>
      <c r="E399" t="inlineStr">
        <is>
          <t>8x instance on-demand per GPU-hr</t>
        </is>
      </c>
      <c r="F399" t="inlineStr">
        <is>
          <t>Reported</t>
        </is>
      </c>
      <c r="G399" t="inlineStr">
        <is>
          <t>https://web.archive.org/web/20251010223149/https://lambda.ai/pricing</t>
        </is>
      </c>
      <c r="H399" t="inlineStr">
        <is>
          <t>8x NVIDIA H100 SXM|80 GB|208|1800 GiB|22 TiB SSD|$2.99</t>
        </is>
      </c>
    </row>
    <row r="400">
      <c r="A400" t="inlineStr">
        <is>
          <t>Lambda</t>
        </is>
      </c>
      <c r="B400" t="inlineStr">
        <is>
          <t>H100</t>
        </is>
      </c>
      <c r="C400" s="3" t="n">
        <v>45940</v>
      </c>
      <c r="D400" s="4" t="n">
        <v>2.99</v>
      </c>
      <c r="E400" t="inlineStr">
        <is>
          <t>8x instance on-demand per GPU-hr</t>
        </is>
      </c>
      <c r="F400" t="inlineStr">
        <is>
          <t>Reported</t>
        </is>
      </c>
      <c r="G400" t="inlineStr">
        <is>
          <t>https://web.archive.org/web/20251010215133/https://lambda.ai/service/gpu-cloud</t>
        </is>
      </c>
      <c r="H400" t="inlineStr">
        <is>
          <t>8x NVIDIA H100 SXM|80 GB|208|1800 GiB|22 TiB SSD|$2.99</t>
        </is>
      </c>
    </row>
    <row r="401">
      <c r="A401" t="inlineStr">
        <is>
          <t>Lambda</t>
        </is>
      </c>
      <c r="B401" t="inlineStr">
        <is>
          <t>H100</t>
        </is>
      </c>
      <c r="C401" s="3" t="n">
        <v>45966</v>
      </c>
      <c r="D401" s="4" t="n">
        <v>2.99</v>
      </c>
      <c r="E401" t="inlineStr">
        <is>
          <t>8x instance on-demand per GPU-hr</t>
        </is>
      </c>
      <c r="F401" t="inlineStr">
        <is>
          <t>Reported</t>
        </is>
      </c>
      <c r="G401" t="inlineStr">
        <is>
          <t>https://web.archive.org/web/20251105190524/https://lambda.ai/pricing</t>
        </is>
      </c>
      <c r="H401" t="inlineStr">
        <is>
          <t>8x NVIDIA H100 SXM|80 GB|208|1800 GiB|22 TiB SSD|$2.99</t>
        </is>
      </c>
    </row>
    <row r="402">
      <c r="A402" t="inlineStr">
        <is>
          <t>Lambda</t>
        </is>
      </c>
      <c r="B402" t="inlineStr">
        <is>
          <t>H100</t>
        </is>
      </c>
      <c r="C402" s="3" t="n">
        <v>45966</v>
      </c>
      <c r="D402" s="4" t="n">
        <v>2.99</v>
      </c>
      <c r="E402" t="inlineStr">
        <is>
          <t>8x instance on-demand per GPU-hr</t>
        </is>
      </c>
      <c r="F402" t="inlineStr">
        <is>
          <t>Reported</t>
        </is>
      </c>
      <c r="G402" t="inlineStr">
        <is>
          <t>https://web.archive.org/web/20251105171343/https://lambda.ai/service/gpu-cloud</t>
        </is>
      </c>
      <c r="H402" t="inlineStr">
        <is>
          <t>8x NVIDIA H100 SXM|80 GB|208|1800 GiB|22 TiB SSD|$2.99</t>
        </is>
      </c>
    </row>
    <row r="403">
      <c r="A403" t="inlineStr">
        <is>
          <t>Lambda</t>
        </is>
      </c>
      <c r="B403" t="inlineStr">
        <is>
          <t>H100</t>
        </is>
      </c>
      <c r="C403" s="3" t="n">
        <v>45996</v>
      </c>
      <c r="D403" s="4" t="n">
        <v>2.99</v>
      </c>
      <c r="E403" t="inlineStr">
        <is>
          <t>8x instance on-demand per GPU-hr</t>
        </is>
      </c>
      <c r="F403" t="inlineStr">
        <is>
          <t>Reported</t>
        </is>
      </c>
      <c r="G403" t="inlineStr">
        <is>
          <t>https://web.archive.org/web/20251205232122/https://lambda.ai/pricing</t>
        </is>
      </c>
      <c r="H403" t="inlineStr">
        <is>
          <t>NVIDIA H100 SXM|80 GB|208|1800 GiB|22 TiB SSD|$2.99</t>
        </is>
      </c>
    </row>
    <row r="404">
      <c r="A404" t="inlineStr">
        <is>
          <t>Lambda</t>
        </is>
      </c>
      <c r="B404" t="inlineStr">
        <is>
          <t>H100</t>
        </is>
      </c>
      <c r="C404" s="3" t="n">
        <v>46031</v>
      </c>
      <c r="D404" s="4" t="n">
        <v>2.99</v>
      </c>
      <c r="E404" t="inlineStr">
        <is>
          <t>8x instance on-demand per GPU-hr</t>
        </is>
      </c>
      <c r="F404" t="inlineStr">
        <is>
          <t>Reported</t>
        </is>
      </c>
      <c r="G404" t="inlineStr">
        <is>
          <t>https://web.archive.org/web/20260109103934/https://lambda.ai/pricing</t>
        </is>
      </c>
      <c r="H404" t="inlineStr">
        <is>
          <t>NVIDIA H100 SXM|80 GB|208|1800 GiB|22 TiB SSD|$2.99</t>
        </is>
      </c>
    </row>
    <row r="405">
      <c r="A405" t="inlineStr">
        <is>
          <t>Lambda</t>
        </is>
      </c>
      <c r="B405" t="inlineStr">
        <is>
          <t>H100</t>
        </is>
      </c>
      <c r="C405" s="3" t="n">
        <v>46056</v>
      </c>
      <c r="D405" s="4" t="n">
        <v>2.99</v>
      </c>
      <c r="E405" t="inlineStr">
        <is>
          <t>8x instance on-demand per GPU-hr</t>
        </is>
      </c>
      <c r="F405" t="inlineStr">
        <is>
          <t>Reported</t>
        </is>
      </c>
      <c r="G405" t="inlineStr">
        <is>
          <t>https://web.archive.org/web/20260203015539/https://lambda.ai/pricing</t>
        </is>
      </c>
      <c r="H405" t="inlineStr">
        <is>
          <t>NVIDIA H100 SXM|80 GB|208|1800 GiB|22 TiB SSD|$2.99</t>
        </is>
      </c>
    </row>
    <row r="406">
      <c r="A406" t="inlineStr">
        <is>
          <t>Lambda</t>
        </is>
      </c>
      <c r="B406" t="inlineStr">
        <is>
          <t>H100</t>
        </is>
      </c>
      <c r="C406" s="3" t="n">
        <v>46091</v>
      </c>
      <c r="D406" s="4" t="n">
        <v>3.44</v>
      </c>
      <c r="E406" t="inlineStr">
        <is>
          <t>8x instance on-demand per GPU-hr</t>
        </is>
      </c>
      <c r="F406" t="inlineStr">
        <is>
          <t>Reported</t>
        </is>
      </c>
      <c r="G406" t="inlineStr">
        <is>
          <t>https://web.archive.org/web/20260310143253/https://lambda.ai/pricing</t>
        </is>
      </c>
      <c r="H406" t="inlineStr">
        <is>
          <t>NVIDIA H100 SXM|80 GB|208|1800 GiB|22 TiB SSD|$3.44</t>
        </is>
      </c>
    </row>
    <row r="407">
      <c r="A407" t="inlineStr">
        <is>
          <t>Lambda</t>
        </is>
      </c>
      <c r="B407" t="inlineStr">
        <is>
          <t>H100</t>
        </is>
      </c>
      <c r="C407" s="3" t="n">
        <v>46113</v>
      </c>
      <c r="D407" s="4" t="n">
        <v>3.99</v>
      </c>
      <c r="E407" t="inlineStr">
        <is>
          <t>8x instance on-demand per GPU-hr</t>
        </is>
      </c>
      <c r="F407" t="inlineStr">
        <is>
          <t>Reported</t>
        </is>
      </c>
      <c r="G407" t="inlineStr">
        <is>
          <t>https://web.archive.org/web/20260401163040/https://lambda.ai/pricing</t>
        </is>
      </c>
      <c r="H407" t="inlineStr">
        <is>
          <t>NVIDIA H100 SXM|80 GB|208|1800 GiB|22 TiB SSD|$3.99</t>
        </is>
      </c>
    </row>
    <row r="408">
      <c r="A408" t="inlineStr">
        <is>
          <t>Lambda</t>
        </is>
      </c>
      <c r="B408" t="inlineStr">
        <is>
          <t>H100</t>
        </is>
      </c>
      <c r="C408" s="3" t="n">
        <v>46158</v>
      </c>
      <c r="D408" s="4" t="n">
        <v>3.99</v>
      </c>
      <c r="E408" t="inlineStr">
        <is>
          <t>8x instance on-demand per GPU-hr</t>
        </is>
      </c>
      <c r="F408" t="inlineStr">
        <is>
          <t>Reported</t>
        </is>
      </c>
      <c r="G408" t="inlineStr">
        <is>
          <t>https://web.archive.org/web/20260516025341/https://lambda.ai/pricing</t>
        </is>
      </c>
      <c r="H408" t="inlineStr">
        <is>
          <t>NVIDIA H100 SXM|80 GB|208|1800 GiB|22 TiB SSD|$3.99</t>
        </is>
      </c>
    </row>
    <row r="409">
      <c r="A409" t="inlineStr">
        <is>
          <t>Lambda</t>
        </is>
      </c>
      <c r="B409" t="inlineStr">
        <is>
          <t>H100</t>
        </is>
      </c>
      <c r="C409" s="3" t="n">
        <v>46182</v>
      </c>
      <c r="D409" s="4" t="n">
        <v>3.99</v>
      </c>
      <c r="E409" t="inlineStr">
        <is>
          <t>8x instance on-demand per GPU-hr</t>
        </is>
      </c>
      <c r="F409" t="inlineStr">
        <is>
          <t>Reported</t>
        </is>
      </c>
      <c r="G409" t="inlineStr">
        <is>
          <t>https://web.archive.org/web/20260609001655/https://lambda.ai/pricing</t>
        </is>
      </c>
      <c r="H409" t="inlineStr">
        <is>
          <t>NVIDIA H100 SXM|80 GB|208|1800 GiB|22 TiB SSD|$3.99</t>
        </is>
      </c>
    </row>
    <row r="410">
      <c r="A410" t="inlineStr">
        <is>
          <t>Lambda</t>
        </is>
      </c>
      <c r="B410" t="inlineStr">
        <is>
          <t>H100</t>
        </is>
      </c>
      <c r="C410" s="3" t="n">
        <v>46209</v>
      </c>
      <c r="D410" s="4" t="n">
        <v>3.99</v>
      </c>
      <c r="E410" t="inlineStr">
        <is>
          <t>8x instance on-demand per GPU-hr</t>
        </is>
      </c>
      <c r="F410" t="inlineStr">
        <is>
          <t>Reported</t>
        </is>
      </c>
      <c r="G410" t="inlineStr">
        <is>
          <t>https://web.archive.org/web/20260706151751/https://lambda.ai/pricing</t>
        </is>
      </c>
      <c r="H410" t="inlineStr">
        <is>
          <t>NVIDIA H100 SXM|80 GB|208|1800 GiB|22 TiB SSD|$3.99</t>
        </is>
      </c>
    </row>
    <row r="411">
      <c r="A411" t="inlineStr">
        <is>
          <t>Lambda</t>
        </is>
      </c>
      <c r="B411" t="inlineStr">
        <is>
          <t>H100</t>
        </is>
      </c>
      <c r="C411" s="3" t="n">
        <v>46235</v>
      </c>
      <c r="D411" s="4" t="n">
        <v>3.99</v>
      </c>
      <c r="E411" t="inlineStr">
        <is>
          <t>8x instance on-demand per GPU-hr</t>
        </is>
      </c>
      <c r="F411" t="inlineStr">
        <is>
          <t>Reported</t>
        </is>
      </c>
      <c r="G411" t="inlineStr">
        <is>
          <t>https://web.archive.org/web/20260801090859/https://lambda.ai/pricing</t>
        </is>
      </c>
      <c r="H411" t="inlineStr">
        <is>
          <t>NVIDIA H100 SXM|80 GB|208|1800 GiB|22 TiB SSD|$3.99</t>
        </is>
      </c>
    </row>
    <row r="412">
      <c r="A412" t="inlineStr">
        <is>
          <t>Lambda</t>
        </is>
      </c>
      <c r="B412" t="inlineStr">
        <is>
          <t>H100</t>
        </is>
      </c>
      <c r="C412" s="3" t="n">
        <v>46266</v>
      </c>
      <c r="D412" s="4" t="n">
        <v>3.99</v>
      </c>
      <c r="E412" t="inlineStr">
        <is>
          <t>8x instance on-demand per GPU-hr</t>
        </is>
      </c>
      <c r="F412" t="inlineStr">
        <is>
          <t>Reported</t>
        </is>
      </c>
      <c r="G412" t="inlineStr">
        <is>
          <t>https://web.archive.org/web/20260901102422/https://lambda.ai/pricing</t>
        </is>
      </c>
      <c r="H412" t="inlineStr">
        <is>
          <t>NVIDIA H100 SXM|80 GB|208|1800 GiB|22 TiB SSD|$3.99</t>
        </is>
      </c>
    </row>
    <row r="413">
      <c r="A413" t="inlineStr">
        <is>
          <t>Lambda</t>
        </is>
      </c>
      <c r="B413" t="inlineStr">
        <is>
          <t>H100</t>
        </is>
      </c>
      <c r="C413" s="3" t="n">
        <v>46296</v>
      </c>
      <c r="D413" s="4" t="n">
        <v>3.99</v>
      </c>
      <c r="E413" t="inlineStr">
        <is>
          <t>8x instance on-demand per GPU-hr</t>
        </is>
      </c>
      <c r="F413" t="inlineStr">
        <is>
          <t>Reported</t>
        </is>
      </c>
      <c r="G413" t="inlineStr">
        <is>
          <t>https://web.archive.org/web/20261001114850/https://lambda.ai/pricing</t>
        </is>
      </c>
      <c r="H413" t="inlineStr">
        <is>
          <t>NVIDIA H100 SXM|80 GB|208|1800 GiB|22 TiB SSD|$3.99</t>
        </is>
      </c>
    </row>
    <row r="414">
      <c r="A414" t="inlineStr">
        <is>
          <t>Nebius</t>
        </is>
      </c>
      <c r="B414" t="inlineStr">
        <is>
          <t>A100</t>
        </is>
      </c>
      <c r="C414" s="3" t="n">
        <v>45231</v>
      </c>
      <c r="D414" s="4" t="n">
        <v>2.66</v>
      </c>
      <c r="E414" t="inlineStr">
        <is>
          <t>PAYG on-demand per GPU-hr</t>
        </is>
      </c>
      <c r="F414" t="inlineStr">
        <is>
          <t>Reported</t>
        </is>
      </c>
      <c r="G414" t="inlineStr">
        <is>
          <t>https://web.archive.org/web/20231101230422/https://nebius.ai/prices</t>
        </is>
      </c>
      <c r="H414" t="inlineStr">
        <is>
          <t>GPU type: A100 SXM4. PAYG price – $2.66/h</t>
        </is>
      </c>
    </row>
    <row r="415">
      <c r="A415" t="inlineStr">
        <is>
          <t>Nebius</t>
        </is>
      </c>
      <c r="B415" t="inlineStr">
        <is>
          <t>A100</t>
        </is>
      </c>
      <c r="C415" s="3" t="n">
        <v>45267</v>
      </c>
      <c r="D415" s="4" t="n">
        <v>2.66</v>
      </c>
      <c r="E415" t="inlineStr">
        <is>
          <t>PAYG on-demand per GPU-hr</t>
        </is>
      </c>
      <c r="F415" t="inlineStr">
        <is>
          <t>Reported</t>
        </is>
      </c>
      <c r="G415" t="inlineStr">
        <is>
          <t>https://web.archive.org/web/20231207200752/https://nebius.ai/prices</t>
        </is>
      </c>
      <c r="H415" t="inlineStr">
        <is>
          <t>GPU type: A100 SXM4. PAYG price – $2.66/h</t>
        </is>
      </c>
    </row>
    <row r="416">
      <c r="A416" t="inlineStr">
        <is>
          <t>Nebius</t>
        </is>
      </c>
      <c r="B416" t="inlineStr">
        <is>
          <t>A100</t>
        </is>
      </c>
      <c r="C416" s="3" t="n">
        <v>45359</v>
      </c>
      <c r="D416" s="4" t="n">
        <v>2.66</v>
      </c>
      <c r="E416" t="inlineStr">
        <is>
          <t>PAYG on-demand per GPU-hr</t>
        </is>
      </c>
      <c r="F416" t="inlineStr">
        <is>
          <t>Reported</t>
        </is>
      </c>
      <c r="G416" t="inlineStr">
        <is>
          <t>https://web.archive.org/web/20240308034249/https://nebius.ai/prices</t>
        </is>
      </c>
      <c r="H416" t="inlineStr">
        <is>
          <t>GPU type: A100 SXM4. PAYG price – $2.66/h</t>
        </is>
      </c>
    </row>
    <row r="417">
      <c r="A417" t="inlineStr">
        <is>
          <t>Nebius</t>
        </is>
      </c>
      <c r="B417" t="inlineStr">
        <is>
          <t>A100</t>
        </is>
      </c>
      <c r="C417" s="3" t="n">
        <v>45439</v>
      </c>
      <c r="D417" s="4" t="n">
        <v>2.66</v>
      </c>
      <c r="E417" t="inlineStr">
        <is>
          <t>PAYG on-demand per GPU-hr</t>
        </is>
      </c>
      <c r="F417" t="inlineStr">
        <is>
          <t>Reported</t>
        </is>
      </c>
      <c r="G417" t="inlineStr">
        <is>
          <t>https://web.archive.org/web/20240527220958/https://nebius.ai/prices</t>
        </is>
      </c>
      <c r="H417" t="inlineStr">
        <is>
          <t>GPU type: A100 SXM4. PAYG price – $2.66/h</t>
        </is>
      </c>
    </row>
    <row r="418">
      <c r="A418" t="inlineStr">
        <is>
          <t>Nebius</t>
        </is>
      </c>
      <c r="B418" t="inlineStr">
        <is>
          <t>A100</t>
        </is>
      </c>
      <c r="C418" s="3" t="n">
        <v>45498</v>
      </c>
      <c r="D418" s="4" t="n">
        <v>2.66</v>
      </c>
      <c r="E418" t="inlineStr">
        <is>
          <t>PAYG on-demand per GPU-hr</t>
        </is>
      </c>
      <c r="F418" t="inlineStr">
        <is>
          <t>Reported</t>
        </is>
      </c>
      <c r="G418" t="inlineStr">
        <is>
          <t>https://web.archive.org/web/20240725190745/https://nebius.ai/prices</t>
        </is>
      </c>
      <c r="H418" t="inlineStr">
        <is>
          <t>GPU type: A100 SXM4. PAYG price – $2.66/h</t>
        </is>
      </c>
    </row>
    <row r="419">
      <c r="A419" t="inlineStr">
        <is>
          <t>Nebius</t>
        </is>
      </c>
      <c r="B419" t="inlineStr">
        <is>
          <t>A100</t>
        </is>
      </c>
      <c r="C419" s="3" t="n">
        <v>45509</v>
      </c>
      <c r="D419" s="4" t="n">
        <v>2.66</v>
      </c>
      <c r="E419" t="inlineStr">
        <is>
          <t>PAYG on-demand per GPU-hr</t>
        </is>
      </c>
      <c r="F419" t="inlineStr">
        <is>
          <t>Reported</t>
        </is>
      </c>
      <c r="G419" t="inlineStr">
        <is>
          <t>https://web.archive.org/web/20240805155823/https://nebius.ai/prices</t>
        </is>
      </c>
      <c r="H419" t="inlineStr">
        <is>
          <t>GPU type: A100 SXM4. PAYG price – $2.66/h</t>
        </is>
      </c>
    </row>
    <row r="420">
      <c r="A420" t="inlineStr">
        <is>
          <t>Nebius</t>
        </is>
      </c>
      <c r="B420" t="inlineStr">
        <is>
          <t>A100</t>
        </is>
      </c>
      <c r="C420" s="3" t="n">
        <v>45542</v>
      </c>
      <c r="D420" s="4" t="n">
        <v>2.66</v>
      </c>
      <c r="E420" t="inlineStr">
        <is>
          <t>PAYG on-demand per GPU-hr</t>
        </is>
      </c>
      <c r="F420" t="inlineStr">
        <is>
          <t>Reported</t>
        </is>
      </c>
      <c r="G420" t="inlineStr">
        <is>
          <t>https://web.archive.org/web/20240907074221/https://nebius.ai/prices</t>
        </is>
      </c>
      <c r="H420" t="inlineStr">
        <is>
          <t>GPU type: A100 SXM4. PAYG price – $2.66/h</t>
        </is>
      </c>
    </row>
    <row r="421">
      <c r="A421" t="inlineStr">
        <is>
          <t>Nebius</t>
        </is>
      </c>
      <c r="B421" t="inlineStr">
        <is>
          <t>B200</t>
        </is>
      </c>
      <c r="C421" s="3" t="n">
        <v>45863</v>
      </c>
      <c r="D421" s="4" t="n">
        <v>5.5</v>
      </c>
      <c r="E421" t="inlineStr">
        <is>
          <t>on-demand per GPU-hr</t>
        </is>
      </c>
      <c r="F421" t="inlineStr">
        <is>
          <t>Reported</t>
        </is>
      </c>
      <c r="G421" t="inlineStr">
        <is>
          <t>https://web.archive.org/web/20250725080908/https://nebius.com/prices</t>
        </is>
      </c>
      <c r="H421" t="inlineStr">
        <is>
          <t>NVIDIA HGX B200|16|200|$5.50</t>
        </is>
      </c>
    </row>
    <row r="422">
      <c r="A422" t="inlineStr">
        <is>
          <t>Nebius</t>
        </is>
      </c>
      <c r="B422" t="inlineStr">
        <is>
          <t>B200</t>
        </is>
      </c>
      <c r="C422" s="3" t="n">
        <v>45895</v>
      </c>
      <c r="D422" s="4" t="n">
        <v>5.5</v>
      </c>
      <c r="E422" t="inlineStr">
        <is>
          <t>on-demand per GPU-hr</t>
        </is>
      </c>
      <c r="F422" t="inlineStr">
        <is>
          <t>Reported</t>
        </is>
      </c>
      <c r="G422" t="inlineStr">
        <is>
          <t>https://web.archive.org/web/20250826162436/https://nebius.com/prices</t>
        </is>
      </c>
      <c r="H422" t="inlineStr">
        <is>
          <t>NVIDIA HGX B200|16|200|$5.50</t>
        </is>
      </c>
    </row>
    <row r="423">
      <c r="A423" t="inlineStr">
        <is>
          <t>Nebius</t>
        </is>
      </c>
      <c r="B423" t="inlineStr">
        <is>
          <t>B200</t>
        </is>
      </c>
      <c r="C423" s="3" t="n">
        <v>45917</v>
      </c>
      <c r="D423" s="4" t="n">
        <v>5.5</v>
      </c>
      <c r="E423" t="inlineStr">
        <is>
          <t>on-demand per GPU-hr</t>
        </is>
      </c>
      <c r="F423" t="inlineStr">
        <is>
          <t>Reported</t>
        </is>
      </c>
      <c r="G423" t="inlineStr">
        <is>
          <t>https://web.archive.org/web/20250917222344/https://nebius.com/prices</t>
        </is>
      </c>
      <c r="H423" t="inlineStr">
        <is>
          <t>NVIDIA HGX B200|16|200|$5.50</t>
        </is>
      </c>
    </row>
    <row r="424">
      <c r="A424" t="inlineStr">
        <is>
          <t>Nebius</t>
        </is>
      </c>
      <c r="B424" t="inlineStr">
        <is>
          <t>B200</t>
        </is>
      </c>
      <c r="C424" s="3" t="n">
        <v>45950</v>
      </c>
      <c r="D424" s="4" t="n">
        <v>5.5</v>
      </c>
      <c r="E424" t="inlineStr">
        <is>
          <t>on-demand per GPU-hr</t>
        </is>
      </c>
      <c r="F424" t="inlineStr">
        <is>
          <t>Reported</t>
        </is>
      </c>
      <c r="G424" t="inlineStr">
        <is>
          <t>https://web.archive.org/web/20251020160326/https://nebius.com/prices</t>
        </is>
      </c>
      <c r="H424" t="inlineStr">
        <is>
          <t>NVIDIA HGX B200|16|200|$5.50</t>
        </is>
      </c>
    </row>
    <row r="425">
      <c r="A425" t="inlineStr">
        <is>
          <t>Nebius</t>
        </is>
      </c>
      <c r="B425" t="inlineStr">
        <is>
          <t>B200</t>
        </is>
      </c>
      <c r="C425" s="3" t="n">
        <v>45982</v>
      </c>
      <c r="D425" s="4" t="n">
        <v>5.5</v>
      </c>
      <c r="E425" t="inlineStr">
        <is>
          <t>on-demand per GPU-hr</t>
        </is>
      </c>
      <c r="F425" t="inlineStr">
        <is>
          <t>Reported</t>
        </is>
      </c>
      <c r="G425" t="inlineStr">
        <is>
          <t>https://web.archive.org/web/20251121191852/https://nebius.com/prices</t>
        </is>
      </c>
      <c r="H425" t="inlineStr">
        <is>
          <t>NVIDIA HGX B200|16|200|$5.50</t>
        </is>
      </c>
    </row>
    <row r="426">
      <c r="A426" t="inlineStr">
        <is>
          <t>Nebius</t>
        </is>
      </c>
      <c r="B426" t="inlineStr">
        <is>
          <t>B200</t>
        </is>
      </c>
      <c r="C426" s="3" t="n">
        <v>46073</v>
      </c>
      <c r="D426" s="4" t="n">
        <v>5.5</v>
      </c>
      <c r="E426" t="inlineStr">
        <is>
          <t>on-demand per GPU-hr</t>
        </is>
      </c>
      <c r="F426" t="inlineStr">
        <is>
          <t>Reported</t>
        </is>
      </c>
      <c r="G426" t="inlineStr">
        <is>
          <t>https://web.archive.org/web/20260220095958/https://nebius.com/prices</t>
        </is>
      </c>
      <c r="H426" t="inlineStr">
        <is>
          <t>NVIDIA HGX B200|16|200|$5.50</t>
        </is>
      </c>
    </row>
    <row r="427">
      <c r="A427" t="inlineStr">
        <is>
          <t>Nebius</t>
        </is>
      </c>
      <c r="B427" t="inlineStr">
        <is>
          <t>B200</t>
        </is>
      </c>
      <c r="C427" s="3" t="n">
        <v>46082</v>
      </c>
      <c r="D427" s="4" t="n">
        <v>5.5</v>
      </c>
      <c r="E427" t="inlineStr">
        <is>
          <t>on-demand per GPU-hr</t>
        </is>
      </c>
      <c r="F427" t="inlineStr">
        <is>
          <t>Reported</t>
        </is>
      </c>
      <c r="G427" t="inlineStr">
        <is>
          <t>https://web.archive.org/web/20260301091903/https://nebius.com/prices</t>
        </is>
      </c>
      <c r="H427" t="inlineStr">
        <is>
          <t>NVIDIA HGX B200|16|200|$5.50</t>
        </is>
      </c>
    </row>
    <row r="428">
      <c r="A428" t="inlineStr">
        <is>
          <t>Nebius</t>
        </is>
      </c>
      <c r="B428" t="inlineStr">
        <is>
          <t>B200</t>
        </is>
      </c>
      <c r="C428" s="3" t="n">
        <v>46114</v>
      </c>
      <c r="D428" s="4" t="n">
        <v>5.5</v>
      </c>
      <c r="E428" t="inlineStr">
        <is>
          <t>on-demand per GPU-hr</t>
        </is>
      </c>
      <c r="F428" t="inlineStr">
        <is>
          <t>Reported</t>
        </is>
      </c>
      <c r="G428" t="inlineStr">
        <is>
          <t>https://web.archive.org/web/20260402090033/https://nebius.com/prices</t>
        </is>
      </c>
      <c r="H428" t="inlineStr">
        <is>
          <t>NVIDIA HGX B200|20|224|$5.50</t>
        </is>
      </c>
    </row>
    <row r="429">
      <c r="A429" t="inlineStr">
        <is>
          <t>Nebius</t>
        </is>
      </c>
      <c r="B429" t="inlineStr">
        <is>
          <t>B200</t>
        </is>
      </c>
      <c r="C429" s="3" t="n">
        <v>46149</v>
      </c>
      <c r="D429" s="4" t="n">
        <v>5.5</v>
      </c>
      <c r="E429" t="inlineStr">
        <is>
          <t>on-demand per GPU-hr</t>
        </is>
      </c>
      <c r="F429" t="inlineStr">
        <is>
          <t>Reported</t>
        </is>
      </c>
      <c r="G429" t="inlineStr">
        <is>
          <t>https://web.archive.org/web/20260507111158/https://nebius.com/prices</t>
        </is>
      </c>
      <c r="H429" t="inlineStr">
        <is>
          <t>NVIDIA HGX B200|20|224|$5.50</t>
        </is>
      </c>
    </row>
    <row r="430">
      <c r="A430" t="inlineStr">
        <is>
          <t>Nebius</t>
        </is>
      </c>
      <c r="B430" t="inlineStr">
        <is>
          <t>B200</t>
        </is>
      </c>
      <c r="C430" s="3" t="n">
        <v>46215</v>
      </c>
      <c r="D430" s="4" t="n">
        <v>7.15</v>
      </c>
      <c r="E430" t="inlineStr">
        <is>
          <t>on-demand per GPU-hr (2nd col; 1st col=preemptible)</t>
        </is>
      </c>
      <c r="F430" t="inlineStr">
        <is>
          <t>Reported</t>
        </is>
      </c>
      <c r="G430" t="inlineStr">
        <is>
          <t>https://web.archive.org/web/20260712235400/https://nebius.com/prices</t>
        </is>
      </c>
      <c r="H430" t="inlineStr">
        <is>
          <t>NVIDIA HGX B200|20|224|$3.95|$7.15</t>
        </is>
      </c>
    </row>
    <row r="431">
      <c r="A431" t="inlineStr">
        <is>
          <t>Nebius</t>
        </is>
      </c>
      <c r="B431" t="inlineStr">
        <is>
          <t>B200</t>
        </is>
      </c>
      <c r="C431" s="3" t="n">
        <v>46253</v>
      </c>
      <c r="D431" s="4" t="n">
        <v>7.15</v>
      </c>
      <c r="E431" t="inlineStr">
        <is>
          <t>on-demand per GPU-hr (2nd col; 1st col=preemptible)</t>
        </is>
      </c>
      <c r="F431" t="inlineStr">
        <is>
          <t>Reported</t>
        </is>
      </c>
      <c r="G431" t="inlineStr">
        <is>
          <t>https://web.archive.org/web/20260819203018/https://nebius.com/prices</t>
        </is>
      </c>
      <c r="H431" t="inlineStr">
        <is>
          <t>NVIDIA HGX B200|20|224|$3.95|$7.15</t>
        </is>
      </c>
    </row>
    <row r="432">
      <c r="A432" t="inlineStr">
        <is>
          <t>Nebius</t>
        </is>
      </c>
      <c r="B432" t="inlineStr">
        <is>
          <t>B200</t>
        </is>
      </c>
      <c r="C432" s="3" t="n">
        <v>46266</v>
      </c>
      <c r="D432" s="4" t="n">
        <v>7.15</v>
      </c>
      <c r="E432" t="inlineStr">
        <is>
          <t>on-demand per GPU-hr (2nd col; 1st col=preemptible)</t>
        </is>
      </c>
      <c r="F432" t="inlineStr">
        <is>
          <t>Reported</t>
        </is>
      </c>
      <c r="G432" t="inlineStr">
        <is>
          <t>https://web.archive.org/web/20260901040136/https://nebius.com/prices</t>
        </is>
      </c>
      <c r="H432" t="inlineStr">
        <is>
          <t>NVIDIA HGX B200|20|224|$3.95|$7.15</t>
        </is>
      </c>
    </row>
    <row r="433">
      <c r="A433" t="inlineStr">
        <is>
          <t>Nebius</t>
        </is>
      </c>
      <c r="B433" t="inlineStr">
        <is>
          <t>B200</t>
        </is>
      </c>
      <c r="C433" s="3" t="n">
        <v>46296</v>
      </c>
      <c r="D433" s="4" t="n">
        <v>7.15</v>
      </c>
      <c r="E433" t="inlineStr">
        <is>
          <t>on-demand per GPU-hr, column in force through 2026-09-30</t>
        </is>
      </c>
      <c r="F433" t="inlineStr">
        <is>
          <t>Reported</t>
        </is>
      </c>
      <c r="G433" t="inlineStr">
        <is>
          <t>https://web.archive.org/web/20261001030509/https://nebius.com/prices</t>
        </is>
      </c>
      <c r="H433" t="inlineStr">
        <is>
          <t>NVIDIA HGX B200|20|224|$7.15|$8.50</t>
        </is>
      </c>
    </row>
    <row r="434">
      <c r="A434" t="inlineStr">
        <is>
          <t>Nebius</t>
        </is>
      </c>
      <c r="B434" t="inlineStr">
        <is>
          <t>B200</t>
        </is>
      </c>
      <c r="C434" s="3" t="n">
        <v>46296</v>
      </c>
      <c r="D434" s="4" t="n">
        <v>8.5</v>
      </c>
      <c r="E434" t="inlineStr">
        <is>
          <t>on-demand per GPU-hr, column "Effective October 1, 2026"</t>
        </is>
      </c>
      <c r="F434" t="inlineStr">
        <is>
          <t>Reported</t>
        </is>
      </c>
      <c r="G434" t="inlineStr">
        <is>
          <t>https://web.archive.org/web/20261001030509/https://nebius.com/prices</t>
        </is>
      </c>
      <c r="H434" t="inlineStr">
        <is>
          <t>NVIDIA HGX B200|20|224|$7.15|$8.50</t>
        </is>
      </c>
    </row>
    <row r="435">
      <c r="A435" t="inlineStr">
        <is>
          <t>Nebius</t>
        </is>
      </c>
      <c r="B435" t="inlineStr">
        <is>
          <t>B300</t>
        </is>
      </c>
      <c r="C435" s="3" t="n">
        <v>46114</v>
      </c>
      <c r="D435" s="4" t="n">
        <v>6.1</v>
      </c>
      <c r="E435" t="inlineStr">
        <is>
          <t>on-demand per GPU-hr</t>
        </is>
      </c>
      <c r="F435" t="inlineStr">
        <is>
          <t>Reported</t>
        </is>
      </c>
      <c r="G435" t="inlineStr">
        <is>
          <t>https://web.archive.org/web/20260402090033/https://nebius.com/prices</t>
        </is>
      </c>
      <c r="H435" t="inlineStr">
        <is>
          <t>NVIDIA HGX B300|24|346|$6.10</t>
        </is>
      </c>
    </row>
    <row r="436">
      <c r="A436" t="inlineStr">
        <is>
          <t>Nebius</t>
        </is>
      </c>
      <c r="B436" t="inlineStr">
        <is>
          <t>B300</t>
        </is>
      </c>
      <c r="C436" s="3" t="n">
        <v>46149</v>
      </c>
      <c r="D436" s="4" t="n">
        <v>6.1</v>
      </c>
      <c r="E436" t="inlineStr">
        <is>
          <t>on-demand per GPU-hr</t>
        </is>
      </c>
      <c r="F436" t="inlineStr">
        <is>
          <t>Reported</t>
        </is>
      </c>
      <c r="G436" t="inlineStr">
        <is>
          <t>https://web.archive.org/web/20260507111158/https://nebius.com/prices</t>
        </is>
      </c>
      <c r="H436" t="inlineStr">
        <is>
          <t>NVIDIA HGX B300|24|346|$6.10</t>
        </is>
      </c>
    </row>
    <row r="437">
      <c r="A437" t="inlineStr">
        <is>
          <t>Nebius</t>
        </is>
      </c>
      <c r="B437" t="inlineStr">
        <is>
          <t>B300</t>
        </is>
      </c>
      <c r="C437" s="3" t="n">
        <v>46215</v>
      </c>
      <c r="D437" s="4" t="n">
        <v>7.85</v>
      </c>
      <c r="E437" t="inlineStr">
        <is>
          <t>on-demand per GPU-hr (2nd col; 1st col=preemptible)</t>
        </is>
      </c>
      <c r="F437" t="inlineStr">
        <is>
          <t>Reported</t>
        </is>
      </c>
      <c r="G437" t="inlineStr">
        <is>
          <t>https://web.archive.org/web/20260712235400/https://nebius.com/prices</t>
        </is>
      </c>
      <c r="H437" t="inlineStr">
        <is>
          <t>NVIDIA HGX B300|24|346|$4.30|$7.85</t>
        </is>
      </c>
    </row>
    <row r="438">
      <c r="A438" t="inlineStr">
        <is>
          <t>Nebius</t>
        </is>
      </c>
      <c r="B438" t="inlineStr">
        <is>
          <t>B300</t>
        </is>
      </c>
      <c r="C438" s="3" t="n">
        <v>46253</v>
      </c>
      <c r="D438" s="4" t="n">
        <v>7.85</v>
      </c>
      <c r="E438" t="inlineStr">
        <is>
          <t>on-demand per GPU-hr (2nd col; 1st col=preemptible)</t>
        </is>
      </c>
      <c r="F438" t="inlineStr">
        <is>
          <t>Reported</t>
        </is>
      </c>
      <c r="G438" t="inlineStr">
        <is>
          <t>https://web.archive.org/web/20260819203018/https://nebius.com/prices</t>
        </is>
      </c>
      <c r="H438" t="inlineStr">
        <is>
          <t>NVIDIA HGX B300|24|346|$4.30|$7.85</t>
        </is>
      </c>
    </row>
    <row r="439">
      <c r="A439" t="inlineStr">
        <is>
          <t>Nebius</t>
        </is>
      </c>
      <c r="B439" t="inlineStr">
        <is>
          <t>B300</t>
        </is>
      </c>
      <c r="C439" s="3" t="n">
        <v>46266</v>
      </c>
      <c r="D439" s="4" t="n">
        <v>7.85</v>
      </c>
      <c r="E439" t="inlineStr">
        <is>
          <t>on-demand per GPU-hr (2nd col; 1st col=preemptible)</t>
        </is>
      </c>
      <c r="F439" t="inlineStr">
        <is>
          <t>Reported</t>
        </is>
      </c>
      <c r="G439" t="inlineStr">
        <is>
          <t>https://web.archive.org/web/20260901040136/https://nebius.com/prices</t>
        </is>
      </c>
      <c r="H439" t="inlineStr">
        <is>
          <t>NVIDIA HGX B300|24|346|$4.30|$7.85</t>
        </is>
      </c>
    </row>
    <row r="440">
      <c r="A440" t="inlineStr">
        <is>
          <t>Nebius</t>
        </is>
      </c>
      <c r="B440" t="inlineStr">
        <is>
          <t>B300</t>
        </is>
      </c>
      <c r="C440" s="3" t="n">
        <v>46296</v>
      </c>
      <c r="D440" s="4" t="n">
        <v>7.85</v>
      </c>
      <c r="E440" t="inlineStr">
        <is>
          <t>on-demand per GPU-hr, column in force through 2026-09-30</t>
        </is>
      </c>
      <c r="F440" t="inlineStr">
        <is>
          <t>Reported</t>
        </is>
      </c>
      <c r="G440" t="inlineStr">
        <is>
          <t>https://web.archive.org/web/20261001030509/https://nebius.com/prices</t>
        </is>
      </c>
      <c r="H440" t="inlineStr">
        <is>
          <t>NVIDIA HGX B300|24|346|$7.85|$9.50</t>
        </is>
      </c>
    </row>
    <row r="441">
      <c r="A441" t="inlineStr">
        <is>
          <t>Nebius</t>
        </is>
      </c>
      <c r="B441" t="inlineStr">
        <is>
          <t>B300</t>
        </is>
      </c>
      <c r="C441" s="3" t="n">
        <v>46296</v>
      </c>
      <c r="D441" s="4" t="n">
        <v>9.5</v>
      </c>
      <c r="E441" t="inlineStr">
        <is>
          <t>on-demand per GPU-hr, column "Effective October 1, 2026"</t>
        </is>
      </c>
      <c r="F441" t="inlineStr">
        <is>
          <t>Reported</t>
        </is>
      </c>
      <c r="G441" t="inlineStr">
        <is>
          <t>https://web.archive.org/web/20261001030509/https://nebius.com/prices</t>
        </is>
      </c>
      <c r="H441" t="inlineStr">
        <is>
          <t>NVIDIA HGX B300|24|346|$7.85|$9.50</t>
        </is>
      </c>
    </row>
    <row r="442">
      <c r="A442" t="inlineStr">
        <is>
          <t>Nebius</t>
        </is>
      </c>
      <c r="B442" t="inlineStr">
        <is>
          <t>H100</t>
        </is>
      </c>
      <c r="C442" s="3" t="n">
        <v>45231</v>
      </c>
      <c r="D442" s="4" t="n">
        <v>4.85</v>
      </c>
      <c r="E442" t="inlineStr">
        <is>
          <t>PAYG on-demand per GPU-hr</t>
        </is>
      </c>
      <c r="F442" t="inlineStr">
        <is>
          <t>Reported</t>
        </is>
      </c>
      <c r="G442" t="inlineStr">
        <is>
          <t>https://web.archive.org/web/20231101230422/https://nebius.ai/prices</t>
        </is>
      </c>
      <c r="H442" t="inlineStr">
        <is>
          <t>GPU type: H100 SXM5. PAYG price – $4.85/h</t>
        </is>
      </c>
    </row>
    <row r="443">
      <c r="A443" t="inlineStr">
        <is>
          <t>Nebius</t>
        </is>
      </c>
      <c r="B443" t="inlineStr">
        <is>
          <t>H100</t>
        </is>
      </c>
      <c r="C443" s="3" t="n">
        <v>45267</v>
      </c>
      <c r="D443" s="4" t="n">
        <v>4.85</v>
      </c>
      <c r="E443" t="inlineStr">
        <is>
          <t>PAYG on-demand per GPU-hr</t>
        </is>
      </c>
      <c r="F443" t="inlineStr">
        <is>
          <t>Reported</t>
        </is>
      </c>
      <c r="G443" t="inlineStr">
        <is>
          <t>https://web.archive.org/web/20231207200752/https://nebius.ai/prices</t>
        </is>
      </c>
      <c r="H443" t="inlineStr">
        <is>
          <t>GPU type: H100 SXM5. PAYG price – $4.85/h</t>
        </is>
      </c>
    </row>
    <row r="444">
      <c r="A444" t="inlineStr">
        <is>
          <t>Nebius</t>
        </is>
      </c>
      <c r="B444" t="inlineStr">
        <is>
          <t>H100</t>
        </is>
      </c>
      <c r="C444" s="3" t="n">
        <v>45359</v>
      </c>
      <c r="D444" s="4" t="n">
        <v>4.85</v>
      </c>
      <c r="E444" t="inlineStr">
        <is>
          <t>PAYG on-demand per GPU-hr</t>
        </is>
      </c>
      <c r="F444" t="inlineStr">
        <is>
          <t>Reported</t>
        </is>
      </c>
      <c r="G444" t="inlineStr">
        <is>
          <t>https://web.archive.org/web/20240308034249/https://nebius.ai/prices</t>
        </is>
      </c>
      <c r="H444" t="inlineStr">
        <is>
          <t>GPU type: H100 SXM5. PAYG price – $4.85/h</t>
        </is>
      </c>
    </row>
    <row r="445">
      <c r="A445" t="inlineStr">
        <is>
          <t>Nebius</t>
        </is>
      </c>
      <c r="B445" t="inlineStr">
        <is>
          <t>H100</t>
        </is>
      </c>
      <c r="C445" s="3" t="n">
        <v>45439</v>
      </c>
      <c r="D445" s="4" t="n">
        <v>4.85</v>
      </c>
      <c r="E445" t="inlineStr">
        <is>
          <t>PAYG on-demand per GPU-hr</t>
        </is>
      </c>
      <c r="F445" t="inlineStr">
        <is>
          <t>Reported</t>
        </is>
      </c>
      <c r="G445" t="inlineStr">
        <is>
          <t>https://web.archive.org/web/20240527220958/https://nebius.ai/prices</t>
        </is>
      </c>
      <c r="H445" t="inlineStr">
        <is>
          <t>GPU type: H100 SXM5. PAYG price – $4.85/h</t>
        </is>
      </c>
    </row>
    <row r="446">
      <c r="A446" t="inlineStr">
        <is>
          <t>Nebius</t>
        </is>
      </c>
      <c r="B446" t="inlineStr">
        <is>
          <t>H100</t>
        </is>
      </c>
      <c r="C446" s="3" t="n">
        <v>45498</v>
      </c>
      <c r="D446" s="4" t="n">
        <v>4.85</v>
      </c>
      <c r="E446" t="inlineStr">
        <is>
          <t>PAYG on-demand per GPU-hr</t>
        </is>
      </c>
      <c r="F446" t="inlineStr">
        <is>
          <t>Reported</t>
        </is>
      </c>
      <c r="G446" t="inlineStr">
        <is>
          <t>https://web.archive.org/web/20240725190745/https://nebius.ai/prices</t>
        </is>
      </c>
      <c r="H446" t="inlineStr">
        <is>
          <t>GPU type: H100 SXM5. PAYG price – $4.85/h</t>
        </is>
      </c>
    </row>
    <row r="447">
      <c r="A447" t="inlineStr">
        <is>
          <t>Nebius</t>
        </is>
      </c>
      <c r="B447" t="inlineStr">
        <is>
          <t>H100</t>
        </is>
      </c>
      <c r="C447" s="3" t="n">
        <v>45509</v>
      </c>
      <c r="D447" s="4" t="n">
        <v>4.85</v>
      </c>
      <c r="E447" t="inlineStr">
        <is>
          <t>PAYG on-demand per GPU-hr</t>
        </is>
      </c>
      <c r="F447" t="inlineStr">
        <is>
          <t>Reported</t>
        </is>
      </c>
      <c r="G447" t="inlineStr">
        <is>
          <t>https://web.archive.org/web/20240805155823/https://nebius.ai/prices</t>
        </is>
      </c>
      <c r="H447" t="inlineStr">
        <is>
          <t>GPU type: H100 SXM5. PAYG price – $4.85/h</t>
        </is>
      </c>
    </row>
    <row r="448">
      <c r="A448" t="inlineStr">
        <is>
          <t>Nebius</t>
        </is>
      </c>
      <c r="B448" t="inlineStr">
        <is>
          <t>H100</t>
        </is>
      </c>
      <c r="C448" s="3" t="n">
        <v>45542</v>
      </c>
      <c r="D448" s="4" t="n">
        <v>3.5</v>
      </c>
      <c r="E448" t="inlineStr">
        <is>
          <t>PAYG on-demand per GPU-hr</t>
        </is>
      </c>
      <c r="F448" t="inlineStr">
        <is>
          <t>Reported</t>
        </is>
      </c>
      <c r="G448" t="inlineStr">
        <is>
          <t>https://web.archive.org/web/20240907074221/https://nebius.ai/prices</t>
        </is>
      </c>
      <c r="H448" t="inlineStr">
        <is>
          <t>GPU type: H100 SXM5. PAYG price – $3.5/h</t>
        </is>
      </c>
    </row>
    <row r="449">
      <c r="A449" t="inlineStr">
        <is>
          <t>Nebius</t>
        </is>
      </c>
      <c r="B449" t="inlineStr">
        <is>
          <t>H100</t>
        </is>
      </c>
      <c r="C449" s="3" t="n">
        <v>45611</v>
      </c>
      <c r="D449" s="4" t="n">
        <v>2.95</v>
      </c>
      <c r="E449" t="inlineStr">
        <is>
          <t>on-demand per GPU-hr</t>
        </is>
      </c>
      <c r="F449" t="inlineStr">
        <is>
          <t>Reported</t>
        </is>
      </c>
      <c r="G449" t="inlineStr">
        <is>
          <t>https://web.archive.org/web/20241115043809/https://nebius.com/prices</t>
        </is>
      </c>
      <c r="H449" t="inlineStr">
        <is>
          <t>1 × H100 SXM|80|200|16|$2.95</t>
        </is>
      </c>
    </row>
    <row r="450">
      <c r="A450" t="inlineStr">
        <is>
          <t>Nebius</t>
        </is>
      </c>
      <c r="B450" t="inlineStr">
        <is>
          <t>H100</t>
        </is>
      </c>
      <c r="C450" s="3" t="n">
        <v>45632</v>
      </c>
      <c r="D450" s="4" t="n">
        <v>2.95</v>
      </c>
      <c r="E450" t="inlineStr">
        <is>
          <t>on-demand per GPU-hr</t>
        </is>
      </c>
      <c r="F450" t="inlineStr">
        <is>
          <t>Reported</t>
        </is>
      </c>
      <c r="G450" t="inlineStr">
        <is>
          <t>https://web.archive.org/web/20241206210543/https://nebius.com/prices</t>
        </is>
      </c>
      <c r="H450" t="inlineStr">
        <is>
          <t>1 × H100 SXM|80|200|16|$2.95</t>
        </is>
      </c>
    </row>
    <row r="451">
      <c r="A451" t="inlineStr">
        <is>
          <t>Nebius</t>
        </is>
      </c>
      <c r="B451" t="inlineStr">
        <is>
          <t>H100</t>
        </is>
      </c>
      <c r="C451" s="3" t="n">
        <v>45672</v>
      </c>
      <c r="D451" s="4" t="n">
        <v>2.95</v>
      </c>
      <c r="E451" t="inlineStr">
        <is>
          <t>on-demand per GPU-hr</t>
        </is>
      </c>
      <c r="F451" t="inlineStr">
        <is>
          <t>Reported</t>
        </is>
      </c>
      <c r="G451" t="inlineStr">
        <is>
          <t>https://web.archive.org/web/20250115165501/https://nebius.com/prices</t>
        </is>
      </c>
      <c r="H451" t="inlineStr">
        <is>
          <t>1 × H100 SXM|80|200|16|$2.95</t>
        </is>
      </c>
    </row>
    <row r="452">
      <c r="A452" t="inlineStr">
        <is>
          <t>Nebius</t>
        </is>
      </c>
      <c r="B452" t="inlineStr">
        <is>
          <t>H100</t>
        </is>
      </c>
      <c r="C452" s="3" t="n">
        <v>45721</v>
      </c>
      <c r="D452" s="4" t="n">
        <v>2.95</v>
      </c>
      <c r="E452" t="inlineStr">
        <is>
          <t>on-demand per GPU-hr</t>
        </is>
      </c>
      <c r="F452" t="inlineStr">
        <is>
          <t>Reported</t>
        </is>
      </c>
      <c r="G452" t="inlineStr">
        <is>
          <t>https://web.archive.org/web/20250305221703/https://nebius.com/prices</t>
        </is>
      </c>
      <c r="H452" t="inlineStr">
        <is>
          <t>NVIDIA H100 GPU|80|16|200|$2.95</t>
        </is>
      </c>
    </row>
    <row r="453">
      <c r="A453" t="inlineStr">
        <is>
          <t>Nebius</t>
        </is>
      </c>
      <c r="B453" t="inlineStr">
        <is>
          <t>H100</t>
        </is>
      </c>
      <c r="C453" s="3" t="n">
        <v>45748</v>
      </c>
      <c r="D453" s="4" t="n">
        <v>2.95</v>
      </c>
      <c r="E453" t="inlineStr">
        <is>
          <t>on-demand per GPU-hr</t>
        </is>
      </c>
      <c r="F453" t="inlineStr">
        <is>
          <t>Reported</t>
        </is>
      </c>
      <c r="G453" t="inlineStr">
        <is>
          <t>https://web.archive.org/web/20250401024008/https://nebius.com/prices</t>
        </is>
      </c>
      <c r="H453" t="inlineStr">
        <is>
          <t>NVIDIA H100 GPU|80|16|200|$2.95</t>
        </is>
      </c>
    </row>
    <row r="454">
      <c r="A454" t="inlineStr">
        <is>
          <t>Nebius</t>
        </is>
      </c>
      <c r="B454" t="inlineStr">
        <is>
          <t>H100</t>
        </is>
      </c>
      <c r="C454" s="3" t="n">
        <v>45800</v>
      </c>
      <c r="D454" s="4" t="n">
        <v>2.95</v>
      </c>
      <c r="E454" t="inlineStr">
        <is>
          <t>on-demand per GPU-hr</t>
        </is>
      </c>
      <c r="F454" t="inlineStr">
        <is>
          <t>Reported</t>
        </is>
      </c>
      <c r="G454" t="inlineStr">
        <is>
          <t>https://web.archive.org/web/20250523205822/https://nebius.com/prices</t>
        </is>
      </c>
      <c r="H454" t="inlineStr">
        <is>
          <t>NVIDIA H100 GPU|80|16|200|$2.95</t>
        </is>
      </c>
    </row>
    <row r="455">
      <c r="A455" t="inlineStr">
        <is>
          <t>Nebius</t>
        </is>
      </c>
      <c r="B455" t="inlineStr">
        <is>
          <t>H100</t>
        </is>
      </c>
      <c r="C455" s="3" t="n">
        <v>45837</v>
      </c>
      <c r="D455" s="4" t="n">
        <v>2.95</v>
      </c>
      <c r="E455" t="inlineStr">
        <is>
          <t>on-demand per GPU-hr</t>
        </is>
      </c>
      <c r="F455" t="inlineStr">
        <is>
          <t>Reported</t>
        </is>
      </c>
      <c r="G455" t="inlineStr">
        <is>
          <t>https://web.archive.org/web/20250629224210/https://nebius.com/prices</t>
        </is>
      </c>
      <c r="H455" t="inlineStr">
        <is>
          <t>NVIDIA H100 GPU|80|16|200|$2.95</t>
        </is>
      </c>
    </row>
    <row r="456">
      <c r="A456" t="inlineStr">
        <is>
          <t>Nebius</t>
        </is>
      </c>
      <c r="B456" t="inlineStr">
        <is>
          <t>H100</t>
        </is>
      </c>
      <c r="C456" s="3" t="n">
        <v>45863</v>
      </c>
      <c r="D456" s="4" t="n">
        <v>2.95</v>
      </c>
      <c r="E456" t="inlineStr">
        <is>
          <t>on-demand per GPU-hr</t>
        </is>
      </c>
      <c r="F456" t="inlineStr">
        <is>
          <t>Reported</t>
        </is>
      </c>
      <c r="G456" t="inlineStr">
        <is>
          <t>https://web.archive.org/web/20250725080908/https://nebius.com/prices</t>
        </is>
      </c>
      <c r="H456" t="inlineStr">
        <is>
          <t>NVIDIA HGX H100|16|200|$2.95</t>
        </is>
      </c>
    </row>
    <row r="457">
      <c r="A457" t="inlineStr">
        <is>
          <t>Nebius</t>
        </is>
      </c>
      <c r="B457" t="inlineStr">
        <is>
          <t>H100</t>
        </is>
      </c>
      <c r="C457" s="3" t="n">
        <v>45895</v>
      </c>
      <c r="D457" s="4" t="n">
        <v>2.95</v>
      </c>
      <c r="E457" t="inlineStr">
        <is>
          <t>on-demand per GPU-hr</t>
        </is>
      </c>
      <c r="F457" t="inlineStr">
        <is>
          <t>Reported</t>
        </is>
      </c>
      <c r="G457" t="inlineStr">
        <is>
          <t>https://web.archive.org/web/20250826162436/https://nebius.com/prices</t>
        </is>
      </c>
      <c r="H457" t="inlineStr">
        <is>
          <t>NVIDIA HGX H100|16|200|$2.95</t>
        </is>
      </c>
    </row>
    <row r="458">
      <c r="A458" t="inlineStr">
        <is>
          <t>Nebius</t>
        </is>
      </c>
      <c r="B458" t="inlineStr">
        <is>
          <t>H100</t>
        </is>
      </c>
      <c r="C458" s="3" t="n">
        <v>45917</v>
      </c>
      <c r="D458" s="4" t="n">
        <v>2.95</v>
      </c>
      <c r="E458" t="inlineStr">
        <is>
          <t>on-demand per GPU-hr</t>
        </is>
      </c>
      <c r="F458" t="inlineStr">
        <is>
          <t>Reported</t>
        </is>
      </c>
      <c r="G458" t="inlineStr">
        <is>
          <t>https://web.archive.org/web/20250917222344/https://nebius.com/prices</t>
        </is>
      </c>
      <c r="H458" t="inlineStr">
        <is>
          <t>NVIDIA HGX H100|16|200|$2.95</t>
        </is>
      </c>
    </row>
    <row r="459">
      <c r="A459" t="inlineStr">
        <is>
          <t>Nebius</t>
        </is>
      </c>
      <c r="B459" t="inlineStr">
        <is>
          <t>H100</t>
        </is>
      </c>
      <c r="C459" s="3" t="n">
        <v>45950</v>
      </c>
      <c r="D459" s="4" t="n">
        <v>2.95</v>
      </c>
      <c r="E459" t="inlineStr">
        <is>
          <t>on-demand per GPU-hr</t>
        </is>
      </c>
      <c r="F459" t="inlineStr">
        <is>
          <t>Reported</t>
        </is>
      </c>
      <c r="G459" t="inlineStr">
        <is>
          <t>https://web.archive.org/web/20251020160326/https://nebius.com/prices</t>
        </is>
      </c>
      <c r="H459" t="inlineStr">
        <is>
          <t>NVIDIA HGX H100|16|200|$2.95</t>
        </is>
      </c>
    </row>
    <row r="460">
      <c r="A460" t="inlineStr">
        <is>
          <t>Nebius</t>
        </is>
      </c>
      <c r="B460" t="inlineStr">
        <is>
          <t>H100</t>
        </is>
      </c>
      <c r="C460" s="3" t="n">
        <v>45982</v>
      </c>
      <c r="D460" s="4" t="n">
        <v>2.95</v>
      </c>
      <c r="E460" t="inlineStr">
        <is>
          <t>on-demand per GPU-hr</t>
        </is>
      </c>
      <c r="F460" t="inlineStr">
        <is>
          <t>Reported</t>
        </is>
      </c>
      <c r="G460" t="inlineStr">
        <is>
          <t>https://web.archive.org/web/20251121191852/https://nebius.com/prices</t>
        </is>
      </c>
      <c r="H460" t="inlineStr">
        <is>
          <t>NVIDIA HGX H100|16|200|$2.95</t>
        </is>
      </c>
    </row>
    <row r="461">
      <c r="A461" t="inlineStr">
        <is>
          <t>Nebius</t>
        </is>
      </c>
      <c r="B461" t="inlineStr">
        <is>
          <t>H100</t>
        </is>
      </c>
      <c r="C461" s="3" t="n">
        <v>46073</v>
      </c>
      <c r="D461" s="4" t="n">
        <v>2.95</v>
      </c>
      <c r="E461" t="inlineStr">
        <is>
          <t>on-demand per GPU-hr</t>
        </is>
      </c>
      <c r="F461" t="inlineStr">
        <is>
          <t>Reported</t>
        </is>
      </c>
      <c r="G461" t="inlineStr">
        <is>
          <t>https://web.archive.org/web/20260220095958/https://nebius.com/prices</t>
        </is>
      </c>
      <c r="H461" t="inlineStr">
        <is>
          <t>NVIDIA HGX H100|16|200|$2.95</t>
        </is>
      </c>
    </row>
    <row r="462">
      <c r="A462" t="inlineStr">
        <is>
          <t>Nebius</t>
        </is>
      </c>
      <c r="B462" t="inlineStr">
        <is>
          <t>H100</t>
        </is>
      </c>
      <c r="C462" s="3" t="n">
        <v>46082</v>
      </c>
      <c r="D462" s="4" t="n">
        <v>2.95</v>
      </c>
      <c r="E462" t="inlineStr">
        <is>
          <t>on-demand per GPU-hr</t>
        </is>
      </c>
      <c r="F462" t="inlineStr">
        <is>
          <t>Reported</t>
        </is>
      </c>
      <c r="G462" t="inlineStr">
        <is>
          <t>https://web.archive.org/web/20260301091903/https://nebius.com/prices</t>
        </is>
      </c>
      <c r="H462" t="inlineStr">
        <is>
          <t>NVIDIA HGX H100|16|200|$2.95</t>
        </is>
      </c>
    </row>
    <row r="463">
      <c r="A463" t="inlineStr">
        <is>
          <t>Nebius</t>
        </is>
      </c>
      <c r="B463" t="inlineStr">
        <is>
          <t>H100</t>
        </is>
      </c>
      <c r="C463" s="3" t="n">
        <v>46114</v>
      </c>
      <c r="D463" s="4" t="n">
        <v>2.95</v>
      </c>
      <c r="E463" t="inlineStr">
        <is>
          <t>on-demand per GPU-hr</t>
        </is>
      </c>
      <c r="F463" t="inlineStr">
        <is>
          <t>Reported</t>
        </is>
      </c>
      <c r="G463" t="inlineStr">
        <is>
          <t>https://web.archive.org/web/20260402090033/https://nebius.com/prices</t>
        </is>
      </c>
      <c r="H463" t="inlineStr">
        <is>
          <t>NVIDIA HGX H100|16|200|$2.95</t>
        </is>
      </c>
    </row>
    <row r="464">
      <c r="A464" t="inlineStr">
        <is>
          <t>Nebius</t>
        </is>
      </c>
      <c r="B464" t="inlineStr">
        <is>
          <t>H100</t>
        </is>
      </c>
      <c r="C464" s="3" t="n">
        <v>46149</v>
      </c>
      <c r="D464" s="4" t="n">
        <v>2.95</v>
      </c>
      <c r="E464" t="inlineStr">
        <is>
          <t>on-demand per GPU-hr</t>
        </is>
      </c>
      <c r="F464" t="inlineStr">
        <is>
          <t>Reported</t>
        </is>
      </c>
      <c r="G464" t="inlineStr">
        <is>
          <t>https://web.archive.org/web/20260507111158/https://nebius.com/prices</t>
        </is>
      </c>
      <c r="H464" t="inlineStr">
        <is>
          <t>NVIDIA HGX H100|16|200|$2.95</t>
        </is>
      </c>
    </row>
    <row r="465">
      <c r="A465" t="inlineStr">
        <is>
          <t>Nebius</t>
        </is>
      </c>
      <c r="B465" t="inlineStr">
        <is>
          <t>H100</t>
        </is>
      </c>
      <c r="C465" s="3" t="n">
        <v>46215</v>
      </c>
      <c r="D465" s="4" t="n">
        <v>3.85</v>
      </c>
      <c r="E465" t="inlineStr">
        <is>
          <t>on-demand per GPU-hr (2nd col; 1st col=preemptible)</t>
        </is>
      </c>
      <c r="F465" t="inlineStr">
        <is>
          <t>Reported</t>
        </is>
      </c>
      <c r="G465" t="inlineStr">
        <is>
          <t>https://web.archive.org/web/20260712235400/https://nebius.com/prices</t>
        </is>
      </c>
      <c r="H465" t="inlineStr">
        <is>
          <t>NVIDIA HGX H100|16|200|$2.15|$3.85</t>
        </is>
      </c>
    </row>
    <row r="466">
      <c r="A466" t="inlineStr">
        <is>
          <t>Nebius</t>
        </is>
      </c>
      <c r="B466" t="inlineStr">
        <is>
          <t>H100</t>
        </is>
      </c>
      <c r="C466" s="3" t="n">
        <v>46253</v>
      </c>
      <c r="D466" s="4" t="n">
        <v>3.85</v>
      </c>
      <c r="E466" t="inlineStr">
        <is>
          <t>on-demand per GPU-hr (2nd col; 1st col=preemptible)</t>
        </is>
      </c>
      <c r="F466" t="inlineStr">
        <is>
          <t>Reported</t>
        </is>
      </c>
      <c r="G466" t="inlineStr">
        <is>
          <t>https://web.archive.org/web/20260819203018/https://nebius.com/prices</t>
        </is>
      </c>
      <c r="H466" t="inlineStr">
        <is>
          <t>NVIDIA HGX H100|16|200|$2.15|$3.85</t>
        </is>
      </c>
    </row>
    <row r="467">
      <c r="A467" t="inlineStr">
        <is>
          <t>Nebius</t>
        </is>
      </c>
      <c r="B467" t="inlineStr">
        <is>
          <t>H100</t>
        </is>
      </c>
      <c r="C467" s="3" t="n">
        <v>46266</v>
      </c>
      <c r="D467" s="4" t="n">
        <v>3.85</v>
      </c>
      <c r="E467" t="inlineStr">
        <is>
          <t>on-demand per GPU-hr (2nd col; 1st col=preemptible)</t>
        </is>
      </c>
      <c r="F467" t="inlineStr">
        <is>
          <t>Reported</t>
        </is>
      </c>
      <c r="G467" t="inlineStr">
        <is>
          <t>https://web.archive.org/web/20260901040136/https://nebius.com/prices</t>
        </is>
      </c>
      <c r="H467" t="inlineStr">
        <is>
          <t>NVIDIA HGX H100|16|200|$2.15|$3.85</t>
        </is>
      </c>
    </row>
    <row r="468">
      <c r="A468" t="inlineStr">
        <is>
          <t>Nebius</t>
        </is>
      </c>
      <c r="B468" t="inlineStr">
        <is>
          <t>H100</t>
        </is>
      </c>
      <c r="C468" s="3" t="n">
        <v>46296</v>
      </c>
      <c r="D468" s="4" t="n">
        <v>3.85</v>
      </c>
      <c r="E468" t="inlineStr">
        <is>
          <t>on-demand per GPU-hr, column in force through 2026-09-30</t>
        </is>
      </c>
      <c r="F468" t="inlineStr">
        <is>
          <t>Reported</t>
        </is>
      </c>
      <c r="G468" t="inlineStr">
        <is>
          <t>https://web.archive.org/web/20261001030509/https://nebius.com/prices</t>
        </is>
      </c>
      <c r="H468" t="inlineStr">
        <is>
          <t>NVIDIA HGX H100|16|200|$3.85|$4.50</t>
        </is>
      </c>
    </row>
    <row r="469">
      <c r="A469" t="inlineStr">
        <is>
          <t>Nebius</t>
        </is>
      </c>
      <c r="B469" t="inlineStr">
        <is>
          <t>H100</t>
        </is>
      </c>
      <c r="C469" s="3" t="n">
        <v>46296</v>
      </c>
      <c r="D469" s="4" t="n">
        <v>4.5</v>
      </c>
      <c r="E469" t="inlineStr">
        <is>
          <t>on-demand per GPU-hr, column "Effective October 1, 2026"</t>
        </is>
      </c>
      <c r="F469" t="inlineStr">
        <is>
          <t>Reported</t>
        </is>
      </c>
      <c r="G469" t="inlineStr">
        <is>
          <t>https://web.archive.org/web/20261001030509/https://nebius.com/prices</t>
        </is>
      </c>
      <c r="H469" t="inlineStr">
        <is>
          <t>NVIDIA HGX H100|16|200|$3.85|$4.50</t>
        </is>
      </c>
    </row>
    <row r="470">
      <c r="A470" t="inlineStr">
        <is>
          <t>Nebius</t>
        </is>
      </c>
      <c r="B470" t="inlineStr">
        <is>
          <t>H200</t>
        </is>
      </c>
      <c r="C470" s="3" t="n">
        <v>45571</v>
      </c>
      <c r="D470" s="4" t="n">
        <v>4.85</v>
      </c>
      <c r="E470" t="inlineStr">
        <is>
          <t>pre-availability price page: "GPU type: H200 SXM. PAYG price - $4.85/h" (H100 $3.5 same capture); missed by parse_series regex, added by hand; also in GPU Market teammate Decline_Rates</t>
        </is>
      </c>
      <c r="F470" t="inlineStr">
        <is>
          <t>Reported</t>
        </is>
      </c>
      <c r="G470" t="inlineStr">
        <is>
          <t>https://web.archive.org/web/20241006092143/https://nebius.ai/prices?hss_channel=tw-1674054161661345794</t>
        </is>
      </c>
      <c r="H470" t="inlineStr"/>
    </row>
    <row r="471">
      <c r="A471" t="inlineStr">
        <is>
          <t>Nebius</t>
        </is>
      </c>
      <c r="B471" t="inlineStr">
        <is>
          <t>H200</t>
        </is>
      </c>
      <c r="C471" s="3" t="n">
        <v>45611</v>
      </c>
      <c r="D471" s="4" t="n">
        <v>3.5</v>
      </c>
      <c r="E471" t="inlineStr">
        <is>
          <t>on-demand per GPU-hr</t>
        </is>
      </c>
      <c r="F471" t="inlineStr">
        <is>
          <t>Reported</t>
        </is>
      </c>
      <c r="G471" t="inlineStr">
        <is>
          <t>https://web.archive.org/web/20241115043809/https://nebius.com/prices</t>
        </is>
      </c>
      <c r="H471" t="inlineStr">
        <is>
          <t>1 × H200 SXM|141|200|16|$3.50</t>
        </is>
      </c>
    </row>
    <row r="472">
      <c r="A472" t="inlineStr">
        <is>
          <t>Nebius</t>
        </is>
      </c>
      <c r="B472" t="inlineStr">
        <is>
          <t>H200</t>
        </is>
      </c>
      <c r="C472" s="3" t="n">
        <v>45632</v>
      </c>
      <c r="D472" s="4" t="n">
        <v>3.5</v>
      </c>
      <c r="E472" t="inlineStr">
        <is>
          <t>on-demand per GPU-hr</t>
        </is>
      </c>
      <c r="F472" t="inlineStr">
        <is>
          <t>Reported</t>
        </is>
      </c>
      <c r="G472" t="inlineStr">
        <is>
          <t>https://web.archive.org/web/20241206210543/https://nebius.com/prices</t>
        </is>
      </c>
      <c r="H472" t="inlineStr">
        <is>
          <t>1 × H200 SXM|141|200|16|$3.50</t>
        </is>
      </c>
    </row>
    <row r="473">
      <c r="A473" t="inlineStr">
        <is>
          <t>Nebius</t>
        </is>
      </c>
      <c r="B473" t="inlineStr">
        <is>
          <t>H200</t>
        </is>
      </c>
      <c r="C473" s="3" t="n">
        <v>45672</v>
      </c>
      <c r="D473" s="4" t="n">
        <v>3.5</v>
      </c>
      <c r="E473" t="inlineStr">
        <is>
          <t>on-demand per GPU-hr</t>
        </is>
      </c>
      <c r="F473" t="inlineStr">
        <is>
          <t>Reported</t>
        </is>
      </c>
      <c r="G473" t="inlineStr">
        <is>
          <t>https://web.archive.org/web/20250115165501/https://nebius.com/prices</t>
        </is>
      </c>
      <c r="H473" t="inlineStr">
        <is>
          <t>1 × H200 SXM|141|200|16|$3.50</t>
        </is>
      </c>
    </row>
    <row r="474">
      <c r="A474" t="inlineStr">
        <is>
          <t>Nebius</t>
        </is>
      </c>
      <c r="B474" t="inlineStr">
        <is>
          <t>H200</t>
        </is>
      </c>
      <c r="C474" s="3" t="n">
        <v>45721</v>
      </c>
      <c r="D474" s="4" t="n">
        <v>3.5</v>
      </c>
      <c r="E474" t="inlineStr">
        <is>
          <t>on-demand per GPU-hr</t>
        </is>
      </c>
      <c r="F474" t="inlineStr">
        <is>
          <t>Reported</t>
        </is>
      </c>
      <c r="G474" t="inlineStr">
        <is>
          <t>https://web.archive.org/web/20250305221703/https://nebius.com/prices</t>
        </is>
      </c>
      <c r="H474" t="inlineStr">
        <is>
          <t>NVIDIA H200 GPU|141|16|200|$3.50</t>
        </is>
      </c>
    </row>
    <row r="475">
      <c r="A475" t="inlineStr">
        <is>
          <t>Nebius</t>
        </is>
      </c>
      <c r="B475" t="inlineStr">
        <is>
          <t>H200</t>
        </is>
      </c>
      <c r="C475" s="3" t="n">
        <v>45748</v>
      </c>
      <c r="D475" s="4" t="n">
        <v>3.5</v>
      </c>
      <c r="E475" t="inlineStr">
        <is>
          <t>on-demand per GPU-hr</t>
        </is>
      </c>
      <c r="F475" t="inlineStr">
        <is>
          <t>Reported</t>
        </is>
      </c>
      <c r="G475" t="inlineStr">
        <is>
          <t>https://web.archive.org/web/20250401024008/https://nebius.com/prices</t>
        </is>
      </c>
      <c r="H475" t="inlineStr">
        <is>
          <t>NVIDIA H200 GPU|141|16|200|$3.50</t>
        </is>
      </c>
    </row>
    <row r="476">
      <c r="A476" t="inlineStr">
        <is>
          <t>Nebius</t>
        </is>
      </c>
      <c r="B476" t="inlineStr">
        <is>
          <t>H200</t>
        </is>
      </c>
      <c r="C476" s="3" t="n">
        <v>45800</v>
      </c>
      <c r="D476" s="4" t="n">
        <v>3.5</v>
      </c>
      <c r="E476" t="inlineStr">
        <is>
          <t>on-demand per GPU-hr</t>
        </is>
      </c>
      <c r="F476" t="inlineStr">
        <is>
          <t>Reported</t>
        </is>
      </c>
      <c r="G476" t="inlineStr">
        <is>
          <t>https://web.archive.org/web/20250523205822/https://nebius.com/prices</t>
        </is>
      </c>
      <c r="H476" t="inlineStr">
        <is>
          <t>NVIDIA H200 GPU|141|16|200|$3.50</t>
        </is>
      </c>
    </row>
    <row r="477">
      <c r="A477" t="inlineStr">
        <is>
          <t>Nebius</t>
        </is>
      </c>
      <c r="B477" t="inlineStr">
        <is>
          <t>H200</t>
        </is>
      </c>
      <c r="C477" s="3" t="n">
        <v>45837</v>
      </c>
      <c r="D477" s="4" t="n">
        <v>3.5</v>
      </c>
      <c r="E477" t="inlineStr">
        <is>
          <t>on-demand per GPU-hr</t>
        </is>
      </c>
      <c r="F477" t="inlineStr">
        <is>
          <t>Reported</t>
        </is>
      </c>
      <c r="G477" t="inlineStr">
        <is>
          <t>https://web.archive.org/web/20250629224210/https://nebius.com/prices</t>
        </is>
      </c>
      <c r="H477" t="inlineStr">
        <is>
          <t>NVIDIA H200 GPU|141|16|200|$3.50</t>
        </is>
      </c>
    </row>
    <row r="478">
      <c r="A478" t="inlineStr">
        <is>
          <t>Nebius</t>
        </is>
      </c>
      <c r="B478" t="inlineStr">
        <is>
          <t>H200</t>
        </is>
      </c>
      <c r="C478" s="3" t="n">
        <v>45863</v>
      </c>
      <c r="D478" s="4" t="n">
        <v>3.5</v>
      </c>
      <c r="E478" t="inlineStr">
        <is>
          <t>on-demand per GPU-hr</t>
        </is>
      </c>
      <c r="F478" t="inlineStr">
        <is>
          <t>Reported</t>
        </is>
      </c>
      <c r="G478" t="inlineStr">
        <is>
          <t>https://web.archive.org/web/20250725080908/https://nebius.com/prices</t>
        </is>
      </c>
      <c r="H478" t="inlineStr">
        <is>
          <t>NVIDIA HGX H200|16|200|$3.50</t>
        </is>
      </c>
    </row>
    <row r="479">
      <c r="A479" t="inlineStr">
        <is>
          <t>Nebius</t>
        </is>
      </c>
      <c r="B479" t="inlineStr">
        <is>
          <t>H200</t>
        </is>
      </c>
      <c r="C479" s="3" t="n">
        <v>45895</v>
      </c>
      <c r="D479" s="4" t="n">
        <v>3.5</v>
      </c>
      <c r="E479" t="inlineStr">
        <is>
          <t>on-demand per GPU-hr</t>
        </is>
      </c>
      <c r="F479" t="inlineStr">
        <is>
          <t>Reported</t>
        </is>
      </c>
      <c r="G479" t="inlineStr">
        <is>
          <t>https://web.archive.org/web/20250826162436/https://nebius.com/prices</t>
        </is>
      </c>
      <c r="H479" t="inlineStr">
        <is>
          <t>NVIDIA HGX H200|16|200|$3.50</t>
        </is>
      </c>
    </row>
    <row r="480">
      <c r="A480" t="inlineStr">
        <is>
          <t>Nebius</t>
        </is>
      </c>
      <c r="B480" t="inlineStr">
        <is>
          <t>H200</t>
        </is>
      </c>
      <c r="C480" s="3" t="n">
        <v>45917</v>
      </c>
      <c r="D480" s="4" t="n">
        <v>3.5</v>
      </c>
      <c r="E480" t="inlineStr">
        <is>
          <t>on-demand per GPU-hr</t>
        </is>
      </c>
      <c r="F480" t="inlineStr">
        <is>
          <t>Reported</t>
        </is>
      </c>
      <c r="G480" t="inlineStr">
        <is>
          <t>https://web.archive.org/web/20250917222344/https://nebius.com/prices</t>
        </is>
      </c>
      <c r="H480" t="inlineStr">
        <is>
          <t>NVIDIA HGX H200|16|200|$3.50</t>
        </is>
      </c>
    </row>
    <row r="481">
      <c r="A481" t="inlineStr">
        <is>
          <t>Nebius</t>
        </is>
      </c>
      <c r="B481" t="inlineStr">
        <is>
          <t>H200</t>
        </is>
      </c>
      <c r="C481" s="3" t="n">
        <v>45950</v>
      </c>
      <c r="D481" s="4" t="n">
        <v>3.5</v>
      </c>
      <c r="E481" t="inlineStr">
        <is>
          <t>on-demand per GPU-hr</t>
        </is>
      </c>
      <c r="F481" t="inlineStr">
        <is>
          <t>Reported</t>
        </is>
      </c>
      <c r="G481" t="inlineStr">
        <is>
          <t>https://web.archive.org/web/20251020160326/https://nebius.com/prices</t>
        </is>
      </c>
      <c r="H481" t="inlineStr">
        <is>
          <t>NVIDIA HGX H200|16|200|$3.50</t>
        </is>
      </c>
    </row>
    <row r="482">
      <c r="A482" t="inlineStr">
        <is>
          <t>Nebius</t>
        </is>
      </c>
      <c r="B482" t="inlineStr">
        <is>
          <t>H200</t>
        </is>
      </c>
      <c r="C482" s="3" t="n">
        <v>45982</v>
      </c>
      <c r="D482" s="4" t="n">
        <v>3.5</v>
      </c>
      <c r="E482" t="inlineStr">
        <is>
          <t>on-demand per GPU-hr</t>
        </is>
      </c>
      <c r="F482" t="inlineStr">
        <is>
          <t>Reported</t>
        </is>
      </c>
      <c r="G482" t="inlineStr">
        <is>
          <t>https://web.archive.org/web/20251121191852/https://nebius.com/prices</t>
        </is>
      </c>
      <c r="H482" t="inlineStr">
        <is>
          <t>NVIDIA HGX H200|16|200|$3.50</t>
        </is>
      </c>
    </row>
    <row r="483">
      <c r="A483" t="inlineStr">
        <is>
          <t>Nebius</t>
        </is>
      </c>
      <c r="B483" t="inlineStr">
        <is>
          <t>H200</t>
        </is>
      </c>
      <c r="C483" s="3" t="n">
        <v>46073</v>
      </c>
      <c r="D483" s="4" t="n">
        <v>3.5</v>
      </c>
      <c r="E483" t="inlineStr">
        <is>
          <t>on-demand per GPU-hr</t>
        </is>
      </c>
      <c r="F483" t="inlineStr">
        <is>
          <t>Reported</t>
        </is>
      </c>
      <c r="G483" t="inlineStr">
        <is>
          <t>https://web.archive.org/web/20260220095958/https://nebius.com/prices</t>
        </is>
      </c>
      <c r="H483" t="inlineStr">
        <is>
          <t>NVIDIA HGX H200|16|200|$3.50</t>
        </is>
      </c>
    </row>
    <row r="484">
      <c r="A484" t="inlineStr">
        <is>
          <t>Nebius</t>
        </is>
      </c>
      <c r="B484" t="inlineStr">
        <is>
          <t>H200</t>
        </is>
      </c>
      <c r="C484" s="3" t="n">
        <v>46082</v>
      </c>
      <c r="D484" s="4" t="n">
        <v>3.5</v>
      </c>
      <c r="E484" t="inlineStr">
        <is>
          <t>on-demand per GPU-hr</t>
        </is>
      </c>
      <c r="F484" t="inlineStr">
        <is>
          <t>Reported</t>
        </is>
      </c>
      <c r="G484" t="inlineStr">
        <is>
          <t>https://web.archive.org/web/20260301091903/https://nebius.com/prices</t>
        </is>
      </c>
      <c r="H484" t="inlineStr">
        <is>
          <t>NVIDIA HGX H200|16|200|$3.50</t>
        </is>
      </c>
    </row>
    <row r="485">
      <c r="A485" t="inlineStr">
        <is>
          <t>Nebius</t>
        </is>
      </c>
      <c r="B485" t="inlineStr">
        <is>
          <t>H200</t>
        </is>
      </c>
      <c r="C485" s="3" t="n">
        <v>46114</v>
      </c>
      <c r="D485" s="4" t="n">
        <v>3.5</v>
      </c>
      <c r="E485" t="inlineStr">
        <is>
          <t>on-demand per GPU-hr</t>
        </is>
      </c>
      <c r="F485" t="inlineStr">
        <is>
          <t>Reported</t>
        </is>
      </c>
      <c r="G485" t="inlineStr">
        <is>
          <t>https://web.archive.org/web/20260402090033/https://nebius.com/prices</t>
        </is>
      </c>
      <c r="H485" t="inlineStr">
        <is>
          <t>NVIDIA HGX H200|16|200|$3.50</t>
        </is>
      </c>
    </row>
    <row r="486">
      <c r="A486" t="inlineStr">
        <is>
          <t>Nebius</t>
        </is>
      </c>
      <c r="B486" t="inlineStr">
        <is>
          <t>H200</t>
        </is>
      </c>
      <c r="C486" s="3" t="n">
        <v>46149</v>
      </c>
      <c r="D486" s="4" t="n">
        <v>3.5</v>
      </c>
      <c r="E486" t="inlineStr">
        <is>
          <t>on-demand per GPU-hr</t>
        </is>
      </c>
      <c r="F486" t="inlineStr">
        <is>
          <t>Reported</t>
        </is>
      </c>
      <c r="G486" t="inlineStr">
        <is>
          <t>https://web.archive.org/web/20260507111158/https://nebius.com/prices</t>
        </is>
      </c>
      <c r="H486" t="inlineStr">
        <is>
          <t>NVIDIA HGX H200|16|200|$3.50</t>
        </is>
      </c>
    </row>
    <row r="487">
      <c r="A487" t="inlineStr">
        <is>
          <t>Nebius</t>
        </is>
      </c>
      <c r="B487" t="inlineStr">
        <is>
          <t>H200</t>
        </is>
      </c>
      <c r="C487" s="3" t="n">
        <v>46215</v>
      </c>
      <c r="D487" s="4" t="n">
        <v>4.5</v>
      </c>
      <c r="E487" t="inlineStr">
        <is>
          <t>on-demand per GPU-hr (2nd col; 1st col=preemptible)</t>
        </is>
      </c>
      <c r="F487" t="inlineStr">
        <is>
          <t>Reported</t>
        </is>
      </c>
      <c r="G487" t="inlineStr">
        <is>
          <t>https://web.archive.org/web/20260712235400/https://nebius.com/prices</t>
        </is>
      </c>
      <c r="H487" t="inlineStr">
        <is>
          <t>NVIDIA HGX H200|16|200|$2.45|$4.50</t>
        </is>
      </c>
    </row>
    <row r="488">
      <c r="A488" t="inlineStr">
        <is>
          <t>Nebius</t>
        </is>
      </c>
      <c r="B488" t="inlineStr">
        <is>
          <t>H200</t>
        </is>
      </c>
      <c r="C488" s="3" t="n">
        <v>46253</v>
      </c>
      <c r="D488" s="4" t="n">
        <v>4.5</v>
      </c>
      <c r="E488" t="inlineStr">
        <is>
          <t>on-demand per GPU-hr (2nd col; 1st col=preemptible)</t>
        </is>
      </c>
      <c r="F488" t="inlineStr">
        <is>
          <t>Reported</t>
        </is>
      </c>
      <c r="G488" t="inlineStr">
        <is>
          <t>https://web.archive.org/web/20260819203018/https://nebius.com/prices</t>
        </is>
      </c>
      <c r="H488" t="inlineStr">
        <is>
          <t>NVIDIA HGX H200|16|200|$2.45|$4.50</t>
        </is>
      </c>
    </row>
    <row r="489">
      <c r="A489" t="inlineStr">
        <is>
          <t>Nebius</t>
        </is>
      </c>
      <c r="B489" t="inlineStr">
        <is>
          <t>H200</t>
        </is>
      </c>
      <c r="C489" s="3" t="n">
        <v>46266</v>
      </c>
      <c r="D489" s="4" t="n">
        <v>4.5</v>
      </c>
      <c r="E489" t="inlineStr">
        <is>
          <t>on-demand per GPU-hr (2nd col; 1st col=preemptible)</t>
        </is>
      </c>
      <c r="F489" t="inlineStr">
        <is>
          <t>Reported</t>
        </is>
      </c>
      <c r="G489" t="inlineStr">
        <is>
          <t>https://web.archive.org/web/20260901040136/https://nebius.com/prices</t>
        </is>
      </c>
      <c r="H489" t="inlineStr">
        <is>
          <t>NVIDIA HGX H200|16|200|$2.45|$4.50</t>
        </is>
      </c>
    </row>
    <row r="490">
      <c r="A490" t="inlineStr">
        <is>
          <t>Nebius</t>
        </is>
      </c>
      <c r="B490" t="inlineStr">
        <is>
          <t>H200</t>
        </is>
      </c>
      <c r="C490" s="3" t="n">
        <v>46296</v>
      </c>
      <c r="D490" s="4" t="n">
        <v>4.5</v>
      </c>
      <c r="E490" t="inlineStr">
        <is>
          <t>on-demand per GPU-hr, column in force through 2026-09-30</t>
        </is>
      </c>
      <c r="F490" t="inlineStr">
        <is>
          <t>Reported</t>
        </is>
      </c>
      <c r="G490" t="inlineStr">
        <is>
          <t>https://web.archive.org/web/20261001030509/https://nebius.com/prices</t>
        </is>
      </c>
      <c r="H490" t="inlineStr">
        <is>
          <t>NVIDIA HGX H200|16|200|$4.50|$5.40</t>
        </is>
      </c>
    </row>
    <row r="491">
      <c r="A491" t="inlineStr">
        <is>
          <t>Nebius</t>
        </is>
      </c>
      <c r="B491" t="inlineStr">
        <is>
          <t>H200</t>
        </is>
      </c>
      <c r="C491" s="3" t="n">
        <v>46296</v>
      </c>
      <c r="D491" s="4" t="n">
        <v>5.4</v>
      </c>
      <c r="E491" t="inlineStr">
        <is>
          <t>on-demand per GPU-hr, column "Effective October 1, 2026"</t>
        </is>
      </c>
      <c r="F491" t="inlineStr">
        <is>
          <t>Reported</t>
        </is>
      </c>
      <c r="G491" t="inlineStr">
        <is>
          <t>https://web.archive.org/web/20261001030509/https://nebius.com/prices</t>
        </is>
      </c>
      <c r="H491" t="inlineStr">
        <is>
          <t>NVIDIA HGX H200|16|200|$4.50|$5.40</t>
        </is>
      </c>
    </row>
    <row r="492">
      <c r="A492" t="inlineStr">
        <is>
          <t>Nebius</t>
        </is>
      </c>
      <c r="B492" t="inlineStr">
        <is>
          <t>L40S</t>
        </is>
      </c>
      <c r="C492" s="3" t="n">
        <v>45439</v>
      </c>
      <c r="D492" s="4" t="n">
        <v>1.55</v>
      </c>
      <c r="E492" t="inlineStr">
        <is>
          <t>PAYG on-demand per GPU-hr</t>
        </is>
      </c>
      <c r="F492" t="inlineStr">
        <is>
          <t>Reported</t>
        </is>
      </c>
      <c r="G492" t="inlineStr">
        <is>
          <t>https://web.archive.org/web/20240527220958/https://nebius.ai/prices</t>
        </is>
      </c>
      <c r="H492" t="inlineStr">
        <is>
          <t>GPU type: L40S. PAYG price – $1.55/h</t>
        </is>
      </c>
    </row>
    <row r="493">
      <c r="A493" t="inlineStr">
        <is>
          <t>Nebius</t>
        </is>
      </c>
      <c r="B493" t="inlineStr">
        <is>
          <t>L40S</t>
        </is>
      </c>
      <c r="C493" s="3" t="n">
        <v>45498</v>
      </c>
      <c r="D493" s="4" t="n">
        <v>1.55</v>
      </c>
      <c r="E493" t="inlineStr">
        <is>
          <t>PAYG on-demand per GPU-hr</t>
        </is>
      </c>
      <c r="F493" t="inlineStr">
        <is>
          <t>Reported</t>
        </is>
      </c>
      <c r="G493" t="inlineStr">
        <is>
          <t>https://web.archive.org/web/20240725190745/https://nebius.ai/prices</t>
        </is>
      </c>
      <c r="H493" t="inlineStr">
        <is>
          <t>GPU type: L40S. PAYG price – $1.55/h</t>
        </is>
      </c>
    </row>
    <row r="494">
      <c r="A494" t="inlineStr">
        <is>
          <t>Nebius</t>
        </is>
      </c>
      <c r="B494" t="inlineStr">
        <is>
          <t>L40S</t>
        </is>
      </c>
      <c r="C494" s="3" t="n">
        <v>45509</v>
      </c>
      <c r="D494" s="4" t="n">
        <v>1.55</v>
      </c>
      <c r="E494" t="inlineStr">
        <is>
          <t>PAYG on-demand per GPU-hr</t>
        </is>
      </c>
      <c r="F494" t="inlineStr">
        <is>
          <t>Reported</t>
        </is>
      </c>
      <c r="G494" t="inlineStr">
        <is>
          <t>https://web.archive.org/web/20240805155823/https://nebius.ai/prices</t>
        </is>
      </c>
      <c r="H494" t="inlineStr">
        <is>
          <t>GPU type: L40S. PAYG price – $1.55/h</t>
        </is>
      </c>
    </row>
    <row r="495">
      <c r="A495" t="inlineStr">
        <is>
          <t>Nebius</t>
        </is>
      </c>
      <c r="B495" t="inlineStr">
        <is>
          <t>L40S</t>
        </is>
      </c>
      <c r="C495" s="3" t="n">
        <v>45542</v>
      </c>
      <c r="D495" s="4" t="n">
        <v>1.55</v>
      </c>
      <c r="E495" t="inlineStr">
        <is>
          <t>PAYG on-demand per GPU-hr</t>
        </is>
      </c>
      <c r="F495" t="inlineStr">
        <is>
          <t>Reported</t>
        </is>
      </c>
      <c r="G495" t="inlineStr">
        <is>
          <t>https://web.archive.org/web/20240907074221/https://nebius.ai/prices</t>
        </is>
      </c>
      <c r="H495" t="inlineStr">
        <is>
          <t>GPU type: L40S. PAYG price – $1.55/h</t>
        </is>
      </c>
    </row>
    <row r="496">
      <c r="A496" t="inlineStr">
        <is>
          <t>SemiAnalysis 1-yr contract index</t>
        </is>
      </c>
      <c r="B496" t="inlineStr">
        <is>
          <t>H100</t>
        </is>
      </c>
      <c r="C496" s="3" t="n">
        <v>45945</v>
      </c>
      <c r="D496" s="4" t="n">
        <v>1.7</v>
      </c>
      <c r="E496" t="inlineStr">
        <is>
          <t>H100 1-year rental contract, low (month only reported; mid-month date is a placeholder)</t>
        </is>
      </c>
      <c r="F496" t="inlineStr">
        <is>
          <t>Reported</t>
        </is>
      </c>
      <c r="G496" t="inlineStr">
        <is>
          <t>https://newsletter.semianalysis.com/p/the-great-gpu-shortage-rental-capacity</t>
        </is>
      </c>
      <c r="H496" t="inlineStr"/>
    </row>
    <row r="497">
      <c r="A497" t="inlineStr">
        <is>
          <t>SemiAnalysis 1-yr contract index</t>
        </is>
      </c>
      <c r="B497" t="inlineStr">
        <is>
          <t>H100</t>
        </is>
      </c>
      <c r="C497" s="3" t="n">
        <v>46096</v>
      </c>
      <c r="D497" s="4" t="n">
        <v>2.35</v>
      </c>
      <c r="E497" t="inlineStr">
        <is>
          <t>H100 1-year rental contract (March 2026)</t>
        </is>
      </c>
      <c r="F497" t="inlineStr">
        <is>
          <t>Reported</t>
        </is>
      </c>
      <c r="G497" t="inlineStr">
        <is>
          <t>https://newsletter.semianalysis.com/p/the-great-gpu-shortage-rental-capacity</t>
        </is>
      </c>
      <c r="H497" t="inlineStr"/>
    </row>
    <row r="498">
      <c r="A498" t="inlineStr">
        <is>
          <t>Silicon Data (hyperscaler index)</t>
        </is>
      </c>
      <c r="B498" t="inlineStr">
        <is>
          <t>H100</t>
        </is>
      </c>
      <c r="C498" s="3" t="n">
        <v>46233</v>
      </c>
      <c r="D498" s="4" t="n">
        <v>7.18</v>
      </c>
      <c r="E498" t="inlineStr">
        <is>
          <t>daily standardized hyperscaler H100 rental index</t>
        </is>
      </c>
      <c r="F498" t="inlineStr">
        <is>
          <t>Reported</t>
        </is>
      </c>
      <c r="G498" t="inlineStr">
        <is>
          <t>https://www.silicondata.com/products/silicon-index?gpu=h100</t>
        </is>
      </c>
      <c r="H498" t="inlineStr"/>
    </row>
    <row r="499">
      <c r="A499" t="inlineStr">
        <is>
          <t>Silicon Data SDH100RT (neocloud index)</t>
        </is>
      </c>
      <c r="B499" t="inlineStr">
        <is>
          <t>H100</t>
        </is>
      </c>
      <c r="C499" s="3" t="n">
        <v>46233</v>
      </c>
      <c r="D499" s="4" t="n">
        <v>2.77</v>
      </c>
      <c r="E499" t="inlineStr">
        <is>
          <t>daily standardized neocloud H100 rental index</t>
        </is>
      </c>
      <c r="F499" t="inlineStr">
        <is>
          <t>Reported</t>
        </is>
      </c>
      <c r="G499" t="inlineStr">
        <is>
          <t>https://www.silicondata.com/products/silicon-index?gpu=h100</t>
        </is>
      </c>
      <c r="H499" t="inlineStr"/>
    </row>
    <row r="500">
      <c r="A500" t="inlineStr">
        <is>
          <t>gpueconomy rate-card read</t>
        </is>
      </c>
      <c r="B500" t="inlineStr">
        <is>
          <t>H100</t>
        </is>
      </c>
      <c r="C500" s="3" t="n">
        <v>46297</v>
      </c>
      <c r="D500" s="4" t="n">
        <v>3.99</v>
      </c>
      <c r="E500" t="inlineStr">
        <is>
          <t>Lambda &amp; Together H100 SXM on-demand (listed since 2026-09-07); Crusoe $3.90</t>
        </is>
      </c>
      <c r="F500" t="inlineStr">
        <is>
          <t>Reported</t>
        </is>
      </c>
      <c r="G500" t="inlineStr">
        <is>
          <t>https://gpueconomy.com/analysis/2026-10-02-nebius-october-column-took-effect</t>
        </is>
      </c>
      <c r="H500" t="inlineStr"/>
    </row>
  </sheetData>
  <autoFilter ref="A1:H5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3" customWidth="1" min="4" max="4"/>
    <col width="10" customWidth="1" min="5" max="5"/>
    <col width="10" customWidth="1" min="6" max="6"/>
    <col width="10" customWidth="1" min="7" max="7"/>
    <col width="70" customWidth="1" min="8" max="8"/>
    <col width="70" customWidth="1" min="9" max="9"/>
  </cols>
  <sheetData>
    <row r="1">
      <c r="A1" s="2" t="inlineStr">
        <is>
          <t>provider</t>
        </is>
      </c>
      <c r="B1" s="2" t="inlineStr">
        <is>
          <t>chip</t>
        </is>
      </c>
      <c r="C1" s="2" t="inlineStr">
        <is>
          <t>last capture at old price</t>
        </is>
      </c>
      <c r="D1" s="2" t="inlineStr">
        <is>
          <t>first capture at new price</t>
        </is>
      </c>
      <c r="E1" s="2" t="inlineStr">
        <is>
          <t>old $/GPU-hr</t>
        </is>
      </c>
      <c r="F1" s="2" t="inlineStr">
        <is>
          <t>new $/GPU-hr</t>
        </is>
      </c>
      <c r="G1" s="2" t="inlineStr">
        <is>
          <t>% change (Derived)</t>
        </is>
      </c>
      <c r="H1" s="2" t="inlineStr">
        <is>
          <t>note</t>
        </is>
      </c>
      <c r="I1" s="2" t="inlineStr">
        <is>
          <t>source (new-price capture)</t>
        </is>
      </c>
    </row>
    <row r="2">
      <c r="A2" t="inlineStr">
        <is>
          <t>AWS Capacity Blocks</t>
        </is>
      </c>
      <c r="B2" t="inlineStr">
        <is>
          <t>A100 40GB</t>
        </is>
      </c>
      <c r="C2" s="3" t="n">
        <v>45690</v>
      </c>
      <c r="D2" s="3" t="n">
        <v>45724</v>
      </c>
      <c r="E2" s="4" t="n">
        <v>1.844</v>
      </c>
      <c r="F2" s="4" t="n">
        <v>1.475</v>
      </c>
      <c r="G2" s="5">
        <f>F2/E2-1</f>
        <v/>
      </c>
      <c r="H2" t="inlineStr"/>
      <c r="I2" t="inlineStr">
        <is>
          <t>https://web.archive.org/web/20250308091133/https://aws.amazon.com/ec2/capacityblocks/pricing/</t>
        </is>
      </c>
    </row>
    <row r="3">
      <c r="A3" t="inlineStr">
        <is>
          <t>AWS Capacity Blocks</t>
        </is>
      </c>
      <c r="B3" t="inlineStr">
        <is>
          <t>B200</t>
        </is>
      </c>
      <c r="C3" s="3" t="n">
        <v>45920</v>
      </c>
      <c r="D3" s="3" t="n">
        <v>45947</v>
      </c>
      <c r="E3" s="4" t="n">
        <v>8.140000000000001</v>
      </c>
      <c r="F3" s="4" t="n">
        <v>9.359999999999999</v>
      </c>
      <c r="G3" s="5">
        <f>F3/E3-1</f>
        <v/>
      </c>
      <c r="H3" t="inlineStr"/>
      <c r="I3" t="inlineStr">
        <is>
          <t>https://web.archive.org/web/20251017060707/https://aws.amazon.com/ec2/capacityblocks/pricing/</t>
        </is>
      </c>
    </row>
    <row r="4">
      <c r="A4" t="inlineStr">
        <is>
          <t>AWS Capacity Blocks</t>
        </is>
      </c>
      <c r="B4" t="inlineStr">
        <is>
          <t>B200</t>
        </is>
      </c>
      <c r="C4" s="3" t="n">
        <v>46112</v>
      </c>
      <c r="D4" s="3" t="n">
        <v>46127</v>
      </c>
      <c r="E4" s="4" t="n">
        <v>9.359999999999999</v>
      </c>
      <c r="F4" s="4" t="n">
        <v>10.296</v>
      </c>
      <c r="G4" s="5">
        <f>F4/E4-1</f>
        <v/>
      </c>
      <c r="H4" t="inlineStr"/>
      <c r="I4" t="inlineStr">
        <is>
          <t>https://web.archive.org/web/20260415185126/https://aws.amazon.com/ec2/capacityblocks/pricing/</t>
        </is>
      </c>
    </row>
    <row r="5">
      <c r="A5" t="inlineStr">
        <is>
          <t>AWS Capacity Blocks</t>
        </is>
      </c>
      <c r="B5" t="inlineStr">
        <is>
          <t>B200</t>
        </is>
      </c>
      <c r="C5" s="3" t="n">
        <v>46207</v>
      </c>
      <c r="D5" s="3" t="n">
        <v>46259</v>
      </c>
      <c r="E5" s="4" t="n">
        <v>10.296</v>
      </c>
      <c r="F5" s="4" t="n">
        <v>12.355</v>
      </c>
      <c r="G5" s="5">
        <f>F5/E5-1</f>
        <v/>
      </c>
      <c r="H5" t="inlineStr"/>
      <c r="I5" t="inlineStr">
        <is>
          <t>https://web.archive.org/web/20260825162005/https://aws.amazon.com/ec2/capacityblocks/pricing/</t>
        </is>
      </c>
    </row>
    <row r="6">
      <c r="A6" t="inlineStr">
        <is>
          <t>AWS Capacity Blocks</t>
        </is>
      </c>
      <c r="B6" t="inlineStr">
        <is>
          <t>H100</t>
        </is>
      </c>
      <c r="C6" s="3" t="n">
        <v>45690</v>
      </c>
      <c r="D6" s="3" t="n">
        <v>45724</v>
      </c>
      <c r="E6" s="4" t="n">
        <v>4.916</v>
      </c>
      <c r="F6" s="4" t="n">
        <v>3.933</v>
      </c>
      <c r="G6" s="5">
        <f>F6/E6-1</f>
        <v/>
      </c>
      <c r="H6" t="inlineStr"/>
      <c r="I6" t="inlineStr">
        <is>
          <t>https://web.archive.org/web/20250308091133/https://aws.amazon.com/ec2/capacityblocks/pricing/</t>
        </is>
      </c>
    </row>
    <row r="7">
      <c r="A7" t="inlineStr">
        <is>
          <t>AWS Capacity Blocks</t>
        </is>
      </c>
      <c r="B7" t="inlineStr">
        <is>
          <t>H100</t>
        </is>
      </c>
      <c r="C7" s="3" t="n">
        <v>46112</v>
      </c>
      <c r="D7" s="3" t="n">
        <v>46127</v>
      </c>
      <c r="E7" s="4" t="n">
        <v>3.933</v>
      </c>
      <c r="F7" s="4" t="n">
        <v>4.326</v>
      </c>
      <c r="G7" s="5">
        <f>F7/E7-1</f>
        <v/>
      </c>
      <c r="H7" t="inlineStr"/>
      <c r="I7" t="inlineStr">
        <is>
          <t>https://web.archive.org/web/20260415185126/https://aws.amazon.com/ec2/capacityblocks/pricing/</t>
        </is>
      </c>
    </row>
    <row r="8">
      <c r="A8" t="inlineStr">
        <is>
          <t>AWS Capacity Blocks</t>
        </is>
      </c>
      <c r="B8" t="inlineStr">
        <is>
          <t>H100</t>
        </is>
      </c>
      <c r="C8" s="3" t="n">
        <v>46207</v>
      </c>
      <c r="D8" s="3" t="n">
        <v>46259</v>
      </c>
      <c r="E8" s="4" t="n">
        <v>4.326</v>
      </c>
      <c r="F8" s="4" t="n">
        <v>5.191</v>
      </c>
      <c r="G8" s="5">
        <f>F8/E8-1</f>
        <v/>
      </c>
      <c r="H8" t="inlineStr"/>
      <c r="I8" t="inlineStr">
        <is>
          <t>https://web.archive.org/web/20260825162005/https://aws.amazon.com/ec2/capacityblocks/pricing/</t>
        </is>
      </c>
    </row>
    <row r="9">
      <c r="A9" t="inlineStr">
        <is>
          <t>AWS Capacity Blocks</t>
        </is>
      </c>
      <c r="B9" t="inlineStr">
        <is>
          <t>H200</t>
        </is>
      </c>
      <c r="C9" s="3" t="n">
        <v>45690</v>
      </c>
      <c r="D9" s="3" t="n">
        <v>45724</v>
      </c>
      <c r="E9" s="4" t="n">
        <v>5.408</v>
      </c>
      <c r="F9" s="4" t="n">
        <v>4.326</v>
      </c>
      <c r="G9" s="5">
        <f>F9/E9-1</f>
        <v/>
      </c>
      <c r="H9" t="inlineStr"/>
      <c r="I9" t="inlineStr">
        <is>
          <t>https://web.archive.org/web/20250308091133/https://aws.amazon.com/ec2/capacityblocks/pricing/</t>
        </is>
      </c>
    </row>
    <row r="10">
      <c r="A10" t="inlineStr">
        <is>
          <t>AWS Capacity Blocks</t>
        </is>
      </c>
      <c r="B10" t="inlineStr">
        <is>
          <t>H200</t>
        </is>
      </c>
      <c r="C10" s="3" t="n">
        <v>46015</v>
      </c>
      <c r="D10" s="3" t="n">
        <v>46025</v>
      </c>
      <c r="E10" s="4" t="n">
        <v>4.326</v>
      </c>
      <c r="F10" s="4" t="n">
        <v>4.975</v>
      </c>
      <c r="G10" s="5">
        <f>F10/E10-1</f>
        <v/>
      </c>
      <c r="H10" t="inlineStr"/>
      <c r="I10" t="inlineStr">
        <is>
          <t>https://web.archive.org/web/20260103105349/https://aws.amazon.com/ec2/capacityblocks/pricing/</t>
        </is>
      </c>
    </row>
    <row r="11">
      <c r="A11" t="inlineStr">
        <is>
          <t>AWS Capacity Blocks</t>
        </is>
      </c>
      <c r="B11" t="inlineStr">
        <is>
          <t>H200</t>
        </is>
      </c>
      <c r="C11" s="3" t="n">
        <v>46207</v>
      </c>
      <c r="D11" s="3" t="n">
        <v>46259</v>
      </c>
      <c r="E11" s="4" t="n">
        <v>4.975</v>
      </c>
      <c r="F11" s="4" t="n">
        <v>5.97</v>
      </c>
      <c r="G11" s="5">
        <f>F11/E11-1</f>
        <v/>
      </c>
      <c r="H11" t="inlineStr"/>
      <c r="I11" t="inlineStr">
        <is>
          <t>https://web.archive.org/web/20260825162005/https://aws.amazon.com/ec2/capacityblocks/pricing/</t>
        </is>
      </c>
    </row>
    <row r="12">
      <c r="A12" t="inlineStr">
        <is>
          <t>AWS Capacity Blocks</t>
        </is>
      </c>
      <c r="B12" t="inlineStr">
        <is>
          <t>H200 (p5en)</t>
        </is>
      </c>
      <c r="C12" s="3" t="n">
        <v>46015</v>
      </c>
      <c r="D12" s="3" t="n">
        <v>46025</v>
      </c>
      <c r="E12" s="4" t="n">
        <v>4.523</v>
      </c>
      <c r="F12" s="4" t="n">
        <v>5.201</v>
      </c>
      <c r="G12" s="5">
        <f>F12/E12-1</f>
        <v/>
      </c>
      <c r="H12" t="inlineStr"/>
      <c r="I12" t="inlineStr">
        <is>
          <t>https://web.archive.org/web/20260103105349/https://aws.amazon.com/ec2/capacityblocks/pricing/</t>
        </is>
      </c>
    </row>
    <row r="13">
      <c r="A13" t="inlineStr">
        <is>
          <t>AWS Capacity Blocks</t>
        </is>
      </c>
      <c r="B13" t="inlineStr">
        <is>
          <t>H200 (p5en)</t>
        </is>
      </c>
      <c r="C13" s="3" t="n">
        <v>46112</v>
      </c>
      <c r="D13" s="3" t="n">
        <v>46127</v>
      </c>
      <c r="E13" s="4" t="n">
        <v>5.201</v>
      </c>
      <c r="F13" s="4" t="n">
        <v>5.721</v>
      </c>
      <c r="G13" s="5">
        <f>F13/E13-1</f>
        <v/>
      </c>
      <c r="H13" t="inlineStr"/>
      <c r="I13" t="inlineStr">
        <is>
          <t>https://web.archive.org/web/20260415185126/https://aws.amazon.com/ec2/capacityblocks/pricing/</t>
        </is>
      </c>
    </row>
    <row r="14">
      <c r="A14" t="inlineStr">
        <is>
          <t>AWS Capacity Blocks</t>
        </is>
      </c>
      <c r="B14" t="inlineStr">
        <is>
          <t>H200 (p5en)</t>
        </is>
      </c>
      <c r="C14" s="3" t="n">
        <v>46207</v>
      </c>
      <c r="D14" s="3" t="n">
        <v>46259</v>
      </c>
      <c r="E14" s="4" t="n">
        <v>5.721</v>
      </c>
      <c r="F14" s="4" t="n">
        <v>6.865</v>
      </c>
      <c r="G14" s="5">
        <f>F14/E14-1</f>
        <v/>
      </c>
      <c r="H14" t="inlineStr"/>
      <c r="I14" t="inlineStr">
        <is>
          <t>https://web.archive.org/web/20260825162005/https://aws.amazon.com/ec2/capacityblocks/pricing/</t>
        </is>
      </c>
    </row>
    <row r="15">
      <c r="A15" t="inlineStr">
        <is>
          <t>AWS on-demand</t>
        </is>
      </c>
      <c r="B15" t="inlineStr">
        <is>
          <t>A100 40GB</t>
        </is>
      </c>
      <c r="C15" s="3" t="n">
        <v>44137</v>
      </c>
      <c r="D15" s="3" t="n">
        <v>45809</v>
      </c>
      <c r="E15" s="4" t="n">
        <v>4.0963</v>
      </c>
      <c r="F15" s="4" t="n">
        <v>2.7447</v>
      </c>
      <c r="G15" s="5">
        <f>F15/E15-1</f>
        <v/>
      </c>
      <c r="H15" t="inlineStr"/>
      <c r="I15" t="inlineStr">
        <is>
          <t>/workspace/nebius/raw/aws_od_use1.json ; AWS blog (above)</t>
        </is>
      </c>
    </row>
    <row r="16">
      <c r="A16" t="inlineStr">
        <is>
          <t>AWS on-demand</t>
        </is>
      </c>
      <c r="B16" t="inlineStr">
        <is>
          <t>H100</t>
        </is>
      </c>
      <c r="C16" s="3" t="n">
        <v>45133</v>
      </c>
      <c r="D16" s="3" t="n">
        <v>45809</v>
      </c>
      <c r="E16" s="4" t="n">
        <v>12.29</v>
      </c>
      <c r="F16" s="4" t="n">
        <v>6.88</v>
      </c>
      <c r="G16" s="5">
        <f>F16/E16-1</f>
        <v/>
      </c>
      <c r="H16" t="inlineStr"/>
      <c r="I16" t="inlineStr">
        <is>
          <t>https://aws.amazon.com/blogs/aws/announcing-up-to-45-price-reduction-for-amazon-ec2-nvidia-gpu-accelerated-instances/ ; /workspace/nebius/raw/aws_od_use1.json</t>
        </is>
      </c>
    </row>
    <row r="17">
      <c r="A17" t="inlineStr">
        <is>
          <t>AWS on-demand</t>
        </is>
      </c>
      <c r="B17" t="inlineStr">
        <is>
          <t>H200</t>
        </is>
      </c>
      <c r="C17" s="3" t="n">
        <v>45808</v>
      </c>
      <c r="D17" s="3" t="n">
        <v>45809</v>
      </c>
      <c r="E17" s="4" t="n">
        <v>10.5493</v>
      </c>
      <c r="F17" s="4" t="n">
        <v>7.912</v>
      </c>
      <c r="G17" s="5">
        <f>F17/E17-1</f>
        <v/>
      </c>
      <c r="H17" t="inlineStr"/>
      <c r="I17" t="inlineStr">
        <is>
          <t>/workspace/nebius/raw/aws_od_use1.json</t>
        </is>
      </c>
    </row>
    <row r="18">
      <c r="A18" t="inlineStr">
        <is>
          <t>CoreWeave</t>
        </is>
      </c>
      <c r="B18" t="inlineStr">
        <is>
          <t>H100</t>
        </is>
      </c>
      <c r="C18" s="3" t="n">
        <v>45632</v>
      </c>
      <c r="D18" s="3" t="n">
        <v>45658</v>
      </c>
      <c r="E18" s="4" t="n">
        <v>4.76</v>
      </c>
      <c r="F18" s="4" t="n">
        <v>6.155</v>
      </c>
      <c r="G18" s="5">
        <f>F18/E18-1</f>
        <v/>
      </c>
      <c r="H18" t="inlineStr">
        <is>
          <t>BASIS CHANGE: legacy per-GPU component rate (excl. CPU/RAM) replaced by 8-GPU instance price. Not a price move.</t>
        </is>
      </c>
      <c r="I18" t="inlineStr">
        <is>
          <t>https://web.archive.org/web/20250101002525/https://www.coreweave.com/pricing</t>
        </is>
      </c>
    </row>
    <row r="19">
      <c r="A19" t="inlineStr">
        <is>
          <t>Lambda</t>
        </is>
      </c>
      <c r="B19" t="inlineStr">
        <is>
          <t>A100 40GB</t>
        </is>
      </c>
      <c r="C19" s="3" t="n">
        <v>45140</v>
      </c>
      <c r="D19" s="3" t="n">
        <v>45292</v>
      </c>
      <c r="E19" s="4" t="n">
        <v>1.1</v>
      </c>
      <c r="F19" s="4" t="n">
        <v>1.29</v>
      </c>
      <c r="G19" s="5">
        <f>F19/E19-1</f>
        <v/>
      </c>
      <c r="H19" t="inlineStr"/>
      <c r="I19" t="inlineStr">
        <is>
          <t>https://web.archive.org/web/20240101073433/https://lambdalabs.com/service/gpu-cloud</t>
        </is>
      </c>
    </row>
    <row r="20">
      <c r="A20" t="inlineStr">
        <is>
          <t>Lambda</t>
        </is>
      </c>
      <c r="B20" t="inlineStr">
        <is>
          <t>A100 40GB</t>
        </is>
      </c>
      <c r="C20" s="3" t="n">
        <v>46056</v>
      </c>
      <c r="D20" s="3" t="n">
        <v>46091</v>
      </c>
      <c r="E20" s="4" t="n">
        <v>1.29</v>
      </c>
      <c r="F20" s="4" t="n">
        <v>1.48</v>
      </c>
      <c r="G20" s="5">
        <f>F20/E20-1</f>
        <v/>
      </c>
      <c r="H20" t="inlineStr"/>
      <c r="I20" t="inlineStr">
        <is>
          <t>https://web.archive.org/web/20260310143253/https://lambda.ai/pricing</t>
        </is>
      </c>
    </row>
    <row r="21">
      <c r="A21" t="inlineStr">
        <is>
          <t>Lambda</t>
        </is>
      </c>
      <c r="B21" t="inlineStr">
        <is>
          <t>A100 40GB</t>
        </is>
      </c>
      <c r="C21" s="3" t="n">
        <v>46091</v>
      </c>
      <c r="D21" s="3" t="n">
        <v>46113</v>
      </c>
      <c r="E21" s="4" t="n">
        <v>1.48</v>
      </c>
      <c r="F21" s="4" t="n">
        <v>1.99</v>
      </c>
      <c r="G21" s="5">
        <f>F21/E21-1</f>
        <v/>
      </c>
      <c r="H21" t="inlineStr"/>
      <c r="I21" t="inlineStr">
        <is>
          <t>https://web.archive.org/web/20260401163040/https://lambda.ai/pricing</t>
        </is>
      </c>
    </row>
    <row r="22">
      <c r="A22" t="inlineStr">
        <is>
          <t>Lambda</t>
        </is>
      </c>
      <c r="B22" t="inlineStr">
        <is>
          <t>A100 80GB</t>
        </is>
      </c>
      <c r="C22" s="3" t="n">
        <v>45140</v>
      </c>
      <c r="D22" s="3" t="n">
        <v>45292</v>
      </c>
      <c r="E22" s="4" t="n">
        <v>1.5</v>
      </c>
      <c r="F22" s="4" t="n">
        <v>1.79</v>
      </c>
      <c r="G22" s="5">
        <f>F22/E22-1</f>
        <v/>
      </c>
      <c r="H22" t="inlineStr"/>
      <c r="I22" t="inlineStr">
        <is>
          <t>https://web.archive.org/web/20240101073433/https://lambdalabs.com/service/gpu-cloud</t>
        </is>
      </c>
    </row>
    <row r="23">
      <c r="A23" t="inlineStr">
        <is>
          <t>Lambda</t>
        </is>
      </c>
      <c r="B23" t="inlineStr">
        <is>
          <t>A100 80GB</t>
        </is>
      </c>
      <c r="C23" s="3" t="n">
        <v>46056</v>
      </c>
      <c r="D23" s="3" t="n">
        <v>46091</v>
      </c>
      <c r="E23" s="4" t="n">
        <v>1.79</v>
      </c>
      <c r="F23" s="4" t="n">
        <v>2.06</v>
      </c>
      <c r="G23" s="5">
        <f>F23/E23-1</f>
        <v/>
      </c>
      <c r="H23" t="inlineStr"/>
      <c r="I23" t="inlineStr">
        <is>
          <t>https://web.archive.org/web/20260310143253/https://lambda.ai/pricing</t>
        </is>
      </c>
    </row>
    <row r="24">
      <c r="A24" t="inlineStr">
        <is>
          <t>Lambda</t>
        </is>
      </c>
      <c r="B24" t="inlineStr">
        <is>
          <t>A100 80GB</t>
        </is>
      </c>
      <c r="C24" s="3" t="n">
        <v>46091</v>
      </c>
      <c r="D24" s="3" t="n">
        <v>46113</v>
      </c>
      <c r="E24" s="4" t="n">
        <v>2.06</v>
      </c>
      <c r="F24" s="4" t="n">
        <v>2.79</v>
      </c>
      <c r="G24" s="5">
        <f>F24/E24-1</f>
        <v/>
      </c>
      <c r="H24" t="inlineStr"/>
      <c r="I24" t="inlineStr">
        <is>
          <t>https://web.archive.org/web/20260401163040/https://lambda.ai/pricing</t>
        </is>
      </c>
    </row>
    <row r="25">
      <c r="A25" t="inlineStr">
        <is>
          <t>Lambda</t>
        </is>
      </c>
      <c r="B25" t="inlineStr">
        <is>
          <t>B200</t>
        </is>
      </c>
      <c r="C25" s="3" t="n">
        <v>46056</v>
      </c>
      <c r="D25" s="3" t="n">
        <v>46091</v>
      </c>
      <c r="E25" s="4" t="n">
        <v>4.99</v>
      </c>
      <c r="F25" s="4" t="n">
        <v>5.74</v>
      </c>
      <c r="G25" s="5">
        <f>F25/E25-1</f>
        <v/>
      </c>
      <c r="H25" t="inlineStr"/>
      <c r="I25" t="inlineStr">
        <is>
          <t>https://web.archive.org/web/20260310143253/https://lambda.ai/pricing</t>
        </is>
      </c>
    </row>
    <row r="26">
      <c r="A26" t="inlineStr">
        <is>
          <t>Lambda</t>
        </is>
      </c>
      <c r="B26" t="inlineStr">
        <is>
          <t>B200</t>
        </is>
      </c>
      <c r="C26" s="3" t="n">
        <v>46091</v>
      </c>
      <c r="D26" s="3" t="n">
        <v>46113</v>
      </c>
      <c r="E26" s="4" t="n">
        <v>5.74</v>
      </c>
      <c r="F26" s="4" t="n">
        <v>6.69</v>
      </c>
      <c r="G26" s="5">
        <f>F26/E26-1</f>
        <v/>
      </c>
      <c r="H26" t="inlineStr"/>
      <c r="I26" t="inlineStr">
        <is>
          <t>https://web.archive.org/web/20260401163040/https://lambda.ai/pricing</t>
        </is>
      </c>
    </row>
    <row r="27">
      <c r="A27" t="inlineStr">
        <is>
          <t>Lambda</t>
        </is>
      </c>
      <c r="B27" t="inlineStr">
        <is>
          <t>H100</t>
        </is>
      </c>
      <c r="C27" s="3" t="n">
        <v>45140</v>
      </c>
      <c r="D27" s="3" t="n">
        <v>45292</v>
      </c>
      <c r="E27" s="4" t="n">
        <v>2.59</v>
      </c>
      <c r="F27" s="4" t="n">
        <v>3.49</v>
      </c>
      <c r="G27" s="5">
        <f>F27/E27-1</f>
        <v/>
      </c>
      <c r="H27" t="inlineStr">
        <is>
          <t>Lambda page: "2024 Price (effective 1/1/2024)" vs "2023 Price". A price INCREASE.</t>
        </is>
      </c>
      <c r="I27" t="inlineStr">
        <is>
          <t>https://web.archive.org/web/20240101073433/https://lambdalabs.com/service/gpu-cloud</t>
        </is>
      </c>
    </row>
    <row r="28">
      <c r="A28" t="inlineStr">
        <is>
          <t>Lambda</t>
        </is>
      </c>
      <c r="B28" t="inlineStr">
        <is>
          <t>H100</t>
        </is>
      </c>
      <c r="C28" s="3" t="n">
        <v>45484</v>
      </c>
      <c r="D28" s="3" t="n">
        <v>45519</v>
      </c>
      <c r="E28" s="4" t="n">
        <v>3.49</v>
      </c>
      <c r="F28" s="4" t="n">
        <v>2.99</v>
      </c>
      <c r="G28" s="5">
        <f>F28/E28-1</f>
        <v/>
      </c>
      <c r="H28" t="inlineStr"/>
      <c r="I28" t="inlineStr">
        <is>
          <t>https://web.archive.org/web/20240815145430/https://lambdalabs.com/service/gpu-cloud</t>
        </is>
      </c>
    </row>
    <row r="29">
      <c r="A29" t="inlineStr">
        <is>
          <t>Lambda</t>
        </is>
      </c>
      <c r="B29" t="inlineStr">
        <is>
          <t>H100</t>
        </is>
      </c>
      <c r="C29" s="3" t="n">
        <v>46056</v>
      </c>
      <c r="D29" s="3" t="n">
        <v>46091</v>
      </c>
      <c r="E29" s="4" t="n">
        <v>2.99</v>
      </c>
      <c r="F29" s="4" t="n">
        <v>3.44</v>
      </c>
      <c r="G29" s="5">
        <f>F29/E29-1</f>
        <v/>
      </c>
      <c r="H29" t="inlineStr"/>
      <c r="I29" t="inlineStr">
        <is>
          <t>https://web.archive.org/web/20260310143253/https://lambda.ai/pricing</t>
        </is>
      </c>
    </row>
    <row r="30">
      <c r="A30" t="inlineStr">
        <is>
          <t>Lambda</t>
        </is>
      </c>
      <c r="B30" t="inlineStr">
        <is>
          <t>H100</t>
        </is>
      </c>
      <c r="C30" s="3" t="n">
        <v>46091</v>
      </c>
      <c r="D30" s="3" t="n">
        <v>46113</v>
      </c>
      <c r="E30" s="4" t="n">
        <v>3.44</v>
      </c>
      <c r="F30" s="4" t="n">
        <v>3.99</v>
      </c>
      <c r="G30" s="5">
        <f>F30/E30-1</f>
        <v/>
      </c>
      <c r="H30" t="inlineStr"/>
      <c r="I30" t="inlineStr">
        <is>
          <t>https://web.archive.org/web/20260401163040/https://lambda.ai/pricing</t>
        </is>
      </c>
    </row>
    <row r="31">
      <c r="A31" t="inlineStr">
        <is>
          <t>Nebius</t>
        </is>
      </c>
      <c r="B31" t="inlineStr">
        <is>
          <t>B200</t>
        </is>
      </c>
      <c r="C31" s="3" t="n">
        <v>46149</v>
      </c>
      <c r="D31" s="3" t="n">
        <v>46215</v>
      </c>
      <c r="E31" s="4" t="n">
        <v>5.5</v>
      </c>
      <c r="F31" s="4" t="n">
        <v>7.15</v>
      </c>
      <c r="G31" s="5">
        <f>F31/E31-1</f>
        <v/>
      </c>
      <c r="H31" t="inlineStr"/>
      <c r="I31" t="inlineStr">
        <is>
          <t>https://web.archive.org/web/20260712235400/https://nebius.com/prices</t>
        </is>
      </c>
    </row>
    <row r="32">
      <c r="A32" t="inlineStr">
        <is>
          <t>Nebius</t>
        </is>
      </c>
      <c r="B32" t="inlineStr">
        <is>
          <t>B200</t>
        </is>
      </c>
      <c r="C32" s="3" t="n">
        <v>46296</v>
      </c>
      <c r="D32" s="3" t="n">
        <v>46296</v>
      </c>
      <c r="E32" s="4" t="n">
        <v>7.15</v>
      </c>
      <c r="F32" s="4" t="n">
        <v>8.5</v>
      </c>
      <c r="G32" s="5">
        <f>F32/E32-1</f>
        <v/>
      </c>
      <c r="H32" t="inlineStr"/>
      <c r="I32" t="inlineStr">
        <is>
          <t>https://web.archive.org/web/20261001030509/https://nebius.com/prices</t>
        </is>
      </c>
    </row>
    <row r="33">
      <c r="A33" t="inlineStr">
        <is>
          <t>Nebius</t>
        </is>
      </c>
      <c r="B33" t="inlineStr">
        <is>
          <t>B300</t>
        </is>
      </c>
      <c r="C33" s="3" t="n">
        <v>46149</v>
      </c>
      <c r="D33" s="3" t="n">
        <v>46215</v>
      </c>
      <c r="E33" s="4" t="n">
        <v>6.1</v>
      </c>
      <c r="F33" s="4" t="n">
        <v>7.85</v>
      </c>
      <c r="G33" s="5">
        <f>F33/E33-1</f>
        <v/>
      </c>
      <c r="H33" t="inlineStr"/>
      <c r="I33" t="inlineStr">
        <is>
          <t>https://web.archive.org/web/20260712235400/https://nebius.com/prices</t>
        </is>
      </c>
    </row>
    <row r="34">
      <c r="A34" t="inlineStr">
        <is>
          <t>Nebius</t>
        </is>
      </c>
      <c r="B34" t="inlineStr">
        <is>
          <t>B300</t>
        </is>
      </c>
      <c r="C34" s="3" t="n">
        <v>46296</v>
      </c>
      <c r="D34" s="3" t="n">
        <v>46296</v>
      </c>
      <c r="E34" s="4" t="n">
        <v>7.85</v>
      </c>
      <c r="F34" s="4" t="n">
        <v>9.5</v>
      </c>
      <c r="G34" s="5">
        <f>F34/E34-1</f>
        <v/>
      </c>
      <c r="H34" t="inlineStr"/>
      <c r="I34" t="inlineStr">
        <is>
          <t>https://web.archive.org/web/20261001030509/https://nebius.com/prices</t>
        </is>
      </c>
    </row>
    <row r="35">
      <c r="A35" t="inlineStr">
        <is>
          <t>Nebius</t>
        </is>
      </c>
      <c r="B35" t="inlineStr">
        <is>
          <t>H100</t>
        </is>
      </c>
      <c r="C35" s="3" t="n">
        <v>45509</v>
      </c>
      <c r="D35" s="3" t="n">
        <v>45542</v>
      </c>
      <c r="E35" s="4" t="n">
        <v>4.85</v>
      </c>
      <c r="F35" s="4" t="n">
        <v>3.5</v>
      </c>
      <c r="G35" s="5">
        <f>F35/E35-1</f>
        <v/>
      </c>
      <c r="H35" t="inlineStr"/>
      <c r="I35" t="inlineStr">
        <is>
          <t>https://web.archive.org/web/20240907074221/https://nebius.ai/prices</t>
        </is>
      </c>
    </row>
    <row r="36">
      <c r="A36" t="inlineStr">
        <is>
          <t>Nebius</t>
        </is>
      </c>
      <c r="B36" t="inlineStr">
        <is>
          <t>H100</t>
        </is>
      </c>
      <c r="C36" s="3" t="n">
        <v>45542</v>
      </c>
      <c r="D36" s="3" t="n">
        <v>45611</v>
      </c>
      <c r="E36" s="4" t="n">
        <v>3.5</v>
      </c>
      <c r="F36" s="4" t="n">
        <v>2.95</v>
      </c>
      <c r="G36" s="5">
        <f>F36/E36-1</f>
        <v/>
      </c>
      <c r="H36" t="inlineStr"/>
      <c r="I36" t="inlineStr">
        <is>
          <t>https://web.archive.org/web/20241115043809/https://nebius.com/prices</t>
        </is>
      </c>
    </row>
    <row r="37">
      <c r="A37" t="inlineStr">
        <is>
          <t>Nebius</t>
        </is>
      </c>
      <c r="B37" t="inlineStr">
        <is>
          <t>H100</t>
        </is>
      </c>
      <c r="C37" s="3" t="n">
        <v>46149</v>
      </c>
      <c r="D37" s="3" t="n">
        <v>46215</v>
      </c>
      <c r="E37" s="4" t="n">
        <v>2.95</v>
      </c>
      <c r="F37" s="4" t="n">
        <v>3.85</v>
      </c>
      <c r="G37" s="5">
        <f>F37/E37-1</f>
        <v/>
      </c>
      <c r="H37" t="inlineStr">
        <is>
          <t>Effective 2026-06-01 per Nebius customer notice ($2.95 to $3.85, +30.5%): https://knowyourinvestments.substack.com/p/nebius-watch-gpu-rent-price-hikes</t>
        </is>
      </c>
      <c r="I37" t="inlineStr">
        <is>
          <t>https://web.archive.org/web/20260712235400/https://nebius.com/prices</t>
        </is>
      </c>
    </row>
    <row r="38">
      <c r="A38" t="inlineStr">
        <is>
          <t>Nebius</t>
        </is>
      </c>
      <c r="B38" t="inlineStr">
        <is>
          <t>H100</t>
        </is>
      </c>
      <c r="C38" s="3" t="n">
        <v>46296</v>
      </c>
      <c r="D38" s="3" t="n">
        <v>46296</v>
      </c>
      <c r="E38" s="4" t="n">
        <v>3.85</v>
      </c>
      <c r="F38" s="4" t="n">
        <v>4.5</v>
      </c>
      <c r="G38" s="5">
        <f>F38/E38-1</f>
        <v/>
      </c>
      <c r="H38" t="inlineStr">
        <is>
          <t>Effective 2026-10-01 (17-21% hikes): https://www.reuters.com/technology/nebius-hikes-ai-cloud-prices-again-demand-computing-power-soars-2026-09-17/</t>
        </is>
      </c>
      <c r="I38" t="inlineStr">
        <is>
          <t>https://web.archive.org/web/20261001030509/https://nebius.com/prices</t>
        </is>
      </c>
    </row>
    <row r="39">
      <c r="A39" t="inlineStr">
        <is>
          <t>Nebius</t>
        </is>
      </c>
      <c r="B39" t="inlineStr">
        <is>
          <t>H200</t>
        </is>
      </c>
      <c r="C39" s="3" t="n">
        <v>45571</v>
      </c>
      <c r="D39" s="3" t="n">
        <v>45611</v>
      </c>
      <c r="E39" s="4" t="n">
        <v>4.85</v>
      </c>
      <c r="F39" s="4" t="n">
        <v>3.5</v>
      </c>
      <c r="G39" s="5">
        <f>F39/E39-1</f>
        <v/>
      </c>
      <c r="H39" t="inlineStr"/>
      <c r="I39" t="inlineStr">
        <is>
          <t>https://web.archive.org/web/20241115043809/https://nebius.com/prices</t>
        </is>
      </c>
    </row>
    <row r="40">
      <c r="A40" t="inlineStr">
        <is>
          <t>Nebius</t>
        </is>
      </c>
      <c r="B40" t="inlineStr">
        <is>
          <t>H200</t>
        </is>
      </c>
      <c r="C40" s="3" t="n">
        <v>46149</v>
      </c>
      <c r="D40" s="3" t="n">
        <v>46215</v>
      </c>
      <c r="E40" s="4" t="n">
        <v>3.5</v>
      </c>
      <c r="F40" s="4" t="n">
        <v>4.5</v>
      </c>
      <c r="G40" s="5">
        <f>F40/E40-1</f>
        <v/>
      </c>
      <c r="H40" t="inlineStr"/>
      <c r="I40" t="inlineStr">
        <is>
          <t>https://web.archive.org/web/20260712235400/https://nebius.com/prices</t>
        </is>
      </c>
    </row>
    <row r="41">
      <c r="A41" t="inlineStr">
        <is>
          <t>Nebius</t>
        </is>
      </c>
      <c r="B41" t="inlineStr">
        <is>
          <t>H200</t>
        </is>
      </c>
      <c r="C41" s="3" t="n">
        <v>46296</v>
      </c>
      <c r="D41" s="3" t="n">
        <v>46296</v>
      </c>
      <c r="E41" s="4" t="n">
        <v>4.5</v>
      </c>
      <c r="F41" s="4" t="n">
        <v>5.4</v>
      </c>
      <c r="G41" s="5">
        <f>F41/E41-1</f>
        <v/>
      </c>
      <c r="H41" t="inlineStr"/>
      <c r="I41" t="inlineStr">
        <is>
          <t>https://web.archive.org/web/20261001030509/https://nebius.com/prices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3" customWidth="1" min="4" max="4"/>
    <col width="60" customWidth="1" min="5" max="5"/>
    <col width="14" customWidth="1" min="6" max="6"/>
    <col width="12" customWidth="1" min="7" max="7"/>
    <col width="12" customWidth="1" min="8" max="8"/>
    <col width="14" customWidth="1" min="9" max="9"/>
    <col width="80" customWidth="1" min="10" max="10"/>
  </cols>
  <sheetData>
    <row r="1">
      <c r="A1" s="2" t="inlineStr">
        <is>
          <t>chip</t>
        </is>
      </c>
      <c r="B1" s="2" t="inlineStr">
        <is>
          <t>provider</t>
        </is>
      </c>
      <c r="C1" s="2" t="inlineStr">
        <is>
          <t>type</t>
        </is>
      </c>
      <c r="D1" s="2" t="inlineStr">
        <is>
          <t>first availability date</t>
        </is>
      </c>
      <c r="E1" s="2" t="inlineStr">
        <is>
          <t>event</t>
        </is>
      </c>
      <c r="F1" s="2" t="inlineStr">
        <is>
          <t>tag</t>
        </is>
      </c>
      <c r="G1" s="2" t="inlineStr">
        <is>
          <t>months after first neocloud (Derived)</t>
        </is>
      </c>
      <c r="H1" s="2" t="inlineStr">
        <is>
          <t>months after first hyperscaler (Derived)</t>
        </is>
      </c>
      <c r="I1" s="2" t="inlineStr">
        <is>
          <t>Nebius lag vs this provider, months (+ = Nebius later)</t>
        </is>
      </c>
      <c r="J1" s="2" t="inlineStr">
        <is>
          <t>source</t>
        </is>
      </c>
    </row>
    <row r="2">
      <c r="A2" t="inlineStr">
        <is>
          <t>H100</t>
        </is>
      </c>
      <c r="B2" t="inlineStr">
        <is>
          <t>CoreWeave</t>
        </is>
      </c>
      <c r="C2" t="inlineStr">
        <is>
          <t>Neocloud</t>
        </is>
      </c>
      <c r="D2" s="3" t="n">
        <v>45006</v>
      </c>
      <c r="E2" t="inlineStr">
        <is>
          <t>HGX H100 GA announced (PCIe instances from Jan 2023)</t>
        </is>
      </c>
      <c r="F2" t="inlineStr">
        <is>
          <t>Reported</t>
        </is>
      </c>
      <c r="G2" s="6">
        <f>(D2-_xlfn.MINIFS($D$2:$D$7,$C$2:$C$7,"Neocloud"))/30.44</f>
        <v/>
      </c>
      <c r="H2" s="6">
        <f>(D2-_xlfn.MINIFS($D$2:$D$7,$C$2:$C$7,"Hyperscaler"))/30.44</f>
        <v/>
      </c>
      <c r="I2" s="6">
        <f>($D$7-D2)/30.44</f>
        <v/>
      </c>
      <c r="J2" t="inlineStr">
        <is>
          <t>https://www.businesswire.com/news/home/20230321005245/en</t>
        </is>
      </c>
    </row>
    <row r="3">
      <c r="A3" t="inlineStr">
        <is>
          <t>H100</t>
        </is>
      </c>
      <c r="B3" t="inlineStr">
        <is>
          <t>Lambda</t>
        </is>
      </c>
      <c r="C3" t="inlineStr">
        <is>
          <t>Neocloud</t>
        </is>
      </c>
      <c r="D3" s="3" t="n">
        <v>45056</v>
      </c>
      <c r="E3" t="inlineStr">
        <is>
          <t>On-demand H100 PCIe deployed (8x HGX on-demand 2023-08-02)</t>
        </is>
      </c>
      <c r="F3" t="inlineStr">
        <is>
          <t>Reported</t>
        </is>
      </c>
      <c r="G3" s="6">
        <f>(D3-_xlfn.MINIFS($D$2:$D$7,$C$2:$C$7,"Neocloud"))/30.44</f>
        <v/>
      </c>
      <c r="H3" s="6">
        <f>(D3-_xlfn.MINIFS($D$2:$D$7,$C$2:$C$7,"Hyperscaler"))/30.44</f>
        <v/>
      </c>
      <c r="I3" s="6">
        <f>($D$7-D3)/30.44</f>
        <v/>
      </c>
      <c r="J3" t="inlineStr">
        <is>
          <t>https://lambda.ai/blog/lambda-cloud-deploys-nvidia-h100-tensor-core-gpus</t>
        </is>
      </c>
    </row>
    <row r="4">
      <c r="A4" t="inlineStr">
        <is>
          <t>H100</t>
        </is>
      </c>
      <c r="B4" t="inlineStr">
        <is>
          <t>AWS</t>
        </is>
      </c>
      <c r="C4" t="inlineStr">
        <is>
          <t>Hyperscaler</t>
        </is>
      </c>
      <c r="D4" s="3" t="n">
        <v>45133</v>
      </c>
      <c r="E4" t="inlineStr">
        <is>
          <t>EC2 P5 GA</t>
        </is>
      </c>
      <c r="F4" t="inlineStr">
        <is>
          <t>Reported</t>
        </is>
      </c>
      <c r="G4" s="6">
        <f>(D4-_xlfn.MINIFS($D$2:$D$7,$C$2:$C$7,"Neocloud"))/30.44</f>
        <v/>
      </c>
      <c r="H4" s="6">
        <f>(D4-_xlfn.MINIFS($D$2:$D$7,$C$2:$C$7,"Hyperscaler"))/30.44</f>
        <v/>
      </c>
      <c r="I4" s="6">
        <f>($D$7-D4)/30.44</f>
        <v/>
      </c>
      <c r="J4" t="inlineStr">
        <is>
          <t>https://aws.amazon.com/about-aws/whats-new/2023/07/amazon-ec2-p5-instances-generative-ai-hpc-generally-available/</t>
        </is>
      </c>
    </row>
    <row r="5">
      <c r="A5" t="inlineStr">
        <is>
          <t>H100</t>
        </is>
      </c>
      <c r="B5" t="inlineStr">
        <is>
          <t>Azure</t>
        </is>
      </c>
      <c r="C5" t="inlineStr">
        <is>
          <t>Hyperscaler</t>
        </is>
      </c>
      <c r="D5" s="3" t="n">
        <v>45145</v>
      </c>
      <c r="E5" t="inlineStr">
        <is>
          <t>ND H100 v5 GA</t>
        </is>
      </c>
      <c r="F5" t="inlineStr">
        <is>
          <t>Reported</t>
        </is>
      </c>
      <c r="G5" s="6">
        <f>(D5-_xlfn.MINIFS($D$2:$D$7,$C$2:$C$7,"Neocloud"))/30.44</f>
        <v/>
      </c>
      <c r="H5" s="6">
        <f>(D5-_xlfn.MINIFS($D$2:$D$7,$C$2:$C$7,"Hyperscaler"))/30.44</f>
        <v/>
      </c>
      <c r="I5" s="6">
        <f>($D$7-D5)/30.44</f>
        <v/>
      </c>
      <c r="J5" t="inlineStr">
        <is>
          <t>https://azure.microsoft.com/en-us/blog/scale-generative-ai-with-new-azure-ai-infrastructure-advancements-and-availability/</t>
        </is>
      </c>
    </row>
    <row r="6">
      <c r="A6" t="inlineStr">
        <is>
          <t>H100</t>
        </is>
      </c>
      <c r="B6" t="inlineStr">
        <is>
          <t>GCP</t>
        </is>
      </c>
      <c r="C6" t="inlineStr">
        <is>
          <t>Hyperscaler</t>
        </is>
      </c>
      <c r="D6" s="3" t="n">
        <v>45184</v>
      </c>
      <c r="E6" t="inlineStr">
        <is>
          <t>A3 GA in "next month" per 2023-08-29 post (exact day not stated; mid-Sep placeholder)</t>
        </is>
      </c>
      <c r="F6" t="inlineStr">
        <is>
          <t>Estimated</t>
        </is>
      </c>
      <c r="G6" s="6">
        <f>(D6-_xlfn.MINIFS($D$2:$D$7,$C$2:$C$7,"Neocloud"))/30.44</f>
        <v/>
      </c>
      <c r="H6" s="6">
        <f>(D6-_xlfn.MINIFS($D$2:$D$7,$C$2:$C$7,"Hyperscaler"))/30.44</f>
        <v/>
      </c>
      <c r="I6" s="6">
        <f>($D$7-D6)/30.44</f>
        <v/>
      </c>
      <c r="J6" t="inlineStr">
        <is>
          <t>https://cloud.google.com/blog/products/compute/announcing-cloud-tpu-v5e-and-a3-gpus-in-ga</t>
        </is>
      </c>
    </row>
    <row r="7">
      <c r="A7" t="inlineStr">
        <is>
          <t>H100</t>
        </is>
      </c>
      <c r="B7" t="inlineStr">
        <is>
          <t>Nebius</t>
        </is>
      </c>
      <c r="C7" t="inlineStr">
        <is>
          <t>Neocloud</t>
        </is>
      </c>
      <c r="D7" s="3" t="n">
        <v>45231</v>
      </c>
      <c r="E7" t="inlineStr">
        <is>
          <t>Nebius AI public early access, H100 SXM5 in Finland (launch announced 2023-10-05)</t>
        </is>
      </c>
      <c r="F7" t="inlineStr">
        <is>
          <t>Reported</t>
        </is>
      </c>
      <c r="G7" s="6">
        <f>(D7-_xlfn.MINIFS($D$2:$D$7,$C$2:$C$7,"Neocloud"))/30.44</f>
        <v/>
      </c>
      <c r="H7" s="6">
        <f>(D7-_xlfn.MINIFS($D$2:$D$7,$C$2:$C$7,"Hyperscaler"))/30.44</f>
        <v/>
      </c>
      <c r="I7" s="6">
        <f>($D$7-D7)/30.44</f>
        <v/>
      </c>
      <c r="J7" t="inlineStr">
        <is>
          <t>https://nebius.com/blog/posts/early-access-unlocked</t>
        </is>
      </c>
    </row>
    <row r="8">
      <c r="D8" s="3" t="n"/>
      <c r="G8" s="6" t="n"/>
      <c r="H8" s="6" t="n"/>
      <c r="I8" s="6" t="n"/>
    </row>
    <row r="9">
      <c r="A9" t="inlineStr">
        <is>
          <t>H200</t>
        </is>
      </c>
      <c r="B9" t="inlineStr">
        <is>
          <t>CoreWeave</t>
        </is>
      </c>
      <c r="C9" t="inlineStr">
        <is>
          <t>Neocloud</t>
        </is>
      </c>
      <c r="D9" s="3" t="n">
        <v>45532</v>
      </c>
      <c r="E9" t="inlineStr">
        <is>
          <t>"First to market" with H200</t>
        </is>
      </c>
      <c r="F9" t="inlineStr">
        <is>
          <t>Reported</t>
        </is>
      </c>
      <c r="G9" s="6">
        <f>(D9-_xlfn.MINIFS($D$9:$D$14,$C$9:$C$14,"Neocloud"))/30.44</f>
        <v/>
      </c>
      <c r="H9" s="6">
        <f>(D9-_xlfn.MINIFS($D$9:$D$14,$C$9:$C$14,"Hyperscaler"))/30.44</f>
        <v/>
      </c>
      <c r="I9" s="6">
        <f>($D$12-D9)/30.44</f>
        <v/>
      </c>
      <c r="J9" t="inlineStr">
        <is>
          <t>https://investors.coreweave.com/news/news-details/2024/CoreWeave-First-to-Market-with-NVIDIA-H200-Tensor-Core-GPUs-Ushering-in-a-New-Era-of-AI-Infrastructure-Performance/default.aspx</t>
        </is>
      </c>
    </row>
    <row r="10">
      <c r="A10" t="inlineStr">
        <is>
          <t>H200</t>
        </is>
      </c>
      <c r="B10" t="inlineStr">
        <is>
          <t>AWS</t>
        </is>
      </c>
      <c r="C10" t="inlineStr">
        <is>
          <t>Hyperscaler</t>
        </is>
      </c>
      <c r="D10" s="3" t="n">
        <v>45544</v>
      </c>
      <c r="E10" t="inlineStr">
        <is>
          <t>EC2 P5e GA</t>
        </is>
      </c>
      <c r="F10" t="inlineStr">
        <is>
          <t>Reported</t>
        </is>
      </c>
      <c r="G10" s="6">
        <f>(D10-_xlfn.MINIFS($D$9:$D$14,$C$9:$C$14,"Neocloud"))/30.44</f>
        <v/>
      </c>
      <c r="H10" s="6">
        <f>(D10-_xlfn.MINIFS($D$9:$D$14,$C$9:$C$14,"Hyperscaler"))/30.44</f>
        <v/>
      </c>
      <c r="I10" s="6">
        <f>($D$12-D10)/30.44</f>
        <v/>
      </c>
      <c r="J10" t="inlineStr">
        <is>
          <t>https://aws.amazon.com/blogs/machine-learning/amazon-ec2-p5e-instances-are-generally-available/</t>
        </is>
      </c>
    </row>
    <row r="11">
      <c r="A11" t="inlineStr">
        <is>
          <t>H200</t>
        </is>
      </c>
      <c r="B11" t="inlineStr">
        <is>
          <t>Azure</t>
        </is>
      </c>
      <c r="C11" t="inlineStr">
        <is>
          <t>Hyperscaler</t>
        </is>
      </c>
      <c r="D11" s="3" t="n">
        <v>45567</v>
      </c>
      <c r="E11" t="inlineStr">
        <is>
          <t>ND H200 v5 GA</t>
        </is>
      </c>
      <c r="F11" t="inlineStr">
        <is>
          <t>Reported</t>
        </is>
      </c>
      <c r="G11" s="6">
        <f>(D11-_xlfn.MINIFS($D$9:$D$14,$C$9:$C$14,"Neocloud"))/30.44</f>
        <v/>
      </c>
      <c r="H11" s="6">
        <f>(D11-_xlfn.MINIFS($D$9:$D$14,$C$9:$C$14,"Hyperscaler"))/30.44</f>
        <v/>
      </c>
      <c r="I11" s="6">
        <f>($D$12-D11)/30.44</f>
        <v/>
      </c>
      <c r="J11" t="inlineStr">
        <is>
          <t>https://azure.microsoft.com/en-us/blog/microsoft-launches-latest-azure-virtual-machines-optimized-for-ai-supercomputing-the-nd-h200-v5-series/</t>
        </is>
      </c>
    </row>
    <row r="12">
      <c r="A12" t="inlineStr">
        <is>
          <t>H200</t>
        </is>
      </c>
      <c r="B12" t="inlineStr">
        <is>
          <t>Nebius</t>
        </is>
      </c>
      <c r="C12" t="inlineStr">
        <is>
          <t>Neocloud</t>
        </is>
      </c>
      <c r="D12" s="3" t="n">
        <v>45611</v>
      </c>
      <c r="E12" t="inlineStr">
        <is>
          <t>Pricing page: H200 "will be available in November 2024" (first Wayback capture 2024-11-15)</t>
        </is>
      </c>
      <c r="F12" t="inlineStr">
        <is>
          <t>Reported</t>
        </is>
      </c>
      <c r="G12" s="6">
        <f>(D12-_xlfn.MINIFS($D$9:$D$14,$C$9:$C$14,"Neocloud"))/30.44</f>
        <v/>
      </c>
      <c r="H12" s="6">
        <f>(D12-_xlfn.MINIFS($D$9:$D$14,$C$9:$C$14,"Hyperscaler"))/30.44</f>
        <v/>
      </c>
      <c r="I12" s="6">
        <f>($D$12-D12)/30.44</f>
        <v/>
      </c>
      <c r="J12" t="inlineStr">
        <is>
          <t>https://web.archive.org/web/20241115043809/https://nebius.com/prices</t>
        </is>
      </c>
    </row>
    <row r="13">
      <c r="A13" t="inlineStr">
        <is>
          <t>H200</t>
        </is>
      </c>
      <c r="B13" t="inlineStr">
        <is>
          <t>AWS (P5en)</t>
        </is>
      </c>
      <c r="C13" t="inlineStr">
        <is>
          <t>Hyperscaler</t>
        </is>
      </c>
      <c r="D13" s="3" t="n">
        <v>45629</v>
      </c>
      <c r="E13" t="inlineStr">
        <is>
          <t>EC2 P5en GA</t>
        </is>
      </c>
      <c r="F13" t="inlineStr">
        <is>
          <t>Reported</t>
        </is>
      </c>
      <c r="G13" s="6">
        <f>(D13-_xlfn.MINIFS($D$9:$D$14,$C$9:$C$14,"Neocloud"))/30.44</f>
        <v/>
      </c>
      <c r="H13" s="6">
        <f>(D13-_xlfn.MINIFS($D$9:$D$14,$C$9:$C$14,"Hyperscaler"))/30.44</f>
        <v/>
      </c>
      <c r="I13" s="6">
        <f>($D$12-D13)/30.44</f>
        <v/>
      </c>
      <c r="J13" t="inlineStr">
        <is>
          <t>https://aws.amazon.com/blogs/aws/new-amazon-ec2-p5en-instances-with-nvidia-h200-tensor-core-gpus-and-efav3-networking/</t>
        </is>
      </c>
    </row>
    <row r="14">
      <c r="A14" t="inlineStr">
        <is>
          <t>H200</t>
        </is>
      </c>
      <c r="B14" t="inlineStr">
        <is>
          <t>GCP</t>
        </is>
      </c>
      <c r="C14" t="inlineStr">
        <is>
          <t>Hyperscaler</t>
        </is>
      </c>
      <c r="D14" s="3" t="n">
        <v>45657</v>
      </c>
      <c r="E14" t="inlineStr">
        <is>
          <t>A3 Ultra GA "to close out 2024" (exact day not stated; year-end bound)</t>
        </is>
      </c>
      <c r="F14" t="inlineStr">
        <is>
          <t>Estimated</t>
        </is>
      </c>
      <c r="G14" s="6">
        <f>(D14-_xlfn.MINIFS($D$9:$D$14,$C$9:$C$14,"Neocloud"))/30.44</f>
        <v/>
      </c>
      <c r="H14" s="6">
        <f>(D14-_xlfn.MINIFS($D$9:$D$14,$C$9:$C$14,"Hyperscaler"))/30.44</f>
        <v/>
      </c>
      <c r="I14" s="6">
        <f>($D$12-D14)/30.44</f>
        <v/>
      </c>
      <c r="J14" t="inlineStr">
        <is>
          <t>https://cloud.google.com/blog/products/compute/a3-ultra-with-nvidia-h200-gpus-are-ga-on-ai-hypercomputer</t>
        </is>
      </c>
    </row>
    <row r="15">
      <c r="D15" s="3" t="n"/>
      <c r="G15" s="6" t="n"/>
      <c r="H15" s="6" t="n"/>
      <c r="I15" s="6" t="n"/>
    </row>
    <row r="16">
      <c r="A16" t="inlineStr">
        <is>
          <t>GB200</t>
        </is>
      </c>
      <c r="B16" t="inlineStr">
        <is>
          <t>CoreWeave</t>
        </is>
      </c>
      <c r="C16" t="inlineStr">
        <is>
          <t>Neocloud</t>
        </is>
      </c>
      <c r="D16" s="3" t="n">
        <v>45692</v>
      </c>
      <c r="E16" t="inlineStr">
        <is>
          <t>First cloud GA of GB200 NVL72</t>
        </is>
      </c>
      <c r="F16" t="inlineStr">
        <is>
          <t>Reported</t>
        </is>
      </c>
      <c r="G16" s="6">
        <f>(D16-_xlfn.MINIFS($D$16:$D$20,$C$16:$C$20,"Neocloud"))/30.44</f>
        <v/>
      </c>
      <c r="H16" s="6">
        <f>(D16-_xlfn.MINIFS($D$16:$D$20,$C$16:$C$20,"Hyperscaler"))/30.44</f>
        <v/>
      </c>
      <c r="I16" s="6">
        <f>($D$19-D16)/30.44</f>
        <v/>
      </c>
      <c r="J16" t="inlineStr">
        <is>
          <t>https://www.prnewswire.com/news-releases/coreweave-first-cloud-provider-to-announce-general-availability-of-nvidia-gb200-nvl72-instances-302367298.html</t>
        </is>
      </c>
    </row>
    <row r="17">
      <c r="A17" t="inlineStr">
        <is>
          <t>GB200</t>
        </is>
      </c>
      <c r="B17" t="inlineStr">
        <is>
          <t>Azure</t>
        </is>
      </c>
      <c r="C17" t="inlineStr">
        <is>
          <t>Hyperscaler</t>
        </is>
      </c>
      <c r="D17" s="3" t="n">
        <v>45734</v>
      </c>
      <c r="E17" t="inlineStr">
        <is>
          <t>ND GB200 v6 GA</t>
        </is>
      </c>
      <c r="F17" t="inlineStr">
        <is>
          <t>Reported</t>
        </is>
      </c>
      <c r="G17" s="6">
        <f>(D17-_xlfn.MINIFS($D$16:$D$20,$C$16:$C$20,"Neocloud"))/30.44</f>
        <v/>
      </c>
      <c r="H17" s="6">
        <f>(D17-_xlfn.MINIFS($D$16:$D$20,$C$16:$C$20,"Hyperscaler"))/30.44</f>
        <v/>
      </c>
      <c r="I17" s="6">
        <f>($D$19-D17)/30.44</f>
        <v/>
      </c>
      <c r="J17" t="inlineStr">
        <is>
          <t>https://azurelook.com/azure-update/accelerating-the-intelligence-age-with-azure-ai-infrastructure-and-the-ga-of-nd-gb200-v6/</t>
        </is>
      </c>
    </row>
    <row r="18">
      <c r="A18" t="inlineStr">
        <is>
          <t>GB200</t>
        </is>
      </c>
      <c r="B18" t="inlineStr">
        <is>
          <t>GCP</t>
        </is>
      </c>
      <c r="C18" t="inlineStr">
        <is>
          <t>Hyperscaler</t>
        </is>
      </c>
      <c r="D18" s="3" t="n">
        <v>45806</v>
      </c>
      <c r="E18" t="inlineStr">
        <is>
          <t>A4X GA (preview Feb 2025) - date from search summary, verify</t>
        </is>
      </c>
      <c r="F18" t="inlineStr">
        <is>
          <t>Reported (medium)</t>
        </is>
      </c>
      <c r="G18" s="6">
        <f>(D18-_xlfn.MINIFS($D$16:$D$20,$C$16:$C$20,"Neocloud"))/30.44</f>
        <v/>
      </c>
      <c r="H18" s="6">
        <f>(D18-_xlfn.MINIFS($D$16:$D$20,$C$16:$C$20,"Hyperscaler"))/30.44</f>
        <v/>
      </c>
      <c r="I18" s="6">
        <f>($D$19-D18)/30.44</f>
        <v/>
      </c>
      <c r="J18" t="inlineStr">
        <is>
          <t>https://cloud.google.com/blog/products/compute/new-a4x-vms-powered-by-nvidia-gb200-gpus</t>
        </is>
      </c>
    </row>
    <row r="19">
      <c r="A19" t="inlineStr">
        <is>
          <t>GB200</t>
        </is>
      </c>
      <c r="B19" t="inlineStr">
        <is>
          <t>Nebius</t>
        </is>
      </c>
      <c r="C19" t="inlineStr">
        <is>
          <t>Neocloud</t>
        </is>
      </c>
      <c r="D19" s="3" t="n">
        <v>45819</v>
      </c>
      <c r="E19" t="inlineStr">
        <is>
          <t>First Blackwell (GB200 NVL72) GA in Europe</t>
        </is>
      </c>
      <c r="F19" t="inlineStr">
        <is>
          <t>Reported</t>
        </is>
      </c>
      <c r="G19" s="6">
        <f>(D19-_xlfn.MINIFS($D$16:$D$20,$C$16:$C$20,"Neocloud"))/30.44</f>
        <v/>
      </c>
      <c r="H19" s="6">
        <f>(D19-_xlfn.MINIFS($D$16:$D$20,$C$16:$C$20,"Hyperscaler"))/30.44</f>
        <v/>
      </c>
      <c r="I19" s="6">
        <f>($D$19-D19)/30.44</f>
        <v/>
      </c>
      <c r="J19" t="inlineStr">
        <is>
          <t>https://nebius.com/newsroom/nebius-delivers-first-nvidia-blackwell-general-availability-in-europe-brings-nvidia-ai-enterprise-to-nebius-ai-cloud</t>
        </is>
      </c>
    </row>
    <row r="20">
      <c r="A20" t="inlineStr">
        <is>
          <t>GB200</t>
        </is>
      </c>
      <c r="B20" t="inlineStr">
        <is>
          <t>AWS</t>
        </is>
      </c>
      <c r="C20" t="inlineStr">
        <is>
          <t>Hyperscaler</t>
        </is>
      </c>
      <c r="D20" s="3" t="n">
        <v>45847</v>
      </c>
      <c r="E20" t="inlineStr">
        <is>
          <t>P6e-GB200 UltraServers GA (Capacity Blocks, Dallas LZ)</t>
        </is>
      </c>
      <c r="F20" t="inlineStr">
        <is>
          <t>Reported</t>
        </is>
      </c>
      <c r="G20" s="6">
        <f>(D20-_xlfn.MINIFS($D$16:$D$20,$C$16:$C$20,"Neocloud"))/30.44</f>
        <v/>
      </c>
      <c r="H20" s="6">
        <f>(D20-_xlfn.MINIFS($D$16:$D$20,$C$16:$C$20,"Hyperscaler"))/30.44</f>
        <v/>
      </c>
      <c r="I20" s="6">
        <f>($D$19-D20)/30.44</f>
        <v/>
      </c>
      <c r="J20" t="inlineStr">
        <is>
          <t>https://aws.amazon.com/about-aws/whats-new/2025/07/amazon-p6e-gb200-ultraservers-gpu-performance-ec2/</t>
        </is>
      </c>
    </row>
    <row r="21">
      <c r="D21" s="3" t="n"/>
      <c r="G21" s="6" t="n"/>
      <c r="H21" s="6" t="n"/>
      <c r="I21" s="6" t="n"/>
    </row>
    <row r="22">
      <c r="A22" t="inlineStr">
        <is>
          <t>B200</t>
        </is>
      </c>
      <c r="B22" t="inlineStr">
        <is>
          <t>Lambda</t>
        </is>
      </c>
      <c r="C22" t="inlineStr">
        <is>
          <t>Neocloud</t>
        </is>
      </c>
      <c r="D22" s="3" t="n">
        <v>45734</v>
      </c>
      <c r="E22" t="inlineStr">
        <is>
          <t>HGX B200 multi-node clusters GA on demand</t>
        </is>
      </c>
      <c r="F22" t="inlineStr">
        <is>
          <t>Reported</t>
        </is>
      </c>
      <c r="G22" s="6">
        <f>(D22-_xlfn.MINIFS($D$22:$D$26,$C$22:$C$26,"Neocloud"))/30.44</f>
        <v/>
      </c>
      <c r="H22" s="6">
        <f>(D22-_xlfn.MINIFS($D$22:$D$26,$C$22:$C$26,"Hyperscaler"))/30.44</f>
        <v/>
      </c>
      <c r="I22" s="6">
        <f>($D$26-D22)/30.44</f>
        <v/>
      </c>
      <c r="J22" t="inlineStr">
        <is>
          <t>https://www.businesswire.com/news/home/20250318150707/en/Lambda-Announces-General-Availability-of-Multi-Node-NVIDIA-HGX-B200-Accelerated-Clusters-On-Demand</t>
        </is>
      </c>
    </row>
    <row r="23">
      <c r="A23" t="inlineStr">
        <is>
          <t>B200</t>
        </is>
      </c>
      <c r="B23" t="inlineStr">
        <is>
          <t>GCP</t>
        </is>
      </c>
      <c r="C23" t="inlineStr">
        <is>
          <t>Hyperscaler</t>
        </is>
      </c>
      <c r="D23" s="3" t="n">
        <v>45734</v>
      </c>
      <c r="E23" t="inlineStr">
        <is>
          <t>A4 (B200) GA (per GTC 2025 post)</t>
        </is>
      </c>
      <c r="F23" t="inlineStr">
        <is>
          <t>Reported (medium)</t>
        </is>
      </c>
      <c r="G23" s="6">
        <f>(D23-_xlfn.MINIFS($D$22:$D$26,$C$22:$C$26,"Neocloud"))/30.44</f>
        <v/>
      </c>
      <c r="H23" s="6">
        <f>(D23-_xlfn.MINIFS($D$22:$D$26,$C$22:$C$26,"Hyperscaler"))/30.44</f>
        <v/>
      </c>
      <c r="I23" s="6">
        <f>($D$26-D23)/30.44</f>
        <v/>
      </c>
      <c r="J23" t="inlineStr">
        <is>
          <t>https://cloud.google.com/blog/products/compute/google-cloud-goes-to-nvidia-gtc</t>
        </is>
      </c>
    </row>
    <row r="24">
      <c r="A24" t="inlineStr">
        <is>
          <t>B200</t>
        </is>
      </c>
      <c r="B24" t="inlineStr">
        <is>
          <t>AWS</t>
        </is>
      </c>
      <c r="C24" t="inlineStr">
        <is>
          <t>Hyperscaler</t>
        </is>
      </c>
      <c r="D24" s="3" t="n">
        <v>45792</v>
      </c>
      <c r="E24" t="inlineStr">
        <is>
          <t>EC2 P6-B200 GA (Capacity Blocks, us-west-2)</t>
        </is>
      </c>
      <c r="F24" t="inlineStr">
        <is>
          <t>Reported</t>
        </is>
      </c>
      <c r="G24" s="6">
        <f>(D24-_xlfn.MINIFS($D$22:$D$26,$C$22:$C$26,"Neocloud"))/30.44</f>
        <v/>
      </c>
      <c r="H24" s="6">
        <f>(D24-_xlfn.MINIFS($D$22:$D$26,$C$22:$C$26,"Hyperscaler"))/30.44</f>
        <v/>
      </c>
      <c r="I24" s="6">
        <f>($D$26-D24)/30.44</f>
        <v/>
      </c>
      <c r="J24" t="inlineStr">
        <is>
          <t>https://aws.amazon.com/about-aws/whats-new/2025/05/amazon-ec2-p6-b200-instances-nvidia-b200-gpus/</t>
        </is>
      </c>
    </row>
    <row r="25">
      <c r="A25" t="inlineStr">
        <is>
          <t>B200</t>
        </is>
      </c>
      <c r="B25" t="inlineStr">
        <is>
          <t>CoreWeave</t>
        </is>
      </c>
      <c r="C25" t="inlineStr">
        <is>
          <t>Neocloud</t>
        </is>
      </c>
      <c r="D25" s="3" t="n">
        <v>45806</v>
      </c>
      <c r="E25" t="inlineStr">
        <is>
          <t>HGX B200 instances GA</t>
        </is>
      </c>
      <c r="F25" t="inlineStr">
        <is>
          <t>Reported (medium)</t>
        </is>
      </c>
      <c r="G25" s="6">
        <f>(D25-_xlfn.MINIFS($D$22:$D$26,$C$22:$C$26,"Neocloud"))/30.44</f>
        <v/>
      </c>
      <c r="H25" s="6">
        <f>(D25-_xlfn.MINIFS($D$22:$D$26,$C$22:$C$26,"Hyperscaler"))/30.44</f>
        <v/>
      </c>
      <c r="I25" s="6">
        <f>($D$26-D25)/30.44</f>
        <v/>
      </c>
      <c r="J25" t="inlineStr">
        <is>
          <t>https://docs.coreweave.com/changelog/release-notes/b200-instances</t>
        </is>
      </c>
    </row>
    <row r="26">
      <c r="A26" t="inlineStr">
        <is>
          <t>B200</t>
        </is>
      </c>
      <c r="B26" t="inlineStr">
        <is>
          <t>Nebius</t>
        </is>
      </c>
      <c r="C26" t="inlineStr">
        <is>
          <t>Neocloud</t>
        </is>
      </c>
      <c r="D26" s="3" t="n">
        <v>45819</v>
      </c>
      <c r="E26" t="inlineStr">
        <is>
          <t>B200 on-demand announced with GB200 GA (self-service B200: 2025-08-12; first on price page 2025-07-25)</t>
        </is>
      </c>
      <c r="F26" t="inlineStr">
        <is>
          <t>Reported</t>
        </is>
      </c>
      <c r="G26" s="6">
        <f>(D26-_xlfn.MINIFS($D$22:$D$26,$C$22:$C$26,"Neocloud"))/30.44</f>
        <v/>
      </c>
      <c r="H26" s="6">
        <f>(D26-_xlfn.MINIFS($D$22:$D$26,$C$22:$C$26,"Hyperscaler"))/30.44</f>
        <v/>
      </c>
      <c r="I26" s="6">
        <f>($D$26-D26)/30.44</f>
        <v/>
      </c>
      <c r="J26" t="inlineStr">
        <is>
          <t>https://nebius.com/newsroom/nebius-delivers-first-nvidia-blackwell-general-availability-in-europe-brings-nvidia-ai-enterprise-to-nebius-ai-cloud</t>
        </is>
      </c>
    </row>
    <row r="27">
      <c r="D27" s="3" t="n"/>
      <c r="G27" s="6" t="n"/>
      <c r="H27" s="6" t="n"/>
      <c r="I27" s="6" t="n"/>
    </row>
    <row r="29">
      <c r="A29" t="inlineStr">
        <is>
          <t>Read: Nebius row in col G = months behind the first neocloud; col H = months vs first hyperscaler (positive = after). Dates are public GA or on-demand announcements, not first-customer or scale dates. Reconcile with the GPU Market time-to-deploy table when it lands in /workspace/nebius/market/.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1" customWidth="1" min="4" max="4"/>
    <col width="10" customWidth="1" min="5" max="5"/>
    <col width="11" customWidth="1" min="6" max="6"/>
    <col width="10" customWidth="1" min="7" max="7"/>
    <col width="12" customWidth="1" min="8" max="8"/>
    <col width="12" customWidth="1" min="9" max="9"/>
    <col width="11" customWidth="1" min="10" max="10"/>
    <col width="9" customWidth="1" min="11" max="11"/>
    <col width="11" customWidth="1" min="12" max="12"/>
    <col width="10" customWidth="1" min="13" max="13"/>
    <col width="90" customWidth="1" min="14" max="14"/>
  </cols>
  <sheetData>
    <row r="1">
      <c r="A1" t="inlineStr">
        <is>
          <t>Premium decay vs. own steady state. Steady state = trough posted price before the 2026 shortage repricing (captures through 2025-12-31). Half-life = months from first capture until price &lt;= trough + 50% of the launch gap. Bounded by capture dates.</t>
        </is>
      </c>
    </row>
    <row r="2">
      <c r="A2" s="2" t="inlineStr">
        <is>
          <t>provider</t>
        </is>
      </c>
      <c r="B2" s="2" t="inlineStr">
        <is>
          <t>chip</t>
        </is>
      </c>
      <c r="C2" s="2" t="inlineStr">
        <is>
          <t>launch/first price</t>
        </is>
      </c>
      <c r="D2" s="2" t="inlineStr">
        <is>
          <t>first date</t>
        </is>
      </c>
      <c r="E2" s="2" t="inlineStr">
        <is>
          <t>trough (pre-2026)</t>
        </is>
      </c>
      <c r="F2" s="2" t="inlineStr">
        <is>
          <t>trough date</t>
        </is>
      </c>
      <c r="G2" s="2" t="inlineStr">
        <is>
          <t>half-gap threshold</t>
        </is>
      </c>
      <c r="H2" s="2" t="inlineStr">
        <is>
          <t>first capture &lt;= threshold</t>
        </is>
      </c>
      <c r="I2" s="2" t="inlineStr">
        <is>
          <t>half-life, months (Derived)</t>
        </is>
      </c>
      <c r="J2" s="2" t="inlineStr">
        <is>
          <t>launch premium vs trough</t>
        </is>
      </c>
      <c r="K2" s="2" t="inlineStr">
        <is>
          <t>latest price</t>
        </is>
      </c>
      <c r="L2" s="2" t="inlineStr">
        <is>
          <t>latest date</t>
        </is>
      </c>
      <c r="M2" s="2" t="inlineStr">
        <is>
          <t>latest vs trough</t>
        </is>
      </c>
      <c r="N2" s="2" t="inlineStr">
        <is>
          <t>note / source</t>
        </is>
      </c>
    </row>
    <row r="3">
      <c r="A3" t="inlineStr">
        <is>
          <t>Nebius</t>
        </is>
      </c>
      <c r="B3" t="inlineStr">
        <is>
          <t>H100</t>
        </is>
      </c>
      <c r="C3" s="4" t="n">
        <v>4.85</v>
      </c>
      <c r="D3" s="3" t="n">
        <v>45231</v>
      </c>
      <c r="E3" s="4" t="n">
        <v>2.95</v>
      </c>
      <c r="F3" s="3" t="n">
        <v>45611</v>
      </c>
      <c r="G3" s="4">
        <f>IF(AND(ISNUMBER(C3),ISNUMBER(E3)),E3+0.5*(C3-E3),"n/a")</f>
        <v/>
      </c>
      <c r="H3" s="3" t="n">
        <v>45542</v>
      </c>
      <c r="I3" s="6">
        <f>IF(ISNUMBER(H3),(H3-D3)/30.44,IF(AND(ISNUMBER(C3),ISNUMBER(E3)),IF(C3&lt;=E3,"no premium / no decay","not reached"),"n/a"))</f>
        <v/>
      </c>
      <c r="J3" s="7">
        <f>IF(AND(ISNUMBER(C3),ISNUMBER(E3)),C3/E3-1,"n/a")</f>
        <v/>
      </c>
      <c r="K3" s="4" t="n">
        <v>4.5</v>
      </c>
      <c r="L3" s="3" t="n">
        <v>46296</v>
      </c>
      <c r="M3" s="7">
        <f>IF(AND(ISNUMBER(K3),ISNUMBER(E3)),K3/E3-1,"n/a")</f>
        <v/>
      </c>
      <c r="N3" t="inlineStr">
        <is>
          <t>Last capture above threshold 2024-08-05 ($4.85). Wayback nebius.ai/prices and nebius.com/prices.</t>
        </is>
      </c>
    </row>
    <row r="4">
      <c r="A4" t="inlineStr">
        <is>
          <t>Lambda (8x HGX)</t>
        </is>
      </c>
      <c r="B4" t="inlineStr">
        <is>
          <t>H100</t>
        </is>
      </c>
      <c r="C4" s="4" t="n">
        <v>2.59</v>
      </c>
      <c r="D4" s="3" t="n">
        <v>45140</v>
      </c>
      <c r="E4" s="4" t="n">
        <v>2.99</v>
      </c>
      <c r="F4" s="3" t="n">
        <v>45519</v>
      </c>
      <c r="G4" s="4">
        <f>IF(AND(ISNUMBER(C4),ISNUMBER(E4)),E4+0.5*(C4-E4),"n/a")</f>
        <v/>
      </c>
      <c r="H4" s="3" t="n"/>
      <c r="I4" s="6">
        <f>IF(ISNUMBER(H4),(H4-D4)/30.44,IF(AND(ISNUMBER(C4),ISNUMBER(E4)),IF(C4&lt;=E4,"no premium / no decay","not reached"),"n/a"))</f>
        <v/>
      </c>
      <c r="J4" s="7">
        <f>IF(AND(ISNUMBER(C4),ISNUMBER(E4)),C4/E4-1,"n/a")</f>
        <v/>
      </c>
      <c r="K4" s="4" t="n">
        <v>3.99</v>
      </c>
      <c r="L4" s="3" t="n">
        <v>46296</v>
      </c>
      <c r="M4" s="7">
        <f>IF(AND(ISNUMBER(K4),ISNUMBER(E4)),K4/E4-1,"n/a")</f>
        <v/>
      </c>
      <c r="N4" t="inlineStr">
        <is>
          <t>Launch price was BELOW later steady state; Lambda raised to $3.49 on 2024-01-01. No launch premium to decay.</t>
        </is>
      </c>
    </row>
    <row r="5">
      <c r="A5" t="inlineStr">
        <is>
          <t>AWS on-demand (P5)</t>
        </is>
      </c>
      <c r="B5" t="inlineStr">
        <is>
          <t>H100</t>
        </is>
      </c>
      <c r="C5" s="4" t="n">
        <v>12.29</v>
      </c>
      <c r="D5" s="3" t="n">
        <v>45133</v>
      </c>
      <c r="E5" s="4" t="n">
        <v>6.88</v>
      </c>
      <c r="F5" s="3" t="n">
        <v>45809</v>
      </c>
      <c r="G5" s="4">
        <f>IF(AND(ISNUMBER(C5),ISNUMBER(E5)),E5+0.5*(C5-E5),"n/a")</f>
        <v/>
      </c>
      <c r="H5" s="3" t="n">
        <v>45809</v>
      </c>
      <c r="I5" s="6">
        <f>IF(ISNUMBER(H5),(H5-D5)/30.44,IF(AND(ISNUMBER(C5),ISNUMBER(E5)),IF(C5&lt;=E5,"no premium / no decay","not reached"),"n/a"))</f>
        <v/>
      </c>
      <c r="J5" s="7">
        <f>IF(AND(ISNUMBER(C5),ISNUMBER(E5)),C5/E5-1,"n/a")</f>
        <v/>
      </c>
      <c r="K5" s="4" t="n">
        <v>6.88</v>
      </c>
      <c r="L5" s="3" t="n">
        <v>46299</v>
      </c>
      <c r="M5" s="7">
        <f>IF(AND(ISNUMBER(K5),ISNUMBER(E5)),K5/E5-1,"n/a")</f>
        <v/>
      </c>
      <c r="N5" t="inlineStr">
        <is>
          <t>One-time 44% step cut after ~22 months, not a gradual decay. AWS blog plus price-list JSON.</t>
        </is>
      </c>
    </row>
    <row r="6">
      <c r="A6" t="inlineStr">
        <is>
          <t>AWS Capacity Blocks (p5)</t>
        </is>
      </c>
      <c r="B6" t="inlineStr">
        <is>
          <t>H100</t>
        </is>
      </c>
      <c r="C6" s="4" t="n">
        <v>4.916</v>
      </c>
      <c r="D6" s="3" t="n">
        <v>45379</v>
      </c>
      <c r="E6" s="4" t="n">
        <v>3.933</v>
      </c>
      <c r="F6" s="3" t="n">
        <v>45724</v>
      </c>
      <c r="G6" s="4">
        <f>IF(AND(ISNUMBER(C6),ISNUMBER(E6)),E6+0.5*(C6-E6),"n/a")</f>
        <v/>
      </c>
      <c r="H6" s="3" t="n">
        <v>45724</v>
      </c>
      <c r="I6" s="6">
        <f>IF(ISNUMBER(H6),(H6-D6)/30.44,IF(AND(ISNUMBER(C6),ISNUMBER(E6)),IF(C6&lt;=E6,"no premium / no decay","not reached"),"n/a"))</f>
        <v/>
      </c>
      <c r="J6" s="7">
        <f>IF(AND(ISNUMBER(C6),ISNUMBER(E6)),C6/E6-1,"n/a")</f>
        <v/>
      </c>
      <c r="K6" s="4" t="n">
        <v>5.191</v>
      </c>
      <c r="L6" s="3" t="n">
        <v>46296</v>
      </c>
      <c r="M6" s="7">
        <f>IF(AND(ISNUMBER(K6),ISNUMBER(E6)),K6/E6-1,"n/a")</f>
        <v/>
      </c>
      <c r="N6" t="inlineStr">
        <is>
          <t>First capture 2024-03-28 (CB launch earlier, not captured). -20% step.</t>
        </is>
      </c>
    </row>
    <row r="7">
      <c r="A7" t="inlineStr">
        <is>
          <t>CCIR panel median</t>
        </is>
      </c>
      <c r="B7" t="inlineStr">
        <is>
          <t>H100</t>
        </is>
      </c>
      <c r="C7" s="4" t="n">
        <v>3.5</v>
      </c>
      <c r="D7" s="3" t="n">
        <v>45184</v>
      </c>
      <c r="E7" s="4" t="n"/>
      <c r="F7" s="3" t="n"/>
      <c r="G7" s="4">
        <f>IF(AND(ISNUMBER(C7),ISNUMBER(E7)),E7+0.5*(C7-E7),"n/a")</f>
        <v/>
      </c>
      <c r="H7" s="3" t="n"/>
      <c r="I7" s="6">
        <f>IF(ISNUMBER(H7),(H7-D7)/30.44,IF(AND(ISNUMBER(C7),ISNUMBER(E7)),IF(C7&lt;=E7,"no premium / no decay","not reached"),"n/a"))</f>
        <v/>
      </c>
      <c r="J7" s="7">
        <f>IF(AND(ISNUMBER(C7),ISNUMBER(E7)),C7/E7-1,"n/a")</f>
        <v/>
      </c>
      <c r="K7" s="4" t="n">
        <v>3.64</v>
      </c>
      <c r="L7" s="3" t="n">
        <v>46127</v>
      </c>
      <c r="M7" s="7">
        <f>IF(AND(ISNUMBER(K7),ISNUMBER(E7)),K7/E7-1,"n/a")</f>
        <v/>
      </c>
      <c r="N7" t="inlineStr">
        <is>
          <t>Panel median ends the window higher than it started (CCIR). Trough not published.</t>
        </is>
      </c>
    </row>
    <row r="8">
      <c r="A8" t="inlineStr">
        <is>
          <t>Nebius</t>
        </is>
      </c>
      <c r="B8" t="inlineStr">
        <is>
          <t>H200</t>
        </is>
      </c>
      <c r="C8" s="4" t="n">
        <v>4.85</v>
      </c>
      <c r="D8" s="3" t="n">
        <v>45571</v>
      </c>
      <c r="E8" s="4" t="n">
        <v>3.5</v>
      </c>
      <c r="F8" s="3" t="n">
        <v>45611</v>
      </c>
      <c r="G8" s="4">
        <f>IF(AND(ISNUMBER(C8),ISNUMBER(E8)),E8+0.5*(C8-E8),"n/a")</f>
        <v/>
      </c>
      <c r="H8" s="3" t="n">
        <v>45611</v>
      </c>
      <c r="I8" s="6">
        <f>IF(ISNUMBER(H8),(H8-D8)/30.44,IF(AND(ISNUMBER(C8),ISNUMBER(E8)),IF(C8&lt;=E8,"no premium / no decay","not reached"),"n/a"))</f>
        <v/>
      </c>
      <c r="J8" s="7">
        <f>IF(AND(ISNUMBER(C8),ISNUMBER(E8)),C8/E8-1,"n/a")</f>
        <v/>
      </c>
      <c r="K8" s="4" t="n">
        <v>5.4</v>
      </c>
      <c r="L8" s="3" t="n">
        <v>46296</v>
      </c>
      <c r="M8" s="7">
        <f>IF(AND(ISNUMBER(K8),ISNUMBER(E8)),K8/E8-1,"n/a")</f>
        <v/>
      </c>
      <c r="N8" t="inlineStr">
        <is>
          <t>Pre-GA list $4.85 (2024-10-06 capture) cut to $3.50 by GA (2024-11-15 capture) - premium gone within ~1.3 months, before availability; then flat until 2026 increases.</t>
        </is>
      </c>
    </row>
    <row r="9">
      <c r="A9" t="inlineStr">
        <is>
          <t>AWS Capacity Blocks (p5e)</t>
        </is>
      </c>
      <c r="B9" t="inlineStr">
        <is>
          <t>H200</t>
        </is>
      </c>
      <c r="C9" s="4" t="n">
        <v>5.408</v>
      </c>
      <c r="D9" s="3" t="n">
        <v>45566</v>
      </c>
      <c r="E9" s="4" t="n">
        <v>4.326</v>
      </c>
      <c r="F9" s="3" t="n">
        <v>45724</v>
      </c>
      <c r="G9" s="4">
        <f>IF(AND(ISNUMBER(C9),ISNUMBER(E9)),E9+0.5*(C9-E9),"n/a")</f>
        <v/>
      </c>
      <c r="H9" s="3" t="n">
        <v>45724</v>
      </c>
      <c r="I9" s="6">
        <f>IF(ISNUMBER(H9),(H9-D9)/30.44,IF(AND(ISNUMBER(C9),ISNUMBER(E9)),IF(C9&lt;=E9,"no premium / no decay","not reached"),"n/a"))</f>
        <v/>
      </c>
      <c r="J9" s="7">
        <f>IF(AND(ISNUMBER(C9),ISNUMBER(E9)),C9/E9-1,"n/a")</f>
        <v/>
      </c>
      <c r="K9" s="4" t="n">
        <v>5.97</v>
      </c>
      <c r="L9" s="3" t="n">
        <v>46296</v>
      </c>
      <c r="M9" s="7">
        <f>IF(AND(ISNUMBER(K9),ISNUMBER(E9)),K9/E9-1,"n/a")</f>
        <v/>
      </c>
      <c r="N9" t="inlineStr">
        <is>
          <t>-20% step about 5 months after launch.</t>
        </is>
      </c>
    </row>
    <row r="10">
      <c r="A10" t="inlineStr">
        <is>
          <t>AWS on-demand (P5en)</t>
        </is>
      </c>
      <c r="B10" t="inlineStr">
        <is>
          <t>H200</t>
        </is>
      </c>
      <c r="C10" s="4" t="n">
        <v>10.551</v>
      </c>
      <c r="D10" s="3" t="n">
        <v>45629</v>
      </c>
      <c r="E10" s="4" t="n">
        <v>7.912</v>
      </c>
      <c r="F10" s="3" t="n">
        <v>45809</v>
      </c>
      <c r="G10" s="4">
        <f>IF(AND(ISNUMBER(C10),ISNUMBER(E10)),E10+0.5*(C10-E10),"n/a")</f>
        <v/>
      </c>
      <c r="H10" s="3" t="n">
        <v>45809</v>
      </c>
      <c r="I10" s="6">
        <f>IF(ISNUMBER(H10),(H10-D10)/30.44,IF(AND(ISNUMBER(C10),ISNUMBER(E10)),IF(C10&lt;=E10,"no premium / no decay","not reached"),"n/a"))</f>
        <v/>
      </c>
      <c r="J10" s="7">
        <f>IF(AND(ISNUMBER(C10),ISNUMBER(E10)),C10/E10-1,"n/a")</f>
        <v/>
      </c>
      <c r="K10" s="4" t="n">
        <v>7.912</v>
      </c>
      <c r="L10" s="3" t="n">
        <v>46299</v>
      </c>
      <c r="M10" s="7">
        <f>IF(AND(ISNUMBER(K10),ISNUMBER(E10)),K10/E10-1,"n/a")</f>
        <v/>
      </c>
      <c r="N10" t="inlineStr">
        <is>
          <t>Pre-cut price Derived = post-cut / 0.75. -25% step after ~6 months.</t>
        </is>
      </c>
    </row>
    <row r="11">
      <c r="A11" t="inlineStr">
        <is>
          <t>Nebius</t>
        </is>
      </c>
      <c r="B11" t="inlineStr">
        <is>
          <t>B200</t>
        </is>
      </c>
      <c r="C11" s="4" t="n">
        <v>5.5</v>
      </c>
      <c r="D11" s="3" t="n">
        <v>45863</v>
      </c>
      <c r="E11" s="4" t="n">
        <v>5.5</v>
      </c>
      <c r="F11" s="3" t="n">
        <v>45863</v>
      </c>
      <c r="G11" s="4">
        <f>IF(AND(ISNUMBER(C11),ISNUMBER(E11)),E11+0.5*(C11-E11),"n/a")</f>
        <v/>
      </c>
      <c r="H11" s="3" t="n"/>
      <c r="I11" s="6">
        <f>IF(ISNUMBER(H11),(H11-D11)/30.44,IF(AND(ISNUMBER(C11),ISNUMBER(E11)),IF(C11&lt;=E11,"no premium / no decay","not reached"),"n/a"))</f>
        <v/>
      </c>
      <c r="J11" s="7">
        <f>IF(AND(ISNUMBER(C11),ISNUMBER(E11)),C11/E11-1,"n/a")</f>
        <v/>
      </c>
      <c r="K11" s="4" t="n">
        <v>8.5</v>
      </c>
      <c r="L11" s="3" t="n">
        <v>46296</v>
      </c>
      <c r="M11" s="7">
        <f>IF(AND(ISNUMBER(K11),ISNUMBER(E11)),K11/E11-1,"n/a")</f>
        <v/>
      </c>
      <c r="N11" t="inlineStr">
        <is>
          <t>No decay before 2026; +55% since.</t>
        </is>
      </c>
    </row>
    <row r="12">
      <c r="A12" t="inlineStr">
        <is>
          <t>Lambda (8x)</t>
        </is>
      </c>
      <c r="B12" t="inlineStr">
        <is>
          <t>B200</t>
        </is>
      </c>
      <c r="C12" s="4" t="n">
        <v>4.99</v>
      </c>
      <c r="D12" s="3" t="n">
        <v>45911</v>
      </c>
      <c r="E12" s="4" t="n">
        <v>4.99</v>
      </c>
      <c r="F12" s="3" t="n">
        <v>45911</v>
      </c>
      <c r="G12" s="4">
        <f>IF(AND(ISNUMBER(C12),ISNUMBER(E12)),E12+0.5*(C12-E12),"n/a")</f>
        <v/>
      </c>
      <c r="H12" s="3" t="n"/>
      <c r="I12" s="6">
        <f>IF(ISNUMBER(H12),(H12-D12)/30.44,IF(AND(ISNUMBER(C12),ISNUMBER(E12)),IF(C12&lt;=E12,"no premium / no decay","not reached"),"n/a"))</f>
        <v/>
      </c>
      <c r="J12" s="7">
        <f>IF(AND(ISNUMBER(C12),ISNUMBER(E12)),C12/E12-1,"n/a")</f>
        <v/>
      </c>
      <c r="K12" s="4" t="n">
        <v>6.69</v>
      </c>
      <c r="L12" s="3" t="n">
        <v>46296</v>
      </c>
      <c r="M12" s="7">
        <f>IF(AND(ISNUMBER(K12),ISNUMBER(E12)),K12/E12-1,"n/a")</f>
        <v/>
      </c>
      <c r="N12" t="inlineStr">
        <is>
          <t>No decay; +34% since.</t>
        </is>
      </c>
    </row>
    <row r="13">
      <c r="A13" t="inlineStr">
        <is>
          <t>CoreWeave</t>
        </is>
      </c>
      <c r="B13" t="inlineStr">
        <is>
          <t>B200</t>
        </is>
      </c>
      <c r="C13" s="4" t="n">
        <v>8.6</v>
      </c>
      <c r="D13" s="3" t="n">
        <v>45817</v>
      </c>
      <c r="E13" s="4" t="n">
        <v>8.6</v>
      </c>
      <c r="F13" s="3" t="n">
        <v>45817</v>
      </c>
      <c r="G13" s="4">
        <f>IF(AND(ISNUMBER(C13),ISNUMBER(E13)),E13+0.5*(C13-E13),"n/a")</f>
        <v/>
      </c>
      <c r="H13" s="3" t="n"/>
      <c r="I13" s="6">
        <f>IF(ISNUMBER(H13),(H13-D13)/30.44,IF(AND(ISNUMBER(C13),ISNUMBER(E13)),IF(C13&lt;=E13,"no premium / no decay","not reached"),"n/a"))</f>
        <v/>
      </c>
      <c r="J13" s="7">
        <f>IF(AND(ISNUMBER(C13),ISNUMBER(E13)),C13/E13-1,"n/a")</f>
        <v/>
      </c>
      <c r="K13" s="4" t="n">
        <v>8.6</v>
      </c>
      <c r="L13" s="3" t="n">
        <v>46296</v>
      </c>
      <c r="M13" s="7">
        <f>IF(AND(ISNUMBER(K13),ISNUMBER(E13)),K13/E13-1,"n/a")</f>
        <v/>
      </c>
      <c r="N13" t="inlineStr">
        <is>
          <t>Sticky list (CRWV says the July-26 ~25% increase hit contracts, not the rate card).</t>
        </is>
      </c>
    </row>
    <row r="14">
      <c r="A14" t="inlineStr">
        <is>
          <t>AWS Capacity Blocks</t>
        </is>
      </c>
      <c r="B14" t="inlineStr">
        <is>
          <t>B200</t>
        </is>
      </c>
      <c r="C14" s="4" t="n">
        <v>8.140000000000001</v>
      </c>
      <c r="D14" s="3" t="n">
        <v>45799</v>
      </c>
      <c r="E14" s="4" t="n">
        <v>8.140000000000001</v>
      </c>
      <c r="F14" s="3" t="n">
        <v>45799</v>
      </c>
      <c r="G14" s="4">
        <f>IF(AND(ISNUMBER(C14),ISNUMBER(E14)),E14+0.5*(C14-E14),"n/a")</f>
        <v/>
      </c>
      <c r="H14" s="3" t="n"/>
      <c r="I14" s="6">
        <f>IF(ISNUMBER(H14),(H14-D14)/30.44,IF(AND(ISNUMBER(C14),ISNUMBER(E14)),IF(C14&lt;=E14,"no premium / no decay","not reached"),"n/a"))</f>
        <v/>
      </c>
      <c r="J14" s="7">
        <f>IF(AND(ISNUMBER(C14),ISNUMBER(E14)),C14/E14-1,"n/a")</f>
        <v/>
      </c>
      <c r="K14" s="4" t="n">
        <v>12.355</v>
      </c>
      <c r="L14" s="3" t="n">
        <v>46296</v>
      </c>
      <c r="M14" s="7">
        <f>IF(AND(ISNUMBER(K14),ISNUMBER(E14)),K14/E14-1,"n/a")</f>
        <v/>
      </c>
      <c r="N14" t="inlineStr">
        <is>
          <t>Rising: $8.14, then $9.36 (Oct-25), $10.30 (Apr-26), $12.36 (Aug-26).</t>
        </is>
      </c>
    </row>
    <row r="15">
      <c r="A15" t="inlineStr">
        <is>
          <t>CoreWeave</t>
        </is>
      </c>
      <c r="B15" t="inlineStr">
        <is>
          <t>GB200 NVL72</t>
        </is>
      </c>
      <c r="C15" s="4" t="n">
        <v>10.5</v>
      </c>
      <c r="D15" s="3" t="n">
        <v>45697</v>
      </c>
      <c r="E15" s="4" t="n">
        <v>10.5</v>
      </c>
      <c r="F15" s="3" t="n">
        <v>45697</v>
      </c>
      <c r="G15" s="4">
        <f>IF(AND(ISNUMBER(C15),ISNUMBER(E15)),E15+0.5*(C15-E15),"n/a")</f>
        <v/>
      </c>
      <c r="H15" s="3" t="n"/>
      <c r="I15" s="6">
        <f>IF(ISNUMBER(H15),(H15-D15)/30.44,IF(AND(ISNUMBER(C15),ISNUMBER(E15)),IF(C15&lt;=E15,"no premium / no decay","not reached"),"n/a"))</f>
        <v/>
      </c>
      <c r="J15" s="7">
        <f>IF(AND(ISNUMBER(C15),ISNUMBER(E15)),C15/E15-1,"n/a")</f>
        <v/>
      </c>
      <c r="K15" s="4" t="n">
        <v>10.5</v>
      </c>
      <c r="L15" s="3" t="n">
        <v>46296</v>
      </c>
      <c r="M15" s="7">
        <f>IF(AND(ISNUMBER(K15),ISNUMBER(E15)),K15/E15-1,"n/a")</f>
        <v/>
      </c>
      <c r="N15" t="inlineStr">
        <is>
          <t>Flat.</t>
        </is>
      </c>
    </row>
    <row r="16">
      <c r="A16" t="inlineStr">
        <is>
          <t>AWS Capacity Blocks</t>
        </is>
      </c>
      <c r="B16" t="inlineStr">
        <is>
          <t>GB200 NVL72</t>
        </is>
      </c>
      <c r="C16" s="4" t="n">
        <v>10.582</v>
      </c>
      <c r="D16" s="3" t="n">
        <v>45874</v>
      </c>
      <c r="E16" s="4" t="n">
        <v>10.582</v>
      </c>
      <c r="F16" s="3" t="n">
        <v>45874</v>
      </c>
      <c r="G16" s="4">
        <f>IF(AND(ISNUMBER(C16),ISNUMBER(E16)),E16+0.5*(C16-E16),"n/a")</f>
        <v/>
      </c>
      <c r="H16" s="3" t="n"/>
      <c r="I16" s="6">
        <f>IF(ISNUMBER(H16),(H16-D16)/30.44,IF(AND(ISNUMBER(C16),ISNUMBER(E16)),IF(C16&lt;=E16,"no premium / no decay","not reached"),"n/a"))</f>
        <v/>
      </c>
      <c r="J16" s="7">
        <f>IF(AND(ISNUMBER(C16),ISNUMBER(E16)),C16/E16-1,"n/a")</f>
        <v/>
      </c>
      <c r="K16" s="4" t="n">
        <v>10.582</v>
      </c>
      <c r="L16" s="3" t="n">
        <v>46296</v>
      </c>
      <c r="M16" s="7">
        <f>IF(AND(ISNUMBER(K16),ISNUMBER(E16)),K16/E16-1,"n/a")</f>
        <v/>
      </c>
      <c r="N16" t="inlineStr">
        <is>
          <t>Flat.</t>
        </is>
      </c>
    </row>
    <row r="17">
      <c r="A17" t="inlineStr">
        <is>
          <t>Nebius</t>
        </is>
      </c>
      <c r="B17" t="inlineStr">
        <is>
          <t>GB200 NVL72</t>
        </is>
      </c>
      <c r="C17" s="4" t="n"/>
      <c r="D17" s="3" t="n"/>
      <c r="E17" s="4" t="n"/>
      <c r="F17" s="3" t="n"/>
      <c r="G17" s="4">
        <f>IF(AND(ISNUMBER(C17),ISNUMBER(E17)),E17+0.5*(C17-E17),"n/a")</f>
        <v/>
      </c>
      <c r="H17" s="3" t="n"/>
      <c r="I17" s="6">
        <f>IF(ISNUMBER(H17),(H17-D17)/30.44,IF(AND(ISNUMBER(C17),ISNUMBER(E17)),IF(C17&lt;=E17,"no premium / no decay","not reached"),"n/a"))</f>
        <v/>
      </c>
      <c r="J17" s="7">
        <f>IF(AND(ISNUMBER(C17),ISNUMBER(E17)),C17/E17-1,"n/a")</f>
        <v/>
      </c>
      <c r="K17" s="4" t="n"/>
      <c r="L17" s="3" t="n"/>
      <c r="M17" s="7">
        <f>IF(AND(ISNUMBER(K17),ISNUMBER(E17)),K17/E17-1,"n/a")</f>
        <v/>
      </c>
      <c r="N17" t="inlineStr">
        <is>
          <t>not found: "Contact us" on every capture.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45" customWidth="1" min="8" max="8"/>
  </cols>
  <sheetData>
    <row r="1">
      <c r="A1" t="inlineStr">
        <is>
          <t>Price of new generation relative to prior generation, same provider, same capture date (Reported prices; ratio Derived). Stable ratio = performance ladder; decaying ratio = launch premium.</t>
        </is>
      </c>
    </row>
    <row r="2">
      <c r="A2" s="2" t="inlineStr">
        <is>
          <t>provider</t>
        </is>
      </c>
      <c r="B2" s="2" t="inlineStr">
        <is>
          <t>date</t>
        </is>
      </c>
      <c r="C2" s="2" t="inlineStr">
        <is>
          <t>new chip</t>
        </is>
      </c>
      <c r="D2" s="2" t="inlineStr">
        <is>
          <t>prior chip</t>
        </is>
      </c>
      <c r="E2" s="2" t="inlineStr">
        <is>
          <t>new $/GPU-hr</t>
        </is>
      </c>
      <c r="F2" s="2" t="inlineStr">
        <is>
          <t>prior $/GPU-hr</t>
        </is>
      </c>
      <c r="G2" s="2" t="inlineStr">
        <is>
          <t>ratio new/prior</t>
        </is>
      </c>
      <c r="H2" s="2" t="inlineStr">
        <is>
          <t>source</t>
        </is>
      </c>
    </row>
    <row r="3">
      <c r="A3" t="inlineStr">
        <is>
          <t>Nebius</t>
        </is>
      </c>
      <c r="B3" s="3" t="n">
        <v>45611</v>
      </c>
      <c r="C3" t="inlineStr">
        <is>
          <t>H200</t>
        </is>
      </c>
      <c r="D3" t="inlineStr">
        <is>
          <t>H100</t>
        </is>
      </c>
      <c r="E3" s="4" t="n">
        <v>3.5</v>
      </c>
      <c r="F3" s="4" t="n">
        <v>2.95</v>
      </c>
      <c r="G3" s="8">
        <f>E3/F3</f>
        <v/>
      </c>
      <c r="H3" t="inlineStr">
        <is>
          <t>S1_PriceSeries (Wayback capture on that date)</t>
        </is>
      </c>
    </row>
    <row r="4">
      <c r="A4" t="inlineStr">
        <is>
          <t>Nebius</t>
        </is>
      </c>
      <c r="B4" s="3" t="n">
        <v>46149</v>
      </c>
      <c r="C4" t="inlineStr">
        <is>
          <t>H200</t>
        </is>
      </c>
      <c r="D4" t="inlineStr">
        <is>
          <t>H100</t>
        </is>
      </c>
      <c r="E4" s="4" t="n">
        <v>3.5</v>
      </c>
      <c r="F4" s="4" t="n">
        <v>2.95</v>
      </c>
      <c r="G4" s="8">
        <f>E4/F4</f>
        <v/>
      </c>
      <c r="H4" t="inlineStr">
        <is>
          <t>S1_PriceSeries (Wayback capture on that date)</t>
        </is>
      </c>
    </row>
    <row r="5">
      <c r="A5" t="inlineStr">
        <is>
          <t>Nebius</t>
        </is>
      </c>
      <c r="B5" s="3" t="n">
        <v>46215</v>
      </c>
      <c r="C5" t="inlineStr">
        <is>
          <t>H200</t>
        </is>
      </c>
      <c r="D5" t="inlineStr">
        <is>
          <t>H100</t>
        </is>
      </c>
      <c r="E5" s="4" t="n">
        <v>4.5</v>
      </c>
      <c r="F5" s="4" t="n">
        <v>3.85</v>
      </c>
      <c r="G5" s="8">
        <f>E5/F5</f>
        <v/>
      </c>
      <c r="H5" t="inlineStr">
        <is>
          <t>S1_PriceSeries (Wayback capture on that date)</t>
        </is>
      </c>
    </row>
    <row r="6">
      <c r="A6" t="inlineStr">
        <is>
          <t>Nebius</t>
        </is>
      </c>
      <c r="B6" s="3" t="n">
        <v>46296</v>
      </c>
      <c r="C6" t="inlineStr">
        <is>
          <t>H200</t>
        </is>
      </c>
      <c r="D6" t="inlineStr">
        <is>
          <t>H100</t>
        </is>
      </c>
      <c r="E6" s="4" t="n">
        <v>5.4</v>
      </c>
      <c r="F6" s="4" t="n">
        <v>4.5</v>
      </c>
      <c r="G6" s="8">
        <f>E6/F6</f>
        <v/>
      </c>
      <c r="H6" t="inlineStr">
        <is>
          <t>S1_PriceSeries (Wayback capture on that date)</t>
        </is>
      </c>
    </row>
    <row r="7">
      <c r="A7" t="inlineStr">
        <is>
          <t>Nebius</t>
        </is>
      </c>
      <c r="B7" s="3" t="n">
        <v>45863</v>
      </c>
      <c r="C7" t="inlineStr">
        <is>
          <t>B200</t>
        </is>
      </c>
      <c r="D7" t="inlineStr">
        <is>
          <t>H100</t>
        </is>
      </c>
      <c r="E7" s="4" t="n">
        <v>5.5</v>
      </c>
      <c r="F7" s="4" t="n">
        <v>2.95</v>
      </c>
      <c r="G7" s="8">
        <f>E7/F7</f>
        <v/>
      </c>
      <c r="H7" t="inlineStr">
        <is>
          <t>S1_PriceSeries (Wayback capture on that date)</t>
        </is>
      </c>
    </row>
    <row r="8">
      <c r="A8" t="inlineStr">
        <is>
          <t>Nebius</t>
        </is>
      </c>
      <c r="B8" s="3" t="n">
        <v>46149</v>
      </c>
      <c r="C8" t="inlineStr">
        <is>
          <t>B200</t>
        </is>
      </c>
      <c r="D8" t="inlineStr">
        <is>
          <t>H100</t>
        </is>
      </c>
      <c r="E8" s="4" t="n">
        <v>5.5</v>
      </c>
      <c r="F8" s="4" t="n">
        <v>2.95</v>
      </c>
      <c r="G8" s="8">
        <f>E8/F8</f>
        <v/>
      </c>
      <c r="H8" t="inlineStr">
        <is>
          <t>S1_PriceSeries (Wayback capture on that date)</t>
        </is>
      </c>
    </row>
    <row r="9">
      <c r="A9" t="inlineStr">
        <is>
          <t>Nebius</t>
        </is>
      </c>
      <c r="B9" s="3" t="n">
        <v>46215</v>
      </c>
      <c r="C9" t="inlineStr">
        <is>
          <t>B200</t>
        </is>
      </c>
      <c r="D9" t="inlineStr">
        <is>
          <t>H100</t>
        </is>
      </c>
      <c r="E9" s="4" t="n">
        <v>7.15</v>
      </c>
      <c r="F9" s="4" t="n">
        <v>3.85</v>
      </c>
      <c r="G9" s="8">
        <f>E9/F9</f>
        <v/>
      </c>
      <c r="H9" t="inlineStr">
        <is>
          <t>S1_PriceSeries (Wayback capture on that date)</t>
        </is>
      </c>
    </row>
    <row r="10">
      <c r="A10" t="inlineStr">
        <is>
          <t>Nebius</t>
        </is>
      </c>
      <c r="B10" s="3" t="n">
        <v>46296</v>
      </c>
      <c r="C10" t="inlineStr">
        <is>
          <t>B200</t>
        </is>
      </c>
      <c r="D10" t="inlineStr">
        <is>
          <t>H100</t>
        </is>
      </c>
      <c r="E10" s="4" t="n">
        <v>8.5</v>
      </c>
      <c r="F10" s="4" t="n">
        <v>4.5</v>
      </c>
      <c r="G10" s="8">
        <f>E10/F10</f>
        <v/>
      </c>
      <c r="H10" t="inlineStr">
        <is>
          <t>S1_PriceSeries (Wayback capture on that date)</t>
        </is>
      </c>
    </row>
    <row r="11">
      <c r="A11" t="inlineStr">
        <is>
          <t>Nebius</t>
        </is>
      </c>
      <c r="B11" s="3" t="n">
        <v>45863</v>
      </c>
      <c r="C11" t="inlineStr">
        <is>
          <t>B200</t>
        </is>
      </c>
      <c r="D11" t="inlineStr">
        <is>
          <t>H200</t>
        </is>
      </c>
      <c r="E11" s="4" t="n">
        <v>5.5</v>
      </c>
      <c r="F11" s="4" t="n">
        <v>3.5</v>
      </c>
      <c r="G11" s="8">
        <f>E11/F11</f>
        <v/>
      </c>
      <c r="H11" t="inlineStr">
        <is>
          <t>S1_PriceSeries (Wayback capture on that date)</t>
        </is>
      </c>
    </row>
    <row r="12">
      <c r="A12" t="inlineStr">
        <is>
          <t>Nebius</t>
        </is>
      </c>
      <c r="B12" s="3" t="n">
        <v>46296</v>
      </c>
      <c r="C12" t="inlineStr">
        <is>
          <t>B200</t>
        </is>
      </c>
      <c r="D12" t="inlineStr">
        <is>
          <t>H200</t>
        </is>
      </c>
      <c r="E12" s="4" t="n">
        <v>8.5</v>
      </c>
      <c r="F12" s="4" t="n">
        <v>5.4</v>
      </c>
      <c r="G12" s="8">
        <f>E12/F12</f>
        <v/>
      </c>
      <c r="H12" t="inlineStr">
        <is>
          <t>S1_PriceSeries (Wayback capture on that date)</t>
        </is>
      </c>
    </row>
    <row r="13">
      <c r="A13" t="inlineStr">
        <is>
          <t>Lambda</t>
        </is>
      </c>
      <c r="B13" s="3" t="n">
        <v>45911</v>
      </c>
      <c r="C13" t="inlineStr">
        <is>
          <t>B200</t>
        </is>
      </c>
      <c r="D13" t="inlineStr">
        <is>
          <t>H100</t>
        </is>
      </c>
      <c r="E13" s="4" t="n">
        <v>4.99</v>
      </c>
      <c r="F13" s="4" t="n">
        <v>2.99</v>
      </c>
      <c r="G13" s="8">
        <f>E13/F13</f>
        <v/>
      </c>
      <c r="H13" t="inlineStr">
        <is>
          <t>S1_PriceSeries (Wayback capture on that date)</t>
        </is>
      </c>
    </row>
    <row r="14">
      <c r="A14" t="inlineStr">
        <is>
          <t>Lambda</t>
        </is>
      </c>
      <c r="B14" s="3" t="n">
        <v>46091</v>
      </c>
      <c r="C14" t="inlineStr">
        <is>
          <t>B200</t>
        </is>
      </c>
      <c r="D14" t="inlineStr">
        <is>
          <t>H100</t>
        </is>
      </c>
      <c r="E14" s="4" t="n">
        <v>5.74</v>
      </c>
      <c r="F14" s="4" t="n">
        <v>3.44</v>
      </c>
      <c r="G14" s="8">
        <f>E14/F14</f>
        <v/>
      </c>
      <c r="H14" t="inlineStr">
        <is>
          <t>S1_PriceSeries (Wayback capture on that date)</t>
        </is>
      </c>
    </row>
    <row r="15">
      <c r="A15" t="inlineStr">
        <is>
          <t>Lambda</t>
        </is>
      </c>
      <c r="B15" s="3" t="n">
        <v>46296</v>
      </c>
      <c r="C15" t="inlineStr">
        <is>
          <t>B200</t>
        </is>
      </c>
      <c r="D15" t="inlineStr">
        <is>
          <t>H100</t>
        </is>
      </c>
      <c r="E15" s="4" t="n">
        <v>6.69</v>
      </c>
      <c r="F15" s="4" t="n">
        <v>3.99</v>
      </c>
      <c r="G15" s="8">
        <f>E15/F15</f>
        <v/>
      </c>
      <c r="H15" t="inlineStr">
        <is>
          <t>S1_PriceSeries (Wayback capture on that date)</t>
        </is>
      </c>
    </row>
    <row r="16">
      <c r="A16" t="inlineStr">
        <is>
          <t>AWS Capacity Blocks</t>
        </is>
      </c>
      <c r="B16" s="3" t="n">
        <v>45566</v>
      </c>
      <c r="C16" t="inlineStr">
        <is>
          <t>H200</t>
        </is>
      </c>
      <c r="D16" t="inlineStr">
        <is>
          <t>H100</t>
        </is>
      </c>
      <c r="E16" s="4" t="n">
        <v>5.408</v>
      </c>
      <c r="F16" s="4" t="n">
        <v>4.916</v>
      </c>
      <c r="G16" s="8">
        <f>E16/F16</f>
        <v/>
      </c>
      <c r="H16" t="inlineStr">
        <is>
          <t>S1_PriceSeries (Wayback capture on that date)</t>
        </is>
      </c>
    </row>
    <row r="17">
      <c r="A17" t="inlineStr">
        <is>
          <t>AWS Capacity Blocks</t>
        </is>
      </c>
      <c r="B17" s="3" t="n">
        <v>45724</v>
      </c>
      <c r="C17" t="inlineStr">
        <is>
          <t>H200</t>
        </is>
      </c>
      <c r="D17" t="inlineStr">
        <is>
          <t>H100</t>
        </is>
      </c>
      <c r="E17" s="4" t="n">
        <v>4.326</v>
      </c>
      <c r="F17" s="4" t="n">
        <v>3.933</v>
      </c>
      <c r="G17" s="8">
        <f>E17/F17</f>
        <v/>
      </c>
      <c r="H17" t="inlineStr">
        <is>
          <t>S1_PriceSeries (Wayback capture on that date)</t>
        </is>
      </c>
    </row>
    <row r="18">
      <c r="A18" t="inlineStr">
        <is>
          <t>AWS Capacity Blocks</t>
        </is>
      </c>
      <c r="B18" s="3" t="n">
        <v>46259</v>
      </c>
      <c r="C18" t="inlineStr">
        <is>
          <t>H200</t>
        </is>
      </c>
      <c r="D18" t="inlineStr">
        <is>
          <t>H100</t>
        </is>
      </c>
      <c r="E18" s="4" t="n">
        <v>5.97</v>
      </c>
      <c r="F18" s="4" t="n">
        <v>5.191</v>
      </c>
      <c r="G18" s="8">
        <f>E18/F18</f>
        <v/>
      </c>
      <c r="H18" t="inlineStr">
        <is>
          <t>S1_PriceSeries (Wayback capture on that date)</t>
        </is>
      </c>
    </row>
    <row r="19">
      <c r="A19" t="inlineStr">
        <is>
          <t>AWS Capacity Blocks</t>
        </is>
      </c>
      <c r="B19" s="3" t="n">
        <v>45799</v>
      </c>
      <c r="C19" t="inlineStr">
        <is>
          <t>B200</t>
        </is>
      </c>
      <c r="D19" t="inlineStr">
        <is>
          <t>H100</t>
        </is>
      </c>
      <c r="E19" s="4" t="n">
        <v>8.140000000000001</v>
      </c>
      <c r="F19" s="4" t="n">
        <v>3.933</v>
      </c>
      <c r="G19" s="8">
        <f>E19/F19</f>
        <v/>
      </c>
      <c r="H19" t="inlineStr">
        <is>
          <t>S1_PriceSeries (Wayback capture on that date)</t>
        </is>
      </c>
    </row>
    <row r="20">
      <c r="A20" t="inlineStr">
        <is>
          <t>AWS Capacity Blocks</t>
        </is>
      </c>
      <c r="B20" s="3" t="n">
        <v>46259</v>
      </c>
      <c r="C20" t="inlineStr">
        <is>
          <t>B200</t>
        </is>
      </c>
      <c r="D20" t="inlineStr">
        <is>
          <t>H100</t>
        </is>
      </c>
      <c r="E20" s="4" t="n">
        <v>12.355</v>
      </c>
      <c r="F20" s="4" t="n">
        <v>5.191</v>
      </c>
      <c r="G20" s="8">
        <f>E20/F20</f>
        <v/>
      </c>
      <c r="H20" t="inlineStr">
        <is>
          <t>S1_PriceSeries (Wayback capture on that date)</t>
        </is>
      </c>
    </row>
    <row r="21">
      <c r="A21" t="inlineStr">
        <is>
          <t>CoreWeave</t>
        </is>
      </c>
      <c r="B21" s="3" t="n">
        <v>45856</v>
      </c>
      <c r="C21" t="inlineStr">
        <is>
          <t>H200</t>
        </is>
      </c>
      <c r="D21" t="inlineStr">
        <is>
          <t>H100</t>
        </is>
      </c>
      <c r="E21" s="4" t="n">
        <v>6.305</v>
      </c>
      <c r="F21" s="4" t="n">
        <v>6.155</v>
      </c>
      <c r="G21" s="8">
        <f>E21/F21</f>
        <v/>
      </c>
      <c r="H21" t="inlineStr">
        <is>
          <t>S1_PriceSeries (Wayback capture on that date)</t>
        </is>
      </c>
    </row>
    <row r="22">
      <c r="A22" t="inlineStr">
        <is>
          <t>CoreWeave</t>
        </is>
      </c>
      <c r="B22" s="3" t="n">
        <v>45856</v>
      </c>
      <c r="C22" t="inlineStr">
        <is>
          <t>B200</t>
        </is>
      </c>
      <c r="D22" t="inlineStr">
        <is>
          <t>H100</t>
        </is>
      </c>
      <c r="E22" s="4" t="n">
        <v>8.6</v>
      </c>
      <c r="F22" s="4" t="n">
        <v>6.155</v>
      </c>
      <c r="G22" s="8">
        <f>E22/F22</f>
        <v/>
      </c>
      <c r="H22" t="inlineStr">
        <is>
          <t>S1_PriceSeries (Wayback capture on that date)</t>
        </is>
      </c>
    </row>
    <row r="23">
      <c r="A23" t="inlineStr">
        <is>
          <t>CoreWeave</t>
        </is>
      </c>
      <c r="B23" s="3" t="n">
        <v>45856</v>
      </c>
      <c r="C23" t="inlineStr">
        <is>
          <t>GB200 NVL72</t>
        </is>
      </c>
      <c r="D23" t="inlineStr">
        <is>
          <t>B200</t>
        </is>
      </c>
      <c r="E23" s="4" t="n">
        <v>10.5</v>
      </c>
      <c r="F23" s="4" t="n">
        <v>8.6</v>
      </c>
      <c r="G23" s="8">
        <f>E23/F23</f>
        <v/>
      </c>
      <c r="H23" t="inlineStr">
        <is>
          <t>S1_PriceSeries (Wayback capture on that date)</t>
        </is>
      </c>
    </row>
    <row r="24">
      <c r="A24" t="inlineStr">
        <is>
          <t>CoreWeave</t>
        </is>
      </c>
      <c r="B24" s="3" t="n">
        <v>46296</v>
      </c>
      <c r="C24" t="inlineStr">
        <is>
          <t>B200</t>
        </is>
      </c>
      <c r="D24" t="inlineStr">
        <is>
          <t>H100</t>
        </is>
      </c>
      <c r="E24" s="4" t="n">
        <v>8.6</v>
      </c>
      <c r="F24" s="4" t="n">
        <v>6.155</v>
      </c>
      <c r="G24" s="8">
        <f>E24/F24</f>
        <v/>
      </c>
      <c r="H24" t="inlineStr">
        <is>
          <t>S1_PriceSeries (Wayback capture on that date)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1" customWidth="1" min="4" max="4"/>
    <col width="12" customWidth="1" min="5" max="5"/>
    <col width="12" customWidth="1" min="6" max="6"/>
    <col width="11" customWidth="1" min="7" max="7"/>
    <col width="9" customWidth="1" min="8" max="8"/>
    <col width="11" customWidth="1" min="9" max="9"/>
    <col width="9" customWidth="1" min="10" max="10"/>
    <col width="9" customWidth="1" min="11" max="11"/>
    <col width="30" customWidth="1" min="12" max="12"/>
    <col width="50" customWidth="1" min="13" max="13"/>
    <col width="50" customWidth="1" min="14" max="14"/>
  </cols>
  <sheetData>
    <row r="1">
      <c r="A1" t="inlineStr">
        <is>
          <t>Hyperscaler late-arrival / price-cut events vs. neocloud list price (last capture &lt;= event-45d) and (last capture &lt;= event+90d). % change Derived.</t>
        </is>
      </c>
    </row>
    <row r="2">
      <c r="A2" s="2" t="inlineStr">
        <is>
          <t>event</t>
        </is>
      </c>
      <c r="B2" s="2" t="inlineStr">
        <is>
          <t>event date</t>
        </is>
      </c>
      <c r="C2" s="2" t="inlineStr">
        <is>
          <t>event</t>
        </is>
      </c>
      <c r="D2" s="2" t="inlineStr">
        <is>
          <t>neocloud</t>
        </is>
      </c>
      <c r="E2" s="2" t="inlineStr">
        <is>
          <t>chip priced</t>
        </is>
      </c>
      <c r="F2" s="2" t="inlineStr">
        <is>
          <t>same chip / prior gen</t>
        </is>
      </c>
      <c r="G2" s="2" t="inlineStr">
        <is>
          <t>before date</t>
        </is>
      </c>
      <c r="H2" s="2" t="inlineStr">
        <is>
          <t>before $</t>
        </is>
      </c>
      <c r="I2" s="2" t="inlineStr">
        <is>
          <t>after date</t>
        </is>
      </c>
      <c r="J2" s="2" t="inlineStr">
        <is>
          <t>after $</t>
        </is>
      </c>
      <c r="K2" s="2" t="inlineStr">
        <is>
          <t>% change</t>
        </is>
      </c>
      <c r="L2" s="2" t="inlineStr">
        <is>
          <t>note</t>
        </is>
      </c>
      <c r="M2" s="2" t="inlineStr">
        <is>
          <t>source before</t>
        </is>
      </c>
      <c r="N2" s="2" t="inlineStr">
        <is>
          <t>source after</t>
        </is>
      </c>
    </row>
    <row r="3">
      <c r="A3" t="inlineStr">
        <is>
          <t>E1</t>
        </is>
      </c>
      <c r="B3" s="3" t="n">
        <v>45133</v>
      </c>
      <c r="C3" t="inlineStr">
        <is>
          <t>AWS P5 GA (H100)</t>
        </is>
      </c>
      <c r="D3" t="inlineStr">
        <is>
          <t>Lambda</t>
        </is>
      </c>
      <c r="E3" t="inlineStr">
        <is>
          <t>H100</t>
        </is>
      </c>
      <c r="F3" t="inlineStr">
        <is>
          <t>same chip</t>
        </is>
      </c>
      <c r="G3" t="inlineStr">
        <is>
          <t>not observed</t>
        </is>
      </c>
      <c r="H3" t="inlineStr">
        <is>
          <t>not observed</t>
        </is>
      </c>
      <c r="I3" t="inlineStr">
        <is>
          <t>2023-08-02</t>
        </is>
      </c>
      <c r="J3" t="n">
        <v>2.59</v>
      </c>
      <c r="K3" s="5">
        <f>IF(AND(ISNUMBER(H3),ISNUMBER(J3),L3=""),J3/H3-1,"n/a")</f>
        <v/>
      </c>
      <c r="L3" t="inlineStr"/>
      <c r="M3" t="inlineStr"/>
      <c r="N3" t="inlineStr">
        <is>
          <t>https://web.archive.org/web/20231231/https://lambdalabs.com/service/gpu-cloud</t>
        </is>
      </c>
    </row>
    <row r="4">
      <c r="A4" t="inlineStr">
        <is>
          <t>E2</t>
        </is>
      </c>
      <c r="B4" s="3" t="n">
        <v>45145</v>
      </c>
      <c r="C4" t="inlineStr">
        <is>
          <t>Azure ND H100 v5 GA</t>
        </is>
      </c>
      <c r="D4" t="inlineStr">
        <is>
          <t>Nebius</t>
        </is>
      </c>
      <c r="E4" t="inlineStr">
        <is>
          <t>H100</t>
        </is>
      </c>
      <c r="F4" t="inlineStr">
        <is>
          <t>same chip</t>
        </is>
      </c>
      <c r="G4" t="inlineStr">
        <is>
          <t>not observed</t>
        </is>
      </c>
      <c r="H4" t="inlineStr">
        <is>
          <t>not observed</t>
        </is>
      </c>
      <c r="I4" t="inlineStr">
        <is>
          <t>2023-11-01</t>
        </is>
      </c>
      <c r="J4" t="n">
        <v>4.85</v>
      </c>
      <c r="K4" s="5">
        <f>IF(AND(ISNUMBER(H4),ISNUMBER(J4),L4=""),J4/H4-1,"n/a")</f>
        <v/>
      </c>
      <c r="L4" t="inlineStr"/>
      <c r="M4" t="inlineStr"/>
      <c r="N4" t="inlineStr">
        <is>
          <t>https://web.archive.org/web/20231101230422/https://nebius.ai/prices</t>
        </is>
      </c>
    </row>
    <row r="5">
      <c r="A5" t="inlineStr">
        <is>
          <t>E2</t>
        </is>
      </c>
      <c r="B5" s="3" t="n">
        <v>45145</v>
      </c>
      <c r="C5" t="inlineStr">
        <is>
          <t>Azure ND H100 v5 GA</t>
        </is>
      </c>
      <c r="D5" t="inlineStr">
        <is>
          <t>Lambda</t>
        </is>
      </c>
      <c r="E5" t="inlineStr">
        <is>
          <t>H100</t>
        </is>
      </c>
      <c r="F5" t="inlineStr">
        <is>
          <t>same chip</t>
        </is>
      </c>
      <c r="G5" t="inlineStr">
        <is>
          <t>not observed</t>
        </is>
      </c>
      <c r="H5" t="inlineStr">
        <is>
          <t>not observed</t>
        </is>
      </c>
      <c r="I5" t="inlineStr">
        <is>
          <t>2023-08-02</t>
        </is>
      </c>
      <c r="J5" t="n">
        <v>2.59</v>
      </c>
      <c r="K5" s="5">
        <f>IF(AND(ISNUMBER(H5),ISNUMBER(J5),L5=""),J5/H5-1,"n/a")</f>
        <v/>
      </c>
      <c r="L5" t="inlineStr"/>
      <c r="M5" t="inlineStr"/>
      <c r="N5" t="inlineStr">
        <is>
          <t>https://web.archive.org/web/20231231/https://lambdalabs.com/service/gpu-cloud</t>
        </is>
      </c>
    </row>
    <row r="6">
      <c r="A6" t="inlineStr">
        <is>
          <t>E3</t>
        </is>
      </c>
      <c r="B6" s="3" t="n">
        <v>45184</v>
      </c>
      <c r="C6" t="inlineStr">
        <is>
          <t>GCP A3 GA (approx.)</t>
        </is>
      </c>
      <c r="D6" t="inlineStr">
        <is>
          <t>Nebius</t>
        </is>
      </c>
      <c r="E6" t="inlineStr">
        <is>
          <t>H100</t>
        </is>
      </c>
      <c r="F6" t="inlineStr">
        <is>
          <t>same chip</t>
        </is>
      </c>
      <c r="G6" t="inlineStr">
        <is>
          <t>not observed</t>
        </is>
      </c>
      <c r="H6" t="inlineStr">
        <is>
          <t>not observed</t>
        </is>
      </c>
      <c r="I6" t="inlineStr">
        <is>
          <t>2023-12-07</t>
        </is>
      </c>
      <c r="J6" t="n">
        <v>4.85</v>
      </c>
      <c r="K6" s="5">
        <f>IF(AND(ISNUMBER(H6),ISNUMBER(J6),L6=""),J6/H6-1,"n/a")</f>
        <v/>
      </c>
      <c r="L6" t="inlineStr"/>
      <c r="M6" t="inlineStr"/>
      <c r="N6" t="inlineStr">
        <is>
          <t>https://web.archive.org/web/20231207200752/https://nebius.ai/prices</t>
        </is>
      </c>
    </row>
    <row r="7">
      <c r="A7" t="inlineStr">
        <is>
          <t>E3</t>
        </is>
      </c>
      <c r="B7" s="3" t="n">
        <v>45184</v>
      </c>
      <c r="C7" t="inlineStr">
        <is>
          <t>GCP A3 GA (approx.)</t>
        </is>
      </c>
      <c r="D7" t="inlineStr">
        <is>
          <t>Lambda</t>
        </is>
      </c>
      <c r="E7" t="inlineStr">
        <is>
          <t>H100</t>
        </is>
      </c>
      <c r="F7" t="inlineStr">
        <is>
          <t>same chip</t>
        </is>
      </c>
      <c r="G7" t="inlineStr">
        <is>
          <t>not observed</t>
        </is>
      </c>
      <c r="H7" t="inlineStr">
        <is>
          <t>not observed</t>
        </is>
      </c>
      <c r="I7" t="inlineStr">
        <is>
          <t>2023-08-02</t>
        </is>
      </c>
      <c r="J7" t="n">
        <v>2.59</v>
      </c>
      <c r="K7" s="5">
        <f>IF(AND(ISNUMBER(H7),ISNUMBER(J7),L7=""),J7/H7-1,"n/a")</f>
        <v/>
      </c>
      <c r="L7" t="inlineStr"/>
      <c r="M7" t="inlineStr"/>
      <c r="N7" t="inlineStr">
        <is>
          <t>https://web.archive.org/web/20231231/https://lambdalabs.com/service/gpu-cloud</t>
        </is>
      </c>
    </row>
    <row r="8">
      <c r="A8" t="inlineStr">
        <is>
          <t>E4</t>
        </is>
      </c>
      <c r="B8" s="3" t="n">
        <v>45544</v>
      </c>
      <c r="C8" t="inlineStr">
        <is>
          <t>AWS P5e GA (H200)</t>
        </is>
      </c>
      <c r="D8" t="inlineStr">
        <is>
          <t>Nebius</t>
        </is>
      </c>
      <c r="E8" t="inlineStr">
        <is>
          <t>H200</t>
        </is>
      </c>
      <c r="F8" t="inlineStr">
        <is>
          <t>same chip</t>
        </is>
      </c>
      <c r="G8" t="inlineStr">
        <is>
          <t>not observed</t>
        </is>
      </c>
      <c r="H8" t="inlineStr">
        <is>
          <t>not observed</t>
        </is>
      </c>
      <c r="I8" t="inlineStr">
        <is>
          <t>2024-12-06</t>
        </is>
      </c>
      <c r="J8" t="n">
        <v>3.5</v>
      </c>
      <c r="K8" s="5">
        <f>IF(AND(ISNUMBER(H8),ISNUMBER(J8),L8=""),J8/H8-1,"n/a")</f>
        <v/>
      </c>
      <c r="L8" t="inlineStr"/>
      <c r="M8" t="inlineStr"/>
      <c r="N8" t="inlineStr">
        <is>
          <t>https://web.archive.org/web/20241206210543/https://nebius.com/prices</t>
        </is>
      </c>
    </row>
    <row r="9">
      <c r="A9" t="inlineStr">
        <is>
          <t>E4</t>
        </is>
      </c>
      <c r="B9" s="3" t="n">
        <v>45544</v>
      </c>
      <c r="C9" t="inlineStr">
        <is>
          <t>AWS P5e GA (H200)</t>
        </is>
      </c>
      <c r="D9" t="inlineStr">
        <is>
          <t>Nebius</t>
        </is>
      </c>
      <c r="E9" t="inlineStr">
        <is>
          <t>H100</t>
        </is>
      </c>
      <c r="F9" t="inlineStr">
        <is>
          <t>prior gen</t>
        </is>
      </c>
      <c r="G9" t="inlineStr">
        <is>
          <t>2024-07-25</t>
        </is>
      </c>
      <c r="H9" t="n">
        <v>4.85</v>
      </c>
      <c r="I9" t="inlineStr">
        <is>
          <t>2024-12-06</t>
        </is>
      </c>
      <c r="J9" t="n">
        <v>2.95</v>
      </c>
      <c r="K9" s="5">
        <f>IF(AND(ISNUMBER(H9),ISNUMBER(J9),L9=""),J9/H9-1,"n/a")</f>
        <v/>
      </c>
      <c r="L9" t="inlineStr"/>
      <c r="M9" t="inlineStr">
        <is>
          <t>https://web.archive.org/web/20240725190745/https://nebius.ai/prices</t>
        </is>
      </c>
      <c r="N9" t="inlineStr">
        <is>
          <t>https://web.archive.org/web/20241206210543/https://nebius.com/prices</t>
        </is>
      </c>
    </row>
    <row r="10">
      <c r="A10" t="inlineStr">
        <is>
          <t>E4</t>
        </is>
      </c>
      <c r="B10" s="3" t="n">
        <v>45544</v>
      </c>
      <c r="C10" t="inlineStr">
        <is>
          <t>AWS P5e GA (H200)</t>
        </is>
      </c>
      <c r="D10" t="inlineStr">
        <is>
          <t>Lambda</t>
        </is>
      </c>
      <c r="E10" t="inlineStr">
        <is>
          <t>H100</t>
        </is>
      </c>
      <c r="F10" t="inlineStr">
        <is>
          <t>prior gen</t>
        </is>
      </c>
      <c r="G10" t="inlineStr">
        <is>
          <t>2024-07-11</t>
        </is>
      </c>
      <c r="H10" t="n">
        <v>3.49</v>
      </c>
      <c r="I10" t="inlineStr">
        <is>
          <t>2024-12-04</t>
        </is>
      </c>
      <c r="J10" t="n">
        <v>2.99</v>
      </c>
      <c r="K10" s="5">
        <f>IF(AND(ISNUMBER(H10),ISNUMBER(J10),L10=""),J10/H10-1,"n/a")</f>
        <v/>
      </c>
      <c r="L10" t="inlineStr"/>
      <c r="M10" t="inlineStr">
        <is>
          <t>https://web.archive.org/web/20240711213314/https://lambdalabs.com/service/gpu-cloud</t>
        </is>
      </c>
      <c r="N10" t="inlineStr">
        <is>
          <t>https://web.archive.org/web/20241204052806/https://lambdalabs.com/service/gpu-cloud</t>
        </is>
      </c>
    </row>
    <row r="11">
      <c r="A11" t="inlineStr">
        <is>
          <t>E4</t>
        </is>
      </c>
      <c r="B11" s="3" t="n">
        <v>45544</v>
      </c>
      <c r="C11" t="inlineStr">
        <is>
          <t>AWS P5e GA (H200)</t>
        </is>
      </c>
      <c r="D11" t="inlineStr">
        <is>
          <t>CoreWeave</t>
        </is>
      </c>
      <c r="E11" t="inlineStr">
        <is>
          <t>H100</t>
        </is>
      </c>
      <c r="F11" t="inlineStr">
        <is>
          <t>prior gen</t>
        </is>
      </c>
      <c r="G11" t="inlineStr">
        <is>
          <t>2024-07-18</t>
        </is>
      </c>
      <c r="H11" t="n">
        <v>4.76</v>
      </c>
      <c r="I11" t="inlineStr">
        <is>
          <t>2024-12-06</t>
        </is>
      </c>
      <c r="J11" t="n">
        <v>4.76</v>
      </c>
      <c r="K11" s="5">
        <f>IF(AND(ISNUMBER(H11),ISNUMBER(J11),L11=""),J11/H11-1,"n/a")</f>
        <v/>
      </c>
      <c r="L11" t="inlineStr"/>
      <c r="M11" t="inlineStr">
        <is>
          <t>https://web.archive.org/web/20240718045701/https://www.coreweave.com/gpu-cloud-pricing</t>
        </is>
      </c>
      <c r="N11" t="inlineStr">
        <is>
          <t>https://web.archive.org/web/20241206151408/https://coreweave.com/gpu-cloud-pricing</t>
        </is>
      </c>
    </row>
    <row r="12">
      <c r="A12" t="inlineStr">
        <is>
          <t>E5</t>
        </is>
      </c>
      <c r="B12" s="3" t="n">
        <v>45567</v>
      </c>
      <c r="C12" t="inlineStr">
        <is>
          <t>Azure ND H200 v5 GA</t>
        </is>
      </c>
      <c r="D12" t="inlineStr">
        <is>
          <t>Nebius</t>
        </is>
      </c>
      <c r="E12" t="inlineStr">
        <is>
          <t>H200</t>
        </is>
      </c>
      <c r="F12" t="inlineStr">
        <is>
          <t>same chip</t>
        </is>
      </c>
      <c r="G12" t="inlineStr">
        <is>
          <t>not observed</t>
        </is>
      </c>
      <c r="H12" t="inlineStr">
        <is>
          <t>not observed</t>
        </is>
      </c>
      <c r="I12" t="inlineStr">
        <is>
          <t>2024-12-06</t>
        </is>
      </c>
      <c r="J12" t="n">
        <v>3.5</v>
      </c>
      <c r="K12" s="5">
        <f>IF(AND(ISNUMBER(H12),ISNUMBER(J12),L12=""),J12/H12-1,"n/a")</f>
        <v/>
      </c>
      <c r="L12" t="inlineStr"/>
      <c r="M12" t="inlineStr"/>
      <c r="N12" t="inlineStr">
        <is>
          <t>https://web.archive.org/web/20241206210543/https://nebius.com/prices</t>
        </is>
      </c>
    </row>
    <row r="13">
      <c r="A13" t="inlineStr">
        <is>
          <t>E5</t>
        </is>
      </c>
      <c r="B13" s="3" t="n">
        <v>45567</v>
      </c>
      <c r="C13" t="inlineStr">
        <is>
          <t>Azure ND H200 v5 GA</t>
        </is>
      </c>
      <c r="D13" t="inlineStr">
        <is>
          <t>Nebius</t>
        </is>
      </c>
      <c r="E13" t="inlineStr">
        <is>
          <t>H100</t>
        </is>
      </c>
      <c r="F13" t="inlineStr">
        <is>
          <t>prior gen</t>
        </is>
      </c>
      <c r="G13" t="inlineStr">
        <is>
          <t>2024-08-05</t>
        </is>
      </c>
      <c r="H13" t="n">
        <v>4.85</v>
      </c>
      <c r="I13" t="inlineStr">
        <is>
          <t>2024-12-06</t>
        </is>
      </c>
      <c r="J13" t="n">
        <v>2.95</v>
      </c>
      <c r="K13" s="5">
        <f>IF(AND(ISNUMBER(H13),ISNUMBER(J13),L13=""),J13/H13-1,"n/a")</f>
        <v/>
      </c>
      <c r="L13" t="inlineStr"/>
      <c r="M13" t="inlineStr">
        <is>
          <t>https://web.archive.org/web/20240805155823/https://nebius.ai/prices</t>
        </is>
      </c>
      <c r="N13" t="inlineStr">
        <is>
          <t>https://web.archive.org/web/20241206210543/https://nebius.com/prices</t>
        </is>
      </c>
    </row>
    <row r="14">
      <c r="A14" t="inlineStr">
        <is>
          <t>E5</t>
        </is>
      </c>
      <c r="B14" s="3" t="n">
        <v>45567</v>
      </c>
      <c r="C14" t="inlineStr">
        <is>
          <t>Azure ND H200 v5 GA</t>
        </is>
      </c>
      <c r="D14" t="inlineStr">
        <is>
          <t>Lambda</t>
        </is>
      </c>
      <c r="E14" t="inlineStr">
        <is>
          <t>H100</t>
        </is>
      </c>
      <c r="F14" t="inlineStr">
        <is>
          <t>prior gen</t>
        </is>
      </c>
      <c r="G14" t="inlineStr">
        <is>
          <t>2024-08-15</t>
        </is>
      </c>
      <c r="H14" t="n">
        <v>2.99</v>
      </c>
      <c r="I14" t="inlineStr">
        <is>
          <t>2024-12-04</t>
        </is>
      </c>
      <c r="J14" t="n">
        <v>2.99</v>
      </c>
      <c r="K14" s="5">
        <f>IF(AND(ISNUMBER(H14),ISNUMBER(J14),L14=""),J14/H14-1,"n/a")</f>
        <v/>
      </c>
      <c r="L14" t="inlineStr"/>
      <c r="M14" t="inlineStr">
        <is>
          <t>https://web.archive.org/web/20240815145430/https://lambdalabs.com/service/gpu-cloud</t>
        </is>
      </c>
      <c r="N14" t="inlineStr">
        <is>
          <t>https://web.archive.org/web/20241204052806/https://lambdalabs.com/service/gpu-cloud</t>
        </is>
      </c>
    </row>
    <row r="15">
      <c r="A15" t="inlineStr">
        <is>
          <t>E5</t>
        </is>
      </c>
      <c r="B15" s="3" t="n">
        <v>45567</v>
      </c>
      <c r="C15" t="inlineStr">
        <is>
          <t>Azure ND H200 v5 GA</t>
        </is>
      </c>
      <c r="D15" t="inlineStr">
        <is>
          <t>CoreWeave</t>
        </is>
      </c>
      <c r="E15" t="inlineStr">
        <is>
          <t>H100</t>
        </is>
      </c>
      <c r="F15" t="inlineStr">
        <is>
          <t>prior gen</t>
        </is>
      </c>
      <c r="G15" t="inlineStr">
        <is>
          <t>2024-08-06</t>
        </is>
      </c>
      <c r="H15" t="n">
        <v>4.76</v>
      </c>
      <c r="I15" t="inlineStr">
        <is>
          <t>2024-12-06</t>
        </is>
      </c>
      <c r="J15" t="n">
        <v>4.76</v>
      </c>
      <c r="K15" s="5">
        <f>IF(AND(ISNUMBER(H15),ISNUMBER(J15),L15=""),J15/H15-1,"n/a")</f>
        <v/>
      </c>
      <c r="L15" t="inlineStr"/>
      <c r="M15" t="inlineStr">
        <is>
          <t>https://web.archive.org/web/20240806202622/https://coreweave.com/gpu-cloud-pricing</t>
        </is>
      </c>
      <c r="N15" t="inlineStr">
        <is>
          <t>https://web.archive.org/web/20241206151408/https://coreweave.com/gpu-cloud-pricing</t>
        </is>
      </c>
    </row>
    <row r="16">
      <c r="A16" t="inlineStr">
        <is>
          <t>E6</t>
        </is>
      </c>
      <c r="B16" s="3" t="n">
        <v>45629</v>
      </c>
      <c r="C16" t="inlineStr">
        <is>
          <t>AWS P5en GA (H200)</t>
        </is>
      </c>
      <c r="D16" t="inlineStr">
        <is>
          <t>Nebius</t>
        </is>
      </c>
      <c r="E16" t="inlineStr">
        <is>
          <t>H200</t>
        </is>
      </c>
      <c r="F16" t="inlineStr">
        <is>
          <t>same chip</t>
        </is>
      </c>
      <c r="G16" t="inlineStr">
        <is>
          <t>not observed</t>
        </is>
      </c>
      <c r="H16" t="inlineStr">
        <is>
          <t>not observed</t>
        </is>
      </c>
      <c r="I16" t="inlineStr">
        <is>
          <t>2025-01-15</t>
        </is>
      </c>
      <c r="J16" t="n">
        <v>3.5</v>
      </c>
      <c r="K16" s="5">
        <f>IF(AND(ISNUMBER(H16),ISNUMBER(J16),L16=""),J16/H16-1,"n/a")</f>
        <v/>
      </c>
      <c r="L16" t="inlineStr"/>
      <c r="M16" t="inlineStr"/>
      <c r="N16" t="inlineStr">
        <is>
          <t>https://web.archive.org/web/20250115165501/https://nebius.com/prices</t>
        </is>
      </c>
    </row>
    <row r="17">
      <c r="A17" t="inlineStr">
        <is>
          <t>E6</t>
        </is>
      </c>
      <c r="B17" s="3" t="n">
        <v>45629</v>
      </c>
      <c r="C17" t="inlineStr">
        <is>
          <t>AWS P5en GA (H200)</t>
        </is>
      </c>
      <c r="D17" t="inlineStr">
        <is>
          <t>CoreWeave</t>
        </is>
      </c>
      <c r="E17" t="inlineStr">
        <is>
          <t>H200</t>
        </is>
      </c>
      <c r="F17" t="inlineStr">
        <is>
          <t>same chip</t>
        </is>
      </c>
      <c r="G17" t="inlineStr">
        <is>
          <t>not observed</t>
        </is>
      </c>
      <c r="H17" t="inlineStr">
        <is>
          <t>not observed</t>
        </is>
      </c>
      <c r="I17" t="inlineStr">
        <is>
          <t>2025-02-09</t>
        </is>
      </c>
      <c r="J17" t="n">
        <v>6.305</v>
      </c>
      <c r="K17" s="5">
        <f>IF(AND(ISNUMBER(H17),ISNUMBER(J17),L17=""),J17/H17-1,"n/a")</f>
        <v/>
      </c>
      <c r="L17" t="inlineStr"/>
      <c r="M17" t="inlineStr"/>
      <c r="N17" t="inlineStr">
        <is>
          <t>https://web.archive.org/web/20250209162626/https://www.coreweave.com/pricing</t>
        </is>
      </c>
    </row>
    <row r="18">
      <c r="A18" t="inlineStr">
        <is>
          <t>E6</t>
        </is>
      </c>
      <c r="B18" s="3" t="n">
        <v>45629</v>
      </c>
      <c r="C18" t="inlineStr">
        <is>
          <t>AWS P5en GA (H200)</t>
        </is>
      </c>
      <c r="D18" t="inlineStr">
        <is>
          <t>Nebius</t>
        </is>
      </c>
      <c r="E18" t="inlineStr">
        <is>
          <t>H100</t>
        </is>
      </c>
      <c r="F18" t="inlineStr">
        <is>
          <t>prior gen</t>
        </is>
      </c>
      <c r="G18" t="inlineStr">
        <is>
          <t>2024-09-07</t>
        </is>
      </c>
      <c r="H18" t="n">
        <v>3.5</v>
      </c>
      <c r="I18" t="inlineStr">
        <is>
          <t>2025-01-15</t>
        </is>
      </c>
      <c r="J18" t="n">
        <v>2.95</v>
      </c>
      <c r="K18" s="5">
        <f>IF(AND(ISNUMBER(H18),ISNUMBER(J18),L18=""),J18/H18-1,"n/a")</f>
        <v/>
      </c>
      <c r="L18" t="inlineStr"/>
      <c r="M18" t="inlineStr">
        <is>
          <t>https://web.archive.org/web/20240907074221/https://nebius.ai/prices</t>
        </is>
      </c>
      <c r="N18" t="inlineStr">
        <is>
          <t>https://web.archive.org/web/20250115165501/https://nebius.com/prices</t>
        </is>
      </c>
    </row>
    <row r="19">
      <c r="A19" t="inlineStr">
        <is>
          <t>E6</t>
        </is>
      </c>
      <c r="B19" s="3" t="n">
        <v>45629</v>
      </c>
      <c r="C19" t="inlineStr">
        <is>
          <t>AWS P5en GA (H200)</t>
        </is>
      </c>
      <c r="D19" t="inlineStr">
        <is>
          <t>Lambda</t>
        </is>
      </c>
      <c r="E19" t="inlineStr">
        <is>
          <t>H100</t>
        </is>
      </c>
      <c r="F19" t="inlineStr">
        <is>
          <t>prior gen</t>
        </is>
      </c>
      <c r="G19" t="inlineStr">
        <is>
          <t>2024-10-07</t>
        </is>
      </c>
      <c r="H19" t="n">
        <v>2.99</v>
      </c>
      <c r="I19" t="inlineStr">
        <is>
          <t>2025-02-05</t>
        </is>
      </c>
      <c r="J19" t="n">
        <v>2.99</v>
      </c>
      <c r="K19" s="5">
        <f>IF(AND(ISNUMBER(H19),ISNUMBER(J19),L19=""),J19/H19-1,"n/a")</f>
        <v/>
      </c>
      <c r="L19" t="inlineStr"/>
      <c r="M19" t="inlineStr">
        <is>
          <t>https://web.archive.org/web/20241007220259/https://lambdalabs.com/service/gpu-cloud</t>
        </is>
      </c>
      <c r="N19" t="inlineStr">
        <is>
          <t>https://web.archive.org/web/20250205150624/https://lambdalabs.com/service/gpu-cloud</t>
        </is>
      </c>
    </row>
    <row r="20">
      <c r="A20" t="inlineStr">
        <is>
          <t>E6</t>
        </is>
      </c>
      <c r="B20" s="3" t="n">
        <v>45629</v>
      </c>
      <c r="C20" t="inlineStr">
        <is>
          <t>AWS P5en GA (H200)</t>
        </is>
      </c>
      <c r="D20" t="inlineStr">
        <is>
          <t>CoreWeave</t>
        </is>
      </c>
      <c r="E20" t="inlineStr">
        <is>
          <t>H100</t>
        </is>
      </c>
      <c r="F20" t="inlineStr">
        <is>
          <t>prior gen</t>
        </is>
      </c>
      <c r="G20" t="inlineStr">
        <is>
          <t>2024-10-04</t>
        </is>
      </c>
      <c r="H20" t="n">
        <v>4.76</v>
      </c>
      <c r="I20" t="inlineStr">
        <is>
          <t>2025-02-09</t>
        </is>
      </c>
      <c r="J20" t="n">
        <v>6.155</v>
      </c>
      <c r="K20" s="5">
        <f>IF(AND(ISNUMBER(H20),ISNUMBER(J20),L20=""),J20/H20-1,"n/a")</f>
        <v/>
      </c>
      <c r="L20" t="inlineStr">
        <is>
          <t>BASIS CHANGE (CoreWeave component rate card -&gt; instance price), not a price move; excluded</t>
        </is>
      </c>
      <c r="M20" t="inlineStr">
        <is>
          <t>https://web.archive.org/web/20241004113315/https://www.coreweave.com/gpu-cloud-pricing</t>
        </is>
      </c>
      <c r="N20" t="inlineStr">
        <is>
          <t>https://web.archive.org/web/20250209162626/https://www.coreweave.com/pricing</t>
        </is>
      </c>
    </row>
    <row r="21">
      <c r="A21" t="inlineStr">
        <is>
          <t>E7</t>
        </is>
      </c>
      <c r="B21" s="3" t="n">
        <v>45717</v>
      </c>
      <c r="C21" t="inlineStr">
        <is>
          <t>AWS Capacity Block H100 -20% (between 2025-02-02 and 2025-03-08 captures)</t>
        </is>
      </c>
      <c r="D21" t="inlineStr">
        <is>
          <t>Nebius</t>
        </is>
      </c>
      <c r="E21" t="inlineStr">
        <is>
          <t>H100</t>
        </is>
      </c>
      <c r="F21" t="inlineStr">
        <is>
          <t>same chip</t>
        </is>
      </c>
      <c r="G21" t="inlineStr">
        <is>
          <t>2025-01-15</t>
        </is>
      </c>
      <c r="H21" t="n">
        <v>2.95</v>
      </c>
      <c r="I21" t="inlineStr">
        <is>
          <t>2025-05-23</t>
        </is>
      </c>
      <c r="J21" t="n">
        <v>2.95</v>
      </c>
      <c r="K21" s="5">
        <f>IF(AND(ISNUMBER(H21),ISNUMBER(J21),L21=""),J21/H21-1,"n/a")</f>
        <v/>
      </c>
      <c r="L21" t="inlineStr"/>
      <c r="M21" t="inlineStr">
        <is>
          <t>https://web.archive.org/web/20250115165501/https://nebius.com/prices</t>
        </is>
      </c>
      <c r="N21" t="inlineStr">
        <is>
          <t>https://web.archive.org/web/20250523205822/https://nebius.com/prices</t>
        </is>
      </c>
    </row>
    <row r="22">
      <c r="A22" t="inlineStr">
        <is>
          <t>E7</t>
        </is>
      </c>
      <c r="B22" s="3" t="n">
        <v>45717</v>
      </c>
      <c r="C22" t="inlineStr">
        <is>
          <t>AWS Capacity Block H100 -20% (between 2025-02-02 and 2025-03-08 captures)</t>
        </is>
      </c>
      <c r="D22" t="inlineStr">
        <is>
          <t>Lambda</t>
        </is>
      </c>
      <c r="E22" t="inlineStr">
        <is>
          <t>H100</t>
        </is>
      </c>
      <c r="F22" t="inlineStr">
        <is>
          <t>same chip</t>
        </is>
      </c>
      <c r="G22" t="inlineStr">
        <is>
          <t>2025-01-01</t>
        </is>
      </c>
      <c r="H22" t="n">
        <v>2.99</v>
      </c>
      <c r="I22" t="inlineStr">
        <is>
          <t>2025-05-05</t>
        </is>
      </c>
      <c r="J22" t="n">
        <v>2.99</v>
      </c>
      <c r="K22" s="5">
        <f>IF(AND(ISNUMBER(H22),ISNUMBER(J22),L22=""),J22/H22-1,"n/a")</f>
        <v/>
      </c>
      <c r="L22" t="inlineStr"/>
      <c r="M22" t="inlineStr">
        <is>
          <t>https://web.archive.org/web/20250101080209/https://lambdalabs.com/service/gpu-cloud</t>
        </is>
      </c>
      <c r="N22" t="inlineStr">
        <is>
          <t>https://web.archive.org/web/20250505010805/https://lambda.ai/service/gpu-cloud</t>
        </is>
      </c>
    </row>
    <row r="23">
      <c r="A23" t="inlineStr">
        <is>
          <t>E7</t>
        </is>
      </c>
      <c r="B23" s="3" t="n">
        <v>45717</v>
      </c>
      <c r="C23" t="inlineStr">
        <is>
          <t>AWS Capacity Block H100 -20% (between 2025-02-02 and 2025-03-08 captures)</t>
        </is>
      </c>
      <c r="D23" t="inlineStr">
        <is>
          <t>CoreWeave</t>
        </is>
      </c>
      <c r="E23" t="inlineStr">
        <is>
          <t>H100</t>
        </is>
      </c>
      <c r="F23" t="inlineStr">
        <is>
          <t>same chip</t>
        </is>
      </c>
      <c r="G23" t="inlineStr">
        <is>
          <t>2025-01-01</t>
        </is>
      </c>
      <c r="H23" t="n">
        <v>6.155</v>
      </c>
      <c r="I23" t="inlineStr">
        <is>
          <t>2025-05-11</t>
        </is>
      </c>
      <c r="J23" t="n">
        <v>6.155</v>
      </c>
      <c r="K23" s="5">
        <f>IF(AND(ISNUMBER(H23),ISNUMBER(J23),L23=""),J23/H23-1,"n/a")</f>
        <v/>
      </c>
      <c r="L23" t="inlineStr"/>
      <c r="M23" t="inlineStr">
        <is>
          <t>https://web.archive.org/web/20250101002525/https://www.coreweave.com/pricing</t>
        </is>
      </c>
      <c r="N23" t="inlineStr">
        <is>
          <t>https://web.archive.org/web/20250511175459/https://coreweave.com/pricing</t>
        </is>
      </c>
    </row>
    <row r="24">
      <c r="A24" t="inlineStr">
        <is>
          <t>E8</t>
        </is>
      </c>
      <c r="B24" s="3" t="n">
        <v>45734</v>
      </c>
      <c r="C24" t="inlineStr">
        <is>
          <t>Azure ND GB200 v6 + GCP A4 (B200) GA</t>
        </is>
      </c>
      <c r="D24" t="inlineStr">
        <is>
          <t>CoreWeave</t>
        </is>
      </c>
      <c r="E24" t="inlineStr">
        <is>
          <t>B200</t>
        </is>
      </c>
      <c r="F24" t="inlineStr">
        <is>
          <t>same chip</t>
        </is>
      </c>
      <c r="G24" t="inlineStr">
        <is>
          <t>not observed</t>
        </is>
      </c>
      <c r="H24" t="inlineStr">
        <is>
          <t>not observed</t>
        </is>
      </c>
      <c r="I24" t="inlineStr">
        <is>
          <t>2025-06-09</t>
        </is>
      </c>
      <c r="J24" t="n">
        <v>8.6</v>
      </c>
      <c r="K24" s="5">
        <f>IF(AND(ISNUMBER(H24),ISNUMBER(J24),L24=""),J24/H24-1,"n/a")</f>
        <v/>
      </c>
      <c r="L24" t="inlineStr"/>
      <c r="M24" t="inlineStr"/>
      <c r="N24" t="inlineStr">
        <is>
          <t>https://web.archive.org/web/20250609162833/https://coreweave.com/pricing</t>
        </is>
      </c>
    </row>
    <row r="25">
      <c r="A25" t="inlineStr">
        <is>
          <t>E8</t>
        </is>
      </c>
      <c r="B25" s="3" t="n">
        <v>45734</v>
      </c>
      <c r="C25" t="inlineStr">
        <is>
          <t>Azure ND GB200 v6 + GCP A4 (B200) GA</t>
        </is>
      </c>
      <c r="D25" t="inlineStr">
        <is>
          <t>Nebius</t>
        </is>
      </c>
      <c r="E25" t="inlineStr">
        <is>
          <t>H200</t>
        </is>
      </c>
      <c r="F25" t="inlineStr">
        <is>
          <t>prior gen</t>
        </is>
      </c>
      <c r="G25" t="inlineStr">
        <is>
          <t>2025-01-15</t>
        </is>
      </c>
      <c r="H25" t="n">
        <v>3.5</v>
      </c>
      <c r="I25" t="inlineStr">
        <is>
          <t>2025-05-23</t>
        </is>
      </c>
      <c r="J25" t="n">
        <v>3.5</v>
      </c>
      <c r="K25" s="5">
        <f>IF(AND(ISNUMBER(H25),ISNUMBER(J25),L25=""),J25/H25-1,"n/a")</f>
        <v/>
      </c>
      <c r="L25" t="inlineStr"/>
      <c r="M25" t="inlineStr">
        <is>
          <t>https://web.archive.org/web/20250115165501/https://nebius.com/prices</t>
        </is>
      </c>
      <c r="N25" t="inlineStr">
        <is>
          <t>https://web.archive.org/web/20250523205822/https://nebius.com/prices</t>
        </is>
      </c>
    </row>
    <row r="26">
      <c r="A26" t="inlineStr">
        <is>
          <t>E8</t>
        </is>
      </c>
      <c r="B26" s="3" t="n">
        <v>45734</v>
      </c>
      <c r="C26" t="inlineStr">
        <is>
          <t>Azure ND GB200 v6 + GCP A4 (B200) GA</t>
        </is>
      </c>
      <c r="D26" t="inlineStr">
        <is>
          <t>CoreWeave</t>
        </is>
      </c>
      <c r="E26" t="inlineStr">
        <is>
          <t>H200</t>
        </is>
      </c>
      <c r="F26" t="inlineStr">
        <is>
          <t>prior gen</t>
        </is>
      </c>
      <c r="G26" t="inlineStr">
        <is>
          <t>2025-01-01</t>
        </is>
      </c>
      <c r="H26" t="n">
        <v>6.305</v>
      </c>
      <c r="I26" t="inlineStr">
        <is>
          <t>2025-06-09</t>
        </is>
      </c>
      <c r="J26" t="n">
        <v>6.305</v>
      </c>
      <c r="K26" s="5">
        <f>IF(AND(ISNUMBER(H26),ISNUMBER(J26),L26=""),J26/H26-1,"n/a")</f>
        <v/>
      </c>
      <c r="L26" t="inlineStr"/>
      <c r="M26" t="inlineStr">
        <is>
          <t>https://web.archive.org/web/20250101002525/https://www.coreweave.com/pricing</t>
        </is>
      </c>
      <c r="N26" t="inlineStr">
        <is>
          <t>https://web.archive.org/web/20250609162833/https://coreweave.com/pricing</t>
        </is>
      </c>
    </row>
    <row r="27">
      <c r="A27" t="inlineStr">
        <is>
          <t>E8</t>
        </is>
      </c>
      <c r="B27" s="3" t="n">
        <v>45734</v>
      </c>
      <c r="C27" t="inlineStr">
        <is>
          <t>Azure ND GB200 v6 + GCP A4 (B200) GA</t>
        </is>
      </c>
      <c r="D27" t="inlineStr">
        <is>
          <t>Nebius</t>
        </is>
      </c>
      <c r="E27" t="inlineStr">
        <is>
          <t>H100</t>
        </is>
      </c>
      <c r="F27" t="inlineStr">
        <is>
          <t>prior gen</t>
        </is>
      </c>
      <c r="G27" t="inlineStr">
        <is>
          <t>2025-01-15</t>
        </is>
      </c>
      <c r="H27" t="n">
        <v>2.95</v>
      </c>
      <c r="I27" t="inlineStr">
        <is>
          <t>2025-05-23</t>
        </is>
      </c>
      <c r="J27" t="n">
        <v>2.95</v>
      </c>
      <c r="K27" s="5">
        <f>IF(AND(ISNUMBER(H27),ISNUMBER(J27),L27=""),J27/H27-1,"n/a")</f>
        <v/>
      </c>
      <c r="L27" t="inlineStr"/>
      <c r="M27" t="inlineStr">
        <is>
          <t>https://web.archive.org/web/20250115165501/https://nebius.com/prices</t>
        </is>
      </c>
      <c r="N27" t="inlineStr">
        <is>
          <t>https://web.archive.org/web/20250523205822/https://nebius.com/prices</t>
        </is>
      </c>
    </row>
    <row r="28">
      <c r="A28" t="inlineStr">
        <is>
          <t>E8</t>
        </is>
      </c>
      <c r="B28" s="3" t="n">
        <v>45734</v>
      </c>
      <c r="C28" t="inlineStr">
        <is>
          <t>Azure ND GB200 v6 + GCP A4 (B200) GA</t>
        </is>
      </c>
      <c r="D28" t="inlineStr">
        <is>
          <t>Lambda</t>
        </is>
      </c>
      <c r="E28" t="inlineStr">
        <is>
          <t>H100</t>
        </is>
      </c>
      <c r="F28" t="inlineStr">
        <is>
          <t>prior gen</t>
        </is>
      </c>
      <c r="G28" t="inlineStr">
        <is>
          <t>2025-01-01</t>
        </is>
      </c>
      <c r="H28" t="n">
        <v>2.99</v>
      </c>
      <c r="I28" t="inlineStr">
        <is>
          <t>2025-06-16</t>
        </is>
      </c>
      <c r="J28" t="n">
        <v>2.99</v>
      </c>
      <c r="K28" s="5">
        <f>IF(AND(ISNUMBER(H28),ISNUMBER(J28),L28=""),J28/H28-1,"n/a")</f>
        <v/>
      </c>
      <c r="L28" t="inlineStr"/>
      <c r="M28" t="inlineStr">
        <is>
          <t>https://web.archive.org/web/20250101080209/https://lambdalabs.com/service/gpu-cloud</t>
        </is>
      </c>
      <c r="N28" t="inlineStr">
        <is>
          <t>https://web.archive.org/web/20250616213050/https://lambda.ai/service/gpu-cloud</t>
        </is>
      </c>
    </row>
    <row r="29">
      <c r="A29" t="inlineStr">
        <is>
          <t>E8</t>
        </is>
      </c>
      <c r="B29" s="3" t="n">
        <v>45734</v>
      </c>
      <c r="C29" t="inlineStr">
        <is>
          <t>Azure ND GB200 v6 + GCP A4 (B200) GA</t>
        </is>
      </c>
      <c r="D29" t="inlineStr">
        <is>
          <t>CoreWeave</t>
        </is>
      </c>
      <c r="E29" t="inlineStr">
        <is>
          <t>H100</t>
        </is>
      </c>
      <c r="F29" t="inlineStr">
        <is>
          <t>prior gen</t>
        </is>
      </c>
      <c r="G29" t="inlineStr">
        <is>
          <t>2025-01-01</t>
        </is>
      </c>
      <c r="H29" t="n">
        <v>6.155</v>
      </c>
      <c r="I29" t="inlineStr">
        <is>
          <t>2025-06-09</t>
        </is>
      </c>
      <c r="J29" t="n">
        <v>6.155</v>
      </c>
      <c r="K29" s="5">
        <f>IF(AND(ISNUMBER(H29),ISNUMBER(J29),L29=""),J29/H29-1,"n/a")</f>
        <v/>
      </c>
      <c r="L29" t="inlineStr"/>
      <c r="M29" t="inlineStr">
        <is>
          <t>https://web.archive.org/web/20250101002525/https://www.coreweave.com/pricing</t>
        </is>
      </c>
      <c r="N29" t="inlineStr">
        <is>
          <t>https://web.archive.org/web/20250609162833/https://coreweave.com/pricing</t>
        </is>
      </c>
    </row>
    <row r="30">
      <c r="A30" t="inlineStr">
        <is>
          <t>E9</t>
        </is>
      </c>
      <c r="B30" s="3" t="n">
        <v>45792</v>
      </c>
      <c r="C30" t="inlineStr">
        <is>
          <t>AWS P6-B200 GA</t>
        </is>
      </c>
      <c r="D30" t="inlineStr">
        <is>
          <t>Nebius</t>
        </is>
      </c>
      <c r="E30" t="inlineStr">
        <is>
          <t>B200</t>
        </is>
      </c>
      <c r="F30" t="inlineStr">
        <is>
          <t>same chip</t>
        </is>
      </c>
      <c r="G30" t="inlineStr">
        <is>
          <t>not observed</t>
        </is>
      </c>
      <c r="H30" t="inlineStr">
        <is>
          <t>not observed</t>
        </is>
      </c>
      <c r="I30" t="inlineStr">
        <is>
          <t>2025-07-25</t>
        </is>
      </c>
      <c r="J30" t="n">
        <v>5.5</v>
      </c>
      <c r="K30" s="5">
        <f>IF(AND(ISNUMBER(H30),ISNUMBER(J30),L30=""),J30/H30-1,"n/a")</f>
        <v/>
      </c>
      <c r="L30" t="inlineStr"/>
      <c r="M30" t="inlineStr"/>
      <c r="N30" t="inlineStr">
        <is>
          <t>https://web.archive.org/web/20250725080908/https://nebius.com/prices</t>
        </is>
      </c>
    </row>
    <row r="31">
      <c r="A31" t="inlineStr">
        <is>
          <t>E9</t>
        </is>
      </c>
      <c r="B31" s="3" t="n">
        <v>45792</v>
      </c>
      <c r="C31" t="inlineStr">
        <is>
          <t>AWS P6-B200 GA</t>
        </is>
      </c>
      <c r="D31" t="inlineStr">
        <is>
          <t>CoreWeave</t>
        </is>
      </c>
      <c r="E31" t="inlineStr">
        <is>
          <t>B200</t>
        </is>
      </c>
      <c r="F31" t="inlineStr">
        <is>
          <t>same chip</t>
        </is>
      </c>
      <c r="G31" t="inlineStr">
        <is>
          <t>not observed</t>
        </is>
      </c>
      <c r="H31" t="inlineStr">
        <is>
          <t>not observed</t>
        </is>
      </c>
      <c r="I31" t="inlineStr">
        <is>
          <t>2025-08-07</t>
        </is>
      </c>
      <c r="J31" t="n">
        <v>8.6</v>
      </c>
      <c r="K31" s="5">
        <f>IF(AND(ISNUMBER(H31),ISNUMBER(J31),L31=""),J31/H31-1,"n/a")</f>
        <v/>
      </c>
      <c r="L31" t="inlineStr"/>
      <c r="M31" t="inlineStr"/>
      <c r="N31" t="inlineStr">
        <is>
          <t>https://web.archive.org/web/20250807194512/https://coreweave.com/pricing</t>
        </is>
      </c>
    </row>
    <row r="32">
      <c r="A32" t="inlineStr">
        <is>
          <t>E9</t>
        </is>
      </c>
      <c r="B32" s="3" t="n">
        <v>45792</v>
      </c>
      <c r="C32" t="inlineStr">
        <is>
          <t>AWS P6-B200 GA</t>
        </is>
      </c>
      <c r="D32" t="inlineStr">
        <is>
          <t>Nebius</t>
        </is>
      </c>
      <c r="E32" t="inlineStr">
        <is>
          <t>H200</t>
        </is>
      </c>
      <c r="F32" t="inlineStr">
        <is>
          <t>prior gen</t>
        </is>
      </c>
      <c r="G32" t="inlineStr">
        <is>
          <t>2025-03-05</t>
        </is>
      </c>
      <c r="H32" t="n">
        <v>3.5</v>
      </c>
      <c r="I32" t="inlineStr">
        <is>
          <t>2025-07-25</t>
        </is>
      </c>
      <c r="J32" t="n">
        <v>3.5</v>
      </c>
      <c r="K32" s="5">
        <f>IF(AND(ISNUMBER(H32),ISNUMBER(J32),L32=""),J32/H32-1,"n/a")</f>
        <v/>
      </c>
      <c r="L32" t="inlineStr"/>
      <c r="M32" t="inlineStr">
        <is>
          <t>https://web.archive.org/web/20250305221703/https://nebius.com/prices</t>
        </is>
      </c>
      <c r="N32" t="inlineStr">
        <is>
          <t>https://web.archive.org/web/20250725080908/https://nebius.com/prices</t>
        </is>
      </c>
    </row>
    <row r="33">
      <c r="A33" t="inlineStr">
        <is>
          <t>E9</t>
        </is>
      </c>
      <c r="B33" s="3" t="n">
        <v>45792</v>
      </c>
      <c r="C33" t="inlineStr">
        <is>
          <t>AWS P6-B200 GA</t>
        </is>
      </c>
      <c r="D33" t="inlineStr">
        <is>
          <t>CoreWeave</t>
        </is>
      </c>
      <c r="E33" t="inlineStr">
        <is>
          <t>H200</t>
        </is>
      </c>
      <c r="F33" t="inlineStr">
        <is>
          <t>prior gen</t>
        </is>
      </c>
      <c r="G33" t="inlineStr">
        <is>
          <t>2025-03-05</t>
        </is>
      </c>
      <c r="H33" t="n">
        <v>6.305</v>
      </c>
      <c r="I33" t="inlineStr">
        <is>
          <t>2025-08-07</t>
        </is>
      </c>
      <c r="J33" t="n">
        <v>6.305</v>
      </c>
      <c r="K33" s="5">
        <f>IF(AND(ISNUMBER(H33),ISNUMBER(J33),L33=""),J33/H33-1,"n/a")</f>
        <v/>
      </c>
      <c r="L33" t="inlineStr"/>
      <c r="M33" t="inlineStr">
        <is>
          <t>https://web.archive.org/web/20250305013810/https://www.coreweave.com/pricing</t>
        </is>
      </c>
      <c r="N33" t="inlineStr">
        <is>
          <t>https://web.archive.org/web/20250807194512/https://coreweave.com/pricing</t>
        </is>
      </c>
    </row>
    <row r="34">
      <c r="A34" t="inlineStr">
        <is>
          <t>E9</t>
        </is>
      </c>
      <c r="B34" s="3" t="n">
        <v>45792</v>
      </c>
      <c r="C34" t="inlineStr">
        <is>
          <t>AWS P6-B200 GA</t>
        </is>
      </c>
      <c r="D34" t="inlineStr">
        <is>
          <t>Nebius</t>
        </is>
      </c>
      <c r="E34" t="inlineStr">
        <is>
          <t>H100</t>
        </is>
      </c>
      <c r="F34" t="inlineStr">
        <is>
          <t>prior gen</t>
        </is>
      </c>
      <c r="G34" t="inlineStr">
        <is>
          <t>2025-03-05</t>
        </is>
      </c>
      <c r="H34" t="n">
        <v>2.95</v>
      </c>
      <c r="I34" t="inlineStr">
        <is>
          <t>2025-07-25</t>
        </is>
      </c>
      <c r="J34" t="n">
        <v>2.95</v>
      </c>
      <c r="K34" s="5">
        <f>IF(AND(ISNUMBER(H34),ISNUMBER(J34),L34=""),J34/H34-1,"n/a")</f>
        <v/>
      </c>
      <c r="L34" t="inlineStr"/>
      <c r="M34" t="inlineStr">
        <is>
          <t>https://web.archive.org/web/20250305221703/https://nebius.com/prices</t>
        </is>
      </c>
      <c r="N34" t="inlineStr">
        <is>
          <t>https://web.archive.org/web/20250725080908/https://nebius.com/prices</t>
        </is>
      </c>
    </row>
    <row r="35">
      <c r="A35" t="inlineStr">
        <is>
          <t>E9</t>
        </is>
      </c>
      <c r="B35" s="3" t="n">
        <v>45792</v>
      </c>
      <c r="C35" t="inlineStr">
        <is>
          <t>AWS P6-B200 GA</t>
        </is>
      </c>
      <c r="D35" t="inlineStr">
        <is>
          <t>Lambda</t>
        </is>
      </c>
      <c r="E35" t="inlineStr">
        <is>
          <t>H100</t>
        </is>
      </c>
      <c r="F35" t="inlineStr">
        <is>
          <t>prior gen</t>
        </is>
      </c>
      <c r="G35" t="inlineStr">
        <is>
          <t>2025-03-28</t>
        </is>
      </c>
      <c r="H35" t="n">
        <v>2.99</v>
      </c>
      <c r="I35" t="inlineStr">
        <is>
          <t>2025-08-12</t>
        </is>
      </c>
      <c r="J35" t="n">
        <v>2.99</v>
      </c>
      <c r="K35" s="5">
        <f>IF(AND(ISNUMBER(H35),ISNUMBER(J35),L35=""),J35/H35-1,"n/a")</f>
        <v/>
      </c>
      <c r="L35" t="inlineStr"/>
      <c r="M35" t="inlineStr">
        <is>
          <t>https://web.archive.org/web/20250328114330/https://lambda.ai/service/gpu-cloud</t>
        </is>
      </c>
      <c r="N35" t="inlineStr">
        <is>
          <t>https://web.archive.org/web/20250812162642/https://lambda.ai/pricing</t>
        </is>
      </c>
    </row>
    <row r="36">
      <c r="A36" t="inlineStr">
        <is>
          <t>E9</t>
        </is>
      </c>
      <c r="B36" s="3" t="n">
        <v>45792</v>
      </c>
      <c r="C36" t="inlineStr">
        <is>
          <t>AWS P6-B200 GA</t>
        </is>
      </c>
      <c r="D36" t="inlineStr">
        <is>
          <t>CoreWeave</t>
        </is>
      </c>
      <c r="E36" t="inlineStr">
        <is>
          <t>H100</t>
        </is>
      </c>
      <c r="F36" t="inlineStr">
        <is>
          <t>prior gen</t>
        </is>
      </c>
      <c r="G36" t="inlineStr">
        <is>
          <t>2025-03-05</t>
        </is>
      </c>
      <c r="H36" t="n">
        <v>6.155</v>
      </c>
      <c r="I36" t="inlineStr">
        <is>
          <t>2025-08-07</t>
        </is>
      </c>
      <c r="J36" t="n">
        <v>6.155</v>
      </c>
      <c r="K36" s="5">
        <f>IF(AND(ISNUMBER(H36),ISNUMBER(J36),L36=""),J36/H36-1,"n/a")</f>
        <v/>
      </c>
      <c r="L36" t="inlineStr"/>
      <c r="M36" t="inlineStr">
        <is>
          <t>https://web.archive.org/web/20250305013810/https://www.coreweave.com/pricing</t>
        </is>
      </c>
      <c r="N36" t="inlineStr">
        <is>
          <t>https://web.archive.org/web/20250807194512/https://coreweave.com/pricing</t>
        </is>
      </c>
    </row>
    <row r="37">
      <c r="A37" t="inlineStr">
        <is>
          <t>E10</t>
        </is>
      </c>
      <c r="B37" s="3" t="n">
        <v>45806</v>
      </c>
      <c r="C37" t="inlineStr">
        <is>
          <t>GCP A4X (GB200) GA</t>
        </is>
      </c>
      <c r="D37" t="inlineStr">
        <is>
          <t>CoreWeave</t>
        </is>
      </c>
      <c r="E37" t="inlineStr">
        <is>
          <t>GB200 NVL72</t>
        </is>
      </c>
      <c r="F37" t="inlineStr">
        <is>
          <t>same chip</t>
        </is>
      </c>
      <c r="G37" t="inlineStr">
        <is>
          <t>2025-03-05</t>
        </is>
      </c>
      <c r="H37" t="n">
        <v>10.5</v>
      </c>
      <c r="I37" t="inlineStr">
        <is>
          <t>2025-08-07</t>
        </is>
      </c>
      <c r="J37" t="n">
        <v>10.5</v>
      </c>
      <c r="K37" s="5">
        <f>IF(AND(ISNUMBER(H37),ISNUMBER(J37),L37=""),J37/H37-1,"n/a")</f>
        <v/>
      </c>
      <c r="L37" t="inlineStr"/>
      <c r="M37" t="inlineStr">
        <is>
          <t>https://web.archive.org/web/20250305013810/https://www.coreweave.com/pricing</t>
        </is>
      </c>
      <c r="N37" t="inlineStr">
        <is>
          <t>https://web.archive.org/web/20250807194512/https://coreweave.com/pricing</t>
        </is>
      </c>
    </row>
    <row r="38">
      <c r="A38" t="inlineStr">
        <is>
          <t>E10</t>
        </is>
      </c>
      <c r="B38" s="3" t="n">
        <v>45806</v>
      </c>
      <c r="C38" t="inlineStr">
        <is>
          <t>GCP A4X (GB200) GA</t>
        </is>
      </c>
      <c r="D38" t="inlineStr">
        <is>
          <t>Nebius</t>
        </is>
      </c>
      <c r="E38" t="inlineStr">
        <is>
          <t>B200</t>
        </is>
      </c>
      <c r="F38" t="inlineStr">
        <is>
          <t>prior gen</t>
        </is>
      </c>
      <c r="G38" t="inlineStr">
        <is>
          <t>not observed</t>
        </is>
      </c>
      <c r="H38" t="inlineStr">
        <is>
          <t>not observed</t>
        </is>
      </c>
      <c r="I38" t="inlineStr">
        <is>
          <t>2025-08-26</t>
        </is>
      </c>
      <c r="J38" t="n">
        <v>5.5</v>
      </c>
      <c r="K38" s="5">
        <f>IF(AND(ISNUMBER(H38),ISNUMBER(J38),L38=""),J38/H38-1,"n/a")</f>
        <v/>
      </c>
      <c r="L38" t="inlineStr"/>
      <c r="M38" t="inlineStr"/>
      <c r="N38" t="inlineStr">
        <is>
          <t>https://web.archive.org/web/20250826162436/https://nebius.com/prices</t>
        </is>
      </c>
    </row>
    <row r="39">
      <c r="A39" t="inlineStr">
        <is>
          <t>E10</t>
        </is>
      </c>
      <c r="B39" s="3" t="n">
        <v>45806</v>
      </c>
      <c r="C39" t="inlineStr">
        <is>
          <t>GCP A4X (GB200) GA</t>
        </is>
      </c>
      <c r="D39" t="inlineStr">
        <is>
          <t>CoreWeave</t>
        </is>
      </c>
      <c r="E39" t="inlineStr">
        <is>
          <t>B200</t>
        </is>
      </c>
      <c r="F39" t="inlineStr">
        <is>
          <t>prior gen</t>
        </is>
      </c>
      <c r="G39" t="inlineStr">
        <is>
          <t>not observed</t>
        </is>
      </c>
      <c r="H39" t="inlineStr">
        <is>
          <t>not observed</t>
        </is>
      </c>
      <c r="I39" t="inlineStr">
        <is>
          <t>2025-08-07</t>
        </is>
      </c>
      <c r="J39" t="n">
        <v>8.6</v>
      </c>
      <c r="K39" s="5">
        <f>IF(AND(ISNUMBER(H39),ISNUMBER(J39),L39=""),J39/H39-1,"n/a")</f>
        <v/>
      </c>
      <c r="L39" t="inlineStr"/>
      <c r="M39" t="inlineStr"/>
      <c r="N39" t="inlineStr">
        <is>
          <t>https://web.archive.org/web/20250807194512/https://coreweave.com/pricing</t>
        </is>
      </c>
    </row>
    <row r="40">
      <c r="A40" t="inlineStr">
        <is>
          <t>E10</t>
        </is>
      </c>
      <c r="B40" s="3" t="n">
        <v>45806</v>
      </c>
      <c r="C40" t="inlineStr">
        <is>
          <t>GCP A4X (GB200) GA</t>
        </is>
      </c>
      <c r="D40" t="inlineStr">
        <is>
          <t>Nebius</t>
        </is>
      </c>
      <c r="E40" t="inlineStr">
        <is>
          <t>H200</t>
        </is>
      </c>
      <c r="F40" t="inlineStr">
        <is>
          <t>prior gen</t>
        </is>
      </c>
      <c r="G40" t="inlineStr">
        <is>
          <t>2025-04-01</t>
        </is>
      </c>
      <c r="H40" t="n">
        <v>3.5</v>
      </c>
      <c r="I40" t="inlineStr">
        <is>
          <t>2025-08-26</t>
        </is>
      </c>
      <c r="J40" t="n">
        <v>3.5</v>
      </c>
      <c r="K40" s="5">
        <f>IF(AND(ISNUMBER(H40),ISNUMBER(J40),L40=""),J40/H40-1,"n/a")</f>
        <v/>
      </c>
      <c r="L40" t="inlineStr"/>
      <c r="M40" t="inlineStr">
        <is>
          <t>https://web.archive.org/web/20250401024008/https://nebius.com/prices</t>
        </is>
      </c>
      <c r="N40" t="inlineStr">
        <is>
          <t>https://web.archive.org/web/20250826162436/https://nebius.com/prices</t>
        </is>
      </c>
    </row>
    <row r="41">
      <c r="A41" t="inlineStr">
        <is>
          <t>E10</t>
        </is>
      </c>
      <c r="B41" s="3" t="n">
        <v>45806</v>
      </c>
      <c r="C41" t="inlineStr">
        <is>
          <t>GCP A4X (GB200) GA</t>
        </is>
      </c>
      <c r="D41" t="inlineStr">
        <is>
          <t>CoreWeave</t>
        </is>
      </c>
      <c r="E41" t="inlineStr">
        <is>
          <t>H200</t>
        </is>
      </c>
      <c r="F41" t="inlineStr">
        <is>
          <t>prior gen</t>
        </is>
      </c>
      <c r="G41" t="inlineStr">
        <is>
          <t>2025-03-05</t>
        </is>
      </c>
      <c r="H41" t="n">
        <v>6.305</v>
      </c>
      <c r="I41" t="inlineStr">
        <is>
          <t>2025-08-07</t>
        </is>
      </c>
      <c r="J41" t="n">
        <v>6.305</v>
      </c>
      <c r="K41" s="5">
        <f>IF(AND(ISNUMBER(H41),ISNUMBER(J41),L41=""),J41/H41-1,"n/a")</f>
        <v/>
      </c>
      <c r="L41" t="inlineStr"/>
      <c r="M41" t="inlineStr">
        <is>
          <t>https://web.archive.org/web/20250305013810/https://www.coreweave.com/pricing</t>
        </is>
      </c>
      <c r="N41" t="inlineStr">
        <is>
          <t>https://web.archive.org/web/20250807194512/https://coreweave.com/pricing</t>
        </is>
      </c>
    </row>
    <row r="42">
      <c r="A42" t="inlineStr">
        <is>
          <t>E10</t>
        </is>
      </c>
      <c r="B42" s="3" t="n">
        <v>45806</v>
      </c>
      <c r="C42" t="inlineStr">
        <is>
          <t>GCP A4X (GB200) GA</t>
        </is>
      </c>
      <c r="D42" t="inlineStr">
        <is>
          <t>Nebius</t>
        </is>
      </c>
      <c r="E42" t="inlineStr">
        <is>
          <t>H100</t>
        </is>
      </c>
      <c r="F42" t="inlineStr">
        <is>
          <t>prior gen</t>
        </is>
      </c>
      <c r="G42" t="inlineStr">
        <is>
          <t>2025-04-01</t>
        </is>
      </c>
      <c r="H42" t="n">
        <v>2.95</v>
      </c>
      <c r="I42" t="inlineStr">
        <is>
          <t>2025-08-26</t>
        </is>
      </c>
      <c r="J42" t="n">
        <v>2.95</v>
      </c>
      <c r="K42" s="5">
        <f>IF(AND(ISNUMBER(H42),ISNUMBER(J42),L42=""),J42/H42-1,"n/a")</f>
        <v/>
      </c>
      <c r="L42" t="inlineStr"/>
      <c r="M42" t="inlineStr">
        <is>
          <t>https://web.archive.org/web/20250401024008/https://nebius.com/prices</t>
        </is>
      </c>
      <c r="N42" t="inlineStr">
        <is>
          <t>https://web.archive.org/web/20250826162436/https://nebius.com/prices</t>
        </is>
      </c>
    </row>
    <row r="43">
      <c r="A43" t="inlineStr">
        <is>
          <t>E10</t>
        </is>
      </c>
      <c r="B43" s="3" t="n">
        <v>45806</v>
      </c>
      <c r="C43" t="inlineStr">
        <is>
          <t>GCP A4X (GB200) GA</t>
        </is>
      </c>
      <c r="D43" t="inlineStr">
        <is>
          <t>Lambda</t>
        </is>
      </c>
      <c r="E43" t="inlineStr">
        <is>
          <t>H100</t>
        </is>
      </c>
      <c r="F43" t="inlineStr">
        <is>
          <t>prior gen</t>
        </is>
      </c>
      <c r="G43" t="inlineStr">
        <is>
          <t>2025-04-07</t>
        </is>
      </c>
      <c r="H43" t="n">
        <v>2.99</v>
      </c>
      <c r="I43" t="inlineStr">
        <is>
          <t>2025-08-12</t>
        </is>
      </c>
      <c r="J43" t="n">
        <v>2.99</v>
      </c>
      <c r="K43" s="5">
        <f>IF(AND(ISNUMBER(H43),ISNUMBER(J43),L43=""),J43/H43-1,"n/a")</f>
        <v/>
      </c>
      <c r="L43" t="inlineStr"/>
      <c r="M43" t="inlineStr">
        <is>
          <t>https://web.archive.org/web/20250407203919/https://lambda.ai/service/gpu-cloud</t>
        </is>
      </c>
      <c r="N43" t="inlineStr">
        <is>
          <t>https://web.archive.org/web/20250812162642/https://lambda.ai/pricing</t>
        </is>
      </c>
    </row>
    <row r="44">
      <c r="A44" t="inlineStr">
        <is>
          <t>E10</t>
        </is>
      </c>
      <c r="B44" s="3" t="n">
        <v>45806</v>
      </c>
      <c r="C44" t="inlineStr">
        <is>
          <t>GCP A4X (GB200) GA</t>
        </is>
      </c>
      <c r="D44" t="inlineStr">
        <is>
          <t>CoreWeave</t>
        </is>
      </c>
      <c r="E44" t="inlineStr">
        <is>
          <t>H100</t>
        </is>
      </c>
      <c r="F44" t="inlineStr">
        <is>
          <t>prior gen</t>
        </is>
      </c>
      <c r="G44" t="inlineStr">
        <is>
          <t>2025-03-05</t>
        </is>
      </c>
      <c r="H44" t="n">
        <v>6.155</v>
      </c>
      <c r="I44" t="inlineStr">
        <is>
          <t>2025-08-07</t>
        </is>
      </c>
      <c r="J44" t="n">
        <v>6.155</v>
      </c>
      <c r="K44" s="5">
        <f>IF(AND(ISNUMBER(H44),ISNUMBER(J44),L44=""),J44/H44-1,"n/a")</f>
        <v/>
      </c>
      <c r="L44" t="inlineStr"/>
      <c r="M44" t="inlineStr">
        <is>
          <t>https://web.archive.org/web/20250305013810/https://www.coreweave.com/pricing</t>
        </is>
      </c>
      <c r="N44" t="inlineStr">
        <is>
          <t>https://web.archive.org/web/20250807194512/https://coreweave.com/pricing</t>
        </is>
      </c>
    </row>
    <row r="45">
      <c r="A45" t="inlineStr">
        <is>
          <t>E11</t>
        </is>
      </c>
      <c r="B45" s="3" t="n">
        <v>45809</v>
      </c>
      <c r="C45" t="inlineStr">
        <is>
          <t>AWS on-demand cut: P5 -44%, P5en -25%, P4d -33%</t>
        </is>
      </c>
      <c r="D45" t="inlineStr">
        <is>
          <t>Nebius</t>
        </is>
      </c>
      <c r="E45" t="inlineStr">
        <is>
          <t>H100</t>
        </is>
      </c>
      <c r="F45" t="inlineStr">
        <is>
          <t>same chip</t>
        </is>
      </c>
      <c r="G45" t="inlineStr">
        <is>
          <t>2025-04-01</t>
        </is>
      </c>
      <c r="H45" t="n">
        <v>2.95</v>
      </c>
      <c r="I45" t="inlineStr">
        <is>
          <t>2025-08-26</t>
        </is>
      </c>
      <c r="J45" t="n">
        <v>2.95</v>
      </c>
      <c r="K45" s="5">
        <f>IF(AND(ISNUMBER(H45),ISNUMBER(J45),L45=""),J45/H45-1,"n/a")</f>
        <v/>
      </c>
      <c r="L45" t="inlineStr"/>
      <c r="M45" t="inlineStr">
        <is>
          <t>https://web.archive.org/web/20250401024008/https://nebius.com/prices</t>
        </is>
      </c>
      <c r="N45" t="inlineStr">
        <is>
          <t>https://web.archive.org/web/20250826162436/https://nebius.com/prices</t>
        </is>
      </c>
    </row>
    <row r="46">
      <c r="A46" t="inlineStr">
        <is>
          <t>E11</t>
        </is>
      </c>
      <c r="B46" s="3" t="n">
        <v>45809</v>
      </c>
      <c r="C46" t="inlineStr">
        <is>
          <t>AWS on-demand cut: P5 -44%, P5en -25%, P4d -33%</t>
        </is>
      </c>
      <c r="D46" t="inlineStr">
        <is>
          <t>Lambda</t>
        </is>
      </c>
      <c r="E46" t="inlineStr">
        <is>
          <t>H100</t>
        </is>
      </c>
      <c r="F46" t="inlineStr">
        <is>
          <t>same chip</t>
        </is>
      </c>
      <c r="G46" t="inlineStr">
        <is>
          <t>2025-04-07</t>
        </is>
      </c>
      <c r="H46" t="n">
        <v>2.99</v>
      </c>
      <c r="I46" t="inlineStr">
        <is>
          <t>2025-08-12</t>
        </is>
      </c>
      <c r="J46" t="n">
        <v>2.99</v>
      </c>
      <c r="K46" s="5">
        <f>IF(AND(ISNUMBER(H46),ISNUMBER(J46),L46=""),J46/H46-1,"n/a")</f>
        <v/>
      </c>
      <c r="L46" t="inlineStr"/>
      <c r="M46" t="inlineStr">
        <is>
          <t>https://web.archive.org/web/20250407203919/https://lambda.ai/service/gpu-cloud</t>
        </is>
      </c>
      <c r="N46" t="inlineStr">
        <is>
          <t>https://web.archive.org/web/20250812162642/https://lambda.ai/pricing</t>
        </is>
      </c>
    </row>
    <row r="47">
      <c r="A47" t="inlineStr">
        <is>
          <t>E11</t>
        </is>
      </c>
      <c r="B47" s="3" t="n">
        <v>45809</v>
      </c>
      <c r="C47" t="inlineStr">
        <is>
          <t>AWS on-demand cut: P5 -44%, P5en -25%, P4d -33%</t>
        </is>
      </c>
      <c r="D47" t="inlineStr">
        <is>
          <t>CoreWeave</t>
        </is>
      </c>
      <c r="E47" t="inlineStr">
        <is>
          <t>H100</t>
        </is>
      </c>
      <c r="F47" t="inlineStr">
        <is>
          <t>same chip</t>
        </is>
      </c>
      <c r="G47" t="inlineStr">
        <is>
          <t>2025-04-16</t>
        </is>
      </c>
      <c r="H47" t="n">
        <v>6.155</v>
      </c>
      <c r="I47" t="inlineStr">
        <is>
          <t>2025-08-07</t>
        </is>
      </c>
      <c r="J47" t="n">
        <v>6.155</v>
      </c>
      <c r="K47" s="5">
        <f>IF(AND(ISNUMBER(H47),ISNUMBER(J47),L47=""),J47/H47-1,"n/a")</f>
        <v/>
      </c>
      <c r="L47" t="inlineStr"/>
      <c r="M47" t="inlineStr">
        <is>
          <t>https://web.archive.org/web/20250416205610/https://coreweave.com/pricing</t>
        </is>
      </c>
      <c r="N47" t="inlineStr">
        <is>
          <t>https://web.archive.org/web/20250807194512/https://coreweave.com/pricing</t>
        </is>
      </c>
    </row>
    <row r="48">
      <c r="A48" t="inlineStr">
        <is>
          <t>E12</t>
        </is>
      </c>
      <c r="B48" s="3" t="n">
        <v>45847</v>
      </c>
      <c r="C48" t="inlineStr">
        <is>
          <t>AWS P6e-GB200 GA</t>
        </is>
      </c>
      <c r="D48" t="inlineStr">
        <is>
          <t>CoreWeave</t>
        </is>
      </c>
      <c r="E48" t="inlineStr">
        <is>
          <t>GB200 NVL72</t>
        </is>
      </c>
      <c r="F48" t="inlineStr">
        <is>
          <t>same chip</t>
        </is>
      </c>
      <c r="G48" t="inlineStr">
        <is>
          <t>2025-05-11</t>
        </is>
      </c>
      <c r="H48" t="n">
        <v>10.5</v>
      </c>
      <c r="I48" t="inlineStr">
        <is>
          <t>2025-10-03</t>
        </is>
      </c>
      <c r="J48" t="n">
        <v>10.5</v>
      </c>
      <c r="K48" s="5">
        <f>IF(AND(ISNUMBER(H48),ISNUMBER(J48),L48=""),J48/H48-1,"n/a")</f>
        <v/>
      </c>
      <c r="L48" t="inlineStr"/>
      <c r="M48" t="inlineStr">
        <is>
          <t>https://web.archive.org/web/20250511175459/https://coreweave.com/pricing</t>
        </is>
      </c>
      <c r="N48" t="inlineStr">
        <is>
          <t>https://web.archive.org/web/20251003103002/https://www.coreweave.com/pricing</t>
        </is>
      </c>
    </row>
    <row r="49">
      <c r="A49" t="inlineStr">
        <is>
          <t>E12</t>
        </is>
      </c>
      <c r="B49" s="3" t="n">
        <v>45847</v>
      </c>
      <c r="C49" t="inlineStr">
        <is>
          <t>AWS P6e-GB200 GA</t>
        </is>
      </c>
      <c r="D49" t="inlineStr">
        <is>
          <t>Nebius</t>
        </is>
      </c>
      <c r="E49" t="inlineStr">
        <is>
          <t>B200</t>
        </is>
      </c>
      <c r="F49" t="inlineStr">
        <is>
          <t>prior gen</t>
        </is>
      </c>
      <c r="G49" t="inlineStr">
        <is>
          <t>not observed</t>
        </is>
      </c>
      <c r="H49" t="inlineStr">
        <is>
          <t>not observed</t>
        </is>
      </c>
      <c r="I49" t="inlineStr">
        <is>
          <t>2025-09-17</t>
        </is>
      </c>
      <c r="J49" t="n">
        <v>5.5</v>
      </c>
      <c r="K49" s="5">
        <f>IF(AND(ISNUMBER(H49),ISNUMBER(J49),L49=""),J49/H49-1,"n/a")</f>
        <v/>
      </c>
      <c r="L49" t="inlineStr"/>
      <c r="M49" t="inlineStr"/>
      <c r="N49" t="inlineStr">
        <is>
          <t>https://web.archive.org/web/20250917222344/https://nebius.com/prices</t>
        </is>
      </c>
    </row>
    <row r="50">
      <c r="A50" t="inlineStr">
        <is>
          <t>E12</t>
        </is>
      </c>
      <c r="B50" s="3" t="n">
        <v>45847</v>
      </c>
      <c r="C50" t="inlineStr">
        <is>
          <t>AWS P6e-GB200 GA</t>
        </is>
      </c>
      <c r="D50" t="inlineStr">
        <is>
          <t>Lambda</t>
        </is>
      </c>
      <c r="E50" t="inlineStr">
        <is>
          <t>B200</t>
        </is>
      </c>
      <c r="F50" t="inlineStr">
        <is>
          <t>prior gen</t>
        </is>
      </c>
      <c r="G50" t="inlineStr">
        <is>
          <t>not observed</t>
        </is>
      </c>
      <c r="H50" t="inlineStr">
        <is>
          <t>not observed</t>
        </is>
      </c>
      <c r="I50" t="inlineStr">
        <is>
          <t>2025-09-11</t>
        </is>
      </c>
      <c r="J50" t="n">
        <v>4.99</v>
      </c>
      <c r="K50" s="5">
        <f>IF(AND(ISNUMBER(H50),ISNUMBER(J50),L50=""),J50/H50-1,"n/a")</f>
        <v/>
      </c>
      <c r="L50" t="inlineStr"/>
      <c r="M50" t="inlineStr"/>
      <c r="N50" t="inlineStr">
        <is>
          <t>https://web.archive.org/web/20250911191244/https://lambda.ai/pricing</t>
        </is>
      </c>
    </row>
    <row r="51">
      <c r="A51" t="inlineStr">
        <is>
          <t>E12</t>
        </is>
      </c>
      <c r="B51" s="3" t="n">
        <v>45847</v>
      </c>
      <c r="C51" t="inlineStr">
        <is>
          <t>AWS P6e-GB200 GA</t>
        </is>
      </c>
      <c r="D51" t="inlineStr">
        <is>
          <t>CoreWeave</t>
        </is>
      </c>
      <c r="E51" t="inlineStr">
        <is>
          <t>B200</t>
        </is>
      </c>
      <c r="F51" t="inlineStr">
        <is>
          <t>prior gen</t>
        </is>
      </c>
      <c r="G51" t="inlineStr">
        <is>
          <t>not observed</t>
        </is>
      </c>
      <c r="H51" t="inlineStr">
        <is>
          <t>not observed</t>
        </is>
      </c>
      <c r="I51" t="inlineStr">
        <is>
          <t>2025-10-03</t>
        </is>
      </c>
      <c r="J51" t="n">
        <v>8.6</v>
      </c>
      <c r="K51" s="5">
        <f>IF(AND(ISNUMBER(H51),ISNUMBER(J51),L51=""),J51/H51-1,"n/a")</f>
        <v/>
      </c>
      <c r="L51" t="inlineStr"/>
      <c r="M51" t="inlineStr"/>
      <c r="N51" t="inlineStr">
        <is>
          <t>https://web.archive.org/web/20251003103002/https://www.coreweave.com/pricing</t>
        </is>
      </c>
    </row>
    <row r="52">
      <c r="A52" t="inlineStr">
        <is>
          <t>E12</t>
        </is>
      </c>
      <c r="B52" s="3" t="n">
        <v>45847</v>
      </c>
      <c r="C52" t="inlineStr">
        <is>
          <t>AWS P6e-GB200 GA</t>
        </is>
      </c>
      <c r="D52" t="inlineStr">
        <is>
          <t>Nebius</t>
        </is>
      </c>
      <c r="E52" t="inlineStr">
        <is>
          <t>H200</t>
        </is>
      </c>
      <c r="F52" t="inlineStr">
        <is>
          <t>prior gen</t>
        </is>
      </c>
      <c r="G52" t="inlineStr">
        <is>
          <t>2025-05-23</t>
        </is>
      </c>
      <c r="H52" t="n">
        <v>3.5</v>
      </c>
      <c r="I52" t="inlineStr">
        <is>
          <t>2025-09-17</t>
        </is>
      </c>
      <c r="J52" t="n">
        <v>3.5</v>
      </c>
      <c r="K52" s="5">
        <f>IF(AND(ISNUMBER(H52),ISNUMBER(J52),L52=""),J52/H52-1,"n/a")</f>
        <v/>
      </c>
      <c r="L52" t="inlineStr"/>
      <c r="M52" t="inlineStr">
        <is>
          <t>https://web.archive.org/web/20250523205822/https://nebius.com/prices</t>
        </is>
      </c>
      <c r="N52" t="inlineStr">
        <is>
          <t>https://web.archive.org/web/20250917222344/https://nebius.com/prices</t>
        </is>
      </c>
    </row>
    <row r="53">
      <c r="A53" t="inlineStr">
        <is>
          <t>E12</t>
        </is>
      </c>
      <c r="B53" s="3" t="n">
        <v>45847</v>
      </c>
      <c r="C53" t="inlineStr">
        <is>
          <t>AWS P6e-GB200 GA</t>
        </is>
      </c>
      <c r="D53" t="inlineStr">
        <is>
          <t>CoreWeave</t>
        </is>
      </c>
      <c r="E53" t="inlineStr">
        <is>
          <t>H200</t>
        </is>
      </c>
      <c r="F53" t="inlineStr">
        <is>
          <t>prior gen</t>
        </is>
      </c>
      <c r="G53" t="inlineStr">
        <is>
          <t>2025-05-11</t>
        </is>
      </c>
      <c r="H53" t="n">
        <v>6.305</v>
      </c>
      <c r="I53" t="inlineStr">
        <is>
          <t>2025-10-03</t>
        </is>
      </c>
      <c r="J53" t="n">
        <v>6.305</v>
      </c>
      <c r="K53" s="5">
        <f>IF(AND(ISNUMBER(H53),ISNUMBER(J53),L53=""),J53/H53-1,"n/a")</f>
        <v/>
      </c>
      <c r="L53" t="inlineStr"/>
      <c r="M53" t="inlineStr">
        <is>
          <t>https://web.archive.org/web/20250511175459/https://coreweave.com/pricing</t>
        </is>
      </c>
      <c r="N53" t="inlineStr">
        <is>
          <t>https://web.archive.org/web/20251003103002/https://www.coreweave.com/pricing</t>
        </is>
      </c>
    </row>
    <row r="54">
      <c r="A54" t="inlineStr">
        <is>
          <t>E12</t>
        </is>
      </c>
      <c r="B54" s="3" t="n">
        <v>45847</v>
      </c>
      <c r="C54" t="inlineStr">
        <is>
          <t>AWS P6e-GB200 GA</t>
        </is>
      </c>
      <c r="D54" t="inlineStr">
        <is>
          <t>Nebius</t>
        </is>
      </c>
      <c r="E54" t="inlineStr">
        <is>
          <t>H100</t>
        </is>
      </c>
      <c r="F54" t="inlineStr">
        <is>
          <t>prior gen</t>
        </is>
      </c>
      <c r="G54" t="inlineStr">
        <is>
          <t>2025-05-23</t>
        </is>
      </c>
      <c r="H54" t="n">
        <v>2.95</v>
      </c>
      <c r="I54" t="inlineStr">
        <is>
          <t>2025-09-17</t>
        </is>
      </c>
      <c r="J54" t="n">
        <v>2.95</v>
      </c>
      <c r="K54" s="5">
        <f>IF(AND(ISNUMBER(H54),ISNUMBER(J54),L54=""),J54/H54-1,"n/a")</f>
        <v/>
      </c>
      <c r="L54" t="inlineStr"/>
      <c r="M54" t="inlineStr">
        <is>
          <t>https://web.archive.org/web/20250523205822/https://nebius.com/prices</t>
        </is>
      </c>
      <c r="N54" t="inlineStr">
        <is>
          <t>https://web.archive.org/web/20250917222344/https://nebius.com/prices</t>
        </is>
      </c>
    </row>
    <row r="55">
      <c r="A55" t="inlineStr">
        <is>
          <t>E12</t>
        </is>
      </c>
      <c r="B55" s="3" t="n">
        <v>45847</v>
      </c>
      <c r="C55" t="inlineStr">
        <is>
          <t>AWS P6e-GB200 GA</t>
        </is>
      </c>
      <c r="D55" t="inlineStr">
        <is>
          <t>Lambda</t>
        </is>
      </c>
      <c r="E55" t="inlineStr">
        <is>
          <t>H100</t>
        </is>
      </c>
      <c r="F55" t="inlineStr">
        <is>
          <t>prior gen</t>
        </is>
      </c>
      <c r="G55" t="inlineStr">
        <is>
          <t>2025-05-05</t>
        </is>
      </c>
      <c r="H55" t="n">
        <v>2.99</v>
      </c>
      <c r="I55" t="inlineStr">
        <is>
          <t>2025-09-11</t>
        </is>
      </c>
      <c r="J55" t="n">
        <v>2.99</v>
      </c>
      <c r="K55" s="5">
        <f>IF(AND(ISNUMBER(H55),ISNUMBER(J55),L55=""),J55/H55-1,"n/a")</f>
        <v/>
      </c>
      <c r="L55" t="inlineStr"/>
      <c r="M55" t="inlineStr">
        <is>
          <t>https://web.archive.org/web/20250505010805/https://lambda.ai/service/gpu-cloud</t>
        </is>
      </c>
      <c r="N55" t="inlineStr">
        <is>
          <t>https://web.archive.org/web/20250911191244/https://lambda.ai/pricing</t>
        </is>
      </c>
    </row>
    <row r="56">
      <c r="A56" t="inlineStr">
        <is>
          <t>E12</t>
        </is>
      </c>
      <c r="B56" s="3" t="n">
        <v>45847</v>
      </c>
      <c r="C56" t="inlineStr">
        <is>
          <t>AWS P6e-GB200 GA</t>
        </is>
      </c>
      <c r="D56" t="inlineStr">
        <is>
          <t>CoreWeave</t>
        </is>
      </c>
      <c r="E56" t="inlineStr">
        <is>
          <t>H100</t>
        </is>
      </c>
      <c r="F56" t="inlineStr">
        <is>
          <t>prior gen</t>
        </is>
      </c>
      <c r="G56" t="inlineStr">
        <is>
          <t>2025-05-11</t>
        </is>
      </c>
      <c r="H56" t="n">
        <v>6.155</v>
      </c>
      <c r="I56" t="inlineStr">
        <is>
          <t>2025-10-03</t>
        </is>
      </c>
      <c r="J56" t="n">
        <v>6.155</v>
      </c>
      <c r="K56" s="5">
        <f>IF(AND(ISNUMBER(H56),ISNUMBER(J56),L56=""),J56/H56-1,"n/a")</f>
        <v/>
      </c>
      <c r="L56" t="inlineStr"/>
      <c r="M56" t="inlineStr">
        <is>
          <t>https://web.archive.org/web/20250511175459/https://coreweave.com/pricing</t>
        </is>
      </c>
      <c r="N56" t="inlineStr">
        <is>
          <t>https://web.archive.org/web/20251003103002/https://www.coreweave.com/pricing</t>
        </is>
      </c>
    </row>
    <row r="57"/>
    <row r="58">
      <c r="A58" s="9" t="inlineStr">
        <is>
          <t>Summary (Derived, live):</t>
        </is>
      </c>
    </row>
    <row r="59">
      <c r="A59" t="inlineStr">
        <is>
          <t>measurable pairs, all events</t>
        </is>
      </c>
      <c r="B59">
        <f>COUNT(K3:K56)</f>
        <v/>
      </c>
    </row>
    <row r="60">
      <c r="A60" t="inlineStr">
        <is>
          <t>pairs with a step-DOWN &lt;= -5%</t>
        </is>
      </c>
      <c r="B60">
        <f>COUNTIF(K3:K56,"&lt;=-0.05")</f>
        <v/>
      </c>
    </row>
    <row r="61">
      <c r="A61" t="inlineStr">
        <is>
          <t>measurable pairs, 2025 events (E7-E12)</t>
        </is>
      </c>
      <c r="B61">
        <f>SUMPRODUCT((B3:B56&gt;=DATE(2025,1,1))*ISNUMBER(K3:K56))</f>
        <v/>
      </c>
    </row>
    <row r="62">
      <c r="A62" t="inlineStr">
        <is>
          <t>step-downs &lt;= -5%, 2025 events</t>
        </is>
      </c>
      <c r="B62">
        <f>SUMPRODUCT((B3:B56&gt;=DATE(2025,1,1))*ISNUMBER(K3:K56)*(N(+K3:K56)&lt;=-0.05))</f>
        <v/>
      </c>
    </row>
    <row r="63">
      <c r="A63" t="inlineStr">
        <is>
          <t>Read: the only step-downs (Nebius H100 -39%, Lambda H100 -14%) fall in the Aug-Nov 2024 H200 wave and hit the PRIOR generation. That wave was also a period of broad H100 supply loosening, so this is correlation, not proof that hyperscaler entry caused it. 2023 H100 entries: no pre-event neocloud captures (not observed).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70" customWidth="1" min="3" max="3"/>
    <col width="12" customWidth="1" min="4" max="4"/>
    <col width="14" customWidth="1" min="5" max="5"/>
    <col width="14" customWidth="1" min="6" max="6"/>
    <col width="10" customWidth="1" min="7" max="7"/>
    <col width="12" customWidth="1" min="8" max="8"/>
    <col width="12" customWidth="1" min="9" max="9"/>
  </cols>
  <sheetData>
    <row r="1">
      <c r="A1" s="9" t="inlineStr">
        <is>
          <t>Value of an N-month head start: excess premium earned in the first N months as a share of the GPU's lifetime revenue</t>
        </is>
      </c>
    </row>
    <row r="2">
      <c r="A2" s="2" t="inlineStr">
        <is>
          <t>input</t>
        </is>
      </c>
      <c r="B2" s="2" t="inlineStr">
        <is>
          <t>value</t>
        </is>
      </c>
      <c r="C2" s="2" t="inlineStr">
        <is>
          <t>source / tag</t>
        </is>
      </c>
    </row>
    <row r="3">
      <c r="A3" t="inlineStr">
        <is>
          <t>Launch premium over steady state, pi0</t>
        </is>
      </c>
      <c r="B3" s="10">
        <f>S1_Decay!J3</f>
        <v/>
      </c>
      <c r="C3" t="inlineStr">
        <is>
          <t>Derived: Nebius H100 $4.85 vs $2.95 trough (link to S1_Decay)</t>
        </is>
      </c>
    </row>
    <row r="4">
      <c r="A4" t="inlineStr">
        <is>
          <t>Premium half-life (months)</t>
        </is>
      </c>
      <c r="B4" s="6">
        <f>S1_Decay!I3</f>
        <v/>
      </c>
      <c r="C4" t="inlineStr">
        <is>
          <t>Derived: Nebius H100 (link)</t>
        </is>
      </c>
    </row>
    <row r="5">
      <c r="A5" t="inlineStr">
        <is>
          <t>Head-start N (months)</t>
        </is>
      </c>
      <c r="B5" s="11" t="n">
        <v>3</v>
      </c>
      <c r="C5" t="inlineStr">
        <is>
          <t>Input. Note: Nebius actual head start vs first neocloud is NEGATIVE (S1_Timeline)</t>
        </is>
      </c>
    </row>
    <row r="6">
      <c r="A6" t="inlineStr">
        <is>
          <t>GPU economic/book life (months)</t>
        </is>
      </c>
      <c r="B6" s="11" t="n">
        <v>48</v>
      </c>
      <c r="C6" t="inlineStr">
        <is>
          <t>Nebius 20-F: GPUs depreciated over 4 years (servers/network extended to 5y from 2026-01-01)</t>
        </is>
      </c>
    </row>
    <row r="7">
      <c r="A7" t="inlineStr">
        <is>
          <t>Steady-state price $/GPU-hr</t>
        </is>
      </c>
      <c r="B7" s="12">
        <f>S1_Decay!E3</f>
        <v/>
      </c>
      <c r="C7" t="inlineStr">
        <is>
          <t>Derived: Nebius H100 trough (link)</t>
        </is>
      </c>
    </row>
    <row r="8">
      <c r="A8" t="inlineStr">
        <is>
          <t>Utilization</t>
        </is>
      </c>
      <c r="B8" s="13" t="n">
        <v>0.7</v>
      </c>
      <c r="C8" t="inlineStr">
        <is>
          <t>Estimated: Mercatus worked example uses 70% (https://www.mercatus-ai.com/blog/h100-resale-value)</t>
        </is>
      </c>
    </row>
    <row r="9">
      <c r="A9" t="inlineStr">
        <is>
          <t>Hours per month</t>
        </is>
      </c>
      <c r="B9" t="n">
        <v>730</v>
      </c>
      <c r="C9" t="inlineStr">
        <is>
          <t>8760/12</t>
        </is>
      </c>
    </row>
    <row r="10">
      <c r="A10" t="inlineStr">
        <is>
          <t>Annual discount rate</t>
        </is>
      </c>
      <c r="B10" s="13" t="n">
        <v>0.12</v>
      </c>
      <c r="C10" t="inlineStr">
        <is>
          <t>Estimated: illustrative equity-like rate for GPU cash flows (sensitivity only)</t>
        </is>
      </c>
    </row>
    <row r="11">
      <c r="A11" t="inlineStr">
        <is>
          <t>Share of the generation's Nebius fleet online during the head-start window, f</t>
        </is>
      </c>
      <c r="B11" s="13" t="n">
        <v>0.15</v>
      </c>
      <c r="C11" t="inlineStr">
        <is>
          <t>Estimated, illustrative: early-window cohort as a share of the generation's eventual fleet. Not disclosed. Change freely.</t>
        </is>
      </c>
    </row>
    <row r="12">
      <c r="A12" t="inlineStr">
        <is>
          <t>Monthly decay factor q</t>
        </is>
      </c>
      <c r="B12" s="14">
        <f>0.5^(1/B4)</f>
        <v/>
      </c>
      <c r="C12" t="inlineStr">
        <is>
          <t>Derived</t>
        </is>
      </c>
    </row>
    <row r="13"/>
    <row r="14">
      <c r="A14" s="9" t="inlineStr">
        <is>
          <t>OUTPUTS (Derived)</t>
        </is>
      </c>
    </row>
    <row r="15">
      <c r="A15" t="inlineStr">
        <is>
          <t>Per-GPU: excess premium in window / lifetime revenue (undiscounted)</t>
        </is>
      </c>
      <c r="B15" s="15">
        <f>SUM(F30:F149)/SUM(E30:E149)</f>
        <v/>
      </c>
    </row>
    <row r="16">
      <c r="A16" t="inlineStr">
        <is>
          <t>Per-GPU: same, discounted (PV)</t>
        </is>
      </c>
      <c r="B16" s="15">
        <f>SUM(I30:I149)/SUM(H30:H149)</f>
        <v/>
      </c>
    </row>
    <row r="17">
      <c r="A17" t="inlineStr">
        <is>
          <t>Per-GPU excess PV $</t>
        </is>
      </c>
      <c r="B17" s="16">
        <f>SUM(I30:I149)</f>
        <v/>
      </c>
    </row>
    <row r="18">
      <c r="A18" t="inlineStr">
        <is>
          <t>Per-GPU lifetime revenue PV $</t>
        </is>
      </c>
      <c r="B18" s="16">
        <f>SUM(H30:H149)</f>
        <v/>
      </c>
    </row>
    <row r="19">
      <c r="A19" t="inlineStr">
        <is>
          <t>Fleet-level (x f): head-start value as share of the generation's lifetime revenue (PV)</t>
        </is>
      </c>
      <c r="B19" s="15">
        <f>B16*B11</f>
        <v/>
      </c>
    </row>
    <row r="20"/>
    <row r="21">
      <c r="A21" s="9" t="inlineStr">
        <is>
          <t>Sensitivity (undiscounted, per GPU): rows = pi0, cols = N months; uses B4 half-life and B6 life</t>
        </is>
      </c>
    </row>
    <row r="22">
      <c r="A22" t="inlineStr">
        <is>
          <t>pi0 \ N</t>
        </is>
      </c>
      <c r="B22" t="n">
        <v>1</v>
      </c>
      <c r="C22" t="n">
        <v>3</v>
      </c>
      <c r="D22" t="n">
        <v>6</v>
      </c>
      <c r="E22" t="n">
        <v>12</v>
      </c>
    </row>
    <row r="23">
      <c r="A23" s="17" t="n">
        <v>0.2</v>
      </c>
      <c r="B23" s="10">
        <f>($A23*(1-$B$12^B$22)/(1-$B$12))/($B$6+$A23*(1-$B$12^$B$6)/(1-$B$12))</f>
        <v/>
      </c>
      <c r="C23" s="10">
        <f>($A23*(1-$B$12^C$22)/(1-$B$12))/($B$6+$A23*(1-$B$12^$B$6)/(1-$B$12))</f>
        <v/>
      </c>
      <c r="D23" s="10">
        <f>($A23*(1-$B$12^D$22)/(1-$B$12))/($B$6+$A23*(1-$B$12^$B$6)/(1-$B$12))</f>
        <v/>
      </c>
      <c r="E23" s="10">
        <f>($A23*(1-$B$12^E$22)/(1-$B$12))/($B$6+$A23*(1-$B$12^$B$6)/(1-$B$12))</f>
        <v/>
      </c>
    </row>
    <row r="24">
      <c r="A24" s="17" t="n">
        <v>0.4</v>
      </c>
      <c r="B24" s="10">
        <f>($A24*(1-$B$12^B$22)/(1-$B$12))/($B$6+$A24*(1-$B$12^$B$6)/(1-$B$12))</f>
        <v/>
      </c>
      <c r="C24" s="10">
        <f>($A24*(1-$B$12^C$22)/(1-$B$12))/($B$6+$A24*(1-$B$12^$B$6)/(1-$B$12))</f>
        <v/>
      </c>
      <c r="D24" s="10">
        <f>($A24*(1-$B$12^D$22)/(1-$B$12))/($B$6+$A24*(1-$B$12^$B$6)/(1-$B$12))</f>
        <v/>
      </c>
      <c r="E24" s="10">
        <f>($A24*(1-$B$12^E$22)/(1-$B$12))/($B$6+$A24*(1-$B$12^$B$6)/(1-$B$12))</f>
        <v/>
      </c>
    </row>
    <row r="25">
      <c r="A25" s="17" t="n">
        <v>0.64</v>
      </c>
      <c r="B25" s="10">
        <f>($A25*(1-$B$12^B$22)/(1-$B$12))/($B$6+$A25*(1-$B$12^$B$6)/(1-$B$12))</f>
        <v/>
      </c>
      <c r="C25" s="10">
        <f>($A25*(1-$B$12^C$22)/(1-$B$12))/($B$6+$A25*(1-$B$12^$B$6)/(1-$B$12))</f>
        <v/>
      </c>
      <c r="D25" s="10">
        <f>($A25*(1-$B$12^D$22)/(1-$B$12))/($B$6+$A25*(1-$B$12^$B$6)/(1-$B$12))</f>
        <v/>
      </c>
      <c r="E25" s="10">
        <f>($A25*(1-$B$12^E$22)/(1-$B$12))/($B$6+$A25*(1-$B$12^$B$6)/(1-$B$12))</f>
        <v/>
      </c>
    </row>
    <row r="26">
      <c r="A26" s="17" t="n">
        <v>1</v>
      </c>
      <c r="B26" s="10">
        <f>($A26*(1-$B$12^B$22)/(1-$B$12))/($B$6+$A26*(1-$B$12^$B$6)/(1-$B$12))</f>
        <v/>
      </c>
      <c r="C26" s="10">
        <f>($A26*(1-$B$12^C$22)/(1-$B$12))/($B$6+$A26*(1-$B$12^$B$6)/(1-$B$12))</f>
        <v/>
      </c>
      <c r="D26" s="10">
        <f>($A26*(1-$B$12^D$22)/(1-$B$12))/($B$6+$A26*(1-$B$12^$B$6)/(1-$B$12))</f>
        <v/>
      </c>
      <c r="E26" s="10">
        <f>($A26*(1-$B$12^E$22)/(1-$B$12))/($B$6+$A26*(1-$B$12^$B$6)/(1-$B$12))</f>
        <v/>
      </c>
    </row>
    <row r="28">
      <c r="A28" t="inlineStr">
        <is>
          <t>Monthly table (Derived)</t>
        </is>
      </c>
    </row>
    <row r="29">
      <c r="A29" s="2" t="inlineStr">
        <is>
          <t>month t</t>
        </is>
      </c>
      <c r="B29" s="2" t="inlineStr">
        <is>
          <t>premium pi(t)</t>
        </is>
      </c>
      <c r="C29" s="2" t="inlineStr">
        <is>
          <t>price $/GPU-hr</t>
        </is>
      </c>
      <c r="D29" s="2" t="inlineStr">
        <is>
          <t>in head-start window?</t>
        </is>
      </c>
      <c r="E29" s="2" t="inlineStr">
        <is>
          <t>revenue $ (if t&lt;life)</t>
        </is>
      </c>
      <c r="F29" s="2" t="inlineStr">
        <is>
          <t>excess premium $ (window only)</t>
        </is>
      </c>
      <c r="G29" s="2" t="inlineStr">
        <is>
          <t>discount factor</t>
        </is>
      </c>
      <c r="H29" s="2" t="inlineStr">
        <is>
          <t>PV revenue</t>
        </is>
      </c>
      <c r="I29" s="2" t="inlineStr">
        <is>
          <t>PV excess</t>
        </is>
      </c>
    </row>
    <row r="30">
      <c r="A30" t="n">
        <v>0</v>
      </c>
      <c r="B30" s="10">
        <f>$B$3*$B$12^A30</f>
        <v/>
      </c>
      <c r="C30" s="12">
        <f>$B$7*(1+B30)</f>
        <v/>
      </c>
      <c r="D30">
        <f>A30&lt;$B$5</f>
        <v/>
      </c>
      <c r="E30" s="16">
        <f>IF(A30&lt;$B$6,C30*$B$8*$B$9,0)</f>
        <v/>
      </c>
      <c r="F30" s="16">
        <f>IF(AND(D30,A30&lt;$B$6),$B$7*B30*$B$8*$B$9,0)</f>
        <v/>
      </c>
      <c r="G30">
        <f>1/(1+$B$10)^(A30/12)</f>
        <v/>
      </c>
      <c r="H30" s="16">
        <f>E30*G30</f>
        <v/>
      </c>
      <c r="I30" s="16">
        <f>F30*G30</f>
        <v/>
      </c>
    </row>
    <row r="31">
      <c r="A31" t="n">
        <v>1</v>
      </c>
      <c r="B31" s="10">
        <f>$B$3*$B$12^A31</f>
        <v/>
      </c>
      <c r="C31" s="12">
        <f>$B$7*(1+B31)</f>
        <v/>
      </c>
      <c r="D31">
        <f>A31&lt;$B$5</f>
        <v/>
      </c>
      <c r="E31" s="16">
        <f>IF(A31&lt;$B$6,C31*$B$8*$B$9,0)</f>
        <v/>
      </c>
      <c r="F31" s="16">
        <f>IF(AND(D31,A31&lt;$B$6),$B$7*B31*$B$8*$B$9,0)</f>
        <v/>
      </c>
      <c r="G31">
        <f>1/(1+$B$10)^(A31/12)</f>
        <v/>
      </c>
      <c r="H31" s="16">
        <f>E31*G31</f>
        <v/>
      </c>
      <c r="I31" s="16">
        <f>F31*G31</f>
        <v/>
      </c>
    </row>
    <row r="32">
      <c r="A32" t="n">
        <v>2</v>
      </c>
      <c r="B32" s="10">
        <f>$B$3*$B$12^A32</f>
        <v/>
      </c>
      <c r="C32" s="12">
        <f>$B$7*(1+B32)</f>
        <v/>
      </c>
      <c r="D32">
        <f>A32&lt;$B$5</f>
        <v/>
      </c>
      <c r="E32" s="16">
        <f>IF(A32&lt;$B$6,C32*$B$8*$B$9,0)</f>
        <v/>
      </c>
      <c r="F32" s="16">
        <f>IF(AND(D32,A32&lt;$B$6),$B$7*B32*$B$8*$B$9,0)</f>
        <v/>
      </c>
      <c r="G32">
        <f>1/(1+$B$10)^(A32/12)</f>
        <v/>
      </c>
      <c r="H32" s="16">
        <f>E32*G32</f>
        <v/>
      </c>
      <c r="I32" s="16">
        <f>F32*G32</f>
        <v/>
      </c>
    </row>
    <row r="33">
      <c r="A33" t="n">
        <v>3</v>
      </c>
      <c r="B33" s="10">
        <f>$B$3*$B$12^A33</f>
        <v/>
      </c>
      <c r="C33" s="12">
        <f>$B$7*(1+B33)</f>
        <v/>
      </c>
      <c r="D33">
        <f>A33&lt;$B$5</f>
        <v/>
      </c>
      <c r="E33" s="16">
        <f>IF(A33&lt;$B$6,C33*$B$8*$B$9,0)</f>
        <v/>
      </c>
      <c r="F33" s="16">
        <f>IF(AND(D33,A33&lt;$B$6),$B$7*B33*$B$8*$B$9,0)</f>
        <v/>
      </c>
      <c r="G33">
        <f>1/(1+$B$10)^(A33/12)</f>
        <v/>
      </c>
      <c r="H33" s="16">
        <f>E33*G33</f>
        <v/>
      </c>
      <c r="I33" s="16">
        <f>F33*G33</f>
        <v/>
      </c>
    </row>
    <row r="34">
      <c r="A34" t="n">
        <v>4</v>
      </c>
      <c r="B34" s="10">
        <f>$B$3*$B$12^A34</f>
        <v/>
      </c>
      <c r="C34" s="12">
        <f>$B$7*(1+B34)</f>
        <v/>
      </c>
      <c r="D34">
        <f>A34&lt;$B$5</f>
        <v/>
      </c>
      <c r="E34" s="16">
        <f>IF(A34&lt;$B$6,C34*$B$8*$B$9,0)</f>
        <v/>
      </c>
      <c r="F34" s="16">
        <f>IF(AND(D34,A34&lt;$B$6),$B$7*B34*$B$8*$B$9,0)</f>
        <v/>
      </c>
      <c r="G34">
        <f>1/(1+$B$10)^(A34/12)</f>
        <v/>
      </c>
      <c r="H34" s="16">
        <f>E34*G34</f>
        <v/>
      </c>
      <c r="I34" s="16">
        <f>F34*G34</f>
        <v/>
      </c>
    </row>
    <row r="35">
      <c r="A35" t="n">
        <v>5</v>
      </c>
      <c r="B35" s="10">
        <f>$B$3*$B$12^A35</f>
        <v/>
      </c>
      <c r="C35" s="12">
        <f>$B$7*(1+B35)</f>
        <v/>
      </c>
      <c r="D35">
        <f>A35&lt;$B$5</f>
        <v/>
      </c>
      <c r="E35" s="16">
        <f>IF(A35&lt;$B$6,C35*$B$8*$B$9,0)</f>
        <v/>
      </c>
      <c r="F35" s="16">
        <f>IF(AND(D35,A35&lt;$B$6),$B$7*B35*$B$8*$B$9,0)</f>
        <v/>
      </c>
      <c r="G35">
        <f>1/(1+$B$10)^(A35/12)</f>
        <v/>
      </c>
      <c r="H35" s="16">
        <f>E35*G35</f>
        <v/>
      </c>
      <c r="I35" s="16">
        <f>F35*G35</f>
        <v/>
      </c>
    </row>
    <row r="36">
      <c r="A36" t="n">
        <v>6</v>
      </c>
      <c r="B36" s="10">
        <f>$B$3*$B$12^A36</f>
        <v/>
      </c>
      <c r="C36" s="12">
        <f>$B$7*(1+B36)</f>
        <v/>
      </c>
      <c r="D36">
        <f>A36&lt;$B$5</f>
        <v/>
      </c>
      <c r="E36" s="16">
        <f>IF(A36&lt;$B$6,C36*$B$8*$B$9,0)</f>
        <v/>
      </c>
      <c r="F36" s="16">
        <f>IF(AND(D36,A36&lt;$B$6),$B$7*B36*$B$8*$B$9,0)</f>
        <v/>
      </c>
      <c r="G36">
        <f>1/(1+$B$10)^(A36/12)</f>
        <v/>
      </c>
      <c r="H36" s="16">
        <f>E36*G36</f>
        <v/>
      </c>
      <c r="I36" s="16">
        <f>F36*G36</f>
        <v/>
      </c>
    </row>
    <row r="37">
      <c r="A37" t="n">
        <v>7</v>
      </c>
      <c r="B37" s="10">
        <f>$B$3*$B$12^A37</f>
        <v/>
      </c>
      <c r="C37" s="12">
        <f>$B$7*(1+B37)</f>
        <v/>
      </c>
      <c r="D37">
        <f>A37&lt;$B$5</f>
        <v/>
      </c>
      <c r="E37" s="16">
        <f>IF(A37&lt;$B$6,C37*$B$8*$B$9,0)</f>
        <v/>
      </c>
      <c r="F37" s="16">
        <f>IF(AND(D37,A37&lt;$B$6),$B$7*B37*$B$8*$B$9,0)</f>
        <v/>
      </c>
      <c r="G37">
        <f>1/(1+$B$10)^(A37/12)</f>
        <v/>
      </c>
      <c r="H37" s="16">
        <f>E37*G37</f>
        <v/>
      </c>
      <c r="I37" s="16">
        <f>F37*G37</f>
        <v/>
      </c>
    </row>
    <row r="38">
      <c r="A38" t="n">
        <v>8</v>
      </c>
      <c r="B38" s="10">
        <f>$B$3*$B$12^A38</f>
        <v/>
      </c>
      <c r="C38" s="12">
        <f>$B$7*(1+B38)</f>
        <v/>
      </c>
      <c r="D38">
        <f>A38&lt;$B$5</f>
        <v/>
      </c>
      <c r="E38" s="16">
        <f>IF(A38&lt;$B$6,C38*$B$8*$B$9,0)</f>
        <v/>
      </c>
      <c r="F38" s="16">
        <f>IF(AND(D38,A38&lt;$B$6),$B$7*B38*$B$8*$B$9,0)</f>
        <v/>
      </c>
      <c r="G38">
        <f>1/(1+$B$10)^(A38/12)</f>
        <v/>
      </c>
      <c r="H38" s="16">
        <f>E38*G38</f>
        <v/>
      </c>
      <c r="I38" s="16">
        <f>F38*G38</f>
        <v/>
      </c>
    </row>
    <row r="39">
      <c r="A39" t="n">
        <v>9</v>
      </c>
      <c r="B39" s="10">
        <f>$B$3*$B$12^A39</f>
        <v/>
      </c>
      <c r="C39" s="12">
        <f>$B$7*(1+B39)</f>
        <v/>
      </c>
      <c r="D39">
        <f>A39&lt;$B$5</f>
        <v/>
      </c>
      <c r="E39" s="16">
        <f>IF(A39&lt;$B$6,C39*$B$8*$B$9,0)</f>
        <v/>
      </c>
      <c r="F39" s="16">
        <f>IF(AND(D39,A39&lt;$B$6),$B$7*B39*$B$8*$B$9,0)</f>
        <v/>
      </c>
      <c r="G39">
        <f>1/(1+$B$10)^(A39/12)</f>
        <v/>
      </c>
      <c r="H39" s="16">
        <f>E39*G39</f>
        <v/>
      </c>
      <c r="I39" s="16">
        <f>F39*G39</f>
        <v/>
      </c>
    </row>
    <row r="40">
      <c r="A40" t="n">
        <v>10</v>
      </c>
      <c r="B40" s="10">
        <f>$B$3*$B$12^A40</f>
        <v/>
      </c>
      <c r="C40" s="12">
        <f>$B$7*(1+B40)</f>
        <v/>
      </c>
      <c r="D40">
        <f>A40&lt;$B$5</f>
        <v/>
      </c>
      <c r="E40" s="16">
        <f>IF(A40&lt;$B$6,C40*$B$8*$B$9,0)</f>
        <v/>
      </c>
      <c r="F40" s="16">
        <f>IF(AND(D40,A40&lt;$B$6),$B$7*B40*$B$8*$B$9,0)</f>
        <v/>
      </c>
      <c r="G40">
        <f>1/(1+$B$10)^(A40/12)</f>
        <v/>
      </c>
      <c r="H40" s="16">
        <f>E40*G40</f>
        <v/>
      </c>
      <c r="I40" s="16">
        <f>F40*G40</f>
        <v/>
      </c>
    </row>
    <row r="41">
      <c r="A41" t="n">
        <v>11</v>
      </c>
      <c r="B41" s="10">
        <f>$B$3*$B$12^A41</f>
        <v/>
      </c>
      <c r="C41" s="12">
        <f>$B$7*(1+B41)</f>
        <v/>
      </c>
      <c r="D41">
        <f>A41&lt;$B$5</f>
        <v/>
      </c>
      <c r="E41" s="16">
        <f>IF(A41&lt;$B$6,C41*$B$8*$B$9,0)</f>
        <v/>
      </c>
      <c r="F41" s="16">
        <f>IF(AND(D41,A41&lt;$B$6),$B$7*B41*$B$8*$B$9,0)</f>
        <v/>
      </c>
      <c r="G41">
        <f>1/(1+$B$10)^(A41/12)</f>
        <v/>
      </c>
      <c r="H41" s="16">
        <f>E41*G41</f>
        <v/>
      </c>
      <c r="I41" s="16">
        <f>F41*G41</f>
        <v/>
      </c>
    </row>
    <row r="42">
      <c r="A42" t="n">
        <v>12</v>
      </c>
      <c r="B42" s="10">
        <f>$B$3*$B$12^A42</f>
        <v/>
      </c>
      <c r="C42" s="12">
        <f>$B$7*(1+B42)</f>
        <v/>
      </c>
      <c r="D42">
        <f>A42&lt;$B$5</f>
        <v/>
      </c>
      <c r="E42" s="16">
        <f>IF(A42&lt;$B$6,C42*$B$8*$B$9,0)</f>
        <v/>
      </c>
      <c r="F42" s="16">
        <f>IF(AND(D42,A42&lt;$B$6),$B$7*B42*$B$8*$B$9,0)</f>
        <v/>
      </c>
      <c r="G42">
        <f>1/(1+$B$10)^(A42/12)</f>
        <v/>
      </c>
      <c r="H42" s="16">
        <f>E42*G42</f>
        <v/>
      </c>
      <c r="I42" s="16">
        <f>F42*G42</f>
        <v/>
      </c>
    </row>
    <row r="43">
      <c r="A43" t="n">
        <v>13</v>
      </c>
      <c r="B43" s="10">
        <f>$B$3*$B$12^A43</f>
        <v/>
      </c>
      <c r="C43" s="12">
        <f>$B$7*(1+B43)</f>
        <v/>
      </c>
      <c r="D43">
        <f>A43&lt;$B$5</f>
        <v/>
      </c>
      <c r="E43" s="16">
        <f>IF(A43&lt;$B$6,C43*$B$8*$B$9,0)</f>
        <v/>
      </c>
      <c r="F43" s="16">
        <f>IF(AND(D43,A43&lt;$B$6),$B$7*B43*$B$8*$B$9,0)</f>
        <v/>
      </c>
      <c r="G43">
        <f>1/(1+$B$10)^(A43/12)</f>
        <v/>
      </c>
      <c r="H43" s="16">
        <f>E43*G43</f>
        <v/>
      </c>
      <c r="I43" s="16">
        <f>F43*G43</f>
        <v/>
      </c>
    </row>
    <row r="44">
      <c r="A44" t="n">
        <v>14</v>
      </c>
      <c r="B44" s="10">
        <f>$B$3*$B$12^A44</f>
        <v/>
      </c>
      <c r="C44" s="12">
        <f>$B$7*(1+B44)</f>
        <v/>
      </c>
      <c r="D44">
        <f>A44&lt;$B$5</f>
        <v/>
      </c>
      <c r="E44" s="16">
        <f>IF(A44&lt;$B$6,C44*$B$8*$B$9,0)</f>
        <v/>
      </c>
      <c r="F44" s="16">
        <f>IF(AND(D44,A44&lt;$B$6),$B$7*B44*$B$8*$B$9,0)</f>
        <v/>
      </c>
      <c r="G44">
        <f>1/(1+$B$10)^(A44/12)</f>
        <v/>
      </c>
      <c r="H44" s="16">
        <f>E44*G44</f>
        <v/>
      </c>
      <c r="I44" s="16">
        <f>F44*G44</f>
        <v/>
      </c>
    </row>
    <row r="45">
      <c r="A45" t="n">
        <v>15</v>
      </c>
      <c r="B45" s="10">
        <f>$B$3*$B$12^A45</f>
        <v/>
      </c>
      <c r="C45" s="12">
        <f>$B$7*(1+B45)</f>
        <v/>
      </c>
      <c r="D45">
        <f>A45&lt;$B$5</f>
        <v/>
      </c>
      <c r="E45" s="16">
        <f>IF(A45&lt;$B$6,C45*$B$8*$B$9,0)</f>
        <v/>
      </c>
      <c r="F45" s="16">
        <f>IF(AND(D45,A45&lt;$B$6),$B$7*B45*$B$8*$B$9,0)</f>
        <v/>
      </c>
      <c r="G45">
        <f>1/(1+$B$10)^(A45/12)</f>
        <v/>
      </c>
      <c r="H45" s="16">
        <f>E45*G45</f>
        <v/>
      </c>
      <c r="I45" s="16">
        <f>F45*G45</f>
        <v/>
      </c>
    </row>
    <row r="46">
      <c r="A46" t="n">
        <v>16</v>
      </c>
      <c r="B46" s="10">
        <f>$B$3*$B$12^A46</f>
        <v/>
      </c>
      <c r="C46" s="12">
        <f>$B$7*(1+B46)</f>
        <v/>
      </c>
      <c r="D46">
        <f>A46&lt;$B$5</f>
        <v/>
      </c>
      <c r="E46" s="16">
        <f>IF(A46&lt;$B$6,C46*$B$8*$B$9,0)</f>
        <v/>
      </c>
      <c r="F46" s="16">
        <f>IF(AND(D46,A46&lt;$B$6),$B$7*B46*$B$8*$B$9,0)</f>
        <v/>
      </c>
      <c r="G46">
        <f>1/(1+$B$10)^(A46/12)</f>
        <v/>
      </c>
      <c r="H46" s="16">
        <f>E46*G46</f>
        <v/>
      </c>
      <c r="I46" s="16">
        <f>F46*G46</f>
        <v/>
      </c>
    </row>
    <row r="47">
      <c r="A47" t="n">
        <v>17</v>
      </c>
      <c r="B47" s="10">
        <f>$B$3*$B$12^A47</f>
        <v/>
      </c>
      <c r="C47" s="12">
        <f>$B$7*(1+B47)</f>
        <v/>
      </c>
      <c r="D47">
        <f>A47&lt;$B$5</f>
        <v/>
      </c>
      <c r="E47" s="16">
        <f>IF(A47&lt;$B$6,C47*$B$8*$B$9,0)</f>
        <v/>
      </c>
      <c r="F47" s="16">
        <f>IF(AND(D47,A47&lt;$B$6),$B$7*B47*$B$8*$B$9,0)</f>
        <v/>
      </c>
      <c r="G47">
        <f>1/(1+$B$10)^(A47/12)</f>
        <v/>
      </c>
      <c r="H47" s="16">
        <f>E47*G47</f>
        <v/>
      </c>
      <c r="I47" s="16">
        <f>F47*G47</f>
        <v/>
      </c>
    </row>
    <row r="48">
      <c r="A48" t="n">
        <v>18</v>
      </c>
      <c r="B48" s="10">
        <f>$B$3*$B$12^A48</f>
        <v/>
      </c>
      <c r="C48" s="12">
        <f>$B$7*(1+B48)</f>
        <v/>
      </c>
      <c r="D48">
        <f>A48&lt;$B$5</f>
        <v/>
      </c>
      <c r="E48" s="16">
        <f>IF(A48&lt;$B$6,C48*$B$8*$B$9,0)</f>
        <v/>
      </c>
      <c r="F48" s="16">
        <f>IF(AND(D48,A48&lt;$B$6),$B$7*B48*$B$8*$B$9,0)</f>
        <v/>
      </c>
      <c r="G48">
        <f>1/(1+$B$10)^(A48/12)</f>
        <v/>
      </c>
      <c r="H48" s="16">
        <f>E48*G48</f>
        <v/>
      </c>
      <c r="I48" s="16">
        <f>F48*G48</f>
        <v/>
      </c>
    </row>
    <row r="49">
      <c r="A49" t="n">
        <v>19</v>
      </c>
      <c r="B49" s="10">
        <f>$B$3*$B$12^A49</f>
        <v/>
      </c>
      <c r="C49" s="12">
        <f>$B$7*(1+B49)</f>
        <v/>
      </c>
      <c r="D49">
        <f>A49&lt;$B$5</f>
        <v/>
      </c>
      <c r="E49" s="16">
        <f>IF(A49&lt;$B$6,C49*$B$8*$B$9,0)</f>
        <v/>
      </c>
      <c r="F49" s="16">
        <f>IF(AND(D49,A49&lt;$B$6),$B$7*B49*$B$8*$B$9,0)</f>
        <v/>
      </c>
      <c r="G49">
        <f>1/(1+$B$10)^(A49/12)</f>
        <v/>
      </c>
      <c r="H49" s="16">
        <f>E49*G49</f>
        <v/>
      </c>
      <c r="I49" s="16">
        <f>F49*G49</f>
        <v/>
      </c>
    </row>
    <row r="50">
      <c r="A50" t="n">
        <v>20</v>
      </c>
      <c r="B50" s="10">
        <f>$B$3*$B$12^A50</f>
        <v/>
      </c>
      <c r="C50" s="12">
        <f>$B$7*(1+B50)</f>
        <v/>
      </c>
      <c r="D50">
        <f>A50&lt;$B$5</f>
        <v/>
      </c>
      <c r="E50" s="16">
        <f>IF(A50&lt;$B$6,C50*$B$8*$B$9,0)</f>
        <v/>
      </c>
      <c r="F50" s="16">
        <f>IF(AND(D50,A50&lt;$B$6),$B$7*B50*$B$8*$B$9,0)</f>
        <v/>
      </c>
      <c r="G50">
        <f>1/(1+$B$10)^(A50/12)</f>
        <v/>
      </c>
      <c r="H50" s="16">
        <f>E50*G50</f>
        <v/>
      </c>
      <c r="I50" s="16">
        <f>F50*G50</f>
        <v/>
      </c>
    </row>
    <row r="51">
      <c r="A51" t="n">
        <v>21</v>
      </c>
      <c r="B51" s="10">
        <f>$B$3*$B$12^A51</f>
        <v/>
      </c>
      <c r="C51" s="12">
        <f>$B$7*(1+B51)</f>
        <v/>
      </c>
      <c r="D51">
        <f>A51&lt;$B$5</f>
        <v/>
      </c>
      <c r="E51" s="16">
        <f>IF(A51&lt;$B$6,C51*$B$8*$B$9,0)</f>
        <v/>
      </c>
      <c r="F51" s="16">
        <f>IF(AND(D51,A51&lt;$B$6),$B$7*B51*$B$8*$B$9,0)</f>
        <v/>
      </c>
      <c r="G51">
        <f>1/(1+$B$10)^(A51/12)</f>
        <v/>
      </c>
      <c r="H51" s="16">
        <f>E51*G51</f>
        <v/>
      </c>
      <c r="I51" s="16">
        <f>F51*G51</f>
        <v/>
      </c>
    </row>
    <row r="52">
      <c r="A52" t="n">
        <v>22</v>
      </c>
      <c r="B52" s="10">
        <f>$B$3*$B$12^A52</f>
        <v/>
      </c>
      <c r="C52" s="12">
        <f>$B$7*(1+B52)</f>
        <v/>
      </c>
      <c r="D52">
        <f>A52&lt;$B$5</f>
        <v/>
      </c>
      <c r="E52" s="16">
        <f>IF(A52&lt;$B$6,C52*$B$8*$B$9,0)</f>
        <v/>
      </c>
      <c r="F52" s="16">
        <f>IF(AND(D52,A52&lt;$B$6),$B$7*B52*$B$8*$B$9,0)</f>
        <v/>
      </c>
      <c r="G52">
        <f>1/(1+$B$10)^(A52/12)</f>
        <v/>
      </c>
      <c r="H52" s="16">
        <f>E52*G52</f>
        <v/>
      </c>
      <c r="I52" s="16">
        <f>F52*G52</f>
        <v/>
      </c>
    </row>
    <row r="53">
      <c r="A53" t="n">
        <v>23</v>
      </c>
      <c r="B53" s="10">
        <f>$B$3*$B$12^A53</f>
        <v/>
      </c>
      <c r="C53" s="12">
        <f>$B$7*(1+B53)</f>
        <v/>
      </c>
      <c r="D53">
        <f>A53&lt;$B$5</f>
        <v/>
      </c>
      <c r="E53" s="16">
        <f>IF(A53&lt;$B$6,C53*$B$8*$B$9,0)</f>
        <v/>
      </c>
      <c r="F53" s="16">
        <f>IF(AND(D53,A53&lt;$B$6),$B$7*B53*$B$8*$B$9,0)</f>
        <v/>
      </c>
      <c r="G53">
        <f>1/(1+$B$10)^(A53/12)</f>
        <v/>
      </c>
      <c r="H53" s="16">
        <f>E53*G53</f>
        <v/>
      </c>
      <c r="I53" s="16">
        <f>F53*G53</f>
        <v/>
      </c>
    </row>
    <row r="54">
      <c r="A54" t="n">
        <v>24</v>
      </c>
      <c r="B54" s="10">
        <f>$B$3*$B$12^A54</f>
        <v/>
      </c>
      <c r="C54" s="12">
        <f>$B$7*(1+B54)</f>
        <v/>
      </c>
      <c r="D54">
        <f>A54&lt;$B$5</f>
        <v/>
      </c>
      <c r="E54" s="16">
        <f>IF(A54&lt;$B$6,C54*$B$8*$B$9,0)</f>
        <v/>
      </c>
      <c r="F54" s="16">
        <f>IF(AND(D54,A54&lt;$B$6),$B$7*B54*$B$8*$B$9,0)</f>
        <v/>
      </c>
      <c r="G54">
        <f>1/(1+$B$10)^(A54/12)</f>
        <v/>
      </c>
      <c r="H54" s="16">
        <f>E54*G54</f>
        <v/>
      </c>
      <c r="I54" s="16">
        <f>F54*G54</f>
        <v/>
      </c>
    </row>
    <row r="55">
      <c r="A55" t="n">
        <v>25</v>
      </c>
      <c r="B55" s="10">
        <f>$B$3*$B$12^A55</f>
        <v/>
      </c>
      <c r="C55" s="12">
        <f>$B$7*(1+B55)</f>
        <v/>
      </c>
      <c r="D55">
        <f>A55&lt;$B$5</f>
        <v/>
      </c>
      <c r="E55" s="16">
        <f>IF(A55&lt;$B$6,C55*$B$8*$B$9,0)</f>
        <v/>
      </c>
      <c r="F55" s="16">
        <f>IF(AND(D55,A55&lt;$B$6),$B$7*B55*$B$8*$B$9,0)</f>
        <v/>
      </c>
      <c r="G55">
        <f>1/(1+$B$10)^(A55/12)</f>
        <v/>
      </c>
      <c r="H55" s="16">
        <f>E55*G55</f>
        <v/>
      </c>
      <c r="I55" s="16">
        <f>F55*G55</f>
        <v/>
      </c>
    </row>
    <row r="56">
      <c r="A56" t="n">
        <v>26</v>
      </c>
      <c r="B56" s="10">
        <f>$B$3*$B$12^A56</f>
        <v/>
      </c>
      <c r="C56" s="12">
        <f>$B$7*(1+B56)</f>
        <v/>
      </c>
      <c r="D56">
        <f>A56&lt;$B$5</f>
        <v/>
      </c>
      <c r="E56" s="16">
        <f>IF(A56&lt;$B$6,C56*$B$8*$B$9,0)</f>
        <v/>
      </c>
      <c r="F56" s="16">
        <f>IF(AND(D56,A56&lt;$B$6),$B$7*B56*$B$8*$B$9,0)</f>
        <v/>
      </c>
      <c r="G56">
        <f>1/(1+$B$10)^(A56/12)</f>
        <v/>
      </c>
      <c r="H56" s="16">
        <f>E56*G56</f>
        <v/>
      </c>
      <c r="I56" s="16">
        <f>F56*G56</f>
        <v/>
      </c>
    </row>
    <row r="57">
      <c r="A57" t="n">
        <v>27</v>
      </c>
      <c r="B57" s="10">
        <f>$B$3*$B$12^A57</f>
        <v/>
      </c>
      <c r="C57" s="12">
        <f>$B$7*(1+B57)</f>
        <v/>
      </c>
      <c r="D57">
        <f>A57&lt;$B$5</f>
        <v/>
      </c>
      <c r="E57" s="16">
        <f>IF(A57&lt;$B$6,C57*$B$8*$B$9,0)</f>
        <v/>
      </c>
      <c r="F57" s="16">
        <f>IF(AND(D57,A57&lt;$B$6),$B$7*B57*$B$8*$B$9,0)</f>
        <v/>
      </c>
      <c r="G57">
        <f>1/(1+$B$10)^(A57/12)</f>
        <v/>
      </c>
      <c r="H57" s="16">
        <f>E57*G57</f>
        <v/>
      </c>
      <c r="I57" s="16">
        <f>F57*G57</f>
        <v/>
      </c>
    </row>
    <row r="58">
      <c r="A58" t="n">
        <v>28</v>
      </c>
      <c r="B58" s="10">
        <f>$B$3*$B$12^A58</f>
        <v/>
      </c>
      <c r="C58" s="12">
        <f>$B$7*(1+B58)</f>
        <v/>
      </c>
      <c r="D58">
        <f>A58&lt;$B$5</f>
        <v/>
      </c>
      <c r="E58" s="16">
        <f>IF(A58&lt;$B$6,C58*$B$8*$B$9,0)</f>
        <v/>
      </c>
      <c r="F58" s="16">
        <f>IF(AND(D58,A58&lt;$B$6),$B$7*B58*$B$8*$B$9,0)</f>
        <v/>
      </c>
      <c r="G58">
        <f>1/(1+$B$10)^(A58/12)</f>
        <v/>
      </c>
      <c r="H58" s="16">
        <f>E58*G58</f>
        <v/>
      </c>
      <c r="I58" s="16">
        <f>F58*G58</f>
        <v/>
      </c>
    </row>
    <row r="59">
      <c r="A59" t="n">
        <v>29</v>
      </c>
      <c r="B59" s="10">
        <f>$B$3*$B$12^A59</f>
        <v/>
      </c>
      <c r="C59" s="12">
        <f>$B$7*(1+B59)</f>
        <v/>
      </c>
      <c r="D59">
        <f>A59&lt;$B$5</f>
        <v/>
      </c>
      <c r="E59" s="16">
        <f>IF(A59&lt;$B$6,C59*$B$8*$B$9,0)</f>
        <v/>
      </c>
      <c r="F59" s="16">
        <f>IF(AND(D59,A59&lt;$B$6),$B$7*B59*$B$8*$B$9,0)</f>
        <v/>
      </c>
      <c r="G59">
        <f>1/(1+$B$10)^(A59/12)</f>
        <v/>
      </c>
      <c r="H59" s="16">
        <f>E59*G59</f>
        <v/>
      </c>
      <c r="I59" s="16">
        <f>F59*G59</f>
        <v/>
      </c>
    </row>
    <row r="60">
      <c r="A60" t="n">
        <v>30</v>
      </c>
      <c r="B60" s="10">
        <f>$B$3*$B$12^A60</f>
        <v/>
      </c>
      <c r="C60" s="12">
        <f>$B$7*(1+B60)</f>
        <v/>
      </c>
      <c r="D60">
        <f>A60&lt;$B$5</f>
        <v/>
      </c>
      <c r="E60" s="16">
        <f>IF(A60&lt;$B$6,C60*$B$8*$B$9,0)</f>
        <v/>
      </c>
      <c r="F60" s="16">
        <f>IF(AND(D60,A60&lt;$B$6),$B$7*B60*$B$8*$B$9,0)</f>
        <v/>
      </c>
      <c r="G60">
        <f>1/(1+$B$10)^(A60/12)</f>
        <v/>
      </c>
      <c r="H60" s="16">
        <f>E60*G60</f>
        <v/>
      </c>
      <c r="I60" s="16">
        <f>F60*G60</f>
        <v/>
      </c>
    </row>
    <row r="61">
      <c r="A61" t="n">
        <v>31</v>
      </c>
      <c r="B61" s="10">
        <f>$B$3*$B$12^A61</f>
        <v/>
      </c>
      <c r="C61" s="12">
        <f>$B$7*(1+B61)</f>
        <v/>
      </c>
      <c r="D61">
        <f>A61&lt;$B$5</f>
        <v/>
      </c>
      <c r="E61" s="16">
        <f>IF(A61&lt;$B$6,C61*$B$8*$B$9,0)</f>
        <v/>
      </c>
      <c r="F61" s="16">
        <f>IF(AND(D61,A61&lt;$B$6),$B$7*B61*$B$8*$B$9,0)</f>
        <v/>
      </c>
      <c r="G61">
        <f>1/(1+$B$10)^(A61/12)</f>
        <v/>
      </c>
      <c r="H61" s="16">
        <f>E61*G61</f>
        <v/>
      </c>
      <c r="I61" s="16">
        <f>F61*G61</f>
        <v/>
      </c>
    </row>
    <row r="62">
      <c r="A62" t="n">
        <v>32</v>
      </c>
      <c r="B62" s="10">
        <f>$B$3*$B$12^A62</f>
        <v/>
      </c>
      <c r="C62" s="12">
        <f>$B$7*(1+B62)</f>
        <v/>
      </c>
      <c r="D62">
        <f>A62&lt;$B$5</f>
        <v/>
      </c>
      <c r="E62" s="16">
        <f>IF(A62&lt;$B$6,C62*$B$8*$B$9,0)</f>
        <v/>
      </c>
      <c r="F62" s="16">
        <f>IF(AND(D62,A62&lt;$B$6),$B$7*B62*$B$8*$B$9,0)</f>
        <v/>
      </c>
      <c r="G62">
        <f>1/(1+$B$10)^(A62/12)</f>
        <v/>
      </c>
      <c r="H62" s="16">
        <f>E62*G62</f>
        <v/>
      </c>
      <c r="I62" s="16">
        <f>F62*G62</f>
        <v/>
      </c>
    </row>
    <row r="63">
      <c r="A63" t="n">
        <v>33</v>
      </c>
      <c r="B63" s="10">
        <f>$B$3*$B$12^A63</f>
        <v/>
      </c>
      <c r="C63" s="12">
        <f>$B$7*(1+B63)</f>
        <v/>
      </c>
      <c r="D63">
        <f>A63&lt;$B$5</f>
        <v/>
      </c>
      <c r="E63" s="16">
        <f>IF(A63&lt;$B$6,C63*$B$8*$B$9,0)</f>
        <v/>
      </c>
      <c r="F63" s="16">
        <f>IF(AND(D63,A63&lt;$B$6),$B$7*B63*$B$8*$B$9,0)</f>
        <v/>
      </c>
      <c r="G63">
        <f>1/(1+$B$10)^(A63/12)</f>
        <v/>
      </c>
      <c r="H63" s="16">
        <f>E63*G63</f>
        <v/>
      </c>
      <c r="I63" s="16">
        <f>F63*G63</f>
        <v/>
      </c>
    </row>
    <row r="64">
      <c r="A64" t="n">
        <v>34</v>
      </c>
      <c r="B64" s="10">
        <f>$B$3*$B$12^A64</f>
        <v/>
      </c>
      <c r="C64" s="12">
        <f>$B$7*(1+B64)</f>
        <v/>
      </c>
      <c r="D64">
        <f>A64&lt;$B$5</f>
        <v/>
      </c>
      <c r="E64" s="16">
        <f>IF(A64&lt;$B$6,C64*$B$8*$B$9,0)</f>
        <v/>
      </c>
      <c r="F64" s="16">
        <f>IF(AND(D64,A64&lt;$B$6),$B$7*B64*$B$8*$B$9,0)</f>
        <v/>
      </c>
      <c r="G64">
        <f>1/(1+$B$10)^(A64/12)</f>
        <v/>
      </c>
      <c r="H64" s="16">
        <f>E64*G64</f>
        <v/>
      </c>
      <c r="I64" s="16">
        <f>F64*G64</f>
        <v/>
      </c>
    </row>
    <row r="65">
      <c r="A65" t="n">
        <v>35</v>
      </c>
      <c r="B65" s="10">
        <f>$B$3*$B$12^A65</f>
        <v/>
      </c>
      <c r="C65" s="12">
        <f>$B$7*(1+B65)</f>
        <v/>
      </c>
      <c r="D65">
        <f>A65&lt;$B$5</f>
        <v/>
      </c>
      <c r="E65" s="16">
        <f>IF(A65&lt;$B$6,C65*$B$8*$B$9,0)</f>
        <v/>
      </c>
      <c r="F65" s="16">
        <f>IF(AND(D65,A65&lt;$B$6),$B$7*B65*$B$8*$B$9,0)</f>
        <v/>
      </c>
      <c r="G65">
        <f>1/(1+$B$10)^(A65/12)</f>
        <v/>
      </c>
      <c r="H65" s="16">
        <f>E65*G65</f>
        <v/>
      </c>
      <c r="I65" s="16">
        <f>F65*G65</f>
        <v/>
      </c>
    </row>
    <row r="66">
      <c r="A66" t="n">
        <v>36</v>
      </c>
      <c r="B66" s="10">
        <f>$B$3*$B$12^A66</f>
        <v/>
      </c>
      <c r="C66" s="12">
        <f>$B$7*(1+B66)</f>
        <v/>
      </c>
      <c r="D66">
        <f>A66&lt;$B$5</f>
        <v/>
      </c>
      <c r="E66" s="16">
        <f>IF(A66&lt;$B$6,C66*$B$8*$B$9,0)</f>
        <v/>
      </c>
      <c r="F66" s="16">
        <f>IF(AND(D66,A66&lt;$B$6),$B$7*B66*$B$8*$B$9,0)</f>
        <v/>
      </c>
      <c r="G66">
        <f>1/(1+$B$10)^(A66/12)</f>
        <v/>
      </c>
      <c r="H66" s="16">
        <f>E66*G66</f>
        <v/>
      </c>
      <c r="I66" s="16">
        <f>F66*G66</f>
        <v/>
      </c>
    </row>
    <row r="67">
      <c r="A67" t="n">
        <v>37</v>
      </c>
      <c r="B67" s="10">
        <f>$B$3*$B$12^A67</f>
        <v/>
      </c>
      <c r="C67" s="12">
        <f>$B$7*(1+B67)</f>
        <v/>
      </c>
      <c r="D67">
        <f>A67&lt;$B$5</f>
        <v/>
      </c>
      <c r="E67" s="16">
        <f>IF(A67&lt;$B$6,C67*$B$8*$B$9,0)</f>
        <v/>
      </c>
      <c r="F67" s="16">
        <f>IF(AND(D67,A67&lt;$B$6),$B$7*B67*$B$8*$B$9,0)</f>
        <v/>
      </c>
      <c r="G67">
        <f>1/(1+$B$10)^(A67/12)</f>
        <v/>
      </c>
      <c r="H67" s="16">
        <f>E67*G67</f>
        <v/>
      </c>
      <c r="I67" s="16">
        <f>F67*G67</f>
        <v/>
      </c>
    </row>
    <row r="68">
      <c r="A68" t="n">
        <v>38</v>
      </c>
      <c r="B68" s="10">
        <f>$B$3*$B$12^A68</f>
        <v/>
      </c>
      <c r="C68" s="12">
        <f>$B$7*(1+B68)</f>
        <v/>
      </c>
      <c r="D68">
        <f>A68&lt;$B$5</f>
        <v/>
      </c>
      <c r="E68" s="16">
        <f>IF(A68&lt;$B$6,C68*$B$8*$B$9,0)</f>
        <v/>
      </c>
      <c r="F68" s="16">
        <f>IF(AND(D68,A68&lt;$B$6),$B$7*B68*$B$8*$B$9,0)</f>
        <v/>
      </c>
      <c r="G68">
        <f>1/(1+$B$10)^(A68/12)</f>
        <v/>
      </c>
      <c r="H68" s="16">
        <f>E68*G68</f>
        <v/>
      </c>
      <c r="I68" s="16">
        <f>F68*G68</f>
        <v/>
      </c>
    </row>
    <row r="69">
      <c r="A69" t="n">
        <v>39</v>
      </c>
      <c r="B69" s="10">
        <f>$B$3*$B$12^A69</f>
        <v/>
      </c>
      <c r="C69" s="12">
        <f>$B$7*(1+B69)</f>
        <v/>
      </c>
      <c r="D69">
        <f>A69&lt;$B$5</f>
        <v/>
      </c>
      <c r="E69" s="16">
        <f>IF(A69&lt;$B$6,C69*$B$8*$B$9,0)</f>
        <v/>
      </c>
      <c r="F69" s="16">
        <f>IF(AND(D69,A69&lt;$B$6),$B$7*B69*$B$8*$B$9,0)</f>
        <v/>
      </c>
      <c r="G69">
        <f>1/(1+$B$10)^(A69/12)</f>
        <v/>
      </c>
      <c r="H69" s="16">
        <f>E69*G69</f>
        <v/>
      </c>
      <c r="I69" s="16">
        <f>F69*G69</f>
        <v/>
      </c>
    </row>
    <row r="70">
      <c r="A70" t="n">
        <v>40</v>
      </c>
      <c r="B70" s="10">
        <f>$B$3*$B$12^A70</f>
        <v/>
      </c>
      <c r="C70" s="12">
        <f>$B$7*(1+B70)</f>
        <v/>
      </c>
      <c r="D70">
        <f>A70&lt;$B$5</f>
        <v/>
      </c>
      <c r="E70" s="16">
        <f>IF(A70&lt;$B$6,C70*$B$8*$B$9,0)</f>
        <v/>
      </c>
      <c r="F70" s="16">
        <f>IF(AND(D70,A70&lt;$B$6),$B$7*B70*$B$8*$B$9,0)</f>
        <v/>
      </c>
      <c r="G70">
        <f>1/(1+$B$10)^(A70/12)</f>
        <v/>
      </c>
      <c r="H70" s="16">
        <f>E70*G70</f>
        <v/>
      </c>
      <c r="I70" s="16">
        <f>F70*G70</f>
        <v/>
      </c>
    </row>
    <row r="71">
      <c r="A71" t="n">
        <v>41</v>
      </c>
      <c r="B71" s="10">
        <f>$B$3*$B$12^A71</f>
        <v/>
      </c>
      <c r="C71" s="12">
        <f>$B$7*(1+B71)</f>
        <v/>
      </c>
      <c r="D71">
        <f>A71&lt;$B$5</f>
        <v/>
      </c>
      <c r="E71" s="16">
        <f>IF(A71&lt;$B$6,C71*$B$8*$B$9,0)</f>
        <v/>
      </c>
      <c r="F71" s="16">
        <f>IF(AND(D71,A71&lt;$B$6),$B$7*B71*$B$8*$B$9,0)</f>
        <v/>
      </c>
      <c r="G71">
        <f>1/(1+$B$10)^(A71/12)</f>
        <v/>
      </c>
      <c r="H71" s="16">
        <f>E71*G71</f>
        <v/>
      </c>
      <c r="I71" s="16">
        <f>F71*G71</f>
        <v/>
      </c>
    </row>
    <row r="72">
      <c r="A72" t="n">
        <v>42</v>
      </c>
      <c r="B72" s="10">
        <f>$B$3*$B$12^A72</f>
        <v/>
      </c>
      <c r="C72" s="12">
        <f>$B$7*(1+B72)</f>
        <v/>
      </c>
      <c r="D72">
        <f>A72&lt;$B$5</f>
        <v/>
      </c>
      <c r="E72" s="16">
        <f>IF(A72&lt;$B$6,C72*$B$8*$B$9,0)</f>
        <v/>
      </c>
      <c r="F72" s="16">
        <f>IF(AND(D72,A72&lt;$B$6),$B$7*B72*$B$8*$B$9,0)</f>
        <v/>
      </c>
      <c r="G72">
        <f>1/(1+$B$10)^(A72/12)</f>
        <v/>
      </c>
      <c r="H72" s="16">
        <f>E72*G72</f>
        <v/>
      </c>
      <c r="I72" s="16">
        <f>F72*G72</f>
        <v/>
      </c>
    </row>
    <row r="73">
      <c r="A73" t="n">
        <v>43</v>
      </c>
      <c r="B73" s="10">
        <f>$B$3*$B$12^A73</f>
        <v/>
      </c>
      <c r="C73" s="12">
        <f>$B$7*(1+B73)</f>
        <v/>
      </c>
      <c r="D73">
        <f>A73&lt;$B$5</f>
        <v/>
      </c>
      <c r="E73" s="16">
        <f>IF(A73&lt;$B$6,C73*$B$8*$B$9,0)</f>
        <v/>
      </c>
      <c r="F73" s="16">
        <f>IF(AND(D73,A73&lt;$B$6),$B$7*B73*$B$8*$B$9,0)</f>
        <v/>
      </c>
      <c r="G73">
        <f>1/(1+$B$10)^(A73/12)</f>
        <v/>
      </c>
      <c r="H73" s="16">
        <f>E73*G73</f>
        <v/>
      </c>
      <c r="I73" s="16">
        <f>F73*G73</f>
        <v/>
      </c>
    </row>
    <row r="74">
      <c r="A74" t="n">
        <v>44</v>
      </c>
      <c r="B74" s="10">
        <f>$B$3*$B$12^A74</f>
        <v/>
      </c>
      <c r="C74" s="12">
        <f>$B$7*(1+B74)</f>
        <v/>
      </c>
      <c r="D74">
        <f>A74&lt;$B$5</f>
        <v/>
      </c>
      <c r="E74" s="16">
        <f>IF(A74&lt;$B$6,C74*$B$8*$B$9,0)</f>
        <v/>
      </c>
      <c r="F74" s="16">
        <f>IF(AND(D74,A74&lt;$B$6),$B$7*B74*$B$8*$B$9,0)</f>
        <v/>
      </c>
      <c r="G74">
        <f>1/(1+$B$10)^(A74/12)</f>
        <v/>
      </c>
      <c r="H74" s="16">
        <f>E74*G74</f>
        <v/>
      </c>
      <c r="I74" s="16">
        <f>F74*G74</f>
        <v/>
      </c>
    </row>
    <row r="75">
      <c r="A75" t="n">
        <v>45</v>
      </c>
      <c r="B75" s="10">
        <f>$B$3*$B$12^A75</f>
        <v/>
      </c>
      <c r="C75" s="12">
        <f>$B$7*(1+B75)</f>
        <v/>
      </c>
      <c r="D75">
        <f>A75&lt;$B$5</f>
        <v/>
      </c>
      <c r="E75" s="16">
        <f>IF(A75&lt;$B$6,C75*$B$8*$B$9,0)</f>
        <v/>
      </c>
      <c r="F75" s="16">
        <f>IF(AND(D75,A75&lt;$B$6),$B$7*B75*$B$8*$B$9,0)</f>
        <v/>
      </c>
      <c r="G75">
        <f>1/(1+$B$10)^(A75/12)</f>
        <v/>
      </c>
      <c r="H75" s="16">
        <f>E75*G75</f>
        <v/>
      </c>
      <c r="I75" s="16">
        <f>F75*G75</f>
        <v/>
      </c>
    </row>
    <row r="76">
      <c r="A76" t="n">
        <v>46</v>
      </c>
      <c r="B76" s="10">
        <f>$B$3*$B$12^A76</f>
        <v/>
      </c>
      <c r="C76" s="12">
        <f>$B$7*(1+B76)</f>
        <v/>
      </c>
      <c r="D76">
        <f>A76&lt;$B$5</f>
        <v/>
      </c>
      <c r="E76" s="16">
        <f>IF(A76&lt;$B$6,C76*$B$8*$B$9,0)</f>
        <v/>
      </c>
      <c r="F76" s="16">
        <f>IF(AND(D76,A76&lt;$B$6),$B$7*B76*$B$8*$B$9,0)</f>
        <v/>
      </c>
      <c r="G76">
        <f>1/(1+$B$10)^(A76/12)</f>
        <v/>
      </c>
      <c r="H76" s="16">
        <f>E76*G76</f>
        <v/>
      </c>
      <c r="I76" s="16">
        <f>F76*G76</f>
        <v/>
      </c>
    </row>
    <row r="77">
      <c r="A77" t="n">
        <v>47</v>
      </c>
      <c r="B77" s="10">
        <f>$B$3*$B$12^A77</f>
        <v/>
      </c>
      <c r="C77" s="12">
        <f>$B$7*(1+B77)</f>
        <v/>
      </c>
      <c r="D77">
        <f>A77&lt;$B$5</f>
        <v/>
      </c>
      <c r="E77" s="16">
        <f>IF(A77&lt;$B$6,C77*$B$8*$B$9,0)</f>
        <v/>
      </c>
      <c r="F77" s="16">
        <f>IF(AND(D77,A77&lt;$B$6),$B$7*B77*$B$8*$B$9,0)</f>
        <v/>
      </c>
      <c r="G77">
        <f>1/(1+$B$10)^(A77/12)</f>
        <v/>
      </c>
      <c r="H77" s="16">
        <f>E77*G77</f>
        <v/>
      </c>
      <c r="I77" s="16">
        <f>F77*G77</f>
        <v/>
      </c>
    </row>
    <row r="78">
      <c r="A78" t="n">
        <v>48</v>
      </c>
      <c r="B78" s="10">
        <f>$B$3*$B$12^A78</f>
        <v/>
      </c>
      <c r="C78" s="12">
        <f>$B$7*(1+B78)</f>
        <v/>
      </c>
      <c r="D78">
        <f>A78&lt;$B$5</f>
        <v/>
      </c>
      <c r="E78" s="16">
        <f>IF(A78&lt;$B$6,C78*$B$8*$B$9,0)</f>
        <v/>
      </c>
      <c r="F78" s="16">
        <f>IF(AND(D78,A78&lt;$B$6),$B$7*B78*$B$8*$B$9,0)</f>
        <v/>
      </c>
      <c r="G78">
        <f>1/(1+$B$10)^(A78/12)</f>
        <v/>
      </c>
      <c r="H78" s="16">
        <f>E78*G78</f>
        <v/>
      </c>
      <c r="I78" s="16">
        <f>F78*G78</f>
        <v/>
      </c>
    </row>
    <row r="79">
      <c r="A79" t="n">
        <v>49</v>
      </c>
      <c r="B79" s="10">
        <f>$B$3*$B$12^A79</f>
        <v/>
      </c>
      <c r="C79" s="12">
        <f>$B$7*(1+B79)</f>
        <v/>
      </c>
      <c r="D79">
        <f>A79&lt;$B$5</f>
        <v/>
      </c>
      <c r="E79" s="16">
        <f>IF(A79&lt;$B$6,C79*$B$8*$B$9,0)</f>
        <v/>
      </c>
      <c r="F79" s="16">
        <f>IF(AND(D79,A79&lt;$B$6),$B$7*B79*$B$8*$B$9,0)</f>
        <v/>
      </c>
      <c r="G79">
        <f>1/(1+$B$10)^(A79/12)</f>
        <v/>
      </c>
      <c r="H79" s="16">
        <f>E79*G79</f>
        <v/>
      </c>
      <c r="I79" s="16">
        <f>F79*G79</f>
        <v/>
      </c>
    </row>
    <row r="80">
      <c r="A80" t="n">
        <v>50</v>
      </c>
      <c r="B80" s="10">
        <f>$B$3*$B$12^A80</f>
        <v/>
      </c>
      <c r="C80" s="12">
        <f>$B$7*(1+B80)</f>
        <v/>
      </c>
      <c r="D80">
        <f>A80&lt;$B$5</f>
        <v/>
      </c>
      <c r="E80" s="16">
        <f>IF(A80&lt;$B$6,C80*$B$8*$B$9,0)</f>
        <v/>
      </c>
      <c r="F80" s="16">
        <f>IF(AND(D80,A80&lt;$B$6),$B$7*B80*$B$8*$B$9,0)</f>
        <v/>
      </c>
      <c r="G80">
        <f>1/(1+$B$10)^(A80/12)</f>
        <v/>
      </c>
      <c r="H80" s="16">
        <f>E80*G80</f>
        <v/>
      </c>
      <c r="I80" s="16">
        <f>F80*G80</f>
        <v/>
      </c>
    </row>
    <row r="81">
      <c r="A81" t="n">
        <v>51</v>
      </c>
      <c r="B81" s="10">
        <f>$B$3*$B$12^A81</f>
        <v/>
      </c>
      <c r="C81" s="12">
        <f>$B$7*(1+B81)</f>
        <v/>
      </c>
      <c r="D81">
        <f>A81&lt;$B$5</f>
        <v/>
      </c>
      <c r="E81" s="16">
        <f>IF(A81&lt;$B$6,C81*$B$8*$B$9,0)</f>
        <v/>
      </c>
      <c r="F81" s="16">
        <f>IF(AND(D81,A81&lt;$B$6),$B$7*B81*$B$8*$B$9,0)</f>
        <v/>
      </c>
      <c r="G81">
        <f>1/(1+$B$10)^(A81/12)</f>
        <v/>
      </c>
      <c r="H81" s="16">
        <f>E81*G81</f>
        <v/>
      </c>
      <c r="I81" s="16">
        <f>F81*G81</f>
        <v/>
      </c>
    </row>
    <row r="82">
      <c r="A82" t="n">
        <v>52</v>
      </c>
      <c r="B82" s="10">
        <f>$B$3*$B$12^A82</f>
        <v/>
      </c>
      <c r="C82" s="12">
        <f>$B$7*(1+B82)</f>
        <v/>
      </c>
      <c r="D82">
        <f>A82&lt;$B$5</f>
        <v/>
      </c>
      <c r="E82" s="16">
        <f>IF(A82&lt;$B$6,C82*$B$8*$B$9,0)</f>
        <v/>
      </c>
      <c r="F82" s="16">
        <f>IF(AND(D82,A82&lt;$B$6),$B$7*B82*$B$8*$B$9,0)</f>
        <v/>
      </c>
      <c r="G82">
        <f>1/(1+$B$10)^(A82/12)</f>
        <v/>
      </c>
      <c r="H82" s="16">
        <f>E82*G82</f>
        <v/>
      </c>
      <c r="I82" s="16">
        <f>F82*G82</f>
        <v/>
      </c>
    </row>
    <row r="83">
      <c r="A83" t="n">
        <v>53</v>
      </c>
      <c r="B83" s="10">
        <f>$B$3*$B$12^A83</f>
        <v/>
      </c>
      <c r="C83" s="12">
        <f>$B$7*(1+B83)</f>
        <v/>
      </c>
      <c r="D83">
        <f>A83&lt;$B$5</f>
        <v/>
      </c>
      <c r="E83" s="16">
        <f>IF(A83&lt;$B$6,C83*$B$8*$B$9,0)</f>
        <v/>
      </c>
      <c r="F83" s="16">
        <f>IF(AND(D83,A83&lt;$B$6),$B$7*B83*$B$8*$B$9,0)</f>
        <v/>
      </c>
      <c r="G83">
        <f>1/(1+$B$10)^(A83/12)</f>
        <v/>
      </c>
      <c r="H83" s="16">
        <f>E83*G83</f>
        <v/>
      </c>
      <c r="I83" s="16">
        <f>F83*G83</f>
        <v/>
      </c>
    </row>
    <row r="84">
      <c r="A84" t="n">
        <v>54</v>
      </c>
      <c r="B84" s="10">
        <f>$B$3*$B$12^A84</f>
        <v/>
      </c>
      <c r="C84" s="12">
        <f>$B$7*(1+B84)</f>
        <v/>
      </c>
      <c r="D84">
        <f>A84&lt;$B$5</f>
        <v/>
      </c>
      <c r="E84" s="16">
        <f>IF(A84&lt;$B$6,C84*$B$8*$B$9,0)</f>
        <v/>
      </c>
      <c r="F84" s="16">
        <f>IF(AND(D84,A84&lt;$B$6),$B$7*B84*$B$8*$B$9,0)</f>
        <v/>
      </c>
      <c r="G84">
        <f>1/(1+$B$10)^(A84/12)</f>
        <v/>
      </c>
      <c r="H84" s="16">
        <f>E84*G84</f>
        <v/>
      </c>
      <c r="I84" s="16">
        <f>F84*G84</f>
        <v/>
      </c>
    </row>
    <row r="85">
      <c r="A85" t="n">
        <v>55</v>
      </c>
      <c r="B85" s="10">
        <f>$B$3*$B$12^A85</f>
        <v/>
      </c>
      <c r="C85" s="12">
        <f>$B$7*(1+B85)</f>
        <v/>
      </c>
      <c r="D85">
        <f>A85&lt;$B$5</f>
        <v/>
      </c>
      <c r="E85" s="16">
        <f>IF(A85&lt;$B$6,C85*$B$8*$B$9,0)</f>
        <v/>
      </c>
      <c r="F85" s="16">
        <f>IF(AND(D85,A85&lt;$B$6),$B$7*B85*$B$8*$B$9,0)</f>
        <v/>
      </c>
      <c r="G85">
        <f>1/(1+$B$10)^(A85/12)</f>
        <v/>
      </c>
      <c r="H85" s="16">
        <f>E85*G85</f>
        <v/>
      </c>
      <c r="I85" s="16">
        <f>F85*G85</f>
        <v/>
      </c>
    </row>
    <row r="86">
      <c r="A86" t="n">
        <v>56</v>
      </c>
      <c r="B86" s="10">
        <f>$B$3*$B$12^A86</f>
        <v/>
      </c>
      <c r="C86" s="12">
        <f>$B$7*(1+B86)</f>
        <v/>
      </c>
      <c r="D86">
        <f>A86&lt;$B$5</f>
        <v/>
      </c>
      <c r="E86" s="16">
        <f>IF(A86&lt;$B$6,C86*$B$8*$B$9,0)</f>
        <v/>
      </c>
      <c r="F86" s="16">
        <f>IF(AND(D86,A86&lt;$B$6),$B$7*B86*$B$8*$B$9,0)</f>
        <v/>
      </c>
      <c r="G86">
        <f>1/(1+$B$10)^(A86/12)</f>
        <v/>
      </c>
      <c r="H86" s="16">
        <f>E86*G86</f>
        <v/>
      </c>
      <c r="I86" s="16">
        <f>F86*G86</f>
        <v/>
      </c>
    </row>
    <row r="87">
      <c r="A87" t="n">
        <v>57</v>
      </c>
      <c r="B87" s="10">
        <f>$B$3*$B$12^A87</f>
        <v/>
      </c>
      <c r="C87" s="12">
        <f>$B$7*(1+B87)</f>
        <v/>
      </c>
      <c r="D87">
        <f>A87&lt;$B$5</f>
        <v/>
      </c>
      <c r="E87" s="16">
        <f>IF(A87&lt;$B$6,C87*$B$8*$B$9,0)</f>
        <v/>
      </c>
      <c r="F87" s="16">
        <f>IF(AND(D87,A87&lt;$B$6),$B$7*B87*$B$8*$B$9,0)</f>
        <v/>
      </c>
      <c r="G87">
        <f>1/(1+$B$10)^(A87/12)</f>
        <v/>
      </c>
      <c r="H87" s="16">
        <f>E87*G87</f>
        <v/>
      </c>
      <c r="I87" s="16">
        <f>F87*G87</f>
        <v/>
      </c>
    </row>
    <row r="88">
      <c r="A88" t="n">
        <v>58</v>
      </c>
      <c r="B88" s="10">
        <f>$B$3*$B$12^A88</f>
        <v/>
      </c>
      <c r="C88" s="12">
        <f>$B$7*(1+B88)</f>
        <v/>
      </c>
      <c r="D88">
        <f>A88&lt;$B$5</f>
        <v/>
      </c>
      <c r="E88" s="16">
        <f>IF(A88&lt;$B$6,C88*$B$8*$B$9,0)</f>
        <v/>
      </c>
      <c r="F88" s="16">
        <f>IF(AND(D88,A88&lt;$B$6),$B$7*B88*$B$8*$B$9,0)</f>
        <v/>
      </c>
      <c r="G88">
        <f>1/(1+$B$10)^(A88/12)</f>
        <v/>
      </c>
      <c r="H88" s="16">
        <f>E88*G88</f>
        <v/>
      </c>
      <c r="I88" s="16">
        <f>F88*G88</f>
        <v/>
      </c>
    </row>
    <row r="89">
      <c r="A89" t="n">
        <v>59</v>
      </c>
      <c r="B89" s="10">
        <f>$B$3*$B$12^A89</f>
        <v/>
      </c>
      <c r="C89" s="12">
        <f>$B$7*(1+B89)</f>
        <v/>
      </c>
      <c r="D89">
        <f>A89&lt;$B$5</f>
        <v/>
      </c>
      <c r="E89" s="16">
        <f>IF(A89&lt;$B$6,C89*$B$8*$B$9,0)</f>
        <v/>
      </c>
      <c r="F89" s="16">
        <f>IF(AND(D89,A89&lt;$B$6),$B$7*B89*$B$8*$B$9,0)</f>
        <v/>
      </c>
      <c r="G89">
        <f>1/(1+$B$10)^(A89/12)</f>
        <v/>
      </c>
      <c r="H89" s="16">
        <f>E89*G89</f>
        <v/>
      </c>
      <c r="I89" s="16">
        <f>F89*G89</f>
        <v/>
      </c>
    </row>
    <row r="90">
      <c r="A90" t="n">
        <v>60</v>
      </c>
      <c r="B90" s="10">
        <f>$B$3*$B$12^A90</f>
        <v/>
      </c>
      <c r="C90" s="12">
        <f>$B$7*(1+B90)</f>
        <v/>
      </c>
      <c r="D90">
        <f>A90&lt;$B$5</f>
        <v/>
      </c>
      <c r="E90" s="16">
        <f>IF(A90&lt;$B$6,C90*$B$8*$B$9,0)</f>
        <v/>
      </c>
      <c r="F90" s="16">
        <f>IF(AND(D90,A90&lt;$B$6),$B$7*B90*$B$8*$B$9,0)</f>
        <v/>
      </c>
      <c r="G90">
        <f>1/(1+$B$10)^(A90/12)</f>
        <v/>
      </c>
      <c r="H90" s="16">
        <f>E90*G90</f>
        <v/>
      </c>
      <c r="I90" s="16">
        <f>F90*G90</f>
        <v/>
      </c>
    </row>
    <row r="91">
      <c r="A91" t="n">
        <v>61</v>
      </c>
      <c r="B91" s="10">
        <f>$B$3*$B$12^A91</f>
        <v/>
      </c>
      <c r="C91" s="12">
        <f>$B$7*(1+B91)</f>
        <v/>
      </c>
      <c r="D91">
        <f>A91&lt;$B$5</f>
        <v/>
      </c>
      <c r="E91" s="16">
        <f>IF(A91&lt;$B$6,C91*$B$8*$B$9,0)</f>
        <v/>
      </c>
      <c r="F91" s="16">
        <f>IF(AND(D91,A91&lt;$B$6),$B$7*B91*$B$8*$B$9,0)</f>
        <v/>
      </c>
      <c r="G91">
        <f>1/(1+$B$10)^(A91/12)</f>
        <v/>
      </c>
      <c r="H91" s="16">
        <f>E91*G91</f>
        <v/>
      </c>
      <c r="I91" s="16">
        <f>F91*G91</f>
        <v/>
      </c>
    </row>
    <row r="92">
      <c r="A92" t="n">
        <v>62</v>
      </c>
      <c r="B92" s="10">
        <f>$B$3*$B$12^A92</f>
        <v/>
      </c>
      <c r="C92" s="12">
        <f>$B$7*(1+B92)</f>
        <v/>
      </c>
      <c r="D92">
        <f>A92&lt;$B$5</f>
        <v/>
      </c>
      <c r="E92" s="16">
        <f>IF(A92&lt;$B$6,C92*$B$8*$B$9,0)</f>
        <v/>
      </c>
      <c r="F92" s="16">
        <f>IF(AND(D92,A92&lt;$B$6),$B$7*B92*$B$8*$B$9,0)</f>
        <v/>
      </c>
      <c r="G92">
        <f>1/(1+$B$10)^(A92/12)</f>
        <v/>
      </c>
      <c r="H92" s="16">
        <f>E92*G92</f>
        <v/>
      </c>
      <c r="I92" s="16">
        <f>F92*G92</f>
        <v/>
      </c>
    </row>
    <row r="93">
      <c r="A93" t="n">
        <v>63</v>
      </c>
      <c r="B93" s="10">
        <f>$B$3*$B$12^A93</f>
        <v/>
      </c>
      <c r="C93" s="12">
        <f>$B$7*(1+B93)</f>
        <v/>
      </c>
      <c r="D93">
        <f>A93&lt;$B$5</f>
        <v/>
      </c>
      <c r="E93" s="16">
        <f>IF(A93&lt;$B$6,C93*$B$8*$B$9,0)</f>
        <v/>
      </c>
      <c r="F93" s="16">
        <f>IF(AND(D93,A93&lt;$B$6),$B$7*B93*$B$8*$B$9,0)</f>
        <v/>
      </c>
      <c r="G93">
        <f>1/(1+$B$10)^(A93/12)</f>
        <v/>
      </c>
      <c r="H93" s="16">
        <f>E93*G93</f>
        <v/>
      </c>
      <c r="I93" s="16">
        <f>F93*G93</f>
        <v/>
      </c>
    </row>
    <row r="94">
      <c r="A94" t="n">
        <v>64</v>
      </c>
      <c r="B94" s="10">
        <f>$B$3*$B$12^A94</f>
        <v/>
      </c>
      <c r="C94" s="12">
        <f>$B$7*(1+B94)</f>
        <v/>
      </c>
      <c r="D94">
        <f>A94&lt;$B$5</f>
        <v/>
      </c>
      <c r="E94" s="16">
        <f>IF(A94&lt;$B$6,C94*$B$8*$B$9,0)</f>
        <v/>
      </c>
      <c r="F94" s="16">
        <f>IF(AND(D94,A94&lt;$B$6),$B$7*B94*$B$8*$B$9,0)</f>
        <v/>
      </c>
      <c r="G94">
        <f>1/(1+$B$10)^(A94/12)</f>
        <v/>
      </c>
      <c r="H94" s="16">
        <f>E94*G94</f>
        <v/>
      </c>
      <c r="I94" s="16">
        <f>F94*G94</f>
        <v/>
      </c>
    </row>
    <row r="95">
      <c r="A95" t="n">
        <v>65</v>
      </c>
      <c r="B95" s="10">
        <f>$B$3*$B$12^A95</f>
        <v/>
      </c>
      <c r="C95" s="12">
        <f>$B$7*(1+B95)</f>
        <v/>
      </c>
      <c r="D95">
        <f>A95&lt;$B$5</f>
        <v/>
      </c>
      <c r="E95" s="16">
        <f>IF(A95&lt;$B$6,C95*$B$8*$B$9,0)</f>
        <v/>
      </c>
      <c r="F95" s="16">
        <f>IF(AND(D95,A95&lt;$B$6),$B$7*B95*$B$8*$B$9,0)</f>
        <v/>
      </c>
      <c r="G95">
        <f>1/(1+$B$10)^(A95/12)</f>
        <v/>
      </c>
      <c r="H95" s="16">
        <f>E95*G95</f>
        <v/>
      </c>
      <c r="I95" s="16">
        <f>F95*G95</f>
        <v/>
      </c>
    </row>
    <row r="96">
      <c r="A96" t="n">
        <v>66</v>
      </c>
      <c r="B96" s="10">
        <f>$B$3*$B$12^A96</f>
        <v/>
      </c>
      <c r="C96" s="12">
        <f>$B$7*(1+B96)</f>
        <v/>
      </c>
      <c r="D96">
        <f>A96&lt;$B$5</f>
        <v/>
      </c>
      <c r="E96" s="16">
        <f>IF(A96&lt;$B$6,C96*$B$8*$B$9,0)</f>
        <v/>
      </c>
      <c r="F96" s="16">
        <f>IF(AND(D96,A96&lt;$B$6),$B$7*B96*$B$8*$B$9,0)</f>
        <v/>
      </c>
      <c r="G96">
        <f>1/(1+$B$10)^(A96/12)</f>
        <v/>
      </c>
      <c r="H96" s="16">
        <f>E96*G96</f>
        <v/>
      </c>
      <c r="I96" s="16">
        <f>F96*G96</f>
        <v/>
      </c>
    </row>
    <row r="97">
      <c r="A97" t="n">
        <v>67</v>
      </c>
      <c r="B97" s="10">
        <f>$B$3*$B$12^A97</f>
        <v/>
      </c>
      <c r="C97" s="12">
        <f>$B$7*(1+B97)</f>
        <v/>
      </c>
      <c r="D97">
        <f>A97&lt;$B$5</f>
        <v/>
      </c>
      <c r="E97" s="16">
        <f>IF(A97&lt;$B$6,C97*$B$8*$B$9,0)</f>
        <v/>
      </c>
      <c r="F97" s="16">
        <f>IF(AND(D97,A97&lt;$B$6),$B$7*B97*$B$8*$B$9,0)</f>
        <v/>
      </c>
      <c r="G97">
        <f>1/(1+$B$10)^(A97/12)</f>
        <v/>
      </c>
      <c r="H97" s="16">
        <f>E97*G97</f>
        <v/>
      </c>
      <c r="I97" s="16">
        <f>F97*G97</f>
        <v/>
      </c>
    </row>
    <row r="98">
      <c r="A98" t="n">
        <v>68</v>
      </c>
      <c r="B98" s="10">
        <f>$B$3*$B$12^A98</f>
        <v/>
      </c>
      <c r="C98" s="12">
        <f>$B$7*(1+B98)</f>
        <v/>
      </c>
      <c r="D98">
        <f>A98&lt;$B$5</f>
        <v/>
      </c>
      <c r="E98" s="16">
        <f>IF(A98&lt;$B$6,C98*$B$8*$B$9,0)</f>
        <v/>
      </c>
      <c r="F98" s="16">
        <f>IF(AND(D98,A98&lt;$B$6),$B$7*B98*$B$8*$B$9,0)</f>
        <v/>
      </c>
      <c r="G98">
        <f>1/(1+$B$10)^(A98/12)</f>
        <v/>
      </c>
      <c r="H98" s="16">
        <f>E98*G98</f>
        <v/>
      </c>
      <c r="I98" s="16">
        <f>F98*G98</f>
        <v/>
      </c>
    </row>
    <row r="99">
      <c r="A99" t="n">
        <v>69</v>
      </c>
      <c r="B99" s="10">
        <f>$B$3*$B$12^A99</f>
        <v/>
      </c>
      <c r="C99" s="12">
        <f>$B$7*(1+B99)</f>
        <v/>
      </c>
      <c r="D99">
        <f>A99&lt;$B$5</f>
        <v/>
      </c>
      <c r="E99" s="16">
        <f>IF(A99&lt;$B$6,C99*$B$8*$B$9,0)</f>
        <v/>
      </c>
      <c r="F99" s="16">
        <f>IF(AND(D99,A99&lt;$B$6),$B$7*B99*$B$8*$B$9,0)</f>
        <v/>
      </c>
      <c r="G99">
        <f>1/(1+$B$10)^(A99/12)</f>
        <v/>
      </c>
      <c r="H99" s="16">
        <f>E99*G99</f>
        <v/>
      </c>
      <c r="I99" s="16">
        <f>F99*G99</f>
        <v/>
      </c>
    </row>
    <row r="100">
      <c r="A100" t="n">
        <v>70</v>
      </c>
      <c r="B100" s="10">
        <f>$B$3*$B$12^A100</f>
        <v/>
      </c>
      <c r="C100" s="12">
        <f>$B$7*(1+B100)</f>
        <v/>
      </c>
      <c r="D100">
        <f>A100&lt;$B$5</f>
        <v/>
      </c>
      <c r="E100" s="16">
        <f>IF(A100&lt;$B$6,C100*$B$8*$B$9,0)</f>
        <v/>
      </c>
      <c r="F100" s="16">
        <f>IF(AND(D100,A100&lt;$B$6),$B$7*B100*$B$8*$B$9,0)</f>
        <v/>
      </c>
      <c r="G100">
        <f>1/(1+$B$10)^(A100/12)</f>
        <v/>
      </c>
      <c r="H100" s="16">
        <f>E100*G100</f>
        <v/>
      </c>
      <c r="I100" s="16">
        <f>F100*G100</f>
        <v/>
      </c>
    </row>
    <row r="101">
      <c r="A101" t="n">
        <v>71</v>
      </c>
      <c r="B101" s="10">
        <f>$B$3*$B$12^A101</f>
        <v/>
      </c>
      <c r="C101" s="12">
        <f>$B$7*(1+B101)</f>
        <v/>
      </c>
      <c r="D101">
        <f>A101&lt;$B$5</f>
        <v/>
      </c>
      <c r="E101" s="16">
        <f>IF(A101&lt;$B$6,C101*$B$8*$B$9,0)</f>
        <v/>
      </c>
      <c r="F101" s="16">
        <f>IF(AND(D101,A101&lt;$B$6),$B$7*B101*$B$8*$B$9,0)</f>
        <v/>
      </c>
      <c r="G101">
        <f>1/(1+$B$10)^(A101/12)</f>
        <v/>
      </c>
      <c r="H101" s="16">
        <f>E101*G101</f>
        <v/>
      </c>
      <c r="I101" s="16">
        <f>F101*G101</f>
        <v/>
      </c>
    </row>
    <row r="102">
      <c r="A102" t="n">
        <v>72</v>
      </c>
      <c r="B102" s="10">
        <f>$B$3*$B$12^A102</f>
        <v/>
      </c>
      <c r="C102" s="12">
        <f>$B$7*(1+B102)</f>
        <v/>
      </c>
      <c r="D102">
        <f>A102&lt;$B$5</f>
        <v/>
      </c>
      <c r="E102" s="16">
        <f>IF(A102&lt;$B$6,C102*$B$8*$B$9,0)</f>
        <v/>
      </c>
      <c r="F102" s="16">
        <f>IF(AND(D102,A102&lt;$B$6),$B$7*B102*$B$8*$B$9,0)</f>
        <v/>
      </c>
      <c r="G102">
        <f>1/(1+$B$10)^(A102/12)</f>
        <v/>
      </c>
      <c r="H102" s="16">
        <f>E102*G102</f>
        <v/>
      </c>
      <c r="I102" s="16">
        <f>F102*G102</f>
        <v/>
      </c>
    </row>
    <row r="103">
      <c r="A103" t="n">
        <v>73</v>
      </c>
      <c r="B103" s="10">
        <f>$B$3*$B$12^A103</f>
        <v/>
      </c>
      <c r="C103" s="12">
        <f>$B$7*(1+B103)</f>
        <v/>
      </c>
      <c r="D103">
        <f>A103&lt;$B$5</f>
        <v/>
      </c>
      <c r="E103" s="16">
        <f>IF(A103&lt;$B$6,C103*$B$8*$B$9,0)</f>
        <v/>
      </c>
      <c r="F103" s="16">
        <f>IF(AND(D103,A103&lt;$B$6),$B$7*B103*$B$8*$B$9,0)</f>
        <v/>
      </c>
      <c r="G103">
        <f>1/(1+$B$10)^(A103/12)</f>
        <v/>
      </c>
      <c r="H103" s="16">
        <f>E103*G103</f>
        <v/>
      </c>
      <c r="I103" s="16">
        <f>F103*G103</f>
        <v/>
      </c>
    </row>
    <row r="104">
      <c r="A104" t="n">
        <v>74</v>
      </c>
      <c r="B104" s="10">
        <f>$B$3*$B$12^A104</f>
        <v/>
      </c>
      <c r="C104" s="12">
        <f>$B$7*(1+B104)</f>
        <v/>
      </c>
      <c r="D104">
        <f>A104&lt;$B$5</f>
        <v/>
      </c>
      <c r="E104" s="16">
        <f>IF(A104&lt;$B$6,C104*$B$8*$B$9,0)</f>
        <v/>
      </c>
      <c r="F104" s="16">
        <f>IF(AND(D104,A104&lt;$B$6),$B$7*B104*$B$8*$B$9,0)</f>
        <v/>
      </c>
      <c r="G104">
        <f>1/(1+$B$10)^(A104/12)</f>
        <v/>
      </c>
      <c r="H104" s="16">
        <f>E104*G104</f>
        <v/>
      </c>
      <c r="I104" s="16">
        <f>F104*G104</f>
        <v/>
      </c>
    </row>
    <row r="105">
      <c r="A105" t="n">
        <v>75</v>
      </c>
      <c r="B105" s="10">
        <f>$B$3*$B$12^A105</f>
        <v/>
      </c>
      <c r="C105" s="12">
        <f>$B$7*(1+B105)</f>
        <v/>
      </c>
      <c r="D105">
        <f>A105&lt;$B$5</f>
        <v/>
      </c>
      <c r="E105" s="16">
        <f>IF(A105&lt;$B$6,C105*$B$8*$B$9,0)</f>
        <v/>
      </c>
      <c r="F105" s="16">
        <f>IF(AND(D105,A105&lt;$B$6),$B$7*B105*$B$8*$B$9,0)</f>
        <v/>
      </c>
      <c r="G105">
        <f>1/(1+$B$10)^(A105/12)</f>
        <v/>
      </c>
      <c r="H105" s="16">
        <f>E105*G105</f>
        <v/>
      </c>
      <c r="I105" s="16">
        <f>F105*G105</f>
        <v/>
      </c>
    </row>
    <row r="106">
      <c r="A106" t="n">
        <v>76</v>
      </c>
      <c r="B106" s="10">
        <f>$B$3*$B$12^A106</f>
        <v/>
      </c>
      <c r="C106" s="12">
        <f>$B$7*(1+B106)</f>
        <v/>
      </c>
      <c r="D106">
        <f>A106&lt;$B$5</f>
        <v/>
      </c>
      <c r="E106" s="16">
        <f>IF(A106&lt;$B$6,C106*$B$8*$B$9,0)</f>
        <v/>
      </c>
      <c r="F106" s="16">
        <f>IF(AND(D106,A106&lt;$B$6),$B$7*B106*$B$8*$B$9,0)</f>
        <v/>
      </c>
      <c r="G106">
        <f>1/(1+$B$10)^(A106/12)</f>
        <v/>
      </c>
      <c r="H106" s="16">
        <f>E106*G106</f>
        <v/>
      </c>
      <c r="I106" s="16">
        <f>F106*G106</f>
        <v/>
      </c>
    </row>
    <row r="107">
      <c r="A107" t="n">
        <v>77</v>
      </c>
      <c r="B107" s="10">
        <f>$B$3*$B$12^A107</f>
        <v/>
      </c>
      <c r="C107" s="12">
        <f>$B$7*(1+B107)</f>
        <v/>
      </c>
      <c r="D107">
        <f>A107&lt;$B$5</f>
        <v/>
      </c>
      <c r="E107" s="16">
        <f>IF(A107&lt;$B$6,C107*$B$8*$B$9,0)</f>
        <v/>
      </c>
      <c r="F107" s="16">
        <f>IF(AND(D107,A107&lt;$B$6),$B$7*B107*$B$8*$B$9,0)</f>
        <v/>
      </c>
      <c r="G107">
        <f>1/(1+$B$10)^(A107/12)</f>
        <v/>
      </c>
      <c r="H107" s="16">
        <f>E107*G107</f>
        <v/>
      </c>
      <c r="I107" s="16">
        <f>F107*G107</f>
        <v/>
      </c>
    </row>
    <row r="108">
      <c r="A108" t="n">
        <v>78</v>
      </c>
      <c r="B108" s="10">
        <f>$B$3*$B$12^A108</f>
        <v/>
      </c>
      <c r="C108" s="12">
        <f>$B$7*(1+B108)</f>
        <v/>
      </c>
      <c r="D108">
        <f>A108&lt;$B$5</f>
        <v/>
      </c>
      <c r="E108" s="16">
        <f>IF(A108&lt;$B$6,C108*$B$8*$B$9,0)</f>
        <v/>
      </c>
      <c r="F108" s="16">
        <f>IF(AND(D108,A108&lt;$B$6),$B$7*B108*$B$8*$B$9,0)</f>
        <v/>
      </c>
      <c r="G108">
        <f>1/(1+$B$10)^(A108/12)</f>
        <v/>
      </c>
      <c r="H108" s="16">
        <f>E108*G108</f>
        <v/>
      </c>
      <c r="I108" s="16">
        <f>F108*G108</f>
        <v/>
      </c>
    </row>
    <row r="109">
      <c r="A109" t="n">
        <v>79</v>
      </c>
      <c r="B109" s="10">
        <f>$B$3*$B$12^A109</f>
        <v/>
      </c>
      <c r="C109" s="12">
        <f>$B$7*(1+B109)</f>
        <v/>
      </c>
      <c r="D109">
        <f>A109&lt;$B$5</f>
        <v/>
      </c>
      <c r="E109" s="16">
        <f>IF(A109&lt;$B$6,C109*$B$8*$B$9,0)</f>
        <v/>
      </c>
      <c r="F109" s="16">
        <f>IF(AND(D109,A109&lt;$B$6),$B$7*B109*$B$8*$B$9,0)</f>
        <v/>
      </c>
      <c r="G109">
        <f>1/(1+$B$10)^(A109/12)</f>
        <v/>
      </c>
      <c r="H109" s="16">
        <f>E109*G109</f>
        <v/>
      </c>
      <c r="I109" s="16">
        <f>F109*G109</f>
        <v/>
      </c>
    </row>
    <row r="110">
      <c r="A110" t="n">
        <v>80</v>
      </c>
      <c r="B110" s="10">
        <f>$B$3*$B$12^A110</f>
        <v/>
      </c>
      <c r="C110" s="12">
        <f>$B$7*(1+B110)</f>
        <v/>
      </c>
      <c r="D110">
        <f>A110&lt;$B$5</f>
        <v/>
      </c>
      <c r="E110" s="16">
        <f>IF(A110&lt;$B$6,C110*$B$8*$B$9,0)</f>
        <v/>
      </c>
      <c r="F110" s="16">
        <f>IF(AND(D110,A110&lt;$B$6),$B$7*B110*$B$8*$B$9,0)</f>
        <v/>
      </c>
      <c r="G110">
        <f>1/(1+$B$10)^(A110/12)</f>
        <v/>
      </c>
      <c r="H110" s="16">
        <f>E110*G110</f>
        <v/>
      </c>
      <c r="I110" s="16">
        <f>F110*G110</f>
        <v/>
      </c>
    </row>
    <row r="111">
      <c r="A111" t="n">
        <v>81</v>
      </c>
      <c r="B111" s="10">
        <f>$B$3*$B$12^A111</f>
        <v/>
      </c>
      <c r="C111" s="12">
        <f>$B$7*(1+B111)</f>
        <v/>
      </c>
      <c r="D111">
        <f>A111&lt;$B$5</f>
        <v/>
      </c>
      <c r="E111" s="16">
        <f>IF(A111&lt;$B$6,C111*$B$8*$B$9,0)</f>
        <v/>
      </c>
      <c r="F111" s="16">
        <f>IF(AND(D111,A111&lt;$B$6),$B$7*B111*$B$8*$B$9,0)</f>
        <v/>
      </c>
      <c r="G111">
        <f>1/(1+$B$10)^(A111/12)</f>
        <v/>
      </c>
      <c r="H111" s="16">
        <f>E111*G111</f>
        <v/>
      </c>
      <c r="I111" s="16">
        <f>F111*G111</f>
        <v/>
      </c>
    </row>
    <row r="112">
      <c r="A112" t="n">
        <v>82</v>
      </c>
      <c r="B112" s="10">
        <f>$B$3*$B$12^A112</f>
        <v/>
      </c>
      <c r="C112" s="12">
        <f>$B$7*(1+B112)</f>
        <v/>
      </c>
      <c r="D112">
        <f>A112&lt;$B$5</f>
        <v/>
      </c>
      <c r="E112" s="16">
        <f>IF(A112&lt;$B$6,C112*$B$8*$B$9,0)</f>
        <v/>
      </c>
      <c r="F112" s="16">
        <f>IF(AND(D112,A112&lt;$B$6),$B$7*B112*$B$8*$B$9,0)</f>
        <v/>
      </c>
      <c r="G112">
        <f>1/(1+$B$10)^(A112/12)</f>
        <v/>
      </c>
      <c r="H112" s="16">
        <f>E112*G112</f>
        <v/>
      </c>
      <c r="I112" s="16">
        <f>F112*G112</f>
        <v/>
      </c>
    </row>
    <row r="113">
      <c r="A113" t="n">
        <v>83</v>
      </c>
      <c r="B113" s="10">
        <f>$B$3*$B$12^A113</f>
        <v/>
      </c>
      <c r="C113" s="12">
        <f>$B$7*(1+B113)</f>
        <v/>
      </c>
      <c r="D113">
        <f>A113&lt;$B$5</f>
        <v/>
      </c>
      <c r="E113" s="16">
        <f>IF(A113&lt;$B$6,C113*$B$8*$B$9,0)</f>
        <v/>
      </c>
      <c r="F113" s="16">
        <f>IF(AND(D113,A113&lt;$B$6),$B$7*B113*$B$8*$B$9,0)</f>
        <v/>
      </c>
      <c r="G113">
        <f>1/(1+$B$10)^(A113/12)</f>
        <v/>
      </c>
      <c r="H113" s="16">
        <f>E113*G113</f>
        <v/>
      </c>
      <c r="I113" s="16">
        <f>F113*G113</f>
        <v/>
      </c>
    </row>
    <row r="114">
      <c r="A114" t="n">
        <v>84</v>
      </c>
      <c r="B114" s="10">
        <f>$B$3*$B$12^A114</f>
        <v/>
      </c>
      <c r="C114" s="12">
        <f>$B$7*(1+B114)</f>
        <v/>
      </c>
      <c r="D114">
        <f>A114&lt;$B$5</f>
        <v/>
      </c>
      <c r="E114" s="16">
        <f>IF(A114&lt;$B$6,C114*$B$8*$B$9,0)</f>
        <v/>
      </c>
      <c r="F114" s="16">
        <f>IF(AND(D114,A114&lt;$B$6),$B$7*B114*$B$8*$B$9,0)</f>
        <v/>
      </c>
      <c r="G114">
        <f>1/(1+$B$10)^(A114/12)</f>
        <v/>
      </c>
      <c r="H114" s="16">
        <f>E114*G114</f>
        <v/>
      </c>
      <c r="I114" s="16">
        <f>F114*G114</f>
        <v/>
      </c>
    </row>
    <row r="115">
      <c r="A115" t="n">
        <v>85</v>
      </c>
      <c r="B115" s="10">
        <f>$B$3*$B$12^A115</f>
        <v/>
      </c>
      <c r="C115" s="12">
        <f>$B$7*(1+B115)</f>
        <v/>
      </c>
      <c r="D115">
        <f>A115&lt;$B$5</f>
        <v/>
      </c>
      <c r="E115" s="16">
        <f>IF(A115&lt;$B$6,C115*$B$8*$B$9,0)</f>
        <v/>
      </c>
      <c r="F115" s="16">
        <f>IF(AND(D115,A115&lt;$B$6),$B$7*B115*$B$8*$B$9,0)</f>
        <v/>
      </c>
      <c r="G115">
        <f>1/(1+$B$10)^(A115/12)</f>
        <v/>
      </c>
      <c r="H115" s="16">
        <f>E115*G115</f>
        <v/>
      </c>
      <c r="I115" s="16">
        <f>F115*G115</f>
        <v/>
      </c>
    </row>
    <row r="116">
      <c r="A116" t="n">
        <v>86</v>
      </c>
      <c r="B116" s="10">
        <f>$B$3*$B$12^A116</f>
        <v/>
      </c>
      <c r="C116" s="12">
        <f>$B$7*(1+B116)</f>
        <v/>
      </c>
      <c r="D116">
        <f>A116&lt;$B$5</f>
        <v/>
      </c>
      <c r="E116" s="16">
        <f>IF(A116&lt;$B$6,C116*$B$8*$B$9,0)</f>
        <v/>
      </c>
      <c r="F116" s="16">
        <f>IF(AND(D116,A116&lt;$B$6),$B$7*B116*$B$8*$B$9,0)</f>
        <v/>
      </c>
      <c r="G116">
        <f>1/(1+$B$10)^(A116/12)</f>
        <v/>
      </c>
      <c r="H116" s="16">
        <f>E116*G116</f>
        <v/>
      </c>
      <c r="I116" s="16">
        <f>F116*G116</f>
        <v/>
      </c>
    </row>
    <row r="117">
      <c r="A117" t="n">
        <v>87</v>
      </c>
      <c r="B117" s="10">
        <f>$B$3*$B$12^A117</f>
        <v/>
      </c>
      <c r="C117" s="12">
        <f>$B$7*(1+B117)</f>
        <v/>
      </c>
      <c r="D117">
        <f>A117&lt;$B$5</f>
        <v/>
      </c>
      <c r="E117" s="16">
        <f>IF(A117&lt;$B$6,C117*$B$8*$B$9,0)</f>
        <v/>
      </c>
      <c r="F117" s="16">
        <f>IF(AND(D117,A117&lt;$B$6),$B$7*B117*$B$8*$B$9,0)</f>
        <v/>
      </c>
      <c r="G117">
        <f>1/(1+$B$10)^(A117/12)</f>
        <v/>
      </c>
      <c r="H117" s="16">
        <f>E117*G117</f>
        <v/>
      </c>
      <c r="I117" s="16">
        <f>F117*G117</f>
        <v/>
      </c>
    </row>
    <row r="118">
      <c r="A118" t="n">
        <v>88</v>
      </c>
      <c r="B118" s="10">
        <f>$B$3*$B$12^A118</f>
        <v/>
      </c>
      <c r="C118" s="12">
        <f>$B$7*(1+B118)</f>
        <v/>
      </c>
      <c r="D118">
        <f>A118&lt;$B$5</f>
        <v/>
      </c>
      <c r="E118" s="16">
        <f>IF(A118&lt;$B$6,C118*$B$8*$B$9,0)</f>
        <v/>
      </c>
      <c r="F118" s="16">
        <f>IF(AND(D118,A118&lt;$B$6),$B$7*B118*$B$8*$B$9,0)</f>
        <v/>
      </c>
      <c r="G118">
        <f>1/(1+$B$10)^(A118/12)</f>
        <v/>
      </c>
      <c r="H118" s="16">
        <f>E118*G118</f>
        <v/>
      </c>
      <c r="I118" s="16">
        <f>F118*G118</f>
        <v/>
      </c>
    </row>
    <row r="119">
      <c r="A119" t="n">
        <v>89</v>
      </c>
      <c r="B119" s="10">
        <f>$B$3*$B$12^A119</f>
        <v/>
      </c>
      <c r="C119" s="12">
        <f>$B$7*(1+B119)</f>
        <v/>
      </c>
      <c r="D119">
        <f>A119&lt;$B$5</f>
        <v/>
      </c>
      <c r="E119" s="16">
        <f>IF(A119&lt;$B$6,C119*$B$8*$B$9,0)</f>
        <v/>
      </c>
      <c r="F119" s="16">
        <f>IF(AND(D119,A119&lt;$B$6),$B$7*B119*$B$8*$B$9,0)</f>
        <v/>
      </c>
      <c r="G119">
        <f>1/(1+$B$10)^(A119/12)</f>
        <v/>
      </c>
      <c r="H119" s="16">
        <f>E119*G119</f>
        <v/>
      </c>
      <c r="I119" s="16">
        <f>F119*G119</f>
        <v/>
      </c>
    </row>
    <row r="120">
      <c r="A120" t="n">
        <v>90</v>
      </c>
      <c r="B120" s="10">
        <f>$B$3*$B$12^A120</f>
        <v/>
      </c>
      <c r="C120" s="12">
        <f>$B$7*(1+B120)</f>
        <v/>
      </c>
      <c r="D120">
        <f>A120&lt;$B$5</f>
        <v/>
      </c>
      <c r="E120" s="16">
        <f>IF(A120&lt;$B$6,C120*$B$8*$B$9,0)</f>
        <v/>
      </c>
      <c r="F120" s="16">
        <f>IF(AND(D120,A120&lt;$B$6),$B$7*B120*$B$8*$B$9,0)</f>
        <v/>
      </c>
      <c r="G120">
        <f>1/(1+$B$10)^(A120/12)</f>
        <v/>
      </c>
      <c r="H120" s="16">
        <f>E120*G120</f>
        <v/>
      </c>
      <c r="I120" s="16">
        <f>F120*G120</f>
        <v/>
      </c>
    </row>
    <row r="121">
      <c r="A121" t="n">
        <v>91</v>
      </c>
      <c r="B121" s="10">
        <f>$B$3*$B$12^A121</f>
        <v/>
      </c>
      <c r="C121" s="12">
        <f>$B$7*(1+B121)</f>
        <v/>
      </c>
      <c r="D121">
        <f>A121&lt;$B$5</f>
        <v/>
      </c>
      <c r="E121" s="16">
        <f>IF(A121&lt;$B$6,C121*$B$8*$B$9,0)</f>
        <v/>
      </c>
      <c r="F121" s="16">
        <f>IF(AND(D121,A121&lt;$B$6),$B$7*B121*$B$8*$B$9,0)</f>
        <v/>
      </c>
      <c r="G121">
        <f>1/(1+$B$10)^(A121/12)</f>
        <v/>
      </c>
      <c r="H121" s="16">
        <f>E121*G121</f>
        <v/>
      </c>
      <c r="I121" s="16">
        <f>F121*G121</f>
        <v/>
      </c>
    </row>
    <row r="122">
      <c r="A122" t="n">
        <v>92</v>
      </c>
      <c r="B122" s="10">
        <f>$B$3*$B$12^A122</f>
        <v/>
      </c>
      <c r="C122" s="12">
        <f>$B$7*(1+B122)</f>
        <v/>
      </c>
      <c r="D122">
        <f>A122&lt;$B$5</f>
        <v/>
      </c>
      <c r="E122" s="16">
        <f>IF(A122&lt;$B$6,C122*$B$8*$B$9,0)</f>
        <v/>
      </c>
      <c r="F122" s="16">
        <f>IF(AND(D122,A122&lt;$B$6),$B$7*B122*$B$8*$B$9,0)</f>
        <v/>
      </c>
      <c r="G122">
        <f>1/(1+$B$10)^(A122/12)</f>
        <v/>
      </c>
      <c r="H122" s="16">
        <f>E122*G122</f>
        <v/>
      </c>
      <c r="I122" s="16">
        <f>F122*G122</f>
        <v/>
      </c>
    </row>
    <row r="123">
      <c r="A123" t="n">
        <v>93</v>
      </c>
      <c r="B123" s="10">
        <f>$B$3*$B$12^A123</f>
        <v/>
      </c>
      <c r="C123" s="12">
        <f>$B$7*(1+B123)</f>
        <v/>
      </c>
      <c r="D123">
        <f>A123&lt;$B$5</f>
        <v/>
      </c>
      <c r="E123" s="16">
        <f>IF(A123&lt;$B$6,C123*$B$8*$B$9,0)</f>
        <v/>
      </c>
      <c r="F123" s="16">
        <f>IF(AND(D123,A123&lt;$B$6),$B$7*B123*$B$8*$B$9,0)</f>
        <v/>
      </c>
      <c r="G123">
        <f>1/(1+$B$10)^(A123/12)</f>
        <v/>
      </c>
      <c r="H123" s="16">
        <f>E123*G123</f>
        <v/>
      </c>
      <c r="I123" s="16">
        <f>F123*G123</f>
        <v/>
      </c>
    </row>
    <row r="124">
      <c r="A124" t="n">
        <v>94</v>
      </c>
      <c r="B124" s="10">
        <f>$B$3*$B$12^A124</f>
        <v/>
      </c>
      <c r="C124" s="12">
        <f>$B$7*(1+B124)</f>
        <v/>
      </c>
      <c r="D124">
        <f>A124&lt;$B$5</f>
        <v/>
      </c>
      <c r="E124" s="16">
        <f>IF(A124&lt;$B$6,C124*$B$8*$B$9,0)</f>
        <v/>
      </c>
      <c r="F124" s="16">
        <f>IF(AND(D124,A124&lt;$B$6),$B$7*B124*$B$8*$B$9,0)</f>
        <v/>
      </c>
      <c r="G124">
        <f>1/(1+$B$10)^(A124/12)</f>
        <v/>
      </c>
      <c r="H124" s="16">
        <f>E124*G124</f>
        <v/>
      </c>
      <c r="I124" s="16">
        <f>F124*G124</f>
        <v/>
      </c>
    </row>
    <row r="125">
      <c r="A125" t="n">
        <v>95</v>
      </c>
      <c r="B125" s="10">
        <f>$B$3*$B$12^A125</f>
        <v/>
      </c>
      <c r="C125" s="12">
        <f>$B$7*(1+B125)</f>
        <v/>
      </c>
      <c r="D125">
        <f>A125&lt;$B$5</f>
        <v/>
      </c>
      <c r="E125" s="16">
        <f>IF(A125&lt;$B$6,C125*$B$8*$B$9,0)</f>
        <v/>
      </c>
      <c r="F125" s="16">
        <f>IF(AND(D125,A125&lt;$B$6),$B$7*B125*$B$8*$B$9,0)</f>
        <v/>
      </c>
      <c r="G125">
        <f>1/(1+$B$10)^(A125/12)</f>
        <v/>
      </c>
      <c r="H125" s="16">
        <f>E125*G125</f>
        <v/>
      </c>
      <c r="I125" s="16">
        <f>F125*G125</f>
        <v/>
      </c>
    </row>
    <row r="126">
      <c r="A126" t="n">
        <v>96</v>
      </c>
      <c r="B126" s="10">
        <f>$B$3*$B$12^A126</f>
        <v/>
      </c>
      <c r="C126" s="12">
        <f>$B$7*(1+B126)</f>
        <v/>
      </c>
      <c r="D126">
        <f>A126&lt;$B$5</f>
        <v/>
      </c>
      <c r="E126" s="16">
        <f>IF(A126&lt;$B$6,C126*$B$8*$B$9,0)</f>
        <v/>
      </c>
      <c r="F126" s="16">
        <f>IF(AND(D126,A126&lt;$B$6),$B$7*B126*$B$8*$B$9,0)</f>
        <v/>
      </c>
      <c r="G126">
        <f>1/(1+$B$10)^(A126/12)</f>
        <v/>
      </c>
      <c r="H126" s="16">
        <f>E126*G126</f>
        <v/>
      </c>
      <c r="I126" s="16">
        <f>F126*G126</f>
        <v/>
      </c>
    </row>
    <row r="127">
      <c r="A127" t="n">
        <v>97</v>
      </c>
      <c r="B127" s="10">
        <f>$B$3*$B$12^A127</f>
        <v/>
      </c>
      <c r="C127" s="12">
        <f>$B$7*(1+B127)</f>
        <v/>
      </c>
      <c r="D127">
        <f>A127&lt;$B$5</f>
        <v/>
      </c>
      <c r="E127" s="16">
        <f>IF(A127&lt;$B$6,C127*$B$8*$B$9,0)</f>
        <v/>
      </c>
      <c r="F127" s="16">
        <f>IF(AND(D127,A127&lt;$B$6),$B$7*B127*$B$8*$B$9,0)</f>
        <v/>
      </c>
      <c r="G127">
        <f>1/(1+$B$10)^(A127/12)</f>
        <v/>
      </c>
      <c r="H127" s="16">
        <f>E127*G127</f>
        <v/>
      </c>
      <c r="I127" s="16">
        <f>F127*G127</f>
        <v/>
      </c>
    </row>
    <row r="128">
      <c r="A128" t="n">
        <v>98</v>
      </c>
      <c r="B128" s="10">
        <f>$B$3*$B$12^A128</f>
        <v/>
      </c>
      <c r="C128" s="12">
        <f>$B$7*(1+B128)</f>
        <v/>
      </c>
      <c r="D128">
        <f>A128&lt;$B$5</f>
        <v/>
      </c>
      <c r="E128" s="16">
        <f>IF(A128&lt;$B$6,C128*$B$8*$B$9,0)</f>
        <v/>
      </c>
      <c r="F128" s="16">
        <f>IF(AND(D128,A128&lt;$B$6),$B$7*B128*$B$8*$B$9,0)</f>
        <v/>
      </c>
      <c r="G128">
        <f>1/(1+$B$10)^(A128/12)</f>
        <v/>
      </c>
      <c r="H128" s="16">
        <f>E128*G128</f>
        <v/>
      </c>
      <c r="I128" s="16">
        <f>F128*G128</f>
        <v/>
      </c>
    </row>
    <row r="129">
      <c r="A129" t="n">
        <v>99</v>
      </c>
      <c r="B129" s="10">
        <f>$B$3*$B$12^A129</f>
        <v/>
      </c>
      <c r="C129" s="12">
        <f>$B$7*(1+B129)</f>
        <v/>
      </c>
      <c r="D129">
        <f>A129&lt;$B$5</f>
        <v/>
      </c>
      <c r="E129" s="16">
        <f>IF(A129&lt;$B$6,C129*$B$8*$B$9,0)</f>
        <v/>
      </c>
      <c r="F129" s="16">
        <f>IF(AND(D129,A129&lt;$B$6),$B$7*B129*$B$8*$B$9,0)</f>
        <v/>
      </c>
      <c r="G129">
        <f>1/(1+$B$10)^(A129/12)</f>
        <v/>
      </c>
      <c r="H129" s="16">
        <f>E129*G129</f>
        <v/>
      </c>
      <c r="I129" s="16">
        <f>F129*G129</f>
        <v/>
      </c>
    </row>
    <row r="130">
      <c r="A130" t="n">
        <v>100</v>
      </c>
      <c r="B130" s="10">
        <f>$B$3*$B$12^A130</f>
        <v/>
      </c>
      <c r="C130" s="12">
        <f>$B$7*(1+B130)</f>
        <v/>
      </c>
      <c r="D130">
        <f>A130&lt;$B$5</f>
        <v/>
      </c>
      <c r="E130" s="16">
        <f>IF(A130&lt;$B$6,C130*$B$8*$B$9,0)</f>
        <v/>
      </c>
      <c r="F130" s="16">
        <f>IF(AND(D130,A130&lt;$B$6),$B$7*B130*$B$8*$B$9,0)</f>
        <v/>
      </c>
      <c r="G130">
        <f>1/(1+$B$10)^(A130/12)</f>
        <v/>
      </c>
      <c r="H130" s="16">
        <f>E130*G130</f>
        <v/>
      </c>
      <c r="I130" s="16">
        <f>F130*G130</f>
        <v/>
      </c>
    </row>
    <row r="131">
      <c r="A131" t="n">
        <v>101</v>
      </c>
      <c r="B131" s="10">
        <f>$B$3*$B$12^A131</f>
        <v/>
      </c>
      <c r="C131" s="12">
        <f>$B$7*(1+B131)</f>
        <v/>
      </c>
      <c r="D131">
        <f>A131&lt;$B$5</f>
        <v/>
      </c>
      <c r="E131" s="16">
        <f>IF(A131&lt;$B$6,C131*$B$8*$B$9,0)</f>
        <v/>
      </c>
      <c r="F131" s="16">
        <f>IF(AND(D131,A131&lt;$B$6),$B$7*B131*$B$8*$B$9,0)</f>
        <v/>
      </c>
      <c r="G131">
        <f>1/(1+$B$10)^(A131/12)</f>
        <v/>
      </c>
      <c r="H131" s="16">
        <f>E131*G131</f>
        <v/>
      </c>
      <c r="I131" s="16">
        <f>F131*G131</f>
        <v/>
      </c>
    </row>
    <row r="132">
      <c r="A132" t="n">
        <v>102</v>
      </c>
      <c r="B132" s="10">
        <f>$B$3*$B$12^A132</f>
        <v/>
      </c>
      <c r="C132" s="12">
        <f>$B$7*(1+B132)</f>
        <v/>
      </c>
      <c r="D132">
        <f>A132&lt;$B$5</f>
        <v/>
      </c>
      <c r="E132" s="16">
        <f>IF(A132&lt;$B$6,C132*$B$8*$B$9,0)</f>
        <v/>
      </c>
      <c r="F132" s="16">
        <f>IF(AND(D132,A132&lt;$B$6),$B$7*B132*$B$8*$B$9,0)</f>
        <v/>
      </c>
      <c r="G132">
        <f>1/(1+$B$10)^(A132/12)</f>
        <v/>
      </c>
      <c r="H132" s="16">
        <f>E132*G132</f>
        <v/>
      </c>
      <c r="I132" s="16">
        <f>F132*G132</f>
        <v/>
      </c>
    </row>
    <row r="133">
      <c r="A133" t="n">
        <v>103</v>
      </c>
      <c r="B133" s="10">
        <f>$B$3*$B$12^A133</f>
        <v/>
      </c>
      <c r="C133" s="12">
        <f>$B$7*(1+B133)</f>
        <v/>
      </c>
      <c r="D133">
        <f>A133&lt;$B$5</f>
        <v/>
      </c>
      <c r="E133" s="16">
        <f>IF(A133&lt;$B$6,C133*$B$8*$B$9,0)</f>
        <v/>
      </c>
      <c r="F133" s="16">
        <f>IF(AND(D133,A133&lt;$B$6),$B$7*B133*$B$8*$B$9,0)</f>
        <v/>
      </c>
      <c r="G133">
        <f>1/(1+$B$10)^(A133/12)</f>
        <v/>
      </c>
      <c r="H133" s="16">
        <f>E133*G133</f>
        <v/>
      </c>
      <c r="I133" s="16">
        <f>F133*G133</f>
        <v/>
      </c>
    </row>
    <row r="134">
      <c r="A134" t="n">
        <v>104</v>
      </c>
      <c r="B134" s="10">
        <f>$B$3*$B$12^A134</f>
        <v/>
      </c>
      <c r="C134" s="12">
        <f>$B$7*(1+B134)</f>
        <v/>
      </c>
      <c r="D134">
        <f>A134&lt;$B$5</f>
        <v/>
      </c>
      <c r="E134" s="16">
        <f>IF(A134&lt;$B$6,C134*$B$8*$B$9,0)</f>
        <v/>
      </c>
      <c r="F134" s="16">
        <f>IF(AND(D134,A134&lt;$B$6),$B$7*B134*$B$8*$B$9,0)</f>
        <v/>
      </c>
      <c r="G134">
        <f>1/(1+$B$10)^(A134/12)</f>
        <v/>
      </c>
      <c r="H134" s="16">
        <f>E134*G134</f>
        <v/>
      </c>
      <c r="I134" s="16">
        <f>F134*G134</f>
        <v/>
      </c>
    </row>
    <row r="135">
      <c r="A135" t="n">
        <v>105</v>
      </c>
      <c r="B135" s="10">
        <f>$B$3*$B$12^A135</f>
        <v/>
      </c>
      <c r="C135" s="12">
        <f>$B$7*(1+B135)</f>
        <v/>
      </c>
      <c r="D135">
        <f>A135&lt;$B$5</f>
        <v/>
      </c>
      <c r="E135" s="16">
        <f>IF(A135&lt;$B$6,C135*$B$8*$B$9,0)</f>
        <v/>
      </c>
      <c r="F135" s="16">
        <f>IF(AND(D135,A135&lt;$B$6),$B$7*B135*$B$8*$B$9,0)</f>
        <v/>
      </c>
      <c r="G135">
        <f>1/(1+$B$10)^(A135/12)</f>
        <v/>
      </c>
      <c r="H135" s="16">
        <f>E135*G135</f>
        <v/>
      </c>
      <c r="I135" s="16">
        <f>F135*G135</f>
        <v/>
      </c>
    </row>
    <row r="136">
      <c r="A136" t="n">
        <v>106</v>
      </c>
      <c r="B136" s="10">
        <f>$B$3*$B$12^A136</f>
        <v/>
      </c>
      <c r="C136" s="12">
        <f>$B$7*(1+B136)</f>
        <v/>
      </c>
      <c r="D136">
        <f>A136&lt;$B$5</f>
        <v/>
      </c>
      <c r="E136" s="16">
        <f>IF(A136&lt;$B$6,C136*$B$8*$B$9,0)</f>
        <v/>
      </c>
      <c r="F136" s="16">
        <f>IF(AND(D136,A136&lt;$B$6),$B$7*B136*$B$8*$B$9,0)</f>
        <v/>
      </c>
      <c r="G136">
        <f>1/(1+$B$10)^(A136/12)</f>
        <v/>
      </c>
      <c r="H136" s="16">
        <f>E136*G136</f>
        <v/>
      </c>
      <c r="I136" s="16">
        <f>F136*G136</f>
        <v/>
      </c>
    </row>
    <row r="137">
      <c r="A137" t="n">
        <v>107</v>
      </c>
      <c r="B137" s="10">
        <f>$B$3*$B$12^A137</f>
        <v/>
      </c>
      <c r="C137" s="12">
        <f>$B$7*(1+B137)</f>
        <v/>
      </c>
      <c r="D137">
        <f>A137&lt;$B$5</f>
        <v/>
      </c>
      <c r="E137" s="16">
        <f>IF(A137&lt;$B$6,C137*$B$8*$B$9,0)</f>
        <v/>
      </c>
      <c r="F137" s="16">
        <f>IF(AND(D137,A137&lt;$B$6),$B$7*B137*$B$8*$B$9,0)</f>
        <v/>
      </c>
      <c r="G137">
        <f>1/(1+$B$10)^(A137/12)</f>
        <v/>
      </c>
      <c r="H137" s="16">
        <f>E137*G137</f>
        <v/>
      </c>
      <c r="I137" s="16">
        <f>F137*G137</f>
        <v/>
      </c>
    </row>
    <row r="138">
      <c r="A138" t="n">
        <v>108</v>
      </c>
      <c r="B138" s="10">
        <f>$B$3*$B$12^A138</f>
        <v/>
      </c>
      <c r="C138" s="12">
        <f>$B$7*(1+B138)</f>
        <v/>
      </c>
      <c r="D138">
        <f>A138&lt;$B$5</f>
        <v/>
      </c>
      <c r="E138" s="16">
        <f>IF(A138&lt;$B$6,C138*$B$8*$B$9,0)</f>
        <v/>
      </c>
      <c r="F138" s="16">
        <f>IF(AND(D138,A138&lt;$B$6),$B$7*B138*$B$8*$B$9,0)</f>
        <v/>
      </c>
      <c r="G138">
        <f>1/(1+$B$10)^(A138/12)</f>
        <v/>
      </c>
      <c r="H138" s="16">
        <f>E138*G138</f>
        <v/>
      </c>
      <c r="I138" s="16">
        <f>F138*G138</f>
        <v/>
      </c>
    </row>
    <row r="139">
      <c r="A139" t="n">
        <v>109</v>
      </c>
      <c r="B139" s="10">
        <f>$B$3*$B$12^A139</f>
        <v/>
      </c>
      <c r="C139" s="12">
        <f>$B$7*(1+B139)</f>
        <v/>
      </c>
      <c r="D139">
        <f>A139&lt;$B$5</f>
        <v/>
      </c>
      <c r="E139" s="16">
        <f>IF(A139&lt;$B$6,C139*$B$8*$B$9,0)</f>
        <v/>
      </c>
      <c r="F139" s="16">
        <f>IF(AND(D139,A139&lt;$B$6),$B$7*B139*$B$8*$B$9,0)</f>
        <v/>
      </c>
      <c r="G139">
        <f>1/(1+$B$10)^(A139/12)</f>
        <v/>
      </c>
      <c r="H139" s="16">
        <f>E139*G139</f>
        <v/>
      </c>
      <c r="I139" s="16">
        <f>F139*G139</f>
        <v/>
      </c>
    </row>
    <row r="140">
      <c r="A140" t="n">
        <v>110</v>
      </c>
      <c r="B140" s="10">
        <f>$B$3*$B$12^A140</f>
        <v/>
      </c>
      <c r="C140" s="12">
        <f>$B$7*(1+B140)</f>
        <v/>
      </c>
      <c r="D140">
        <f>A140&lt;$B$5</f>
        <v/>
      </c>
      <c r="E140" s="16">
        <f>IF(A140&lt;$B$6,C140*$B$8*$B$9,0)</f>
        <v/>
      </c>
      <c r="F140" s="16">
        <f>IF(AND(D140,A140&lt;$B$6),$B$7*B140*$B$8*$B$9,0)</f>
        <v/>
      </c>
      <c r="G140">
        <f>1/(1+$B$10)^(A140/12)</f>
        <v/>
      </c>
      <c r="H140" s="16">
        <f>E140*G140</f>
        <v/>
      </c>
      <c r="I140" s="16">
        <f>F140*G140</f>
        <v/>
      </c>
    </row>
    <row r="141">
      <c r="A141" t="n">
        <v>111</v>
      </c>
      <c r="B141" s="10">
        <f>$B$3*$B$12^A141</f>
        <v/>
      </c>
      <c r="C141" s="12">
        <f>$B$7*(1+B141)</f>
        <v/>
      </c>
      <c r="D141">
        <f>A141&lt;$B$5</f>
        <v/>
      </c>
      <c r="E141" s="16">
        <f>IF(A141&lt;$B$6,C141*$B$8*$B$9,0)</f>
        <v/>
      </c>
      <c r="F141" s="16">
        <f>IF(AND(D141,A141&lt;$B$6),$B$7*B141*$B$8*$B$9,0)</f>
        <v/>
      </c>
      <c r="G141">
        <f>1/(1+$B$10)^(A141/12)</f>
        <v/>
      </c>
      <c r="H141" s="16">
        <f>E141*G141</f>
        <v/>
      </c>
      <c r="I141" s="16">
        <f>F141*G141</f>
        <v/>
      </c>
    </row>
    <row r="142">
      <c r="A142" t="n">
        <v>112</v>
      </c>
      <c r="B142" s="10">
        <f>$B$3*$B$12^A142</f>
        <v/>
      </c>
      <c r="C142" s="12">
        <f>$B$7*(1+B142)</f>
        <v/>
      </c>
      <c r="D142">
        <f>A142&lt;$B$5</f>
        <v/>
      </c>
      <c r="E142" s="16">
        <f>IF(A142&lt;$B$6,C142*$B$8*$B$9,0)</f>
        <v/>
      </c>
      <c r="F142" s="16">
        <f>IF(AND(D142,A142&lt;$B$6),$B$7*B142*$B$8*$B$9,0)</f>
        <v/>
      </c>
      <c r="G142">
        <f>1/(1+$B$10)^(A142/12)</f>
        <v/>
      </c>
      <c r="H142" s="16">
        <f>E142*G142</f>
        <v/>
      </c>
      <c r="I142" s="16">
        <f>F142*G142</f>
        <v/>
      </c>
    </row>
    <row r="143">
      <c r="A143" t="n">
        <v>113</v>
      </c>
      <c r="B143" s="10">
        <f>$B$3*$B$12^A143</f>
        <v/>
      </c>
      <c r="C143" s="12">
        <f>$B$7*(1+B143)</f>
        <v/>
      </c>
      <c r="D143">
        <f>A143&lt;$B$5</f>
        <v/>
      </c>
      <c r="E143" s="16">
        <f>IF(A143&lt;$B$6,C143*$B$8*$B$9,0)</f>
        <v/>
      </c>
      <c r="F143" s="16">
        <f>IF(AND(D143,A143&lt;$B$6),$B$7*B143*$B$8*$B$9,0)</f>
        <v/>
      </c>
      <c r="G143">
        <f>1/(1+$B$10)^(A143/12)</f>
        <v/>
      </c>
      <c r="H143" s="16">
        <f>E143*G143</f>
        <v/>
      </c>
      <c r="I143" s="16">
        <f>F143*G143</f>
        <v/>
      </c>
    </row>
    <row r="144">
      <c r="A144" t="n">
        <v>114</v>
      </c>
      <c r="B144" s="10">
        <f>$B$3*$B$12^A144</f>
        <v/>
      </c>
      <c r="C144" s="12">
        <f>$B$7*(1+B144)</f>
        <v/>
      </c>
      <c r="D144">
        <f>A144&lt;$B$5</f>
        <v/>
      </c>
      <c r="E144" s="16">
        <f>IF(A144&lt;$B$6,C144*$B$8*$B$9,0)</f>
        <v/>
      </c>
      <c r="F144" s="16">
        <f>IF(AND(D144,A144&lt;$B$6),$B$7*B144*$B$8*$B$9,0)</f>
        <v/>
      </c>
      <c r="G144">
        <f>1/(1+$B$10)^(A144/12)</f>
        <v/>
      </c>
      <c r="H144" s="16">
        <f>E144*G144</f>
        <v/>
      </c>
      <c r="I144" s="16">
        <f>F144*G144</f>
        <v/>
      </c>
    </row>
    <row r="145">
      <c r="A145" t="n">
        <v>115</v>
      </c>
      <c r="B145" s="10">
        <f>$B$3*$B$12^A145</f>
        <v/>
      </c>
      <c r="C145" s="12">
        <f>$B$7*(1+B145)</f>
        <v/>
      </c>
      <c r="D145">
        <f>A145&lt;$B$5</f>
        <v/>
      </c>
      <c r="E145" s="16">
        <f>IF(A145&lt;$B$6,C145*$B$8*$B$9,0)</f>
        <v/>
      </c>
      <c r="F145" s="16">
        <f>IF(AND(D145,A145&lt;$B$6),$B$7*B145*$B$8*$B$9,0)</f>
        <v/>
      </c>
      <c r="G145">
        <f>1/(1+$B$10)^(A145/12)</f>
        <v/>
      </c>
      <c r="H145" s="16">
        <f>E145*G145</f>
        <v/>
      </c>
      <c r="I145" s="16">
        <f>F145*G145</f>
        <v/>
      </c>
    </row>
    <row r="146">
      <c r="A146" t="n">
        <v>116</v>
      </c>
      <c r="B146" s="10">
        <f>$B$3*$B$12^A146</f>
        <v/>
      </c>
      <c r="C146" s="12">
        <f>$B$7*(1+B146)</f>
        <v/>
      </c>
      <c r="D146">
        <f>A146&lt;$B$5</f>
        <v/>
      </c>
      <c r="E146" s="16">
        <f>IF(A146&lt;$B$6,C146*$B$8*$B$9,0)</f>
        <v/>
      </c>
      <c r="F146" s="16">
        <f>IF(AND(D146,A146&lt;$B$6),$B$7*B146*$B$8*$B$9,0)</f>
        <v/>
      </c>
      <c r="G146">
        <f>1/(1+$B$10)^(A146/12)</f>
        <v/>
      </c>
      <c r="H146" s="16">
        <f>E146*G146</f>
        <v/>
      </c>
      <c r="I146" s="16">
        <f>F146*G146</f>
        <v/>
      </c>
    </row>
    <row r="147">
      <c r="A147" t="n">
        <v>117</v>
      </c>
      <c r="B147" s="10">
        <f>$B$3*$B$12^A147</f>
        <v/>
      </c>
      <c r="C147" s="12">
        <f>$B$7*(1+B147)</f>
        <v/>
      </c>
      <c r="D147">
        <f>A147&lt;$B$5</f>
        <v/>
      </c>
      <c r="E147" s="16">
        <f>IF(A147&lt;$B$6,C147*$B$8*$B$9,0)</f>
        <v/>
      </c>
      <c r="F147" s="16">
        <f>IF(AND(D147,A147&lt;$B$6),$B$7*B147*$B$8*$B$9,0)</f>
        <v/>
      </c>
      <c r="G147">
        <f>1/(1+$B$10)^(A147/12)</f>
        <v/>
      </c>
      <c r="H147" s="16">
        <f>E147*G147</f>
        <v/>
      </c>
      <c r="I147" s="16">
        <f>F147*G147</f>
        <v/>
      </c>
    </row>
    <row r="148">
      <c r="A148" t="n">
        <v>118</v>
      </c>
      <c r="B148" s="10">
        <f>$B$3*$B$12^A148</f>
        <v/>
      </c>
      <c r="C148" s="12">
        <f>$B$7*(1+B148)</f>
        <v/>
      </c>
      <c r="D148">
        <f>A148&lt;$B$5</f>
        <v/>
      </c>
      <c r="E148" s="16">
        <f>IF(A148&lt;$B$6,C148*$B$8*$B$9,0)</f>
        <v/>
      </c>
      <c r="F148" s="16">
        <f>IF(AND(D148,A148&lt;$B$6),$B$7*B148*$B$8*$B$9,0)</f>
        <v/>
      </c>
      <c r="G148">
        <f>1/(1+$B$10)^(A148/12)</f>
        <v/>
      </c>
      <c r="H148" s="16">
        <f>E148*G148</f>
        <v/>
      </c>
      <c r="I148" s="16">
        <f>F148*G148</f>
        <v/>
      </c>
    </row>
    <row r="149">
      <c r="A149" t="n">
        <v>119</v>
      </c>
      <c r="B149" s="10">
        <f>$B$3*$B$12^A149</f>
        <v/>
      </c>
      <c r="C149" s="12">
        <f>$B$7*(1+B149)</f>
        <v/>
      </c>
      <c r="D149">
        <f>A149&lt;$B$5</f>
        <v/>
      </c>
      <c r="E149" s="16">
        <f>IF(A149&lt;$B$6,C149*$B$8*$B$9,0)</f>
        <v/>
      </c>
      <c r="F149" s="16">
        <f>IF(AND(D149,A149&lt;$B$6),$B$7*B149*$B$8*$B$9,0)</f>
        <v/>
      </c>
      <c r="G149">
        <f>1/(1+$B$10)^(A149/12)</f>
        <v/>
      </c>
      <c r="H149" s="16">
        <f>E149*G149</f>
        <v/>
      </c>
      <c r="I149" s="16">
        <f>F149*G149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7" customWidth="1" min="4" max="4"/>
    <col width="10" customWidth="1" min="5" max="5"/>
    <col width="10" customWidth="1" min="6" max="6"/>
    <col width="10" customWidth="1" min="7" max="7"/>
    <col width="11" customWidth="1" min="8" max="8"/>
    <col width="48" customWidth="1" min="9" max="9"/>
    <col width="9" customWidth="1" min="10" max="10"/>
    <col width="9" customWidth="1" min="11" max="11"/>
    <col width="9" customWidth="1" min="12" max="12"/>
    <col width="10" customWidth="1" min="13" max="13"/>
    <col width="10" customWidth="1" min="14" max="14"/>
    <col width="9" customWidth="1" min="15" max="15"/>
    <col width="9" customWidth="1" min="16" max="16"/>
    <col width="9" customWidth="1" min="17" max="17"/>
    <col width="18" customWidth="1" min="18" max="18"/>
    <col width="80" customWidth="1" min="19" max="19"/>
  </cols>
  <sheetData>
    <row r="1">
      <c r="A1" t="inlineStr">
        <is>
          <t>Secondary-market residual value vs. book schedules. Age is measured from first cloud GA (H100: 2023-03-21, CoreWeave) or DGX A100 launch (2020-05-14). Prices are asks/brokered reads unless stated. eBay sold listings: not viewable from this environment (eBay returned an error page to scripted requests). Not found.</t>
        </is>
      </c>
    </row>
    <row r="2">
      <c r="A2" s="2" t="inlineStr">
        <is>
          <t>item</t>
        </is>
      </c>
      <c r="B2" s="2" t="inlineStr">
        <is>
          <t>as-of</t>
        </is>
      </c>
      <c r="C2" s="2" t="inlineStr">
        <is>
          <t>reference start date</t>
        </is>
      </c>
      <c r="D2" s="2" t="inlineStr">
        <is>
          <t>age (yrs)</t>
        </is>
      </c>
      <c r="E2" s="2" t="inlineStr">
        <is>
          <t>used low $</t>
        </is>
      </c>
      <c r="F2" s="2" t="inlineStr">
        <is>
          <t>used high $</t>
        </is>
      </c>
      <c r="G2" s="2" t="inlineStr">
        <is>
          <t>used central $</t>
        </is>
      </c>
      <c r="H2" s="2" t="inlineStr">
        <is>
          <t>new/launch reference $</t>
        </is>
      </c>
      <c r="I2" s="2" t="inlineStr">
        <is>
          <t>reference basis</t>
        </is>
      </c>
      <c r="J2" s="2" t="inlineStr">
        <is>
          <t>residual % (central)</t>
        </is>
      </c>
      <c r="K2" s="2" t="inlineStr">
        <is>
          <t>residual % low</t>
        </is>
      </c>
      <c r="L2" s="2" t="inlineStr">
        <is>
          <t>residual % high</t>
        </is>
      </c>
      <c r="M2" s="2" t="inlineStr">
        <is>
          <t>implied annual decline (geometric)</t>
        </is>
      </c>
      <c r="N2" s="2" t="inlineStr">
        <is>
          <t>years to 15% salvage at that rate</t>
        </is>
      </c>
      <c r="O2" s="2" t="inlineStr">
        <is>
          <t>book NBV % (4y SL)</t>
        </is>
      </c>
      <c r="P2" s="2" t="inlineStr">
        <is>
          <t>book NBV % (5y SL)</t>
        </is>
      </c>
      <c r="Q2" s="2" t="inlineStr">
        <is>
          <t>book NBV % (6y SL)</t>
        </is>
      </c>
      <c r="R2" s="2" t="inlineStr">
        <is>
          <t>tag</t>
        </is>
      </c>
      <c r="S2" s="2" t="inlineStr">
        <is>
          <t>source</t>
        </is>
      </c>
    </row>
    <row r="3">
      <c r="A3" t="inlineStr">
        <is>
          <t>H100 8-GPU HGX server, used</t>
        </is>
      </c>
      <c r="B3" s="3" t="n">
        <v>46120</v>
      </c>
      <c r="C3" s="3" t="n">
        <v>45006</v>
      </c>
      <c r="D3" s="6">
        <f>(B3-C3)/365.25</f>
        <v/>
      </c>
      <c r="E3" s="16" t="n">
        <v>150000</v>
      </c>
      <c r="F3" s="16" t="n">
        <v>180000</v>
      </c>
      <c r="G3" s="16">
        <f>AVERAGE(E3:F3)</f>
        <v/>
      </c>
      <c r="H3" s="16" t="n">
        <v>280500</v>
      </c>
      <c r="I3" t="inlineStr">
        <is>
          <t>new 8xH100 server listings $246k-$315k midpoint (Dell XE9680 / Supermicro listings, retrieved 2026-10-04; listing date not shown)</t>
        </is>
      </c>
      <c r="J3" s="17">
        <f>G3/H3</f>
        <v/>
      </c>
      <c r="K3" s="17">
        <f>E3/H3</f>
        <v/>
      </c>
      <c r="L3" s="17">
        <f>F3/H3</f>
        <v/>
      </c>
      <c r="M3" s="5">
        <f>J3^(1/D3)-1</f>
        <v/>
      </c>
      <c r="N3" s="6">
        <f>IF(J3&lt;1,LN(0.15)/LN(1+M3),"n/a (residual &gt;= 100%)")</f>
        <v/>
      </c>
      <c r="O3" s="17">
        <f>MAX(0,1-D3/4)</f>
        <v/>
      </c>
      <c r="P3" s="17">
        <f>MAX(0,1-D3/5)</f>
        <v/>
      </c>
      <c r="Q3" s="17">
        <f>MAX(0,1-D3/6)</f>
        <v/>
      </c>
      <c r="R3" t="inlineStr">
        <is>
          <t>Reported (ranges) / Derived (%)</t>
        </is>
      </c>
      <c r="S3" t="inlineStr">
        <is>
          <t>https://hashrateindex.com/blog/used-gpu-market-pricing-deprecation-secondary-ai/ ; https://www.interpromicro.com/product/40091-dell-edge-xe9680-6u-server-with-8xh100-gpus ; https://viperatech.com/product/supermicro-superserver-sys-821ge-tnhr-sxm5-640gb-hgx-h100</t>
        </is>
      </c>
    </row>
    <row r="4">
      <c r="A4" t="inlineStr">
        <is>
          <t>H100 PCIe 80GB, used (first publishable used read)</t>
        </is>
      </c>
      <c r="B4" s="3" t="n">
        <v>46266</v>
      </c>
      <c r="C4" s="3" t="n">
        <v>45006</v>
      </c>
      <c r="D4" s="6">
        <f>(B4-C4)/365.25</f>
        <v/>
      </c>
      <c r="E4" s="16" t="n">
        <v>28000</v>
      </c>
      <c r="F4" s="16" t="n">
        <v>32399</v>
      </c>
      <c r="G4" s="16" t="n">
        <v>32290</v>
      </c>
      <c r="H4" s="16" t="n">
        <v>29500</v>
      </c>
      <c r="I4" t="inlineStr">
        <is>
          <t>Clustermelt new-condition H100 PCIe read, same issue</t>
        </is>
      </c>
      <c r="J4" s="17">
        <f>G4/H4</f>
        <v/>
      </c>
      <c r="K4" s="17">
        <f>E4/H4</f>
        <v/>
      </c>
      <c r="L4" s="17">
        <f>F4/H4</f>
        <v/>
      </c>
      <c r="M4" s="5">
        <f>J4^(1/D4)-1</f>
        <v/>
      </c>
      <c r="N4" s="6">
        <f>IF(J4&lt;1,LN(0.15)/LN(1+M4),"n/a (residual &gt;= 100%)")</f>
        <v/>
      </c>
      <c r="O4" s="17">
        <f>MAX(0,1-D4/4)</f>
        <v/>
      </c>
      <c r="P4" s="17">
        <f>MAX(0,1-D4/5)</f>
        <v/>
      </c>
      <c r="Q4" s="17">
        <f>MAX(0,1-D4/6)</f>
        <v/>
      </c>
      <c r="R4" t="inlineStr">
        <is>
          <t>Reported / Derived</t>
        </is>
      </c>
      <c r="S4" t="inlineStr">
        <is>
          <t>https://clustermelt.com/market-intelligence/2026-09</t>
        </is>
      </c>
    </row>
    <row r="5">
      <c r="A5" t="inlineStr">
        <is>
          <t>H100 SXM5 module, used/refurb</t>
        </is>
      </c>
      <c r="B5" s="3" t="n">
        <v>46196</v>
      </c>
      <c r="C5" s="3" t="n">
        <v>45006</v>
      </c>
      <c r="D5" s="6">
        <f>(B5-C5)/365.25</f>
        <v/>
      </c>
      <c r="E5" s="16" t="n">
        <v>18000</v>
      </c>
      <c r="F5" s="16" t="n">
        <v>22000</v>
      </c>
      <c r="G5" s="16">
        <f>AVERAGE(E5:F5)</f>
        <v/>
      </c>
      <c r="H5" s="16" t="n">
        <v>30000</v>
      </c>
      <c r="I5" t="inlineStr">
        <is>
          <t>Mercatus $30,000 OEM list reference; refurb channel $18-22k</t>
        </is>
      </c>
      <c r="J5" s="17">
        <f>G5/H5</f>
        <v/>
      </c>
      <c r="K5" s="17">
        <f>E5/H5</f>
        <v/>
      </c>
      <c r="L5" s="17">
        <f>F5/H5</f>
        <v/>
      </c>
      <c r="M5" s="5">
        <f>J5^(1/D5)-1</f>
        <v/>
      </c>
      <c r="N5" s="6">
        <f>IF(J5&lt;1,LN(0.15)/LN(1+M5),"n/a (residual &gt;= 100%)")</f>
        <v/>
      </c>
      <c r="O5" s="17">
        <f>MAX(0,1-D5/4)</f>
        <v/>
      </c>
      <c r="P5" s="17">
        <f>MAX(0,1-D5/5)</f>
        <v/>
      </c>
      <c r="Q5" s="17">
        <f>MAX(0,1-D5/6)</f>
        <v/>
      </c>
      <c r="R5" t="inlineStr">
        <is>
          <t>Reported / Derived</t>
        </is>
      </c>
      <c r="S5" t="inlineStr">
        <is>
          <t>https://www.mercatus-ai.com/blog/h100-resale-value</t>
        </is>
      </c>
    </row>
    <row r="6">
      <c r="A6" t="inlineStr">
        <is>
          <t>H100 SXM5, 36-month residual (Mercatus survey range)</t>
        </is>
      </c>
      <c r="B6" s="3" t="n">
        <v>46196</v>
      </c>
      <c r="C6" s="3" t="n">
        <v>45006</v>
      </c>
      <c r="D6" s="6">
        <f>(B6-C6)/365.25</f>
        <v/>
      </c>
      <c r="E6" s="16" t="n">
        <v>12000</v>
      </c>
      <c r="F6" s="16" t="n">
        <v>22500</v>
      </c>
      <c r="G6" s="16">
        <f>AVERAGE(E6:F6)</f>
        <v/>
      </c>
      <c r="H6" s="16" t="n">
        <v>30000</v>
      </c>
      <c r="I6" t="inlineStr">
        <is>
          <t>Mercatus 36-mo band 40-75% of $30k list</t>
        </is>
      </c>
      <c r="J6" s="17">
        <f>G6/H6</f>
        <v/>
      </c>
      <c r="K6" s="17">
        <f>E6/H6</f>
        <v/>
      </c>
      <c r="L6" s="17">
        <f>F6/H6</f>
        <v/>
      </c>
      <c r="M6" s="5">
        <f>J6^(1/D6)-1</f>
        <v/>
      </c>
      <c r="N6" s="6">
        <f>IF(J6&lt;1,LN(0.15)/LN(1+M6),"n/a (residual &gt;= 100%)")</f>
        <v/>
      </c>
      <c r="O6" s="17">
        <f>MAX(0,1-D6/4)</f>
        <v/>
      </c>
      <c r="P6" s="17">
        <f>MAX(0,1-D6/5)</f>
        <v/>
      </c>
      <c r="Q6" s="17">
        <f>MAX(0,1-D6/6)</f>
        <v/>
      </c>
      <c r="R6" t="inlineStr">
        <is>
          <t>Reported</t>
        </is>
      </c>
      <c r="S6" t="inlineStr">
        <is>
          <t>https://www.mercatus-ai.com/blog/h100-resale-value</t>
        </is>
      </c>
    </row>
    <row r="7">
      <c r="A7" t="inlineStr">
        <is>
          <t>H100 used, mid-2024 peak scarcity</t>
        </is>
      </c>
      <c r="B7" s="3" t="n">
        <v>45474</v>
      </c>
      <c r="C7" s="3" t="n">
        <v>45006</v>
      </c>
      <c r="D7" s="6">
        <f>(B7-C7)/365.25</f>
        <v/>
      </c>
      <c r="E7" s="16" t="n">
        <v>50000</v>
      </c>
      <c r="F7" s="16" t="n">
        <v>50000</v>
      </c>
      <c r="G7" s="16" t="n">
        <v>50000</v>
      </c>
      <c r="H7" s="16" t="n">
        <v>32500</v>
      </c>
      <c r="I7" t="inlineStr">
        <is>
          <t>retail $25-40k midpoint (hashrateindex)</t>
        </is>
      </c>
      <c r="J7" s="17">
        <f>G7/H7</f>
        <v/>
      </c>
      <c r="K7" s="17">
        <f>E7/H7</f>
        <v/>
      </c>
      <c r="L7" s="17">
        <f>F7/H7</f>
        <v/>
      </c>
      <c r="M7" s="5">
        <f>J7^(1/D7)-1</f>
        <v/>
      </c>
      <c r="N7" s="6">
        <f>IF(J7&lt;1,LN(0.15)/LN(1+M7),"n/a (residual &gt;= 100%)")</f>
        <v/>
      </c>
      <c r="O7" s="17">
        <f>MAX(0,1-D7/4)</f>
        <v/>
      </c>
      <c r="P7" s="17">
        <f>MAX(0,1-D7/5)</f>
        <v/>
      </c>
      <c r="Q7" s="17">
        <f>MAX(0,1-D7/6)</f>
        <v/>
      </c>
      <c r="R7" t="inlineStr">
        <is>
          <t>Reported / Derived (mid-2024 date approx.)</t>
        </is>
      </c>
      <c r="S7" t="inlineStr">
        <is>
          <t>https://hashrateindex.com/blog/used-gpu-market-pricing-deprecation-secondary-ai/</t>
        </is>
      </c>
    </row>
    <row r="8">
      <c r="A8" t="inlineStr">
        <is>
          <t>A100 SXM4 80GB, used</t>
        </is>
      </c>
      <c r="B8" s="3" t="n">
        <v>46266</v>
      </c>
      <c r="C8" s="3" t="n">
        <v>43965</v>
      </c>
      <c r="D8" s="6">
        <f>(B8-C8)/365.25</f>
        <v/>
      </c>
      <c r="E8" s="16" t="n">
        <v>9900</v>
      </c>
      <c r="F8" s="16" t="n">
        <v>10000</v>
      </c>
      <c r="G8" s="16" t="n">
        <v>9900</v>
      </c>
      <c r="H8" s="16" t="n">
        <v>24875</v>
      </c>
      <c r="I8" t="inlineStr">
        <is>
          <t>DGX A100 launch $199,000 / 8 GPUs (system-level, 40GB; overstates the module price)</t>
        </is>
      </c>
      <c r="J8" s="17">
        <f>G8/H8</f>
        <v/>
      </c>
      <c r="K8" s="17">
        <f>E8/H8</f>
        <v/>
      </c>
      <c r="L8" s="17">
        <f>F8/H8</f>
        <v/>
      </c>
      <c r="M8" s="5">
        <f>J8^(1/D8)-1</f>
        <v/>
      </c>
      <c r="N8" s="6">
        <f>IF(J8&lt;1,LN(0.15)/LN(1+M8),"n/a (residual &gt;= 100%)")</f>
        <v/>
      </c>
      <c r="O8" s="17">
        <f>MAX(0,1-D8/4)</f>
        <v/>
      </c>
      <c r="P8" s="17">
        <f>MAX(0,1-D8/5)</f>
        <v/>
      </c>
      <c r="Q8" s="17">
        <f>MAX(0,1-D8/6)</f>
        <v/>
      </c>
      <c r="R8" t="inlineStr">
        <is>
          <t>Reported / Derived</t>
        </is>
      </c>
      <c r="S8" t="inlineStr">
        <is>
          <t>https://clustermelt.com/market-intelligence/2026-09 ; https://nvidianews.nvidia.com/news/nvidia-ships-worlds-most-advanced-ai-system-nvidia-dgx-a100-to-fight-covid-19-third-generation-dgx-packs-record-5-petaflops-of-ai-performance</t>
        </is>
      </c>
    </row>
    <row r="9">
      <c r="A9" t="inlineStr">
        <is>
          <t>A100 PCIe 80GB, used</t>
        </is>
      </c>
      <c r="B9" s="3" t="n">
        <v>46296</v>
      </c>
      <c r="C9" s="3" t="n">
        <v>43965</v>
      </c>
      <c r="D9" s="6">
        <f>(B9-C9)/365.25</f>
        <v/>
      </c>
      <c r="E9" s="16" t="n">
        <v>12550</v>
      </c>
      <c r="F9" s="16" t="n">
        <v>18879</v>
      </c>
      <c r="G9" s="16" t="n">
        <v>12550</v>
      </c>
      <c r="H9" s="16" t="n">
        <v>24875</v>
      </c>
      <c r="I9" t="inlineStr">
        <is>
          <t>DGX A100 $199k / 8 (proxy)</t>
        </is>
      </c>
      <c r="J9" s="17">
        <f>G9/H9</f>
        <v/>
      </c>
      <c r="K9" s="17">
        <f>E9/H9</f>
        <v/>
      </c>
      <c r="L9" s="17">
        <f>F9/H9</f>
        <v/>
      </c>
      <c r="M9" s="5">
        <f>J9^(1/D9)-1</f>
        <v/>
      </c>
      <c r="N9" s="6">
        <f>IF(J9&lt;1,LN(0.15)/LN(1+M9),"n/a (residual &gt;= 100%)")</f>
        <v/>
      </c>
      <c r="O9" s="17">
        <f>MAX(0,1-D9/4)</f>
        <v/>
      </c>
      <c r="P9" s="17">
        <f>MAX(0,1-D9/5)</f>
        <v/>
      </c>
      <c r="Q9" s="17">
        <f>MAX(0,1-D9/6)</f>
        <v/>
      </c>
      <c r="R9" t="inlineStr">
        <is>
          <t>Reported / Derived</t>
        </is>
      </c>
      <c r="S9" t="inlineStr">
        <is>
          <t>https://clustermelt.com/gpus/a100-pcie-80gb/price</t>
        </is>
      </c>
    </row>
    <row r="10">
      <c r="A10" t="inlineStr">
        <is>
          <t>A100 PCIe 40GB, used-grade (Aug) / refurb (Sep)</t>
        </is>
      </c>
      <c r="B10" s="3" t="n">
        <v>46266</v>
      </c>
      <c r="C10" s="3" t="n">
        <v>43965</v>
      </c>
      <c r="D10" s="6">
        <f>(B10-C10)/365.25</f>
        <v/>
      </c>
      <c r="E10" s="16" t="n">
        <v>5750</v>
      </c>
      <c r="F10" s="16" t="n">
        <v>8800</v>
      </c>
      <c r="G10" s="16" t="n">
        <v>5750</v>
      </c>
      <c r="H10" s="16" t="n">
        <v>24875</v>
      </c>
      <c r="I10" t="inlineStr">
        <is>
          <t>DGX A100 $199k / 8 (proxy)</t>
        </is>
      </c>
      <c r="J10" s="17">
        <f>G10/H10</f>
        <v/>
      </c>
      <c r="K10" s="17">
        <f>E10/H10</f>
        <v/>
      </c>
      <c r="L10" s="17">
        <f>F10/H10</f>
        <v/>
      </c>
      <c r="M10" s="5">
        <f>J10^(1/D10)-1</f>
        <v/>
      </c>
      <c r="N10" s="6">
        <f>IF(J10&lt;1,LN(0.15)/LN(1+M10),"n/a (residual &gt;= 100%)")</f>
        <v/>
      </c>
      <c r="O10" s="17">
        <f>MAX(0,1-D10/4)</f>
        <v/>
      </c>
      <c r="P10" s="17">
        <f>MAX(0,1-D10/5)</f>
        <v/>
      </c>
      <c r="Q10" s="17">
        <f>MAX(0,1-D10/6)</f>
        <v/>
      </c>
      <c r="R10" t="inlineStr">
        <is>
          <t>Reported / Derived</t>
        </is>
      </c>
      <c r="S10" t="inlineStr">
        <is>
          <t>https://clustermelt.com/market-intelligence/2026-09</t>
        </is>
      </c>
    </row>
    <row r="11">
      <c r="A11" t="inlineStr">
        <is>
          <t>A100 range, all SKUs (asks)</t>
        </is>
      </c>
      <c r="B11" s="3" t="n">
        <v>46120</v>
      </c>
      <c r="C11" s="3" t="n">
        <v>43965</v>
      </c>
      <c r="D11" s="6">
        <f>(B11-C11)/365.25</f>
        <v/>
      </c>
      <c r="E11" s="16" t="n">
        <v>7800</v>
      </c>
      <c r="F11" s="16" t="n">
        <v>18900</v>
      </c>
      <c r="G11" s="16">
        <f>AVERAGE(E11:F11)</f>
        <v/>
      </c>
      <c r="H11" s="16" t="n">
        <v>24875</v>
      </c>
      <c r="I11" t="inlineStr">
        <is>
          <t>DGX A100 $199k / 8 (proxy)</t>
        </is>
      </c>
      <c r="J11" s="17">
        <f>G11/H11</f>
        <v/>
      </c>
      <c r="K11" s="17">
        <f>E11/H11</f>
        <v/>
      </c>
      <c r="L11" s="17">
        <f>F11/H11</f>
        <v/>
      </c>
      <c r="M11" s="5">
        <f>J11^(1/D11)-1</f>
        <v/>
      </c>
      <c r="N11" s="6">
        <f>IF(J11&lt;1,LN(0.15)/LN(1+M11),"n/a (residual &gt;= 100%)")</f>
        <v/>
      </c>
      <c r="O11" s="17">
        <f>MAX(0,1-D11/4)</f>
        <v/>
      </c>
      <c r="P11" s="17">
        <f>MAX(0,1-D11/5)</f>
        <v/>
      </c>
      <c r="Q11" s="17">
        <f>MAX(0,1-D11/6)</f>
        <v/>
      </c>
      <c r="R11" t="inlineStr">
        <is>
          <t>Reported / Derived</t>
        </is>
      </c>
      <c r="S11" t="inlineStr">
        <is>
          <t>https://hashrateindex.com/blog/used-gpu-market-pricing-deprecation-secondary-ai/</t>
        </is>
      </c>
    </row>
    <row r="12"/>
    <row r="13">
      <c r="A13" t="inlineStr">
        <is>
          <t>Read: at ~3.5 years H100 hardware is marked at ~53-64% of new (servers) and ~60-73% (refurb modules), vs 4y straight-line book NBV of ~13% and 6y of ~42%. A100 at ~6.3 years: ~40-50% of a system-level launch proxy. On today's marks, book lives look CONSERVATIVE, not aggressive. But the marks are regime-dependent: H100 went from ~$50k (mid-2024) to "steep discounts" and back. The 2026 marks reflect a shortage.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11" customWidth="1" min="3" max="3"/>
    <col width="8" customWidth="1" min="4" max="4"/>
    <col width="9" customWidth="1" min="5" max="5"/>
    <col width="10" customWidth="1" min="6" max="6"/>
    <col width="22" customWidth="1" min="7" max="7"/>
    <col width="70" customWidth="1" min="8" max="8"/>
  </cols>
  <sheetData>
    <row r="1">
      <c r="A1" t="inlineStr">
        <is>
          <t>A100 / V100 rental precedent for Hopper years 3-5. Posted on-demand $/GPU-hr. Age from first cloud availability (A100: AWS p4d 2020-11-02; H100: 2023-03-21). A100 points reuse the teammate's Wayback captures (parsed here) plus CCIR's nine-year panel.</t>
        </is>
      </c>
    </row>
    <row r="2">
      <c r="A2" s="2" t="inlineStr">
        <is>
          <t>series</t>
        </is>
      </c>
      <c r="B2" s="2" t="inlineStr">
        <is>
          <t>date</t>
        </is>
      </c>
      <c r="C2" s="2" t="inlineStr">
        <is>
          <t>start date</t>
        </is>
      </c>
      <c r="D2" s="2" t="inlineStr">
        <is>
          <t>age (yrs)</t>
        </is>
      </c>
      <c r="E2" s="2" t="inlineStr">
        <is>
          <t>$/GPU-hr</t>
        </is>
      </c>
      <c r="F2" s="2" t="inlineStr">
        <is>
          <t>vs first point in series</t>
        </is>
      </c>
      <c r="G2" s="2" t="inlineStr">
        <is>
          <t>tag</t>
        </is>
      </c>
      <c r="H2" s="2" t="inlineStr">
        <is>
          <t>source</t>
        </is>
      </c>
    </row>
    <row r="3">
      <c r="A3" t="inlineStr">
        <is>
          <t>CCIR A100 panel median</t>
        </is>
      </c>
      <c r="B3" s="3" t="n">
        <v>44454</v>
      </c>
      <c r="C3" s="3" t="n">
        <v>44137</v>
      </c>
      <c r="D3" s="6">
        <f>(B3-C3)/365.25</f>
        <v/>
      </c>
      <c r="E3" s="12" t="n">
        <v>2.2</v>
      </c>
      <c r="F3" s="7">
        <f>E3/E$3-1</f>
        <v/>
      </c>
      <c r="G3" t="inlineStr">
        <is>
          <t>Reported</t>
        </is>
      </c>
      <c r="H3" t="inlineStr">
        <is>
          <t>https://ccir.io/research/rental-rates-by-generation</t>
        </is>
      </c>
    </row>
    <row r="4">
      <c r="A4" t="inlineStr">
        <is>
          <t>CCIR A100 panel median</t>
        </is>
      </c>
      <c r="B4" s="3" t="n">
        <v>44727</v>
      </c>
      <c r="C4" s="3" t="n">
        <v>44137</v>
      </c>
      <c r="D4" s="6">
        <f>(B4-C4)/365.25</f>
        <v/>
      </c>
      <c r="E4" s="12" t="n">
        <v>3.05</v>
      </c>
      <c r="F4" s="7">
        <f>E4/E$3-1</f>
        <v/>
      </c>
      <c r="G4" t="inlineStr">
        <is>
          <t>Reported</t>
        </is>
      </c>
      <c r="H4" t="inlineStr">
        <is>
          <t>https://ccir.io/research/rental-rates-by-generation</t>
        </is>
      </c>
    </row>
    <row r="5">
      <c r="A5" t="inlineStr">
        <is>
          <t>CCIR A100 panel median</t>
        </is>
      </c>
      <c r="B5" s="3" t="n">
        <v>45853</v>
      </c>
      <c r="C5" s="3" t="n">
        <v>44137</v>
      </c>
      <c r="D5" s="6">
        <f>(B5-C5)/365.25</f>
        <v/>
      </c>
      <c r="E5" s="12" t="n">
        <v>1.75</v>
      </c>
      <c r="F5" s="7">
        <f>E5/E$3-1</f>
        <v/>
      </c>
      <c r="G5" t="inlineStr">
        <is>
          <t>Reported</t>
        </is>
      </c>
      <c r="H5" t="inlineStr">
        <is>
          <t>https://ccir.io/research/rental-rates-by-generation</t>
        </is>
      </c>
    </row>
    <row r="6">
      <c r="A6" t="inlineStr">
        <is>
          <t>CCIR A100 panel median</t>
        </is>
      </c>
      <c r="B6" s="3" t="n">
        <v>46127</v>
      </c>
      <c r="C6" s="3" t="n">
        <v>44137</v>
      </c>
      <c r="D6" s="6">
        <f>(B6-C6)/365.25</f>
        <v/>
      </c>
      <c r="E6" s="12" t="n">
        <v>1.99</v>
      </c>
      <c r="F6" s="7">
        <f>E6/E$3-1</f>
        <v/>
      </c>
      <c r="G6" t="inlineStr">
        <is>
          <t>Reported</t>
        </is>
      </c>
      <c r="H6" t="inlineStr">
        <is>
          <t>https://ccir.io/research/rental-rates-by-generation</t>
        </is>
      </c>
    </row>
    <row r="7">
      <c r="A7" t="inlineStr">
        <is>
          <t>AWS p4d on-demand (A100 40GB)</t>
        </is>
      </c>
      <c r="B7" s="3" t="n">
        <v>44137</v>
      </c>
      <c r="C7" s="3" t="n">
        <v>44137</v>
      </c>
      <c r="D7" s="6">
        <f>(B7-C7)/365.25</f>
        <v/>
      </c>
      <c r="E7" s="12" t="n">
        <v>4.0963</v>
      </c>
      <c r="F7" s="7">
        <f>E7/E$7-1</f>
        <v/>
      </c>
      <c r="G7" t="inlineStr">
        <is>
          <t>Derived (instance/8)</t>
        </is>
      </c>
      <c r="H7" t="inlineStr">
        <is>
          <t>https://techcrunch.com/2020/11/02/aws-launches-its-next-gen-gpu-instances/ ; /workspace/nebius/raw/aws_od_use1.json</t>
        </is>
      </c>
    </row>
    <row r="8">
      <c r="A8" t="inlineStr">
        <is>
          <t>AWS p4d on-demand (A100 40GB)</t>
        </is>
      </c>
      <c r="B8" s="3" t="n">
        <v>45809</v>
      </c>
      <c r="C8" s="3" t="n">
        <v>44137</v>
      </c>
      <c r="D8" s="6">
        <f>(B8-C8)/365.25</f>
        <v/>
      </c>
      <c r="E8" s="12" t="n">
        <v>2.7447</v>
      </c>
      <c r="F8" s="7">
        <f>E8/E$7-1</f>
        <v/>
      </c>
      <c r="G8" t="inlineStr">
        <is>
          <t>Derived (instance/8)</t>
        </is>
      </c>
      <c r="H8" t="inlineStr">
        <is>
          <t>https://techcrunch.com/2020/11/02/aws-launches-its-next-gen-gpu-instances/ ; /workspace/nebius/raw/aws_od_use1.json</t>
        </is>
      </c>
    </row>
    <row r="9">
      <c r="A9" t="inlineStr">
        <is>
          <t>Nebius A100 SXM4</t>
        </is>
      </c>
      <c r="B9" s="3" t="n">
        <v>45231</v>
      </c>
      <c r="C9" s="3" t="n">
        <v>44137</v>
      </c>
      <c r="D9" s="6">
        <f>(B9-C9)/365.25</f>
        <v/>
      </c>
      <c r="E9" s="12" t="n">
        <v>2.66</v>
      </c>
      <c r="F9" s="7">
        <f>E9/E$9-1</f>
        <v/>
      </c>
      <c r="G9" t="inlineStr">
        <is>
          <t>Reported</t>
        </is>
      </c>
      <c r="H9" t="inlineStr">
        <is>
          <t>S1_PriceSeries (Wayback)</t>
        </is>
      </c>
    </row>
    <row r="10">
      <c r="A10" t="inlineStr">
        <is>
          <t>Nebius A100 SXM4</t>
        </is>
      </c>
      <c r="B10" s="3" t="n">
        <v>45542</v>
      </c>
      <c r="C10" s="3" t="n">
        <v>44137</v>
      </c>
      <c r="D10" s="6">
        <f>(B10-C10)/365.25</f>
        <v/>
      </c>
      <c r="E10" s="12" t="n">
        <v>2.66</v>
      </c>
      <c r="F10" s="7">
        <f>E10/E$9-1</f>
        <v/>
      </c>
      <c r="G10" t="inlineStr">
        <is>
          <t>Reported</t>
        </is>
      </c>
      <c r="H10" t="inlineStr">
        <is>
          <t>S1_PriceSeries (Wayback)</t>
        </is>
      </c>
    </row>
    <row r="11">
      <c r="A11" t="inlineStr">
        <is>
          <t>CoreWeave A100 80GB (component rate)</t>
        </is>
      </c>
      <c r="B11" s="3" t="n">
        <v>45299</v>
      </c>
      <c r="C11" s="3" t="n">
        <v>44137</v>
      </c>
      <c r="D11" s="6">
        <f>(B11-C11)/365.25</f>
        <v/>
      </c>
      <c r="E11" s="12" t="n">
        <v>2.21</v>
      </c>
      <c r="F11" s="7">
        <f>E11/E$11-1</f>
        <v/>
      </c>
      <c r="G11" t="inlineStr">
        <is>
          <t>Reported</t>
        </is>
      </c>
      <c r="H11" t="inlineStr">
        <is>
          <t>S1_PriceSeries (Wayback)</t>
        </is>
      </c>
    </row>
    <row r="12">
      <c r="A12" t="inlineStr">
        <is>
          <t>CoreWeave A100 (8x instance /8)</t>
        </is>
      </c>
      <c r="B12" s="3" t="n">
        <v>45788</v>
      </c>
      <c r="C12" s="3" t="n">
        <v>44137</v>
      </c>
      <c r="D12" s="6">
        <f>(B12-C12)/365.25</f>
        <v/>
      </c>
      <c r="E12" s="12" t="n">
        <v>2.7</v>
      </c>
      <c r="F12" s="7">
        <f>E12/E$12-1</f>
        <v/>
      </c>
      <c r="G12" t="inlineStr">
        <is>
          <t>Derived (instance/8)</t>
        </is>
      </c>
      <c r="H12" t="inlineStr">
        <is>
          <t>S1_PriceSeries (Wayback)</t>
        </is>
      </c>
    </row>
    <row r="13">
      <c r="A13" t="inlineStr">
        <is>
          <t>Lambda 8x A100 80GB</t>
        </is>
      </c>
      <c r="B13" s="3" t="n">
        <v>45140</v>
      </c>
      <c r="C13" s="3" t="n">
        <v>44137</v>
      </c>
      <c r="D13" s="6">
        <f>(B13-C13)/365.25</f>
        <v/>
      </c>
      <c r="E13" s="12" t="n">
        <v>1.5</v>
      </c>
      <c r="F13" s="7">
        <f>E13/E$13-1</f>
        <v/>
      </c>
      <c r="G13" t="inlineStr">
        <is>
          <t>Derived (instance/8)</t>
        </is>
      </c>
      <c r="H13" t="inlineStr">
        <is>
          <t>S1_PriceSeries (Wayback)</t>
        </is>
      </c>
    </row>
    <row r="14">
      <c r="A14" t="inlineStr">
        <is>
          <t>Lambda 8x A100 80GB</t>
        </is>
      </c>
      <c r="B14" s="3" t="n">
        <v>45292</v>
      </c>
      <c r="C14" s="3" t="n">
        <v>44137</v>
      </c>
      <c r="D14" s="6">
        <f>(B14-C14)/365.25</f>
        <v/>
      </c>
      <c r="E14" s="12" t="n">
        <v>1.79</v>
      </c>
      <c r="F14" s="7">
        <f>E14/E$13-1</f>
        <v/>
      </c>
      <c r="G14" t="inlineStr">
        <is>
          <t>Derived (instance/8)</t>
        </is>
      </c>
      <c r="H14" t="inlineStr">
        <is>
          <t>S1_PriceSeries (Wayback)</t>
        </is>
      </c>
    </row>
    <row r="15">
      <c r="A15" t="inlineStr">
        <is>
          <t>Lambda 8x A100 80GB</t>
        </is>
      </c>
      <c r="B15" s="3" t="n">
        <v>46091</v>
      </c>
      <c r="C15" s="3" t="n">
        <v>44137</v>
      </c>
      <c r="D15" s="6">
        <f>(B15-C15)/365.25</f>
        <v/>
      </c>
      <c r="E15" s="12" t="n">
        <v>2.06</v>
      </c>
      <c r="F15" s="7">
        <f>E15/E$13-1</f>
        <v/>
      </c>
      <c r="G15" t="inlineStr">
        <is>
          <t>Derived (instance/8)</t>
        </is>
      </c>
      <c r="H15" t="inlineStr">
        <is>
          <t>S1_PriceSeries (Wayback)</t>
        </is>
      </c>
    </row>
    <row r="16">
      <c r="A16" t="inlineStr">
        <is>
          <t>Lambda 8x A100 80GB</t>
        </is>
      </c>
      <c r="B16" s="3" t="n">
        <v>46113</v>
      </c>
      <c r="C16" s="3" t="n">
        <v>44137</v>
      </c>
      <c r="D16" s="6">
        <f>(B16-C16)/365.25</f>
        <v/>
      </c>
      <c r="E16" s="12" t="n">
        <v>2.79</v>
      </c>
      <c r="F16" s="7">
        <f>E16/E$13-1</f>
        <v/>
      </c>
      <c r="G16" t="inlineStr">
        <is>
          <t>Derived (instance/8)</t>
        </is>
      </c>
      <c r="H16" t="inlineStr">
        <is>
          <t>S1_PriceSeries (Wayback)</t>
        </is>
      </c>
    </row>
    <row r="17">
      <c r="A17" t="inlineStr">
        <is>
          <t>CCIR V100 panel median</t>
        </is>
      </c>
      <c r="B17" s="3" t="n">
        <v>43631</v>
      </c>
      <c r="C17" s="3" t="n"/>
      <c r="D17" s="6" t="inlineStr">
        <is>
          <t>n/a</t>
        </is>
      </c>
      <c r="E17" s="12" t="n">
        <v>2.69</v>
      </c>
      <c r="F17" s="7">
        <f>E17/E$17-1</f>
        <v/>
      </c>
      <c r="G17" t="inlineStr">
        <is>
          <t>Reported (V100 launch date not verified here; age not computed)</t>
        </is>
      </c>
      <c r="H17" t="inlineStr">
        <is>
          <t>https://ccir.io/research/rental-rates-by-generation</t>
        </is>
      </c>
    </row>
    <row r="18">
      <c r="A18" t="inlineStr">
        <is>
          <t>CCIR V100 panel median</t>
        </is>
      </c>
      <c r="B18" s="3" t="n">
        <v>46127</v>
      </c>
      <c r="C18" s="3" t="n"/>
      <c r="D18" s="6" t="inlineStr">
        <is>
          <t>n/a</t>
        </is>
      </c>
      <c r="E18" s="12" t="n">
        <v>0.8100000000000001</v>
      </c>
      <c r="F18" s="7">
        <f>E18/E$17-1</f>
        <v/>
      </c>
      <c r="G18" t="inlineStr">
        <is>
          <t>Reported (V100 launch date not verified here; age not computed)</t>
        </is>
      </c>
      <c r="H18" t="inlineStr">
        <is>
          <t>https://ccir.io/research/rental-rates-by-generation</t>
        </is>
      </c>
    </row>
    <row r="19">
      <c r="A19" t="inlineStr">
        <is>
          <t>CCIR H100 panel median</t>
        </is>
      </c>
      <c r="B19" s="3" t="n">
        <v>45184</v>
      </c>
      <c r="C19" s="3" t="n">
        <v>45006</v>
      </c>
      <c r="D19" s="6">
        <f>(B19-C19)/365.25</f>
        <v/>
      </c>
      <c r="E19" s="12" t="n">
        <v>3.5</v>
      </c>
      <c r="F19" s="7">
        <f>E19/E$19-1</f>
        <v/>
      </c>
      <c r="G19" t="inlineStr">
        <is>
          <t>Reported</t>
        </is>
      </c>
      <c r="H19" t="inlineStr">
        <is>
          <t>https://ccir.io/research/rental-rates-by-generation</t>
        </is>
      </c>
    </row>
    <row r="20">
      <c r="A20" t="inlineStr">
        <is>
          <t>CCIR H100 panel median</t>
        </is>
      </c>
      <c r="B20" s="3" t="n">
        <v>46127</v>
      </c>
      <c r="C20" s="3" t="n">
        <v>45006</v>
      </c>
      <c r="D20" s="6">
        <f>(B20-C20)/365.25</f>
        <v/>
      </c>
      <c r="E20" s="12" t="n">
        <v>3.64</v>
      </c>
      <c r="F20" s="7">
        <f>E20/E$19-1</f>
        <v/>
      </c>
      <c r="G20" t="inlineStr">
        <is>
          <t>Reported</t>
        </is>
      </c>
      <c r="H20" t="inlineStr">
        <is>
          <t>https://ccir.io/research/rental-rates-by-generation</t>
        </is>
      </c>
    </row>
    <row r="21">
      <c r="A21" t="inlineStr">
        <is>
          <t>Nebius H100</t>
        </is>
      </c>
      <c r="B21" s="3" t="n">
        <v>46296</v>
      </c>
      <c r="C21" s="3" t="n">
        <v>45006</v>
      </c>
      <c r="D21" s="6">
        <f>(B21-C21)/365.25</f>
        <v/>
      </c>
      <c r="E21" s="12" t="n">
        <v>4.5</v>
      </c>
      <c r="F21" s="7">
        <f>E21/E$21-1</f>
        <v/>
      </c>
      <c r="G21" t="inlineStr">
        <is>
          <t>Reported</t>
        </is>
      </c>
      <c r="H21" t="inlineStr">
        <is>
          <t>S1_PriceSeries (Wayback)</t>
        </is>
      </c>
    </row>
    <row r="22"/>
    <row r="23">
      <c r="A23" s="9" t="inlineStr">
        <is>
          <t>H100 years 3-5 projection (Estimated: apply precedent rates to H100)</t>
        </is>
      </c>
    </row>
    <row r="24">
      <c r="A24" s="2" t="inlineStr">
        <is>
          <t>input/output</t>
        </is>
      </c>
      <c r="B24" s="2" t="inlineStr">
        <is>
          <t>value</t>
        </is>
      </c>
      <c r="C24" s="2" t="inlineStr">
        <is>
          <t>method / source</t>
        </is>
      </c>
    </row>
    <row r="25">
      <c r="A25" t="inlineStr">
        <is>
          <t>H100 base posted price (CCIR median, Apr-2026, age ~3.1y)</t>
        </is>
      </c>
      <c r="B25" s="12">
        <f>E20</f>
        <v/>
      </c>
      <c r="C25" t="inlineStr">
        <is>
          <t>CCIR</t>
        </is>
      </c>
    </row>
    <row r="26">
      <c r="A26" t="inlineStr">
        <is>
          <t>Nebius H100 Oct-2026 on-demand</t>
        </is>
      </c>
      <c r="B26" s="12">
        <f>E21</f>
        <v/>
      </c>
      <c r="C26" t="inlineStr">
        <is>
          <t>Wayback/nebius.com</t>
        </is>
      </c>
    </row>
    <row r="27">
      <c r="A27" t="inlineStr">
        <is>
          <t>A100 trough / peak ratio (2025 trough vs 2022 peak)</t>
        </is>
      </c>
      <c r="B27" s="18">
        <f>E5/E4</f>
        <v/>
      </c>
      <c r="C27" t="inlineStr">
        <is>
          <t>Derived from CCIR</t>
        </is>
      </c>
    </row>
    <row r="28">
      <c r="A28" t="inlineStr">
        <is>
          <t>V100 log-linear decline per year</t>
        </is>
      </c>
      <c r="B28" s="5">
        <f>-0.211</f>
        <v/>
      </c>
      <c r="C28" t="inlineStr">
        <is>
          <t>Reported fit, CCIR</t>
        </is>
      </c>
    </row>
    <row r="29">
      <c r="A29" t="inlineStr">
        <is>
          <t>A100 endpoint CAGR per year</t>
        </is>
      </c>
      <c r="B29" s="5">
        <f>-0.022</f>
        <v/>
      </c>
      <c r="C29" t="inlineStr">
        <is>
          <t>Reported, CCIR</t>
        </is>
      </c>
    </row>
    <row r="30">
      <c r="A30" t="inlineStr">
        <is>
          <t>Scenario A, A100-like: Nebius Oct-26 $4.50 treated as peak x trough/peak</t>
        </is>
      </c>
      <c r="B30" s="12">
        <f>B26*B27</f>
        <v/>
      </c>
      <c r="C30" t="inlineStr">
        <is>
          <t>Derived</t>
        </is>
      </c>
    </row>
    <row r="31">
      <c r="A31" t="inlineStr">
        <is>
          <t>Scenario B, V100-like: CCIR base x (1-21.1%)^(5-3.1) (age 5 = 2028)</t>
        </is>
      </c>
      <c r="B31" s="12">
        <f>B25*(1+B28)^(5-3.1)</f>
        <v/>
      </c>
      <c r="C31" t="inlineStr">
        <is>
          <t>Derived</t>
        </is>
      </c>
    </row>
    <row r="32">
      <c r="A32" t="inlineStr">
        <is>
          <t>Scenario C, A100 endpoint-like: base x (1-2.2%)^(5-3.1)</t>
        </is>
      </c>
      <c r="B32" s="12">
        <f>B25*(1+B29)^(5-3.1)</f>
        <v/>
      </c>
      <c r="C32" t="inlineStr">
        <is>
          <t>Derived</t>
        </is>
      </c>
    </row>
    <row r="33">
      <c r="A33" t="inlineStr">
        <is>
          <t>Scenario A vs Nebius Oct-26 price</t>
        </is>
      </c>
      <c r="B33" s="5">
        <f>B30/B26-1</f>
        <v/>
      </c>
      <c r="C33" t="inlineStr">
        <is>
          <t>Derived</t>
        </is>
      </c>
    </row>
    <row r="34">
      <c r="A34" t="inlineStr">
        <is>
          <t>Scenario B vs Nebius Oct-26 price</t>
        </is>
      </c>
      <c r="B34" s="5">
        <f>B31/B26-1</f>
        <v/>
      </c>
      <c r="C34" t="inlineStr">
        <is>
          <t>Derived</t>
        </is>
      </c>
    </row>
    <row r="35">
      <c r="A35" t="inlineStr">
        <is>
          <t>Scenario C vs Nebius Oct-26 price</t>
        </is>
      </c>
      <c r="B35" s="5">
        <f>B32/B26-1</f>
        <v/>
      </c>
      <c r="C35" t="inlineStr">
        <is>
          <t>Derived</t>
        </is>
      </c>
    </row>
    <row r="36"/>
    <row r="37">
      <c r="A37" t="inlineStr">
        <is>
          <t>Cash-cost floor (Estimated): power + colo + ops ~$0.40/GPU-hr (Mercatus worked example, H100-class). A100 at $1.75-2.79 in years 5-6, and V100 at $0.81 at ~8.5 years, are both still above that floor. On a cash basis, economic life looks longer than 6 years at POSTED prices. Posted is not transacted, and older-generation utilization is not disclosed.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60" customWidth="1" min="18" max="18"/>
  </cols>
  <sheetData>
    <row r="1">
      <c r="A1" s="9" t="inlineStr">
        <is>
          <t>Credit cross-check. NBIS convert secondary trading levels: NOT FOUND. Notes are Rule 144A; FINRA TRACE public API returned 401 (auth required); no press quote found. Levels below are issue terms (Reported), model values (Estimated), or exchange-implied (Derived).</t>
        </is>
      </c>
    </row>
    <row r="2"/>
    <row r="3">
      <c r="A3" s="9" t="inlineStr">
        <is>
          <t>A. CoreWeave straight bonds (secondary levels)</t>
        </is>
      </c>
    </row>
    <row r="4">
      <c r="A4" s="2" t="inlineStr">
        <is>
          <t>bond</t>
        </is>
      </c>
      <c r="B4" s="2" t="inlineStr">
        <is>
          <t>ISIN</t>
        </is>
      </c>
      <c r="C4" s="2" t="inlineStr">
        <is>
          <t>price</t>
        </is>
      </c>
      <c r="D4" s="2" t="inlineStr">
        <is>
          <t>YTW</t>
        </is>
      </c>
      <c r="E4" s="2" t="inlineStr">
        <is>
          <t>coupon</t>
        </is>
      </c>
      <c r="F4" s="2" t="inlineStr">
        <is>
          <t>maturity</t>
        </is>
      </c>
      <c r="G4" s="2" t="inlineStr">
        <is>
          <t>price date</t>
        </is>
      </c>
      <c r="H4" s="2" t="inlineStr">
        <is>
          <t>G-spread bp</t>
        </is>
      </c>
      <c r="I4" s="2" t="inlineStr">
        <is>
          <t>mod dur</t>
        </is>
      </c>
      <c r="J4" s="2" t="inlineStr">
        <is>
          <t>implied UST (Derived) = YTW - G-spread</t>
        </is>
      </c>
      <c r="K4" s="2" t="inlineStr">
        <is>
          <t>source</t>
        </is>
      </c>
    </row>
    <row r="5">
      <c r="A5" t="inlineStr">
        <is>
          <t>CRWV 9.25% 2030</t>
        </is>
      </c>
      <c r="B5" t="inlineStr">
        <is>
          <t>US21873SAB43</t>
        </is>
      </c>
      <c r="C5" t="n">
        <v>93.48099999999999</v>
      </c>
      <c r="D5" s="15" t="n">
        <v>0.1145</v>
      </c>
      <c r="E5" s="15" t="n">
        <v>0.0925</v>
      </c>
      <c r="F5" s="3" t="n">
        <v>47635</v>
      </c>
      <c r="G5" s="3" t="n">
        <v>46296</v>
      </c>
      <c r="H5" t="n">
        <v>651</v>
      </c>
      <c r="I5" t="n">
        <v>2.9</v>
      </c>
      <c r="J5" s="15">
        <f>D5-H5/10000</f>
        <v/>
      </c>
      <c r="K5" t="inlineStr">
        <is>
          <t>https://bondterminal.com/issuers/coreweave-inc (Reported, updated 2 Oct 26)</t>
        </is>
      </c>
    </row>
    <row r="6">
      <c r="A6" t="inlineStr">
        <is>
          <t>CRWV 9.00% 2031</t>
        </is>
      </c>
      <c r="B6" t="inlineStr">
        <is>
          <t>US21873SAC26</t>
        </is>
      </c>
      <c r="C6" t="n">
        <v>89.342</v>
      </c>
      <c r="D6" s="15" t="n">
        <v>0.1221</v>
      </c>
      <c r="E6" s="15" t="n">
        <v>0.09</v>
      </c>
      <c r="F6" s="3" t="n">
        <v>47880</v>
      </c>
      <c r="G6" s="3" t="n">
        <v>46296</v>
      </c>
      <c r="H6" t="n">
        <v>723</v>
      </c>
      <c r="I6" t="n">
        <v>3.37</v>
      </c>
      <c r="J6" s="15">
        <f>D6-H6/10000</f>
        <v/>
      </c>
      <c r="K6" t="inlineStr">
        <is>
          <t>https://bondterminal.com/issuers/coreweave-inc (Reported, updated 2 Oct 26)</t>
        </is>
      </c>
    </row>
    <row r="7">
      <c r="A7" t="inlineStr">
        <is>
          <t>CRWV 9.75% 2031</t>
        </is>
      </c>
      <c r="B7" t="inlineStr">
        <is>
          <t>US21873SAG30</t>
        </is>
      </c>
      <c r="C7" t="n">
        <v>87.024</v>
      </c>
      <c r="D7" s="15" t="n">
        <v>0.1339</v>
      </c>
      <c r="E7" s="15" t="n">
        <v>0.0975</v>
      </c>
      <c r="F7" s="3" t="n">
        <v>48122</v>
      </c>
      <c r="G7" s="3" t="n">
        <v>46296</v>
      </c>
      <c r="H7" t="n">
        <v>838</v>
      </c>
      <c r="I7" t="n">
        <v>3.74</v>
      </c>
      <c r="J7" s="15">
        <f>D7-H7/10000</f>
        <v/>
      </c>
      <c r="K7" t="inlineStr">
        <is>
          <t>https://bondterminal.com/issuers/coreweave-inc (Reported, updated 2 Oct 26)</t>
        </is>
      </c>
    </row>
    <row r="8">
      <c r="A8" t="inlineStr">
        <is>
          <t>CRWV 9.625% 2032</t>
        </is>
      </c>
      <c r="B8" t="inlineStr">
        <is>
          <t>US21873SAK42</t>
        </is>
      </c>
      <c r="C8" t="n">
        <v>84.996</v>
      </c>
      <c r="D8" s="15" t="n">
        <v>0.1341</v>
      </c>
      <c r="E8" s="15" t="n">
        <v>0.09625</v>
      </c>
      <c r="F8" s="3" t="n">
        <v>48410</v>
      </c>
      <c r="G8" s="3" t="n">
        <v>46296</v>
      </c>
      <c r="H8" t="n">
        <v>836</v>
      </c>
      <c r="I8" t="n">
        <v>4.04</v>
      </c>
      <c r="J8" s="15">
        <f>D8-H8/10000</f>
        <v/>
      </c>
      <c r="K8" t="inlineStr">
        <is>
          <t>https://bondterminal.com/issuers/coreweave-inc (Reported, updated 2 Oct 26)</t>
        </is>
      </c>
    </row>
    <row r="9"/>
    <row r="10">
      <c r="A10" s="9" t="inlineStr">
        <is>
          <t>B. Convertible terms and bond-only yield (if never converted, bought at par)</t>
        </is>
      </c>
    </row>
    <row r="11">
      <c r="A11" s="2" t="inlineStr">
        <is>
          <t>note</t>
        </is>
      </c>
      <c r="B11" s="2" t="inlineStr">
        <is>
          <t>pricing date</t>
        </is>
      </c>
      <c r="C11" s="2" t="inlineStr">
        <is>
          <t>coupon</t>
        </is>
      </c>
      <c r="D11" s="2" t="inlineStr">
        <is>
          <t>accretes to (% of orig.)</t>
        </is>
      </c>
      <c r="E11" s="2" t="inlineStr">
        <is>
          <t>years to maturity</t>
        </is>
      </c>
      <c r="F11" s="2" t="inlineStr">
        <is>
          <t>share price at pricing</t>
        </is>
      </c>
      <c r="G11" s="2" t="inlineStr">
        <is>
          <t>conversion price</t>
        </is>
      </c>
      <c r="H11" s="2" t="inlineStr">
        <is>
          <t>conversion premium (Derived)</t>
        </is>
      </c>
      <c r="I11" s="2" t="inlineStr">
        <is>
          <t>effective conv. price at maturity (Derived)</t>
        </is>
      </c>
      <c r="J11" s="2" t="inlineStr">
        <is>
          <t>shares per $1,000</t>
        </is>
      </c>
      <c r="K11" s="2" t="inlineStr">
        <is>
          <t>UST at tenor (interp., Treasury par curve)</t>
        </is>
      </c>
      <c r="L11" s="2" t="inlineStr">
        <is>
          <t>bond-only YTM at par (Derived, RATE)</t>
        </is>
      </c>
      <c r="M11" s="2" t="inlineStr">
        <is>
          <t>bond-only spread bp (Derived)</t>
        </is>
      </c>
      <c r="N11" s="2" t="inlineStr">
        <is>
          <t>parity at issue (per 100)</t>
        </is>
      </c>
      <c r="O11" s="2" t="inlineStr">
        <is>
          <t>share price 2026-10-02</t>
        </is>
      </c>
      <c r="P11" s="2" t="inlineStr">
        <is>
          <t>parity 2026-10-02 (per 100)</t>
        </is>
      </c>
      <c r="Q11" s="2" t="inlineStr">
        <is>
          <t>size $M</t>
        </is>
      </c>
      <c r="R11" s="2" t="inlineStr">
        <is>
          <t>source</t>
        </is>
      </c>
    </row>
    <row r="12">
      <c r="A12" t="inlineStr">
        <is>
          <t>NBIS 0.50% 2030</t>
        </is>
      </c>
      <c r="B12" s="3" t="n">
        <v>46253</v>
      </c>
      <c r="C12" s="19" t="n">
        <v>0.005</v>
      </c>
      <c r="D12" s="17" t="n">
        <v>1.1</v>
      </c>
      <c r="E12" t="n">
        <v>3.49</v>
      </c>
      <c r="F12" s="12" t="n">
        <v>223.9</v>
      </c>
      <c r="G12" s="12" t="n">
        <v>313.46</v>
      </c>
      <c r="H12" s="10">
        <f>G12/F12-1</f>
        <v/>
      </c>
      <c r="I12" s="12">
        <f>G12*D12</f>
        <v/>
      </c>
      <c r="J12" t="n">
        <v>3.1902</v>
      </c>
      <c r="K12" s="15" t="n">
        <v>0.04275</v>
      </c>
      <c r="L12" s="15">
        <f>RATE(ROUND(E12*2,0),C12*100/2,-100,D12*100)*2</f>
        <v/>
      </c>
      <c r="M12" s="20">
        <f>(L12-K12)*10000</f>
        <v/>
      </c>
      <c r="N12" s="6">
        <f>J12/10*F12</f>
        <v/>
      </c>
      <c r="O12" s="12" t="n">
        <v>242.81</v>
      </c>
      <c r="P12" s="6">
        <f>J12/10*O12</f>
        <v/>
      </c>
      <c r="Q12" t="n">
        <v>3450</v>
      </c>
      <c r="R12" t="inlineStr">
        <is>
          <t>https://www.sec.gov/Archives/edgar/data/1513845/000110465926098924/tm2623617d1_ex99-1.htm ; https://ccir.io/credit/issuer/nebius</t>
        </is>
      </c>
    </row>
    <row r="13">
      <c r="A13" t="inlineStr">
        <is>
          <t>NBIS 4.50% 2034</t>
        </is>
      </c>
      <c r="B13" s="3" t="n">
        <v>46253</v>
      </c>
      <c r="C13" s="19" t="n">
        <v>0.045</v>
      </c>
      <c r="D13" s="17" t="n">
        <v>1.25</v>
      </c>
      <c r="E13" t="n">
        <v>7.49</v>
      </c>
      <c r="F13" s="12" t="n">
        <v>223.9</v>
      </c>
      <c r="G13" s="12" t="n">
        <v>324.65</v>
      </c>
      <c r="H13" s="10">
        <f>G13/F13-1</f>
        <v/>
      </c>
      <c r="I13" s="12">
        <f>G13*D13</f>
        <v/>
      </c>
      <c r="J13" t="n">
        <v>3.0802</v>
      </c>
      <c r="K13" s="15" t="n">
        <v>0.04508</v>
      </c>
      <c r="L13" s="15">
        <f>RATE(ROUND(E13*2,0),C13*100/2,-100,D13*100)*2</f>
        <v/>
      </c>
      <c r="M13" s="20">
        <f>(L13-K13)*10000</f>
        <v/>
      </c>
      <c r="N13" s="6">
        <f>J13/10*F13</f>
        <v/>
      </c>
      <c r="O13" s="12" t="n">
        <v>242.81</v>
      </c>
      <c r="P13" s="6">
        <f>J13/10*O13</f>
        <v/>
      </c>
      <c r="Q13" t="n">
        <v>2300</v>
      </c>
      <c r="R13" t="inlineStr">
        <is>
          <t>same</t>
        </is>
      </c>
    </row>
    <row r="14">
      <c r="A14" t="inlineStr">
        <is>
          <t>CRWV 2.875% 2033</t>
        </is>
      </c>
      <c r="B14" s="3" t="n">
        <v>46282</v>
      </c>
      <c r="C14" s="19" t="n">
        <v>0.02875</v>
      </c>
      <c r="D14" s="17" t="n">
        <v>1</v>
      </c>
      <c r="E14" t="n">
        <v>6.537</v>
      </c>
      <c r="F14" s="12" t="n">
        <v>79.88</v>
      </c>
      <c r="G14" s="12" t="n">
        <v>97.84999999999999</v>
      </c>
      <c r="H14" s="10">
        <f>G14/F14-1</f>
        <v/>
      </c>
      <c r="I14" s="12">
        <f>G14*D14</f>
        <v/>
      </c>
      <c r="J14" t="n">
        <v>10.2194</v>
      </c>
      <c r="K14" s="15" t="n">
        <v>0.04841</v>
      </c>
      <c r="L14" s="15">
        <f>RATE(ROUND(E14*2,0),C14*100/2,-100,D14*100)*2</f>
        <v/>
      </c>
      <c r="M14" s="20">
        <f>(L14-K14)*10000</f>
        <v/>
      </c>
      <c r="N14" s="6">
        <f>J14/10*F14</f>
        <v/>
      </c>
      <c r="O14" s="12" t="n">
        <v>89.62</v>
      </c>
      <c r="P14" s="6">
        <f>J14/10*O14</f>
        <v/>
      </c>
      <c r="Q14" t="n">
        <v>4200</v>
      </c>
      <c r="R14" t="inlineStr">
        <is>
          <t>/workspace/nebius/comps_raw/crwv_0922__ex991pricing.htm (CRWV 8-K ex99.1, 2026-09-18); size incl. $500M option per parts/comps.csv</t>
        </is>
      </c>
    </row>
    <row r="15">
      <c r="A15" t="inlineStr">
        <is>
          <t>Note: CRWV 2033 bond-only yield is BELOW Treasuries. Its buyers are paying for the option. NBIS 2034 needs a 4.5% coupon plus 125% accretion (bond-only ~UST+259bp) even before any option value. That is bond-like economics on an equity-linked note.</t>
        </is>
      </c>
    </row>
    <row r="16"/>
    <row r="17">
      <c r="A17" s="9" t="inlineStr">
        <is>
          <t>C. Model-implied credit spread (bp) at a given long-dated vol: solve spread so model value = 100 at pricing (Estimated, code/credit_model.py)</t>
        </is>
      </c>
    </row>
    <row r="18">
      <c r="A18" s="2" t="inlineStr">
        <is>
          <t>note</t>
        </is>
      </c>
      <c r="B18" s="2" t="inlineStr">
        <is>
          <t>vol 30%</t>
        </is>
      </c>
      <c r="C18" s="2" t="inlineStr">
        <is>
          <t>vol 40%</t>
        </is>
      </c>
      <c r="D18" s="2" t="inlineStr">
        <is>
          <t>vol 50%</t>
        </is>
      </c>
      <c r="E18" s="2" t="inlineStr">
        <is>
          <t>vol 60%</t>
        </is>
      </c>
      <c r="F18" s="2" t="inlineStr">
        <is>
          <t>vol 70%</t>
        </is>
      </c>
    </row>
    <row r="19">
      <c r="A19" t="inlineStr">
        <is>
          <t>NBIS 0.50% 2030</t>
        </is>
      </c>
      <c r="B19" t="n">
        <v>169</v>
      </c>
      <c r="C19" t="n">
        <v>347</v>
      </c>
      <c r="D19" t="n">
        <v>539</v>
      </c>
      <c r="E19" t="n">
        <v>741</v>
      </c>
      <c r="F19" t="n">
        <v>951</v>
      </c>
    </row>
    <row r="20">
      <c r="A20" t="inlineStr">
        <is>
          <t>NBIS 4.50% 2034</t>
        </is>
      </c>
      <c r="B20" t="n">
        <v>544</v>
      </c>
      <c r="C20" t="n">
        <v>696</v>
      </c>
      <c r="D20" t="n">
        <v>856</v>
      </c>
      <c r="E20" t="n">
        <v>1022</v>
      </c>
      <c r="F20" t="n">
        <v>1188</v>
      </c>
    </row>
    <row r="21">
      <c r="A21" t="inlineStr">
        <is>
          <t>CRWV 2.875% 2033</t>
        </is>
      </c>
      <c r="B21" t="n">
        <v>359</v>
      </c>
      <c r="C21" t="n">
        <v>542</v>
      </c>
      <c r="D21" t="n">
        <v>736</v>
      </c>
      <c r="E21" t="n">
        <v>940</v>
      </c>
      <c r="F21" t="n">
        <v>1150</v>
      </c>
    </row>
    <row r="22">
      <c r="A22" s="2" t="inlineStr">
        <is>
          <t>Model-implied vol (%) at a given credit spread (Estimated)</t>
        </is>
      </c>
      <c r="B22" s="2" t="inlineStr">
        <is>
          <t>spr 200bp</t>
        </is>
      </c>
      <c r="C22" s="2" t="inlineStr">
        <is>
          <t>spr 400bp</t>
        </is>
      </c>
      <c r="D22" s="2" t="inlineStr">
        <is>
          <t>spr 600bp</t>
        </is>
      </c>
      <c r="E22" s="2" t="inlineStr">
        <is>
          <t>spr 836bp (= CRWV 9.625% 2032 G-spread)</t>
        </is>
      </c>
    </row>
    <row r="23">
      <c r="A23" t="inlineStr">
        <is>
          <t>NBIS 0.50% 2030</t>
        </is>
      </c>
      <c r="B23" t="n">
        <v>31.8</v>
      </c>
      <c r="C23" t="n">
        <v>42.8</v>
      </c>
      <c r="D23" t="n">
        <v>53</v>
      </c>
      <c r="E23" t="n">
        <v>64.59999999999999</v>
      </c>
    </row>
    <row r="24">
      <c r="A24" t="inlineStr">
        <is>
          <t>NBIS 4.50% 2034</t>
        </is>
      </c>
      <c r="B24" t="inlineStr">
        <is>
          <t>no solution</t>
        </is>
      </c>
      <c r="C24" t="n">
        <v>19.7</v>
      </c>
      <c r="D24" t="n">
        <v>33.8</v>
      </c>
      <c r="E24" t="n">
        <v>48.8</v>
      </c>
    </row>
    <row r="25">
      <c r="A25" t="inlineStr">
        <is>
          <t>CRWV 2.875% 2033</t>
        </is>
      </c>
      <c r="B25" t="n">
        <v>20.7</v>
      </c>
      <c r="C25" t="n">
        <v>32.3</v>
      </c>
      <c r="D25" t="n">
        <v>43.1</v>
      </c>
      <c r="E25" t="n">
        <v>55</v>
      </c>
    </row>
    <row r="26">
      <c r="A26" t="inlineStr">
        <is>
          <t>Calibration (Estimated): at CRWV's own straight-bond spread (836bp) its new convert implies 55.0% vol, vs CRWV 30-day IV ~70-72% (ratio ~0.77). Applying the same ratio to NBIS 30-day IV 74.6% gives ~57-58% long-dated vol. At that vol, NBIS converts imply ~690-740bp (2030s) and ~950-1,000bp (2034s). That is CRWV-like or wider, despite NBIS having far lower leverage.</t>
        </is>
      </c>
    </row>
    <row r="27"/>
    <row r="28">
      <c r="A28" s="9" t="inlineStr">
        <is>
          <t>D. Mark-to-model, 2026-10-02 (Estimated; per 100 original; NOT a trading price)</t>
        </is>
      </c>
    </row>
    <row r="29">
      <c r="A29" s="2" t="inlineStr">
        <is>
          <t>note</t>
        </is>
      </c>
      <c r="B29" s="2" t="inlineStr">
        <is>
          <t>vol40_spr400</t>
        </is>
      </c>
      <c r="C29" s="2" t="inlineStr">
        <is>
          <t>vol40_spr600</t>
        </is>
      </c>
      <c r="D29" s="2" t="inlineStr">
        <is>
          <t>vol40_spr836</t>
        </is>
      </c>
      <c r="E29" s="2" t="inlineStr">
        <is>
          <t>vol50_spr400</t>
        </is>
      </c>
      <c r="F29" s="2" t="inlineStr">
        <is>
          <t>vol50_spr600</t>
        </is>
      </c>
      <c r="G29" s="2" t="inlineStr">
        <is>
          <t>vol50_spr836</t>
        </is>
      </c>
      <c r="H29" s="2" t="inlineStr">
        <is>
          <t>vol60_spr400</t>
        </is>
      </c>
      <c r="I29" s="2" t="inlineStr">
        <is>
          <t>vol60_spr600</t>
        </is>
      </c>
      <c r="J29" s="2" t="inlineStr">
        <is>
          <t>vol60_spr836</t>
        </is>
      </c>
      <c r="K29" s="2" t="inlineStr">
        <is>
          <t>parity</t>
        </is>
      </c>
    </row>
    <row r="30">
      <c r="A30" t="inlineStr">
        <is>
          <t>NBIS 0.50% 2030</t>
        </is>
      </c>
      <c r="B30" t="n">
        <v>100.6</v>
      </c>
      <c r="C30" t="n">
        <v>95.5</v>
      </c>
      <c r="D30" t="n">
        <v>89.90000000000001</v>
      </c>
      <c r="E30" t="n">
        <v>106.2</v>
      </c>
      <c r="F30" t="n">
        <v>101.1</v>
      </c>
      <c r="G30" t="n">
        <v>95.5</v>
      </c>
      <c r="H30" t="n">
        <v>111.6</v>
      </c>
      <c r="I30" t="n">
        <v>106.4</v>
      </c>
      <c r="J30" t="n">
        <v>100.8</v>
      </c>
      <c r="K30" t="n">
        <v>77.5</v>
      </c>
    </row>
    <row r="31">
      <c r="A31" t="inlineStr">
        <is>
          <t>NBIS 4.50% 2034</t>
        </is>
      </c>
      <c r="B31" t="n">
        <v>116.7</v>
      </c>
      <c r="C31" t="n">
        <v>106.7</v>
      </c>
      <c r="D31" t="n">
        <v>96.59999999999999</v>
      </c>
      <c r="E31" t="n">
        <v>123.8</v>
      </c>
      <c r="F31" t="n">
        <v>113.9</v>
      </c>
      <c r="G31" t="n">
        <v>103.8</v>
      </c>
      <c r="H31" t="n">
        <v>130.4</v>
      </c>
      <c r="I31" t="n">
        <v>120.4</v>
      </c>
      <c r="J31" t="n">
        <v>110.3</v>
      </c>
      <c r="K31" t="n">
        <v>74.8</v>
      </c>
    </row>
    <row r="32">
      <c r="A32" t="inlineStr">
        <is>
          <t>CRWV 2.875% 2033</t>
        </is>
      </c>
      <c r="B32" t="n">
        <v>112.3</v>
      </c>
      <c r="C32" t="n">
        <v>105</v>
      </c>
      <c r="D32" t="n">
        <v>97.5</v>
      </c>
      <c r="E32" t="n">
        <v>119.2</v>
      </c>
      <c r="F32" t="n">
        <v>111.9</v>
      </c>
      <c r="G32" t="n">
        <v>104.4</v>
      </c>
      <c r="H32" t="n">
        <v>125.5</v>
      </c>
      <c r="I32" t="n">
        <v>118.2</v>
      </c>
      <c r="J32" t="n">
        <v>110.7</v>
      </c>
      <c r="K32" t="n">
        <v>91.59999999999999</v>
      </c>
    </row>
    <row r="33"/>
    <row r="34">
      <c r="A34" s="9" t="inlineStr">
        <is>
          <t>E. Exchange-implied level of NBIS legacy June-2025 notes (Derived)</t>
        </is>
      </c>
    </row>
    <row r="35">
      <c r="A35" t="inlineStr">
        <is>
          <t>original principal exchanged $M</t>
        </is>
      </c>
      <c r="B35" t="n">
        <v>800</v>
      </c>
      <c r="C35" t="inlineStr">
        <is>
          <t>6-K ex99.1 2026-08-24</t>
        </is>
      </c>
    </row>
    <row r="36">
      <c r="A36" t="inlineStr">
        <is>
          <t>shares delivered (M)</t>
        </is>
      </c>
      <c r="B36" t="n">
        <v>15.8</v>
      </c>
      <c r="C36" t="inlineStr">
        <is>
          <t>same (approx.)</t>
        </is>
      </c>
    </row>
    <row r="37">
      <c r="A37" t="inlineStr">
        <is>
          <t>NBIS close 2026-08-19 $</t>
        </is>
      </c>
      <c r="B37" t="n">
        <v>223.9</v>
      </c>
      <c r="C37" t="inlineStr">
        <is>
          <t>pricing 6-K</t>
        </is>
      </c>
    </row>
    <row r="38">
      <c r="A38" t="inlineStr">
        <is>
          <t>conversion price $</t>
        </is>
      </c>
      <c r="B38" t="n">
        <v>51.45</v>
      </c>
      <c r="C38" t="inlineStr">
        <is>
          <t>June-2025 notes</t>
        </is>
      </c>
    </row>
    <row r="39">
      <c r="A39" t="inlineStr">
        <is>
          <t>value delivered $M</t>
        </is>
      </c>
      <c r="B39">
        <f>B36*B37</f>
        <v/>
      </c>
      <c r="C39" t="inlineStr"/>
    </row>
    <row r="40">
      <c r="A40" t="inlineStr">
        <is>
          <t>value per 100 original</t>
        </is>
      </c>
      <c r="B40">
        <f>B39/B35*100</f>
        <v/>
      </c>
      <c r="C40" t="inlineStr">
        <is>
          <t>Derived</t>
        </is>
      </c>
    </row>
    <row r="41">
      <c r="A41" t="inlineStr">
        <is>
          <t>parity per 100 = 100/conv x price</t>
        </is>
      </c>
      <c r="B41">
        <f>100/B38*B37</f>
        <v/>
      </c>
      <c r="C41" t="inlineStr">
        <is>
          <t>Derived</t>
        </is>
      </c>
    </row>
    <row r="42">
      <c r="A42" t="inlineStr">
        <is>
          <t>premium over parity</t>
        </is>
      </c>
      <c r="B42" s="10">
        <f>B40/B41-1</f>
        <v/>
      </c>
      <c r="C42" t="inlineStr">
        <is>
          <t>Derived</t>
        </is>
      </c>
    </row>
    <row r="43"/>
    <row r="44">
      <c r="A44" s="9" t="inlineStr">
        <is>
          <t>F. Equity-implied (Merton) 5-yr credit spread vs. credit-market spread (Estimated)</t>
        </is>
      </c>
    </row>
    <row r="45">
      <c r="A45" s="2" t="inlineStr">
        <is>
          <t>issuer</t>
        </is>
      </c>
      <c r="B45" s="2" t="inlineStr">
        <is>
          <t>equity $M</t>
        </is>
      </c>
      <c r="C45" s="2" t="inlineStr">
        <is>
          <t>equity vol</t>
        </is>
      </c>
      <c r="D45" s="2" t="inlineStr">
        <is>
          <t>debt face $M</t>
        </is>
      </c>
      <c r="E45" s="2" t="inlineStr">
        <is>
          <t>asset value $M (solved)</t>
        </is>
      </c>
      <c r="F45" s="2" t="inlineStr">
        <is>
          <t>asset vol (solved)</t>
        </is>
      </c>
      <c r="G45" s="2" t="inlineStr">
        <is>
          <t>risk-neutral 5y PD</t>
        </is>
      </c>
      <c r="H45" s="2" t="inlineStr">
        <is>
          <t>Merton spread bp</t>
        </is>
      </c>
      <c r="I45" s="2" t="inlineStr">
        <is>
          <t>spread if equity vol 60%</t>
        </is>
      </c>
      <c r="J45" s="2" t="inlineStr">
        <is>
          <t>spread if 90%</t>
        </is>
      </c>
      <c r="K45" s="2" t="inlineStr">
        <is>
          <t>spread if 110%</t>
        </is>
      </c>
      <c r="L45" s="2" t="inlineStr">
        <is>
          <t>credit-market reference</t>
        </is>
      </c>
      <c r="M45" s="2" t="inlineStr">
        <is>
          <t>source</t>
        </is>
      </c>
    </row>
    <row r="46">
      <c r="A46" t="inlineStr">
        <is>
          <t>CRWV</t>
        </is>
      </c>
      <c r="B46" t="n">
        <v>49428.71</v>
      </c>
      <c r="C46" t="n">
        <v>0.71</v>
      </c>
      <c r="D46" t="n">
        <v>39268</v>
      </c>
      <c r="E46" t="n">
        <v>73284</v>
      </c>
      <c r="F46" t="n">
        <v>0.527</v>
      </c>
      <c r="G46" t="n">
        <v>0.44</v>
      </c>
      <c r="H46" t="n">
        <v>497</v>
      </c>
      <c r="I46" t="n">
        <v>259</v>
      </c>
      <c r="J46" t="n">
        <v>1092</v>
      </c>
      <c r="K46" t="n">
        <v>1908</v>
      </c>
      <c r="L46" t="inlineStr">
        <is>
          <t>HY bonds G-spread 651-838bp (section A)</t>
        </is>
      </c>
      <c r="M46" t="inlineStr">
        <is>
          <t>E: 551.54M sh x $89.62 (parts/comps.csv, 10/2 close); D: pro forma debt $39,268M ex-leases (parts/comps.csv); sE: IV30 ~70-72% (opti-view, 10/2)</t>
        </is>
      </c>
    </row>
    <row r="47">
      <c r="A47" t="inlineStr">
        <is>
          <t>NBIS</t>
        </is>
      </c>
      <c r="B47" t="n">
        <v>74960</v>
      </c>
      <c r="C47" t="n">
        <v>0.746</v>
      </c>
      <c r="D47" t="n">
        <v>14270.7</v>
      </c>
      <c r="E47" t="n">
        <v>84513</v>
      </c>
      <c r="F47" t="n">
        <v>0.674</v>
      </c>
      <c r="G47" t="n">
        <v>0.276</v>
      </c>
      <c r="H47" t="n">
        <v>303</v>
      </c>
      <c r="I47" t="n">
        <v>104</v>
      </c>
      <c r="J47" t="n">
        <v>639</v>
      </c>
      <c r="K47" t="n">
        <v>1246</v>
      </c>
      <c r="L47" t="inlineStr">
        <is>
          <t>convert-implied 347-856bp at 40-50% vol (section C); secured facility SOFR+250 (IG-offtaker collateral)</t>
        </is>
      </c>
      <c r="M47" t="inlineStr">
        <is>
          <t>E: 308.72M pro forma sh x $242.81 (01_priced_in.md); D: pro forma debt $14,270.7M (01_priced_in.md); sE: IV30 74.6% (alphaquery, 10/2-3)</t>
        </is>
      </c>
    </row>
    <row r="48">
      <c r="A48" t="inlineStr">
        <is>
          <t>Merton caveats: one zero-coupon debt claim at 5y, 30-day IV used as asset-vol input (overstates long-dated vol), no recovery modelling. Use the gap vs credit spreads directionally only.</t>
        </is>
      </c>
    </row>
    <row r="49"/>
    <row r="50">
      <c r="A50" s="9" t="inlineStr">
        <is>
          <t>G. Other credit reference points</t>
        </is>
      </c>
    </row>
    <row r="51">
      <c r="A51" t="inlineStr">
        <is>
          <t>Nebius $775M senior secured GPU facility, 1M SOFR + 2.50%, due 2030-10-31, collateral = GPUs plus IG-customer contracted cash flows (Reported): https://ccir.io/credit/issuer/nebius</t>
        </is>
      </c>
    </row>
    <row r="52">
      <c r="A52" t="inlineStr">
        <is>
          <t>Nebius booked effective rates on 2025 converts: 2029 7.06%, 2030 4.15%, 2031 6.87%, 2032 4.88% (FY2025 20-F, via https://r40.io/news/nbis-converts-accretion-effective-rate/); Mar-26 notes 4.98% / 5.20% (ccir.io)</t>
        </is>
      </c>
    </row>
    <row r="53">
      <c r="A53" t="inlineStr">
        <is>
          <t>UST par curve 2026-10-02: 2y 4.83%, 3y 4.96%, 5y 5.06%, 7y 5.17%, 10y 5.28% (data/ust_2026.csv from home.treasury.gov). On 2026-08-19: 3y 4.25%, 5y 4.35%, 7y 4.48%. Rates are ~70bp higher since NBIS priced, which lowers the bond floor.</t>
        </is>
      </c>
    </row>
    <row r="54">
      <c r="A54" t="inlineStr">
        <is>
          <t>NBIS 30-day IV 74.6% (https://www.alphaquery.com/stock/NBIS/volatility-option-statistics/30-day/iv-mean, 2026-10-02/03); CRWV IV30 ~70-72% (https://opti-view.com/underlying/CRWV/implied-volatility, 2026-10-02)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22" customWidth="1" min="4" max="4"/>
    <col width="18" customWidth="1" min="5" max="5"/>
    <col width="14" customWidth="1" min="6" max="6"/>
    <col width="60" customWidth="1" min="7" max="7"/>
  </cols>
  <sheetData>
    <row r="1">
      <c r="A1" s="9" t="inlineStr">
        <is>
          <t>Reconciliation with GPU Market teammate outputs (reused, not re-scraped). Sources: /workspace/nebius/parts/time_to_deploy.xlsx (Lag_Ranking, Launch_Premium_Decay) and /workspace/nebius/market/scrapers/time_to_deploy/out/lag_summary.json ; /workspace/nebius/market/price_history_monthly.csv ; /workspace/nebius/market/gpu_price_history.xlsx (built 2026-10-04 18:16 ET)</t>
        </is>
      </c>
    </row>
    <row r="2">
      <c r="A2" s="2" t="inlineStr">
        <is>
          <t>chip</t>
        </is>
      </c>
      <c r="B2" s="2" t="inlineStr">
        <is>
          <t>teammate: Nebius lag vs first provider (days)</t>
        </is>
      </c>
      <c r="C2" s="2" t="inlineStr">
        <is>
          <t>teammate: first provider</t>
        </is>
      </c>
      <c r="D2" s="2" t="inlineStr">
        <is>
          <t>this study: Nebius months behind first neocloud (S1_Timeline)</t>
        </is>
      </c>
      <c r="E2" s="2" t="inlineStr">
        <is>
          <t>this study in days (Derived = months*30.44)</t>
        </is>
      </c>
      <c r="F2" s="2" t="inlineStr">
        <is>
          <t>difference days</t>
        </is>
      </c>
      <c r="G2" s="2" t="inlineStr">
        <is>
          <t>note</t>
        </is>
      </c>
    </row>
    <row r="3">
      <c r="A3" t="inlineStr">
        <is>
          <t>H100</t>
        </is>
      </c>
      <c r="B3" t="n">
        <v>225</v>
      </c>
      <c r="C3" t="inlineStr">
        <is>
          <t>CoreWeave</t>
        </is>
      </c>
      <c r="D3" t="n">
        <v>7.3916</v>
      </c>
      <c r="E3">
        <f>D3*30.44</f>
        <v/>
      </c>
      <c r="F3">
        <f>B3-E3</f>
        <v/>
      </c>
      <c r="G3" t="inlineStr"/>
    </row>
    <row r="4">
      <c r="A4" t="inlineStr">
        <is>
          <t>H200</t>
        </is>
      </c>
      <c r="B4" t="n">
        <v>79</v>
      </c>
      <c r="C4" t="inlineStr">
        <is>
          <t>CoreWeave</t>
        </is>
      </c>
      <c r="D4" t="n">
        <v>2.5953</v>
      </c>
      <c r="E4">
        <f>D4*30.44</f>
        <v/>
      </c>
      <c r="F4">
        <f>B4-E4</f>
        <v/>
      </c>
      <c r="G4" t="inlineStr"/>
    </row>
    <row r="5">
      <c r="A5" t="inlineStr">
        <is>
          <t>B200 (HGX)</t>
        </is>
      </c>
      <c r="B5" t="n">
        <v>129</v>
      </c>
      <c r="C5" t="inlineStr">
        <is>
          <t>GCP</t>
        </is>
      </c>
      <c r="D5" t="n">
        <v>2.7924</v>
      </c>
      <c r="E5">
        <f>D5*30.44</f>
        <v/>
      </c>
      <c r="F5">
        <f>B5-E5</f>
        <v/>
      </c>
      <c r="G5" t="inlineStr">
        <is>
          <t>B200: teammate dates Nebius by first public price (2025-07-25) vs GCP; this study uses the 2025-06-11 announcement</t>
        </is>
      </c>
    </row>
    <row r="6">
      <c r="A6" t="inlineStr">
        <is>
          <t>GB200 NVL72</t>
        </is>
      </c>
      <c r="B6" t="n">
        <v>127</v>
      </c>
      <c r="C6" t="inlineStr">
        <is>
          <t>CoreWeave</t>
        </is>
      </c>
      <c r="D6" t="n">
        <v>4.1721</v>
      </c>
      <c r="E6">
        <f>D6*30.44</f>
        <v/>
      </c>
      <c r="F6">
        <f>B6-E6</f>
        <v/>
      </c>
      <c r="G6" t="inlineStr"/>
    </row>
    <row r="7">
      <c r="A7" t="inlineStr">
        <is>
          <t>B300 / GB300 NVL72</t>
        </is>
      </c>
      <c r="B7" t="n">
        <v>167</v>
      </c>
      <c r="C7" t="inlineStr">
        <is>
          <t>CoreWeave</t>
        </is>
      </c>
      <c r="E7" t="inlineStr">
        <is>
          <t>n/a</t>
        </is>
      </c>
      <c r="F7" t="inlineStr">
        <is>
          <t>n/a</t>
        </is>
      </c>
      <c r="G7" t="inlineStr"/>
    </row>
    <row r="8">
      <c r="A8" t="inlineStr">
        <is>
          <t>Vera Rubin NVL72</t>
        </is>
      </c>
      <c r="B8" t="inlineStr">
        <is>
          <t>&gt;=4</t>
        </is>
      </c>
      <c r="C8" t="inlineStr">
        <is>
          <t>CoreWeave</t>
        </is>
      </c>
      <c r="E8" t="inlineStr">
        <is>
          <t>n/a</t>
        </is>
      </c>
      <c r="F8" t="inlineStr">
        <is>
          <t>n/a</t>
        </is>
      </c>
      <c r="G8" t="inlineStr"/>
    </row>
    <row r="9"/>
    <row r="10">
      <c r="A10" s="9" t="inlineStr">
        <is>
          <t>A100 on-demand $/GPU-hr from teammate monthly pivot (last observed headline price in month; blank = no capture). Used for A100 years 3-6 rental precedent.</t>
        </is>
      </c>
    </row>
    <row r="11">
      <c r="A11" s="2" t="inlineStr">
        <is>
          <t>month</t>
        </is>
      </c>
      <c r="B11" s="2" t="inlineStr">
        <is>
          <t>CoreWeave | A100 40GB | on-demand | PAYG (a-la-carte GPU component only)</t>
        </is>
      </c>
      <c r="C11" s="2" t="inlineStr">
        <is>
          <t>CoreWeave | A100 80GB | on-demand | PAYG (a-la-carte GPU component only)</t>
        </is>
      </c>
      <c r="D11" s="2" t="inlineStr">
        <is>
          <t>CoreWeave | A100 | on-demand | PAYG</t>
        </is>
      </c>
      <c r="E11" s="2" t="inlineStr">
        <is>
          <t>Crusoe | A100 40GB | on-demand | PAYG</t>
        </is>
      </c>
      <c r="F11" s="2" t="inlineStr">
        <is>
          <t>Crusoe | A100 80GB | on-demand | PAYG</t>
        </is>
      </c>
      <c r="G11" s="2" t="inlineStr">
        <is>
          <t>Lambda | A100 40GB | on-demand | PAYG</t>
        </is>
      </c>
      <c r="H11" s="2" t="inlineStr">
        <is>
          <t>Lambda | A100 80GB | on-demand | PAYG</t>
        </is>
      </c>
      <c r="I11" s="2" t="inlineStr">
        <is>
          <t>Nebius | A100 | on-demand | PAYG</t>
        </is>
      </c>
      <c r="J11" s="2" t="inlineStr">
        <is>
          <t>Oracle OCI | A100 80GB | on-demand | PAYG</t>
        </is>
      </c>
      <c r="K11" s="2" t="inlineStr">
        <is>
          <t>RunPod | A100 80GB | on-demand | PAYG</t>
        </is>
      </c>
    </row>
    <row r="12">
      <c r="A12" t="inlineStr">
        <is>
          <t>2024-01</t>
        </is>
      </c>
      <c r="B12" t="n">
        <v>2.06</v>
      </c>
      <c r="C12" t="n">
        <v>2.21</v>
      </c>
      <c r="G12" t="n">
        <v>1.29</v>
      </c>
      <c r="H12" t="n">
        <v>1.79</v>
      </c>
    </row>
    <row r="13">
      <c r="A13" t="inlineStr">
        <is>
          <t>2024-02</t>
        </is>
      </c>
      <c r="B13" t="n">
        <v>2.06</v>
      </c>
      <c r="C13" t="n">
        <v>2.21</v>
      </c>
      <c r="E13" t="n">
        <v>1.45</v>
      </c>
      <c r="F13" t="n">
        <v>1.95</v>
      </c>
      <c r="G13" t="n">
        <v>1.29</v>
      </c>
      <c r="H13" t="n">
        <v>1.79</v>
      </c>
    </row>
    <row r="14">
      <c r="A14" t="inlineStr">
        <is>
          <t>2024-03</t>
        </is>
      </c>
      <c r="B14" t="n">
        <v>2.06</v>
      </c>
      <c r="C14" t="n">
        <v>2.21</v>
      </c>
      <c r="G14" t="n">
        <v>1.29</v>
      </c>
      <c r="H14" t="n">
        <v>1.79</v>
      </c>
      <c r="I14" t="n">
        <v>2.66</v>
      </c>
    </row>
    <row r="15">
      <c r="A15" t="inlineStr">
        <is>
          <t>2024-04</t>
        </is>
      </c>
      <c r="B15" t="n">
        <v>2.06</v>
      </c>
      <c r="C15" t="n">
        <v>2.21</v>
      </c>
      <c r="E15" t="n">
        <v>1.45</v>
      </c>
      <c r="F15" t="n">
        <v>1.95</v>
      </c>
      <c r="G15" t="n">
        <v>1.29</v>
      </c>
      <c r="H15" t="n">
        <v>1.79</v>
      </c>
    </row>
    <row r="16">
      <c r="A16" t="inlineStr">
        <is>
          <t>2024-05</t>
        </is>
      </c>
      <c r="B16" t="n">
        <v>2.06</v>
      </c>
      <c r="C16" t="n">
        <v>2.21</v>
      </c>
      <c r="E16" t="n">
        <v>1.45</v>
      </c>
      <c r="F16" t="n">
        <v>1.95</v>
      </c>
      <c r="G16" t="n">
        <v>1.29</v>
      </c>
      <c r="H16" t="n">
        <v>1.79</v>
      </c>
      <c r="I16" t="n">
        <v>2.66</v>
      </c>
      <c r="K16" t="n">
        <v>2.29</v>
      </c>
    </row>
    <row r="17">
      <c r="A17" t="inlineStr">
        <is>
          <t>2024-06</t>
        </is>
      </c>
      <c r="B17" t="n">
        <v>2.06</v>
      </c>
      <c r="C17" t="n">
        <v>2.21</v>
      </c>
      <c r="E17" t="n">
        <v>1.45</v>
      </c>
      <c r="F17" t="n">
        <v>1.95</v>
      </c>
      <c r="K17" t="n">
        <v>2.29</v>
      </c>
    </row>
    <row r="18">
      <c r="A18" t="inlineStr">
        <is>
          <t>2024-07</t>
        </is>
      </c>
      <c r="B18" t="n">
        <v>2.06</v>
      </c>
      <c r="C18" t="n">
        <v>2.21</v>
      </c>
      <c r="E18" t="n">
        <v>1.45</v>
      </c>
      <c r="F18" t="n">
        <v>1.95</v>
      </c>
      <c r="G18" t="n">
        <v>1.29</v>
      </c>
      <c r="H18" t="n">
        <v>1.79</v>
      </c>
      <c r="I18" t="n">
        <v>2.66</v>
      </c>
      <c r="K18" t="n">
        <v>1.94</v>
      </c>
    </row>
    <row r="19">
      <c r="A19" t="inlineStr">
        <is>
          <t>2024-08</t>
        </is>
      </c>
      <c r="B19" t="n">
        <v>2.06</v>
      </c>
      <c r="C19" t="n">
        <v>2.21</v>
      </c>
      <c r="E19" t="n">
        <v>1.45</v>
      </c>
      <c r="F19" t="n">
        <v>1.95</v>
      </c>
      <c r="G19" t="n">
        <v>1.29</v>
      </c>
      <c r="H19" t="n">
        <v>1.79</v>
      </c>
      <c r="I19" t="n">
        <v>2.66</v>
      </c>
      <c r="K19" t="n">
        <v>1.94</v>
      </c>
    </row>
    <row r="20">
      <c r="A20" t="inlineStr">
        <is>
          <t>2024-09</t>
        </is>
      </c>
      <c r="B20" t="n">
        <v>2.06</v>
      </c>
      <c r="C20" t="n">
        <v>2.21</v>
      </c>
      <c r="E20" t="n">
        <v>1.45</v>
      </c>
      <c r="F20" t="n">
        <v>1.95</v>
      </c>
      <c r="G20" t="n">
        <v>1.29</v>
      </c>
      <c r="H20" t="n">
        <v>1.79</v>
      </c>
      <c r="I20" t="n">
        <v>2.66</v>
      </c>
      <c r="K20" t="n">
        <v>1.89</v>
      </c>
    </row>
    <row r="21">
      <c r="A21" t="inlineStr">
        <is>
          <t>2024-10</t>
        </is>
      </c>
      <c r="B21" t="n">
        <v>2.06</v>
      </c>
      <c r="C21" t="n">
        <v>2.21</v>
      </c>
      <c r="E21" t="n">
        <v>1.45</v>
      </c>
      <c r="F21" t="n">
        <v>1.95</v>
      </c>
      <c r="G21" t="n">
        <v>1.29</v>
      </c>
      <c r="H21" t="n">
        <v>1.79</v>
      </c>
      <c r="K21" t="n">
        <v>1.89</v>
      </c>
    </row>
    <row r="22">
      <c r="A22" t="inlineStr">
        <is>
          <t>2024-11</t>
        </is>
      </c>
      <c r="B22" t="n">
        <v>2.06</v>
      </c>
      <c r="C22" t="n">
        <v>2.21</v>
      </c>
      <c r="G22" t="n">
        <v>1.29</v>
      </c>
      <c r="H22" t="n">
        <v>1.79</v>
      </c>
      <c r="K22" t="n">
        <v>1.89</v>
      </c>
    </row>
    <row r="23">
      <c r="A23" t="inlineStr">
        <is>
          <t>2024-12</t>
        </is>
      </c>
      <c r="B23" t="n">
        <v>2.06</v>
      </c>
      <c r="C23" t="n">
        <v>2.21</v>
      </c>
      <c r="G23" t="n">
        <v>1.29</v>
      </c>
      <c r="H23" t="n">
        <v>1.79</v>
      </c>
      <c r="K23" t="n">
        <v>1.89</v>
      </c>
    </row>
    <row r="24">
      <c r="A24" t="inlineStr">
        <is>
          <t>2025-01</t>
        </is>
      </c>
      <c r="G24" t="n">
        <v>1.29</v>
      </c>
      <c r="H24" t="n">
        <v>1.79</v>
      </c>
      <c r="K24" t="n">
        <v>1.89</v>
      </c>
    </row>
    <row r="25">
      <c r="A25" t="inlineStr">
        <is>
          <t>2025-02</t>
        </is>
      </c>
      <c r="G25" t="n">
        <v>1.29</v>
      </c>
      <c r="H25" t="n">
        <v>1.79</v>
      </c>
      <c r="K25" t="n">
        <v>1.89</v>
      </c>
    </row>
    <row r="26">
      <c r="A26" t="inlineStr">
        <is>
          <t>2025-03</t>
        </is>
      </c>
      <c r="G26" t="n">
        <v>1.29</v>
      </c>
      <c r="H26" t="n">
        <v>1.79</v>
      </c>
      <c r="K26" t="n">
        <v>1.89</v>
      </c>
    </row>
    <row r="27">
      <c r="A27" t="inlineStr">
        <is>
          <t>2025-04</t>
        </is>
      </c>
      <c r="E27" t="n">
        <v>1.45</v>
      </c>
      <c r="F27" t="n">
        <v>1.65</v>
      </c>
      <c r="G27" t="n">
        <v>1.29</v>
      </c>
      <c r="H27" t="n">
        <v>1.79</v>
      </c>
      <c r="K27" t="n">
        <v>1.89</v>
      </c>
    </row>
    <row r="28">
      <c r="A28" t="inlineStr">
        <is>
          <t>2025-05</t>
        </is>
      </c>
      <c r="D28" t="n">
        <v>2.7</v>
      </c>
      <c r="E28" t="n">
        <v>1.45</v>
      </c>
      <c r="F28" t="n">
        <v>1.65</v>
      </c>
      <c r="G28" t="n">
        <v>1.29</v>
      </c>
      <c r="H28" t="n">
        <v>1.79</v>
      </c>
      <c r="K28" t="n">
        <v>1.89</v>
      </c>
    </row>
    <row r="29">
      <c r="A29" t="inlineStr">
        <is>
          <t>2025-06</t>
        </is>
      </c>
      <c r="D29" t="n">
        <v>2.7</v>
      </c>
      <c r="E29" t="n">
        <v>1.45</v>
      </c>
      <c r="F29" t="n">
        <v>1.65</v>
      </c>
      <c r="G29" t="n">
        <v>1.29</v>
      </c>
      <c r="H29" t="n">
        <v>1.79</v>
      </c>
      <c r="K29" t="n">
        <v>1.89</v>
      </c>
    </row>
    <row r="30">
      <c r="A30" t="inlineStr">
        <is>
          <t>2025-07</t>
        </is>
      </c>
      <c r="D30" t="n">
        <v>2.7</v>
      </c>
      <c r="G30" t="n">
        <v>1.29</v>
      </c>
      <c r="H30" t="n">
        <v>1.79</v>
      </c>
    </row>
    <row r="31">
      <c r="A31" t="inlineStr">
        <is>
          <t>2025-08</t>
        </is>
      </c>
      <c r="D31" t="n">
        <v>2.7</v>
      </c>
      <c r="E31" t="n">
        <v>1.45</v>
      </c>
      <c r="F31" t="n">
        <v>1.65</v>
      </c>
      <c r="G31" t="n">
        <v>1.29</v>
      </c>
      <c r="H31" t="n">
        <v>1.79</v>
      </c>
    </row>
    <row r="32">
      <c r="A32" t="inlineStr">
        <is>
          <t>2025-09</t>
        </is>
      </c>
      <c r="D32" t="n">
        <v>2.7</v>
      </c>
      <c r="E32" t="n">
        <v>1.45</v>
      </c>
      <c r="F32" t="n">
        <v>1.65</v>
      </c>
      <c r="G32" t="n">
        <v>1.29</v>
      </c>
      <c r="H32" t="n">
        <v>1.79</v>
      </c>
    </row>
    <row r="33">
      <c r="A33" t="inlineStr">
        <is>
          <t>2025-10</t>
        </is>
      </c>
      <c r="D33" t="n">
        <v>2.7</v>
      </c>
      <c r="E33" t="n">
        <v>1.45</v>
      </c>
      <c r="F33" t="n">
        <v>1.65</v>
      </c>
      <c r="G33" t="n">
        <v>1.29</v>
      </c>
      <c r="H33" t="n">
        <v>1.79</v>
      </c>
    </row>
    <row r="34">
      <c r="A34" t="inlineStr">
        <is>
          <t>2025-11</t>
        </is>
      </c>
      <c r="D34" t="n">
        <v>2.7</v>
      </c>
      <c r="G34" t="n">
        <v>1.29</v>
      </c>
      <c r="H34" t="n">
        <v>1.79</v>
      </c>
    </row>
    <row r="35">
      <c r="A35" t="inlineStr">
        <is>
          <t>2025-12</t>
        </is>
      </c>
      <c r="D35" t="n">
        <v>2.7</v>
      </c>
      <c r="E35" t="n">
        <v>1.45</v>
      </c>
      <c r="F35" t="n">
        <v>1.65</v>
      </c>
      <c r="G35" t="n">
        <v>1.29</v>
      </c>
      <c r="H35" t="n">
        <v>1.79</v>
      </c>
    </row>
    <row r="36">
      <c r="A36" t="inlineStr">
        <is>
          <t>2026-01</t>
        </is>
      </c>
      <c r="D36" t="n">
        <v>2.7</v>
      </c>
      <c r="E36" t="n">
        <v>1.45</v>
      </c>
      <c r="F36" t="n">
        <v>1.65</v>
      </c>
      <c r="G36" t="n">
        <v>1.29</v>
      </c>
      <c r="H36" t="n">
        <v>1.79</v>
      </c>
    </row>
    <row r="37">
      <c r="A37" t="inlineStr">
        <is>
          <t>2026-02</t>
        </is>
      </c>
      <c r="D37" t="n">
        <v>2.7</v>
      </c>
      <c r="E37" t="n">
        <v>1.45</v>
      </c>
      <c r="F37" t="n">
        <v>1.65</v>
      </c>
      <c r="G37" t="n">
        <v>1.29</v>
      </c>
      <c r="H37" t="n">
        <v>1.79</v>
      </c>
    </row>
    <row r="38">
      <c r="A38" t="inlineStr">
        <is>
          <t>2026-03</t>
        </is>
      </c>
      <c r="D38" t="n">
        <v>2.7</v>
      </c>
      <c r="E38" t="n">
        <v>1.45</v>
      </c>
      <c r="F38" t="n">
        <v>1.65</v>
      </c>
      <c r="G38" t="n">
        <v>1.48</v>
      </c>
      <c r="H38" t="n">
        <v>2.06</v>
      </c>
    </row>
    <row r="39">
      <c r="A39" t="inlineStr">
        <is>
          <t>2026-04</t>
        </is>
      </c>
      <c r="D39" t="n">
        <v>2.7</v>
      </c>
      <c r="E39" t="n">
        <v>1.45</v>
      </c>
      <c r="F39" t="n">
        <v>1.65</v>
      </c>
      <c r="G39" t="n">
        <v>1.99</v>
      </c>
      <c r="H39" t="n">
        <v>2.79</v>
      </c>
    </row>
    <row r="40">
      <c r="A40" t="inlineStr">
        <is>
          <t>2026-05</t>
        </is>
      </c>
      <c r="D40" t="n">
        <v>2.7</v>
      </c>
      <c r="E40" t="n">
        <v>1.45</v>
      </c>
      <c r="F40" t="n">
        <v>1.65</v>
      </c>
      <c r="G40" t="n">
        <v>1.99</v>
      </c>
      <c r="H40" t="n">
        <v>2.79</v>
      </c>
    </row>
    <row r="41">
      <c r="A41" t="inlineStr">
        <is>
          <t>2026-06</t>
        </is>
      </c>
      <c r="D41" t="n">
        <v>2.7</v>
      </c>
      <c r="F41" t="n">
        <v>2</v>
      </c>
      <c r="G41" t="n">
        <v>1.99</v>
      </c>
      <c r="H41" t="n">
        <v>2.79</v>
      </c>
      <c r="K41" t="n">
        <v>1.49</v>
      </c>
    </row>
    <row r="42">
      <c r="A42" t="inlineStr">
        <is>
          <t>2026-07</t>
        </is>
      </c>
      <c r="D42" t="n">
        <v>2.7</v>
      </c>
      <c r="F42" t="n">
        <v>2</v>
      </c>
      <c r="G42" t="n">
        <v>1.99</v>
      </c>
      <c r="H42" t="n">
        <v>2.79</v>
      </c>
      <c r="K42" t="n">
        <v>1.49</v>
      </c>
    </row>
    <row r="43">
      <c r="A43" t="inlineStr">
        <is>
          <t>2026-08</t>
        </is>
      </c>
      <c r="D43" t="n">
        <v>2.7</v>
      </c>
      <c r="F43" t="n">
        <v>2</v>
      </c>
      <c r="G43" t="n">
        <v>1.99</v>
      </c>
      <c r="H43" t="n">
        <v>2.79</v>
      </c>
      <c r="J43" t="n">
        <v>4</v>
      </c>
      <c r="K43" t="n">
        <v>1.49</v>
      </c>
    </row>
    <row r="44">
      <c r="A44" t="inlineStr">
        <is>
          <t>2026-09</t>
        </is>
      </c>
      <c r="D44" t="n">
        <v>2.7</v>
      </c>
      <c r="F44" t="n">
        <v>2</v>
      </c>
      <c r="G44" t="n">
        <v>1.99</v>
      </c>
      <c r="H44" t="n">
        <v>2.79</v>
      </c>
      <c r="J44" t="n">
        <v>4</v>
      </c>
      <c r="K44" t="n">
        <v>1.59</v>
      </c>
    </row>
    <row r="45">
      <c r="A45" t="inlineStr">
        <is>
          <t>2026-10</t>
        </is>
      </c>
      <c r="D45" t="n">
        <v>2.7</v>
      </c>
      <c r="F45" t="n">
        <v>2</v>
      </c>
      <c r="G45" t="n">
        <v>1.99</v>
      </c>
      <c r="H45" t="n">
        <v>2.79</v>
      </c>
      <c r="J45" t="n">
        <v>4</v>
      </c>
      <c r="K45" t="n">
        <v>1.59</v>
      </c>
    </row>
    <row r="46"/>
    <row r="47">
      <c r="A47" t="inlineStr">
        <is>
          <t>Read: teammate lag table matches this study within a few days for H100/H200/GB200. Teammate A100 series (Lambda $1.79 flat Jan-24..Jan-26 then $2.79; Crusoe 80GB $1.65-2.00; RunPod $1.89-&gt;$1.59; CoreWeave $2.70 flat) confirms A100 at age 4-6y still rents at $1.5-2.8, above the ~$0.40 cash floor. Note teammate captured Nebius H200 at $4.85 on 2024-10-06 (pre-GA), which this study added to S1_PriceSeries. The teammate Launch_Premium_Decay sheet lists Nebius H200 launch as $3.50 on 2024-11-15; this study treats the pre-GA $4.85 list (2024-10-06) as the launch price, so the H200 premium was cut ~28% before GA. Per parent steering, part 1 lag ranking defers to the teammate study; this workbook adds only half-life and the head-start NPV.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90" customWidth="1" min="1" max="1"/>
    <col width="70" customWidth="1" min="2" max="2"/>
    <col width="14" customWidth="1" min="3" max="3"/>
  </cols>
  <sheetData>
    <row r="1">
      <c r="A1" s="2" t="inlineStr">
        <is>
          <t>source</t>
        </is>
      </c>
      <c r="B1" s="2" t="inlineStr">
        <is>
          <t>what</t>
        </is>
      </c>
      <c r="C1" s="2" t="inlineStr">
        <is>
          <t>retrieved (ET)</t>
        </is>
      </c>
    </row>
    <row r="2">
      <c r="A2" t="inlineStr">
        <is>
          <t>https://web.archive.org (captures listed per row in S1_PriceSeries)</t>
        </is>
      </c>
      <c r="B2" t="inlineStr">
        <is>
          <t>Provider pricing pages: Nebius, CoreWeave, Lambda, AWS Capacity Blocks</t>
        </is>
      </c>
      <c r="C2" t="inlineStr">
        <is>
          <t>2026-10-04</t>
        </is>
      </c>
    </row>
    <row r="3">
      <c r="A3" t="inlineStr">
        <is>
          <t>/workspace/nebius/raw/aws_od_use1.json</t>
        </is>
      </c>
      <c r="B3" t="inlineStr">
        <is>
          <t>AWS on-demand price list (GPU Market teammate pull)</t>
        </is>
      </c>
      <c r="C3" t="inlineStr">
        <is>
          <t>2026-10-04</t>
        </is>
      </c>
    </row>
    <row r="4">
      <c r="A4" t="inlineStr">
        <is>
          <t>https://ccir.io/research/rental-rates-by-generation</t>
        </is>
      </c>
      <c r="B4" t="inlineStr">
        <is>
          <t>9-year posted-rate panel, V100/A100/H100</t>
        </is>
      </c>
      <c r="C4" t="inlineStr">
        <is>
          <t>2026-10-04</t>
        </is>
      </c>
    </row>
    <row r="5">
      <c r="A5" t="inlineStr">
        <is>
          <t>https://www.silicondata.com/products/silicon-index?gpu=h100</t>
        </is>
      </c>
      <c r="B5" t="inlineStr">
        <is>
          <t>SDH100RT index</t>
        </is>
      </c>
      <c r="C5" t="inlineStr">
        <is>
          <t>2026-10-04</t>
        </is>
      </c>
    </row>
    <row r="6">
      <c r="A6" t="inlineStr">
        <is>
          <t>https://www.silicondata.com/blog/h100-rental-prices-by-region-q3-2026</t>
        </is>
      </c>
      <c r="B6" t="inlineStr">
        <is>
          <t>hyperscaler premium compression</t>
        </is>
      </c>
      <c r="C6" t="inlineStr">
        <is>
          <t>2026-10-04</t>
        </is>
      </c>
    </row>
    <row r="7">
      <c r="A7" t="inlineStr">
        <is>
          <t>https://newsletter.semianalysis.com/p/the-great-gpu-shortage-rental-capacity</t>
        </is>
      </c>
      <c r="B7" t="inlineStr">
        <is>
          <t>H100 1-yr contract $1.70 (Oct-25) to $2.35 (Mar-26)</t>
        </is>
      </c>
      <c r="C7" t="inlineStr">
        <is>
          <t>2026-10-04</t>
        </is>
      </c>
    </row>
    <row r="8">
      <c r="A8" t="inlineStr">
        <is>
          <t>https://assets.nebius.com/assets/a6ecfd85-a6cb-4967-8ef7-9a25bd261f9c/SHLQ226.pdf</t>
        </is>
      </c>
      <c r="B8" t="inlineStr">
        <is>
          <t>Nebius Q2-26 letter: &gt;30% higher older-gen pricing vs Q1</t>
        </is>
      </c>
      <c r="C8" t="inlineStr">
        <is>
          <t>2026-10-04</t>
        </is>
      </c>
    </row>
    <row r="9">
      <c r="A9" t="inlineStr">
        <is>
          <t>https://www.reuters.com/technology/nebius-hikes-ai-cloud-prices-again-demand-computing-power-soars-2026-09-17/</t>
        </is>
      </c>
      <c r="B9" t="inlineStr">
        <is>
          <t>Oct-1 price hike</t>
        </is>
      </c>
      <c r="C9" t="inlineStr">
        <is>
          <t>2026-10-04</t>
        </is>
      </c>
    </row>
    <row r="10">
      <c r="A10" t="inlineStr">
        <is>
          <t>https://knowyourinvestments.substack.com/p/nebius-watch-gpu-rent-price-hikes</t>
        </is>
      </c>
      <c r="B10" t="inlineStr">
        <is>
          <t>Jun-1 hike $2.95 to $3.85</t>
        </is>
      </c>
      <c r="C10" t="inlineStr">
        <is>
          <t>2026-10-04</t>
        </is>
      </c>
    </row>
    <row r="11">
      <c r="A11" t="inlineStr">
        <is>
          <t>https://hashrateindex.com/blog/used-gpu-market-pricing-deprecation-secondary-ai/</t>
        </is>
      </c>
      <c r="B11" t="inlineStr">
        <is>
          <t>used GPU market, 2026-04-08</t>
        </is>
      </c>
      <c r="C11" t="inlineStr">
        <is>
          <t>2026-10-04</t>
        </is>
      </c>
    </row>
    <row r="12">
      <c r="A12" t="inlineStr">
        <is>
          <t>https://clustermelt.com/market-intelligence/2026-09</t>
        </is>
      </c>
      <c r="B12" t="inlineStr">
        <is>
          <t>used GPU reads 2026-09-01</t>
        </is>
      </c>
      <c r="C12" t="inlineStr">
        <is>
          <t>2026-10-04</t>
        </is>
      </c>
    </row>
    <row r="13">
      <c r="A13" t="inlineStr">
        <is>
          <t>https://www.mercatus-ai.com/blog/h100-resale-value</t>
        </is>
      </c>
      <c r="B13" t="inlineStr">
        <is>
          <t>H100 residual bands 2026-06-23</t>
        </is>
      </c>
      <c r="C13" t="inlineStr">
        <is>
          <t>2026-10-04</t>
        </is>
      </c>
    </row>
    <row r="14">
      <c r="A14" t="inlineStr">
        <is>
          <t>https://bondterminal.com/issuers/coreweave-inc</t>
        </is>
      </c>
      <c r="B14" t="inlineStr">
        <is>
          <t>CRWV bond levels 2026-10-01/02</t>
        </is>
      </c>
      <c r="C14" t="inlineStr">
        <is>
          <t>2026-10-04</t>
        </is>
      </c>
    </row>
    <row r="15">
      <c r="A15" t="inlineStr">
        <is>
          <t>https://ccir.io/credit/issuer/nebius</t>
        </is>
      </c>
      <c r="B15" t="inlineStr">
        <is>
          <t>NBIS capital stack</t>
        </is>
      </c>
      <c r="C15" t="inlineStr">
        <is>
          <t>2026-10-04</t>
        </is>
      </c>
    </row>
    <row r="16">
      <c r="A16" t="inlineStr">
        <is>
          <t>/workspace/nebius/src/20f.txt</t>
        </is>
      </c>
      <c r="B16" t="inlineStr">
        <is>
          <t>Nebius 20-F useful lives (GPUs 4y; servers/network 4 to 5y from 2026-01-01; -$167.6M FY26 D&amp;A)</t>
        </is>
      </c>
      <c r="C16" t="inlineStr">
        <is>
          <t>2026-10-04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2026-10-04T22:21:11Z</dcterms:created>
  <dcterms:modified xmlns:dcterms="http://purl.org/dc/terms/" xmlns:xsi="http://www.w3.org/2001/XMLSchema-instance" xsi:type="dcterms:W3CDTF">2026-10-04T22:21:11Z</dcterms:modified>
</cp:coreProperties>
</file>