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ites" sheetId="2" state="visible" r:id="rId2"/>
    <sheet xmlns:r="http://schemas.openxmlformats.org/officeDocument/2006/relationships" name="MW" sheetId="3" state="visible" r:id="rId3"/>
    <sheet xmlns:r="http://schemas.openxmlformats.org/officeDocument/2006/relationships" name="Microsoft" sheetId="4" state="visible" r:id="rId4"/>
    <sheet xmlns:r="http://schemas.openxmlformats.org/officeDocument/2006/relationships" name="Rev_MW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Annual" sheetId="7" state="visible" r:id="rId7"/>
    <sheet xmlns:r="http://schemas.openxmlformats.org/officeDocument/2006/relationships" name="Horizons" sheetId="8" state="visible" r:id="rId8"/>
    <sheet xmlns:r="http://schemas.openxmlformats.org/officeDocument/2006/relationships" name="Reverse_DCF" sheetId="9" state="visible" r:id="rId9"/>
    <sheet xmlns:r="http://schemas.openxmlformats.org/officeDocument/2006/relationships" name="Cohorts" sheetId="10" state="visible" r:id="rId10"/>
    <sheet xmlns:r="http://schemas.openxmlformats.org/officeDocument/2006/relationships" name="Char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$#,##0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3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164" fontId="2" fillId="2" borderId="0" pivotButton="0" quotePrefix="0" xfId="0"/>
    <xf numFmtId="164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3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2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096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6096000" cy="3429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10" customWidth="1" min="3" max="3"/>
    <col width="26" customWidth="1" min="4" max="4"/>
    <col width="120" customWidth="1" min="5" max="5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Tag</t>
        </is>
      </c>
      <c r="E1" s="1" t="inlineStr">
        <is>
          <t>Source / note</t>
        </is>
      </c>
    </row>
    <row r="2">
      <c r="A2" s="2" t="inlineStr">
        <is>
          <t>Lives</t>
        </is>
      </c>
    </row>
    <row r="3">
      <c r="A3" t="inlineStr">
        <is>
          <t>Life scenario A (yrs)</t>
        </is>
      </c>
      <c r="B3" s="3" t="n">
        <v>4</v>
      </c>
      <c r="C3" t="inlineStr">
        <is>
          <t>yrs</t>
        </is>
      </c>
      <c r="D3" t="inlineStr">
        <is>
          <t>Reported (pre-2026 policy)</t>
        </is>
      </c>
      <c r="E3" t="inlineStr">
        <is>
          <t>https://www.sec.gov/Archives/edgar/data/1513845/000110465926052948/nbis-20251231x20f.htm</t>
        </is>
      </c>
    </row>
    <row r="4">
      <c r="A4" t="inlineStr">
        <is>
          <t>Life scenario B (yrs) - Nebius policy from 1/1/26</t>
        </is>
      </c>
      <c r="B4" s="3" t="n">
        <v>5</v>
      </c>
      <c r="C4" t="inlineStr">
        <is>
          <t>yrs</t>
        </is>
      </c>
      <c r="D4" t="inlineStr">
        <is>
          <t>Reported</t>
        </is>
      </c>
      <c r="E4" t="inlineStr">
        <is>
          <t>https://www.sec.gov/Archives/edgar/data/1513845/000110465926094844/nbis-20260812xex99d2.htm Note 1</t>
        </is>
      </c>
    </row>
    <row r="5">
      <c r="A5" t="inlineStr">
        <is>
          <t>Life scenario C (yrs)</t>
        </is>
      </c>
      <c r="B5" s="3" t="n">
        <v>6</v>
      </c>
      <c r="C5" t="inlineStr">
        <is>
          <t>yrs</t>
        </is>
      </c>
      <c r="D5" t="inlineStr">
        <is>
          <t>Reported (peer policy: CRWV/GOOGL/ORCL)</t>
        </is>
      </c>
      <c r="E5" t="inlineStr">
        <is>
          <t>v1 Peers sheet</t>
        </is>
      </c>
    </row>
    <row r="6">
      <c r="A6" t="inlineStr">
        <is>
          <t>Shell &amp; power (owned) / colo fit-out life</t>
        </is>
      </c>
      <c r="B6" s="3" t="n">
        <v>18</v>
      </c>
      <c r="C6" t="inlineStr">
        <is>
          <t>yrs</t>
        </is>
      </c>
      <c r="D6" t="inlineStr">
        <is>
          <t>Estimated (user assumption)</t>
        </is>
      </c>
      <c r="E6" t="inlineStr">
        <is>
          <t>User instruction 2026-10-04</t>
        </is>
      </c>
    </row>
    <row r="7">
      <c r="A7" t="inlineStr">
        <is>
          <t>Existing 6/30 non-server PP&amp;E blended life</t>
        </is>
      </c>
      <c r="B7" s="3" t="n">
        <v>12</v>
      </c>
      <c r="C7" t="inlineStr">
        <is>
          <t>yrs</t>
        </is>
      </c>
      <c r="D7" t="inlineStr">
        <is>
          <t>Estimated</t>
        </is>
      </c>
      <c r="E7" t="inlineStr">
        <is>
          <t>As v1</t>
        </is>
      </c>
    </row>
    <row r="8">
      <c r="A8" s="2" t="inlineStr">
        <is>
          <t>Capex per IT MW by generation ($M) - Capacity's base case</t>
        </is>
      </c>
    </row>
    <row r="9">
      <c r="A9" t="inlineStr">
        <is>
          <t>Hopper H100/H200: GPU/server + network/storage per IT MW</t>
        </is>
      </c>
      <c r="B9" s="3" t="n">
        <v>25.9</v>
      </c>
      <c r="C9" t="inlineStr">
        <is>
          <t>$M/IT MW</t>
        </is>
      </c>
      <c r="D9" t="inlineStr">
        <is>
          <t>Estimated (Capacity base)</t>
        </is>
      </c>
      <c r="E9" t="inlineStr">
        <is>
          <t>/workspace/nebius/capacity/gpu_mw_capex.xlsx + .md (team Capacity &amp; Power) CapexPerMW base split</t>
        </is>
      </c>
    </row>
    <row r="10">
      <c r="A10" t="inlineStr">
        <is>
          <t>Hopper H100/H200: DC shell + power, owned, per IT MW</t>
        </is>
      </c>
      <c r="B10" s="3" t="n">
        <v>10</v>
      </c>
      <c r="C10" t="inlineStr">
        <is>
          <t>$M/IT MW</t>
        </is>
      </c>
      <c r="D10" t="inlineStr">
        <is>
          <t>Estimated (Capacity base)</t>
        </is>
      </c>
      <c r="E10" t="inlineStr">
        <is>
          <t>/workspace/nebius/capacity/gpu_mw_capex.xlsx + .md (team Capacity &amp; Power)</t>
        </is>
      </c>
    </row>
    <row r="11">
      <c r="A11" t="inlineStr">
        <is>
          <t>Hopper H100/H200: colo capex (no shell) per IT MW</t>
        </is>
      </c>
      <c r="B11" s="3" t="n">
        <v>26.9</v>
      </c>
      <c r="C11" t="inlineStr">
        <is>
          <t>$M/IT MW</t>
        </is>
      </c>
      <c r="D11" t="inlineStr">
        <is>
          <t>Estimated (Capacity base)</t>
        </is>
      </c>
      <c r="E11" t="inlineStr">
        <is>
          <t>/workspace/nebius/capacity/gpu_mw_capex.xlsx + .md (team Capacity &amp; Power) 'Colo capex Base'</t>
        </is>
      </c>
    </row>
    <row r="12">
      <c r="A12" t="inlineStr">
        <is>
          <t>Hopper H100/H200: owned all-in per IT MW</t>
        </is>
      </c>
      <c r="B12">
        <f>$B$9+$B$10</f>
        <v/>
      </c>
      <c r="C12" t="inlineStr">
        <is>
          <t>$M/IT MW</t>
        </is>
      </c>
      <c r="D12" t="inlineStr">
        <is>
          <t>Derived</t>
        </is>
      </c>
      <c r="E12" t="inlineStr">
        <is>
          <t>GPU+net + shell (Capacity: B200 42, GB200 42, GB300 53)</t>
        </is>
      </c>
    </row>
    <row r="13">
      <c r="A13" t="inlineStr">
        <is>
          <t>B200 (HGX): GPU/server + network/storage per IT MW</t>
        </is>
      </c>
      <c r="B13" s="3" t="n">
        <v>32.4</v>
      </c>
      <c r="C13" t="inlineStr">
        <is>
          <t>$M/IT MW</t>
        </is>
      </c>
      <c r="D13" t="inlineStr">
        <is>
          <t>Estimated (Capacity base)</t>
        </is>
      </c>
      <c r="E13" t="inlineStr">
        <is>
          <t>/workspace/nebius/capacity/gpu_mw_capex.xlsx + .md (team Capacity &amp; Power) CapexPerMW base split</t>
        </is>
      </c>
    </row>
    <row r="14">
      <c r="A14" t="inlineStr">
        <is>
          <t>B200 (HGX): DC shell + power, owned, per IT MW</t>
        </is>
      </c>
      <c r="B14" s="3" t="n">
        <v>10</v>
      </c>
      <c r="C14" t="inlineStr">
        <is>
          <t>$M/IT MW</t>
        </is>
      </c>
      <c r="D14" t="inlineStr">
        <is>
          <t>Estimated (Capacity base)</t>
        </is>
      </c>
      <c r="E14" t="inlineStr">
        <is>
          <t>/workspace/nebius/capacity/gpu_mw_capex.xlsx + .md (team Capacity &amp; Power)</t>
        </is>
      </c>
    </row>
    <row r="15">
      <c r="A15" t="inlineStr">
        <is>
          <t>B200 (HGX): colo capex (no shell) per IT MW</t>
        </is>
      </c>
      <c r="B15" s="3" t="n">
        <v>33.4</v>
      </c>
      <c r="C15" t="inlineStr">
        <is>
          <t>$M/IT MW</t>
        </is>
      </c>
      <c r="D15" t="inlineStr">
        <is>
          <t>Estimated (Capacity base)</t>
        </is>
      </c>
      <c r="E15" t="inlineStr">
        <is>
          <t>/workspace/nebius/capacity/gpu_mw_capex.xlsx + .md (team Capacity &amp; Power) 'Colo capex Base'</t>
        </is>
      </c>
    </row>
    <row r="16">
      <c r="A16" t="inlineStr">
        <is>
          <t>B200 (HGX): owned all-in per IT MW</t>
        </is>
      </c>
      <c r="B16">
        <f>$B$13+$B$14</f>
        <v/>
      </c>
      <c r="C16" t="inlineStr">
        <is>
          <t>$M/IT MW</t>
        </is>
      </c>
      <c r="D16" t="inlineStr">
        <is>
          <t>Derived</t>
        </is>
      </c>
      <c r="E16" t="inlineStr">
        <is>
          <t>GPU+net + shell (Capacity: B200 42, GB200 42, GB300 53)</t>
        </is>
      </c>
    </row>
    <row r="17">
      <c r="A17" t="inlineStr">
        <is>
          <t>GB200 NVL72: GPU/server + network/storage per IT MW</t>
        </is>
      </c>
      <c r="B17" s="3" t="n">
        <v>29.2</v>
      </c>
      <c r="C17" t="inlineStr">
        <is>
          <t>$M/IT MW</t>
        </is>
      </c>
      <c r="D17" t="inlineStr">
        <is>
          <t>Estimated (Capacity base)</t>
        </is>
      </c>
      <c r="E17" t="inlineStr">
        <is>
          <t>/workspace/nebius/capacity/gpu_mw_capex.xlsx + .md (team Capacity &amp; Power) CapexPerMW base split</t>
        </is>
      </c>
    </row>
    <row r="18">
      <c r="A18" t="inlineStr">
        <is>
          <t>GB200 NVL72: DC shell + power, owned, per IT MW</t>
        </is>
      </c>
      <c r="B18" s="3" t="n">
        <v>12.5</v>
      </c>
      <c r="C18" t="inlineStr">
        <is>
          <t>$M/IT MW</t>
        </is>
      </c>
      <c r="D18" t="inlineStr">
        <is>
          <t>Estimated (Capacity base)</t>
        </is>
      </c>
      <c r="E18" t="inlineStr">
        <is>
          <t>/workspace/nebius/capacity/gpu_mw_capex.xlsx + .md (team Capacity &amp; Power)</t>
        </is>
      </c>
    </row>
    <row r="19">
      <c r="A19" t="inlineStr">
        <is>
          <t>GB200 NVL72: colo capex (no shell) per IT MW</t>
        </is>
      </c>
      <c r="B19" s="3" t="n">
        <v>30.2</v>
      </c>
      <c r="C19" t="inlineStr">
        <is>
          <t>$M/IT MW</t>
        </is>
      </c>
      <c r="D19" t="inlineStr">
        <is>
          <t>Estimated (Capacity base)</t>
        </is>
      </c>
      <c r="E19" t="inlineStr">
        <is>
          <t>/workspace/nebius/capacity/gpu_mw_capex.xlsx + .md (team Capacity &amp; Power) 'Colo capex Base'</t>
        </is>
      </c>
    </row>
    <row r="20">
      <c r="A20" t="inlineStr">
        <is>
          <t>GB200 NVL72: owned all-in per IT MW</t>
        </is>
      </c>
      <c r="B20">
        <f>$B$17+$B$18</f>
        <v/>
      </c>
      <c r="C20" t="inlineStr">
        <is>
          <t>$M/IT MW</t>
        </is>
      </c>
      <c r="D20" t="inlineStr">
        <is>
          <t>Derived</t>
        </is>
      </c>
      <c r="E20" t="inlineStr">
        <is>
          <t>GPU+net + shell (Capacity: B200 42, GB200 42, GB300 53)</t>
        </is>
      </c>
    </row>
    <row r="21">
      <c r="A21" t="inlineStr">
        <is>
          <t>B300 (HGX): GPU/server + network/storage per IT MW</t>
        </is>
      </c>
      <c r="B21" s="3" t="n">
        <v>40.1</v>
      </c>
      <c r="C21" t="inlineStr">
        <is>
          <t>$M/IT MW</t>
        </is>
      </c>
      <c r="D21" t="inlineStr">
        <is>
          <t>Estimated (Capacity base)</t>
        </is>
      </c>
      <c r="E21" t="inlineStr">
        <is>
          <t>/workspace/nebius/capacity/gpu_mw_capex.xlsx + .md (team Capacity &amp; Power) CapexPerMW base split</t>
        </is>
      </c>
    </row>
    <row r="22">
      <c r="A22" t="inlineStr">
        <is>
          <t>B300 (HGX): DC shell + power, owned, per IT MW</t>
        </is>
      </c>
      <c r="B22" s="3" t="n">
        <v>10</v>
      </c>
      <c r="C22" t="inlineStr">
        <is>
          <t>$M/IT MW</t>
        </is>
      </c>
      <c r="D22" t="inlineStr">
        <is>
          <t>Estimated (Capacity base)</t>
        </is>
      </c>
      <c r="E22" t="inlineStr">
        <is>
          <t>/workspace/nebius/capacity/gpu_mw_capex.xlsx + .md (team Capacity &amp; Power)</t>
        </is>
      </c>
    </row>
    <row r="23">
      <c r="A23" t="inlineStr">
        <is>
          <t>B300 (HGX): colo capex (no shell) per IT MW</t>
        </is>
      </c>
      <c r="B23" s="3" t="n">
        <v>41.1</v>
      </c>
      <c r="C23" t="inlineStr">
        <is>
          <t>$M/IT MW</t>
        </is>
      </c>
      <c r="D23" t="inlineStr">
        <is>
          <t>Estimated (Capacity base)</t>
        </is>
      </c>
      <c r="E23" t="inlineStr">
        <is>
          <t>/workspace/nebius/capacity/gpu_mw_capex.xlsx + .md (team Capacity &amp; Power) 'Colo capex Base'</t>
        </is>
      </c>
    </row>
    <row r="24">
      <c r="A24" t="inlineStr">
        <is>
          <t>B300 (HGX): owned all-in per IT MW</t>
        </is>
      </c>
      <c r="B24">
        <f>$B$21+$B$22</f>
        <v/>
      </c>
      <c r="C24" t="inlineStr">
        <is>
          <t>$M/IT MW</t>
        </is>
      </c>
      <c r="D24" t="inlineStr">
        <is>
          <t>Derived</t>
        </is>
      </c>
      <c r="E24" t="inlineStr">
        <is>
          <t>GPU+net + shell (Capacity: B200 42, GB200 42, GB300 53)</t>
        </is>
      </c>
    </row>
    <row r="25">
      <c r="A25" t="inlineStr">
        <is>
          <t>GB300 NVL72: GPU/server + network/storage per IT MW</t>
        </is>
      </c>
      <c r="B25" s="3" t="n">
        <v>40.2</v>
      </c>
      <c r="C25" t="inlineStr">
        <is>
          <t>$M/IT MW</t>
        </is>
      </c>
      <c r="D25" t="inlineStr">
        <is>
          <t>Estimated (Capacity base)</t>
        </is>
      </c>
      <c r="E25" t="inlineStr">
        <is>
          <t>/workspace/nebius/capacity/gpu_mw_capex.xlsx + .md (team Capacity &amp; Power) CapexPerMW base split</t>
        </is>
      </c>
    </row>
    <row r="26">
      <c r="A26" t="inlineStr">
        <is>
          <t>GB300 NVL72: DC shell + power, owned, per IT MW</t>
        </is>
      </c>
      <c r="B26" s="3" t="n">
        <v>12.5</v>
      </c>
      <c r="C26" t="inlineStr">
        <is>
          <t>$M/IT MW</t>
        </is>
      </c>
      <c r="D26" t="inlineStr">
        <is>
          <t>Estimated (Capacity base)</t>
        </is>
      </c>
      <c r="E26" t="inlineStr">
        <is>
          <t>/workspace/nebius/capacity/gpu_mw_capex.xlsx + .md (team Capacity &amp; Power)</t>
        </is>
      </c>
    </row>
    <row r="27">
      <c r="A27" t="inlineStr">
        <is>
          <t>GB300 NVL72: colo capex (no shell) per IT MW</t>
        </is>
      </c>
      <c r="B27" s="3" t="n">
        <v>41.3</v>
      </c>
      <c r="C27" t="inlineStr">
        <is>
          <t>$M/IT MW</t>
        </is>
      </c>
      <c r="D27" t="inlineStr">
        <is>
          <t>Estimated (Capacity base)</t>
        </is>
      </c>
      <c r="E27" t="inlineStr">
        <is>
          <t>/workspace/nebius/capacity/gpu_mw_capex.xlsx + .md (team Capacity &amp; Power) 'Colo capex Base'</t>
        </is>
      </c>
    </row>
    <row r="28">
      <c r="A28" t="inlineStr">
        <is>
          <t>GB300 NVL72: owned all-in per IT MW</t>
        </is>
      </c>
      <c r="B28">
        <f>$B$25+$B$26</f>
        <v/>
      </c>
      <c r="C28" t="inlineStr">
        <is>
          <t>$M/IT MW</t>
        </is>
      </c>
      <c r="D28" t="inlineStr">
        <is>
          <t>Derived</t>
        </is>
      </c>
      <c r="E28" t="inlineStr">
        <is>
          <t>GPU+net + shell (Capacity: B200 42, GB200 42, GB300 53)</t>
        </is>
      </c>
    </row>
    <row r="29">
      <c r="A29" t="inlineStr">
        <is>
          <t>Vera Rubin NVL72: GPU/server + network/storage per IT MW</t>
        </is>
      </c>
      <c r="B29" s="3" t="n">
        <v>30.3</v>
      </c>
      <c r="C29" t="inlineStr">
        <is>
          <t>$M/IT MW</t>
        </is>
      </c>
      <c r="D29" t="inlineStr">
        <is>
          <t>Estimated (Capacity base)</t>
        </is>
      </c>
      <c r="E29" t="inlineStr">
        <is>
          <t>/workspace/nebius/capacity/gpu_mw_capex.xlsx + .md (team Capacity &amp; Power) CapexPerMW base split</t>
        </is>
      </c>
    </row>
    <row r="30">
      <c r="A30" t="inlineStr">
        <is>
          <t>Vera Rubin NVL72: DC shell + power, owned, per IT MW</t>
        </is>
      </c>
      <c r="B30" s="3" t="n">
        <v>12.5</v>
      </c>
      <c r="C30" t="inlineStr">
        <is>
          <t>$M/IT MW</t>
        </is>
      </c>
      <c r="D30" t="inlineStr">
        <is>
          <t>Estimated (Capacity base)</t>
        </is>
      </c>
      <c r="E30" t="inlineStr">
        <is>
          <t>/workspace/nebius/capacity/gpu_mw_capex.xlsx + .md (team Capacity &amp; Power)</t>
        </is>
      </c>
    </row>
    <row r="31">
      <c r="A31" t="inlineStr">
        <is>
          <t>Vera Rubin NVL72: colo capex (no shell) per IT MW</t>
        </is>
      </c>
      <c r="B31" s="3" t="n">
        <v>31.3</v>
      </c>
      <c r="C31" t="inlineStr">
        <is>
          <t>$M/IT MW</t>
        </is>
      </c>
      <c r="D31" t="inlineStr">
        <is>
          <t>Estimated (Capacity base)</t>
        </is>
      </c>
      <c r="E31" t="inlineStr">
        <is>
          <t>/workspace/nebius/capacity/gpu_mw_capex.xlsx + .md (team Capacity &amp; Power) 'Colo capex Base'</t>
        </is>
      </c>
    </row>
    <row r="32">
      <c r="A32" t="inlineStr">
        <is>
          <t>Vera Rubin NVL72: owned all-in per IT MW</t>
        </is>
      </c>
      <c r="B32">
        <f>$B$29+$B$30</f>
        <v/>
      </c>
      <c r="C32" t="inlineStr">
        <is>
          <t>$M/IT MW</t>
        </is>
      </c>
      <c r="D32" t="inlineStr">
        <is>
          <t>Derived</t>
        </is>
      </c>
      <c r="E32" t="inlineStr">
        <is>
          <t>GPU+net + shell (Capacity: B200 42, GB200 42, GB300 53)</t>
        </is>
      </c>
    </row>
    <row r="33">
      <c r="A33" t="inlineStr">
        <is>
          <t>Gross (facility) MW per IT MW</t>
        </is>
      </c>
      <c r="B33" s="3" t="n">
        <v>1.25</v>
      </c>
      <c r="C33" t="inlineStr">
        <is>
          <t>x</t>
        </is>
      </c>
      <c r="D33" t="inlineStr">
        <is>
          <t>Derived (Capacity)</t>
        </is>
      </c>
      <c r="E33" t="inlineStr">
        <is>
          <t>Vineland 300 MW gross ~ 230-250 MW IT =&gt; 1.2-1.3; Capacity PUE base 1.20-1.30</t>
        </is>
      </c>
    </row>
    <row r="34">
      <c r="A34" t="inlineStr">
        <is>
          <t>Nebius ACV/MW basis = gross MW? (1 = gross, 0 = IT)</t>
        </is>
      </c>
      <c r="B34" s="3" t="n">
        <v>1</v>
      </c>
      <c r="C34" t="inlineStr">
        <is>
          <t>flag</t>
        </is>
      </c>
      <c r="D34" t="inlineStr">
        <is>
          <t>Estimated</t>
        </is>
      </c>
      <c r="E34" t="inlineStr">
        <is>
          <t>Microsoft $11.6M/gross MW-yr ~ the '2026 base ~$12M' in Q2 letter =&gt; ACV quoted on gross/contracted MW (Capacity). Not stated by Nebius</t>
        </is>
      </c>
    </row>
    <row r="35">
      <c r="A35" s="2" t="inlineStr">
        <is>
          <t>Opex per MW</t>
        </is>
      </c>
    </row>
    <row r="36">
      <c r="A36" t="inlineStr">
        <is>
          <t>Power cost</t>
        </is>
      </c>
      <c r="B36" s="3" t="n">
        <v>139</v>
      </c>
      <c r="C36" t="inlineStr">
        <is>
          <t>$/MWh</t>
        </is>
      </c>
      <c r="D36" t="inlineStr">
        <is>
          <t>Estimated (Capacity range 93-185, midpoint)</t>
        </is>
      </c>
      <c r="E36" t="inlineStr">
        <is>
          <t>Team inputs relayed 2026-10-04 18:20 ET (Capacity physical evidence / Filings); Bloom is a power purchase (opex), not capex</t>
        </is>
      </c>
    </row>
    <row r="37">
      <c r="A37" t="inlineStr">
        <is>
          <t>Average load factor on gross MW</t>
        </is>
      </c>
      <c r="B37" s="3" t="n">
        <v>0.9</v>
      </c>
      <c r="C37" t="inlineStr">
        <is>
          <t>%</t>
        </is>
      </c>
      <c r="D37" t="inlineStr">
        <is>
          <t>Estimated</t>
        </is>
      </c>
      <c r="E37" t="inlineStr">
        <is>
          <t>Calibrates to Capacity's ~$1.1M per gross MW-yr at midpoint: 139 x 8,760 x 0.9 = $1.10M</t>
        </is>
      </c>
    </row>
    <row r="38">
      <c r="A38" t="inlineStr">
        <is>
          <t>Power cost per gross MW-yr</t>
        </is>
      </c>
      <c r="B38">
        <f>$B$36*8760*$B$37/1000000</f>
        <v/>
      </c>
      <c r="C38" t="inlineStr">
        <is>
          <t>$M</t>
        </is>
      </c>
      <c r="D38" t="inlineStr">
        <is>
          <t>Derived</t>
        </is>
      </c>
    </row>
    <row r="39">
      <c r="A39" t="inlineStr">
        <is>
          <t>Colo rent per IT MW-yr (leased sites only)</t>
        </is>
      </c>
      <c r="B39" s="3" t="n">
        <v>2.25</v>
      </c>
      <c r="C39" t="inlineStr">
        <is>
          <t>$M</t>
        </is>
      </c>
      <c r="D39" t="inlineStr">
        <is>
          <t>Estimated (Capacity range 2.0-2.5)</t>
        </is>
      </c>
      <c r="E39" t="inlineStr">
        <is>
          <t>/workspace/nebius/capacity/gpu_mw_capex.xlsx + .md (team Capacity &amp; Power) peers: colo rent $165-205/kW-mo</t>
        </is>
      </c>
    </row>
    <row r="40">
      <c r="A40" t="inlineStr">
        <is>
          <t>Q2'26 AI cloud segment adj. EBITDA margin (calibration)</t>
        </is>
      </c>
      <c r="B40" s="3" t="n">
        <v>0.497</v>
      </c>
      <c r="C40" t="inlineStr">
        <is>
          <t>%</t>
        </is>
      </c>
      <c r="D40" t="inlineStr">
        <is>
          <t>Reported</t>
        </is>
      </c>
      <c r="E40" t="inlineStr">
        <is>
          <t>/workspace/nebius/filings/nebius_fact_base.md</t>
        </is>
      </c>
    </row>
    <row r="41">
      <c r="A41" t="inlineStr">
        <is>
          <t>Calibration ACV (installed book, per gross MW)</t>
        </is>
      </c>
      <c r="B41" s="3" t="n">
        <v>12</v>
      </c>
      <c r="C41" t="inlineStr">
        <is>
          <t>$M</t>
        </is>
      </c>
      <c r="D41" t="inlineStr">
        <is>
          <t>Reported (approx.)</t>
        </is>
      </c>
      <c r="E41" t="inlineStr">
        <is>
          <t>https://www.sec.gov/Archives/edgar/data/1513845/000110465926094568/tm2622968d1_ex99-2.htm p.3-4</t>
        </is>
      </c>
    </row>
    <row r="42">
      <c r="A42" t="inlineStr">
        <is>
          <t>Other cash opex % of revenue (staff, network, support, SG&amp;A)</t>
        </is>
      </c>
      <c r="B42">
        <f>1-$B$40-$B$38/$B$41-$B$39/($B$41*$B$33)</f>
        <v/>
      </c>
      <c r="C42" t="inlineStr">
        <is>
          <t>%</t>
        </is>
      </c>
      <c r="D42" t="inlineStr">
        <is>
          <t>Derived (calibration)</t>
        </is>
      </c>
      <c r="E42" t="inlineStr">
        <is>
          <t>Assumes the Q2 segment margin = installed book on leased sites: 1 - 49.7% - power/rev - rent/rev</t>
        </is>
      </c>
    </row>
    <row r="43">
      <c r="A43" s="2" t="inlineStr">
        <is>
          <t>Cohort pricing &amp; terms</t>
        </is>
      </c>
    </row>
    <row r="44">
      <c r="A44" t="inlineStr">
        <is>
          <t>Installed book ACV per gross MW-yr</t>
        </is>
      </c>
      <c r="B44" s="3" t="n">
        <v>12</v>
      </c>
      <c r="C44" t="inlineStr">
        <is>
          <t>$M</t>
        </is>
      </c>
      <c r="D44" t="inlineStr">
        <is>
          <t>Reported (approx.)</t>
        </is>
      </c>
      <c r="E44" t="inlineStr">
        <is>
          <t>https://www.sec.gov/Archives/edgar/data/1513845/000110465926094568/tm2622968d1_ex99-2.htm</t>
        </is>
      </c>
    </row>
    <row r="45">
      <c r="A45" t="inlineStr">
        <is>
          <t>Q2 new deals ACV - low</t>
        </is>
      </c>
      <c r="B45" s="3" t="n">
        <v>20</v>
      </c>
      <c r="C45" t="inlineStr">
        <is>
          <t>$M</t>
        </is>
      </c>
      <c r="D45" t="inlineStr">
        <is>
          <t>Reported</t>
        </is>
      </c>
      <c r="E45" t="inlineStr">
        <is>
          <t>https://www.sec.gov/Archives/edgar/data/1513845/000110465926094568/tm2622968d1_ex99-2.htm</t>
        </is>
      </c>
    </row>
    <row r="46">
      <c r="A46" t="inlineStr">
        <is>
          <t>Q2 new deals ACV - high</t>
        </is>
      </c>
      <c r="B46" s="3" t="n">
        <v>25</v>
      </c>
      <c r="C46" t="inlineStr">
        <is>
          <t>$M</t>
        </is>
      </c>
      <c r="D46" t="inlineStr">
        <is>
          <t>Reported</t>
        </is>
      </c>
      <c r="E46" t="inlineStr">
        <is>
          <t>https://www.sec.gov/Archives/edgar/data/1513845/000110465926094568/tm2622968d1_ex99-2.htm</t>
        </is>
      </c>
    </row>
    <row r="47">
      <c r="A47" t="inlineStr">
        <is>
          <t>Q3 short-term deals ACV</t>
        </is>
      </c>
      <c r="B47" s="3" t="n">
        <v>40</v>
      </c>
      <c r="C47" t="inlineStr">
        <is>
          <t>$M</t>
        </is>
      </c>
      <c r="D47" t="inlineStr">
        <is>
          <t>Reported ('&gt;$40M')</t>
        </is>
      </c>
      <c r="E47" t="inlineStr">
        <is>
          <t>https://www.sec.gov/Archives/edgar/data/1513845/000110465926094568/tm2622968d1_ex99-2.htm</t>
        </is>
      </c>
    </row>
    <row r="48">
      <c r="A48" t="inlineStr">
        <is>
          <t>Microsoft ACV per gross MW-yr</t>
        </is>
      </c>
      <c r="B48">
        <f>17392.9/5/300</f>
        <v/>
      </c>
      <c r="C48" t="inlineStr">
        <is>
          <t>$M</t>
        </is>
      </c>
      <c r="D48" t="inlineStr">
        <is>
          <t>Derived</t>
        </is>
      </c>
      <c r="E48" t="inlineStr">
        <is>
          <t>$17,392.9M / 5 yrs / 300 MW gross = $11.6M (= ~$1,324/MWh)</t>
        </is>
      </c>
    </row>
    <row r="49">
      <c r="A49" t="inlineStr">
        <is>
          <t>Microsoft ACV if contract covers 200 MW</t>
        </is>
      </c>
      <c r="B49">
        <f>17392.9/5/200</f>
        <v/>
      </c>
      <c r="C49" t="inlineStr">
        <is>
          <t>$M</t>
        </is>
      </c>
      <c r="D49" t="inlineStr">
        <is>
          <t>Derived</t>
        </is>
      </c>
      <c r="E49" t="inlineStr">
        <is>
          <t>Capacity: ~$17.4M at 200 MW</t>
        </is>
      </c>
    </row>
    <row r="50">
      <c r="A50" t="inlineStr">
        <is>
          <t>Term - installed book / Q2 deals</t>
        </is>
      </c>
      <c r="B50" s="3" t="n">
        <v>5</v>
      </c>
      <c r="C50" t="inlineStr">
        <is>
          <t>yrs</t>
        </is>
      </c>
      <c r="D50" t="inlineStr">
        <is>
          <t>Estimated</t>
        </is>
      </c>
      <c r="E50" t="inlineStr">
        <is>
          <t>Strategic contracts (MSFT, Meta) are 5-yr (R); Q2-deal terms not disclosed</t>
        </is>
      </c>
    </row>
    <row r="51">
      <c r="A51" t="inlineStr">
        <is>
          <t>Term - short-term deals</t>
        </is>
      </c>
      <c r="B51" s="3" t="n">
        <v>1</v>
      </c>
      <c r="C51" t="inlineStr">
        <is>
          <t>yrs</t>
        </is>
      </c>
      <c r="D51" t="inlineStr">
        <is>
          <t>Estimated</t>
        </is>
      </c>
      <c r="E51" t="inlineStr">
        <is>
          <t>'short-term' not defined by Nebius</t>
        </is>
      </c>
    </row>
    <row r="52">
      <c r="A52" t="inlineStr">
        <is>
          <t>Term - Microsoft (per tranche)</t>
        </is>
      </c>
      <c r="B52" s="3" t="n">
        <v>5</v>
      </c>
      <c r="C52" t="inlineStr">
        <is>
          <t>yrs</t>
        </is>
      </c>
      <c r="D52" t="inlineStr">
        <is>
          <t>Reported</t>
        </is>
      </c>
      <c r="E52" t="inlineStr">
        <is>
          <t>60 months per tranche (https://www.sec.gov/Archives/edgar/data/1513845/000110465925088312/tm2525580d1_6k.htm)</t>
        </is>
      </c>
    </row>
    <row r="53">
      <c r="A53" t="inlineStr">
        <is>
          <t>Microsoft SLA / service-credit haircut on billed revenue</t>
        </is>
      </c>
      <c r="B53" s="3" t="n">
        <v>0</v>
      </c>
      <c r="C53" t="inlineStr">
        <is>
          <t>%</t>
        </is>
      </c>
      <c r="D53" t="inlineStr">
        <is>
          <t>Scenario input</t>
        </is>
      </c>
      <c r="E53" t="inlineStr">
        <is>
          <t>Take-or-pay 'irrespective of actual utilization' - haircut is service credits, not demand; 0% base, test 2-5%</t>
        </is>
      </c>
    </row>
    <row r="54">
      <c r="A54" t="inlineStr">
        <is>
          <t>Prepayment, % of related capex, for a prepaid deal</t>
        </is>
      </c>
      <c r="B54" s="3" t="n">
        <v>0.55</v>
      </c>
      <c r="C54" t="inlineStr">
        <is>
          <t>%</t>
        </is>
      </c>
      <c r="D54" t="inlineStr">
        <is>
          <t>Reported (company: 50-60%)</t>
        </is>
      </c>
      <c r="E54" t="inlineStr">
        <is>
          <t>/workspace/nebius/filings/nebius_fact_base.md</t>
        </is>
      </c>
    </row>
    <row r="55">
      <c r="A55" t="inlineStr">
        <is>
          <t>Share of deals carrying prepayments</t>
        </is>
      </c>
      <c r="B55" s="3" t="n">
        <v>0.7</v>
      </c>
      <c r="C55" t="inlineStr">
        <is>
          <t>%</t>
        </is>
      </c>
      <c r="D55" t="inlineStr">
        <is>
          <t>Reported (company)</t>
        </is>
      </c>
      <c r="E55" t="inlineStr">
        <is>
          <t>/workspace/nebius/filings/nebius_fact_base.md</t>
        </is>
      </c>
    </row>
    <row r="56">
      <c r="A56" t="inlineStr">
        <is>
          <t>Microsoft upfront share of TCV</t>
        </is>
      </c>
      <c r="B56">
        <f>6958.1/17392.9</f>
        <v/>
      </c>
      <c r="C56" t="inlineStr">
        <is>
          <t>%</t>
        </is>
      </c>
      <c r="D56" t="inlineStr">
        <is>
          <t>Derived</t>
        </is>
      </c>
      <c r="E56" t="inlineStr">
        <is>
          <t>~$6,958.1M upfront / $17,392.9M TCV (20-F Note 1)</t>
        </is>
      </c>
    </row>
    <row r="57">
      <c r="A57" s="2" t="inlineStr">
        <is>
          <t>Residual value after contract term (re-rent) - GPU Market A100 evidence (v3.1)</t>
        </is>
      </c>
    </row>
    <row r="58">
      <c r="A58" t="inlineStr">
        <is>
          <t>Realized utilization on post-term re-rent</t>
        </is>
      </c>
      <c r="B58" s="3" t="n">
        <v>0.6</v>
      </c>
      <c r="C58" t="inlineStr">
        <is>
          <t>%</t>
        </is>
      </c>
      <c r="D58" t="inlineStr">
        <is>
          <t>Estimated (user bear case)</t>
        </is>
      </c>
      <c r="E58" t="inlineStr">
        <is>
          <t>User instruction</t>
        </is>
      </c>
    </row>
    <row r="59">
      <c r="A59" t="inlineStr">
        <is>
          <t>Residual curve: 1 = hyperscaler A100 list (-1.8%/yr), 2 = spot median ~flat, 3 = neocloud composite (+12%/yr), 4 = A100 80GB median, 5 = v3 placeholder (cross-section)</t>
        </is>
      </c>
      <c r="B59" s="3" t="n">
        <v>1</v>
      </c>
      <c r="C59" t="inlineStr">
        <is>
          <t>flag</t>
        </is>
      </c>
      <c r="D59" t="inlineStr">
        <is>
          <t>Scenario input</t>
        </is>
      </c>
      <c r="E59" t="inlineStr">
        <is>
          <t>Default = most conservative LIST series; all are list prices except 2 (spot)</t>
        </is>
      </c>
    </row>
    <row r="60">
      <c r="A60" t="inlineStr">
        <is>
          <t>A100 hyperscaler median list, CAGR Nov-20 to Oct-26</t>
        </is>
      </c>
      <c r="B60" s="3" t="n">
        <v>-0.018</v>
      </c>
      <c r="C60" t="inlineStr">
        <is>
          <t>%/yr</t>
        </is>
      </c>
      <c r="D60" t="inlineStr">
        <is>
          <t>Reported (GPU Market)</t>
        </is>
      </c>
      <c r="E60" t="inlineStr">
        <is>
          <t>/workspace/nebius/market/gpu_price_history.xlsx (A100_Decay; team GPU Market): $4.096 -&gt; $3.673</t>
        </is>
      </c>
    </row>
    <row r="61">
      <c r="A61" t="inlineStr">
        <is>
          <t>A100 spot/marketplace median CAGR (treated as ~flat)</t>
        </is>
      </c>
      <c r="B61" s="3" t="n">
        <v>0</v>
      </c>
      <c r="C61" t="inlineStr">
        <is>
          <t>%/yr</t>
        </is>
      </c>
      <c r="D61" t="inlineStr">
        <is>
          <t>Reported (GPU Market; file CAGR +2.2%, $0.93 -&gt; $1.055)</t>
        </is>
      </c>
      <c r="E61" t="inlineStr">
        <is>
          <t>/workspace/nebius/market/gpu_price_history.xlsx (A100_Decay; team GPU Market)</t>
        </is>
      </c>
    </row>
    <row r="62">
      <c r="A62" t="inlineStr">
        <is>
          <t>A100 neocloud composite median CAGR Jul-22 to Oct-26</t>
        </is>
      </c>
      <c r="B62" s="3" t="n">
        <v>0.12</v>
      </c>
      <c r="C62" t="inlineStr">
        <is>
          <t>%/yr</t>
        </is>
      </c>
      <c r="D62" t="inlineStr">
        <is>
          <t>Reported (GPU Market)</t>
        </is>
      </c>
      <c r="E62" t="inlineStr">
        <is>
          <t>/workspace/nebius/market/gpu_price_history.xlsx (A100_Decay; team GPU Market): $1.234 -&gt; $2.00</t>
        </is>
      </c>
    </row>
    <row r="63">
      <c r="A63" t="inlineStr">
        <is>
          <t>A100 80GB median CAGR (relay: $1.87 -&gt; $2.50 over ~6 yrs)</t>
        </is>
      </c>
      <c r="B63">
        <f>(2.5/1.87)^(1/6)-1</f>
        <v/>
      </c>
      <c r="C63" t="inlineStr">
        <is>
          <t>%/yr</t>
        </is>
      </c>
      <c r="D63" t="inlineStr">
        <is>
          <t>Derived (GPU Market relay; file's 80GB neocloud median is $2.04 Apr-23 -&gt; $2.50, +6%/yr)</t>
        </is>
      </c>
      <c r="E63" t="inlineStr">
        <is>
          <t>/workspace/nebius/market/gpu_price_history.xlsx (A100_Decay; team GPU Market)</t>
        </is>
      </c>
    </row>
    <row r="64">
      <c r="A64" t="inlineStr">
        <is>
          <t>Cap on residual index (x launch price)</t>
        </is>
      </c>
      <c r="B64" s="3" t="n">
        <v>1</v>
      </c>
      <c r="C64" t="inlineStr">
        <is>
          <t>x</t>
        </is>
      </c>
      <c r="D64" t="inlineStr">
        <is>
          <t>Estimated</t>
        </is>
      </c>
      <c r="E64" t="inlineStr">
        <is>
          <t>Do not assume re-rent above the cohort's own launch price</t>
        </is>
      </c>
    </row>
    <row r="65">
      <c r="A65" t="inlineStr">
        <is>
          <t>v3 placeholder index age 1 (superseded)</t>
        </is>
      </c>
      <c r="B65" s="3" t="n">
        <v>1</v>
      </c>
      <c r="C65" t="inlineStr">
        <is>
          <t>x</t>
        </is>
      </c>
      <c r="D65" t="inlineStr">
        <is>
          <t>Superseded placeholder</t>
        </is>
      </c>
      <c r="E65" t="inlineStr">
        <is>
          <t>A100 vs then-flagship cross-section (v3)</t>
        </is>
      </c>
    </row>
    <row r="66">
      <c r="A66" t="inlineStr">
        <is>
          <t>v3 placeholder index age 2 (superseded)</t>
        </is>
      </c>
      <c r="B66" s="3" t="n">
        <v>0.82</v>
      </c>
      <c r="C66" t="inlineStr">
        <is>
          <t>x</t>
        </is>
      </c>
      <c r="D66" t="inlineStr">
        <is>
          <t>Superseded placeholder</t>
        </is>
      </c>
      <c r="E66" t="inlineStr">
        <is>
          <t>A100 vs then-flagship cross-section (v3)</t>
        </is>
      </c>
    </row>
    <row r="67">
      <c r="A67" t="inlineStr">
        <is>
          <t>v3 placeholder index age 3 (superseded)</t>
        </is>
      </c>
      <c r="B67" s="3" t="n">
        <v>0.64</v>
      </c>
      <c r="C67" t="inlineStr">
        <is>
          <t>x</t>
        </is>
      </c>
      <c r="D67" t="inlineStr">
        <is>
          <t>Superseded placeholder</t>
        </is>
      </c>
      <c r="E67" t="inlineStr">
        <is>
          <t>A100 vs then-flagship cross-section (v3)</t>
        </is>
      </c>
    </row>
    <row r="68">
      <c r="A68" t="inlineStr">
        <is>
          <t>v3 placeholder index age 4 (superseded)</t>
        </is>
      </c>
      <c r="B68" s="3" t="n">
        <v>0.53</v>
      </c>
      <c r="C68" t="inlineStr">
        <is>
          <t>x</t>
        </is>
      </c>
      <c r="D68" t="inlineStr">
        <is>
          <t>Superseded placeholder</t>
        </is>
      </c>
      <c r="E68" t="inlineStr">
        <is>
          <t>A100 vs then-flagship cross-section (v3)</t>
        </is>
      </c>
    </row>
    <row r="69">
      <c r="A69" t="inlineStr">
        <is>
          <t>v3 placeholder index age 5 (superseded)</t>
        </is>
      </c>
      <c r="B69" s="3" t="n">
        <v>0.46</v>
      </c>
      <c r="C69" t="inlineStr">
        <is>
          <t>x</t>
        </is>
      </c>
      <c r="D69" t="inlineStr">
        <is>
          <t>Superseded placeholder</t>
        </is>
      </c>
      <c r="E69" t="inlineStr">
        <is>
          <t>A100 vs then-flagship cross-section (v3)</t>
        </is>
      </c>
    </row>
    <row r="70">
      <c r="A70" t="inlineStr">
        <is>
          <t>v3 placeholder index age 6 (superseded)</t>
        </is>
      </c>
      <c r="B70" s="3" t="n">
        <v>0.39</v>
      </c>
      <c r="C70" t="inlineStr">
        <is>
          <t>x</t>
        </is>
      </c>
      <c r="D70" t="inlineStr">
        <is>
          <t>Superseded placeholder</t>
        </is>
      </c>
      <c r="E70" t="inlineStr">
        <is>
          <t>A100 vs then-flagship cross-section (v3)</t>
        </is>
      </c>
    </row>
    <row r="71">
      <c r="A71" t="inlineStr">
        <is>
          <t>Residual price index at asset age 1 yrs (x the cohort's own launch price)</t>
        </is>
      </c>
      <c r="B71">
        <f>MIN($B$64,CHOOSE($B$59,(1+$B$60)^0,(1+$B$61)^0,(1+$B$62)^0,(1+$B$63)^0,$B$65))</f>
        <v/>
      </c>
      <c r="C71" t="inlineStr">
        <is>
          <t>x</t>
        </is>
      </c>
      <c r="D71" t="inlineStr">
        <is>
          <t>Derived (GPU Market A100 evidence)</t>
        </is>
      </c>
      <c r="E71" t="inlineStr">
        <is>
          <t>LIST prices; spot median roughly flat. A100 (Nov-20 launch) still rents at ~list after 6 yrs =&gt; 5-6 yr economic life supported</t>
        </is>
      </c>
    </row>
    <row r="72">
      <c r="A72" t="inlineStr">
        <is>
          <t>Residual price index at asset age 2 yrs (x the cohort's own launch price)</t>
        </is>
      </c>
      <c r="B72">
        <f>MIN($B$64,CHOOSE($B$59,(1+$B$60)^1,(1+$B$61)^1,(1+$B$62)^1,(1+$B$63)^1,$B$66))</f>
        <v/>
      </c>
      <c r="C72" t="inlineStr">
        <is>
          <t>x</t>
        </is>
      </c>
      <c r="D72" t="inlineStr">
        <is>
          <t>Derived (GPU Market A100 evidence)</t>
        </is>
      </c>
      <c r="E72" t="inlineStr">
        <is>
          <t>LIST prices; spot median roughly flat. A100 (Nov-20 launch) still rents at ~list after 6 yrs =&gt; 5-6 yr economic life supported</t>
        </is>
      </c>
    </row>
    <row r="73">
      <c r="A73" t="inlineStr">
        <is>
          <t>Residual price index at asset age 3 yrs (x the cohort's own launch price)</t>
        </is>
      </c>
      <c r="B73">
        <f>MIN($B$64,CHOOSE($B$59,(1+$B$60)^2,(1+$B$61)^2,(1+$B$62)^2,(1+$B$63)^2,$B$67))</f>
        <v/>
      </c>
      <c r="C73" t="inlineStr">
        <is>
          <t>x</t>
        </is>
      </c>
      <c r="D73" t="inlineStr">
        <is>
          <t>Derived (GPU Market A100 evidence)</t>
        </is>
      </c>
      <c r="E73" t="inlineStr">
        <is>
          <t>LIST prices; spot median roughly flat. A100 (Nov-20 launch) still rents at ~list after 6 yrs =&gt; 5-6 yr economic life supported</t>
        </is>
      </c>
    </row>
    <row r="74">
      <c r="A74" t="inlineStr">
        <is>
          <t>Residual price index at asset age 4 yrs (x the cohort's own launch price)</t>
        </is>
      </c>
      <c r="B74">
        <f>MIN($B$64,CHOOSE($B$59,(1+$B$60)^3,(1+$B$61)^3,(1+$B$62)^3,(1+$B$63)^3,$B$68))</f>
        <v/>
      </c>
      <c r="C74" t="inlineStr">
        <is>
          <t>x</t>
        </is>
      </c>
      <c r="D74" t="inlineStr">
        <is>
          <t>Derived (GPU Market A100 evidence)</t>
        </is>
      </c>
      <c r="E74" t="inlineStr">
        <is>
          <t>LIST prices; spot median roughly flat. A100 (Nov-20 launch) still rents at ~list after 6 yrs =&gt; 5-6 yr economic life supported</t>
        </is>
      </c>
    </row>
    <row r="75">
      <c r="A75" t="inlineStr">
        <is>
          <t>Residual price index at asset age 5 yrs (x the cohort's own launch price)</t>
        </is>
      </c>
      <c r="B75">
        <f>MIN($B$64,CHOOSE($B$59,(1+$B$60)^4,(1+$B$61)^4,(1+$B$62)^4,(1+$B$63)^4,$B$69))</f>
        <v/>
      </c>
      <c r="C75" t="inlineStr">
        <is>
          <t>x</t>
        </is>
      </c>
      <c r="D75" t="inlineStr">
        <is>
          <t>Derived (GPU Market A100 evidence)</t>
        </is>
      </c>
      <c r="E75" t="inlineStr">
        <is>
          <t>LIST prices; spot median roughly flat. A100 (Nov-20 launch) still rents at ~list after 6 yrs =&gt; 5-6 yr economic life supported</t>
        </is>
      </c>
    </row>
    <row r="76">
      <c r="A76" t="inlineStr">
        <is>
          <t>Residual price index at asset age 6 yrs (x the cohort's own launch price)</t>
        </is>
      </c>
      <c r="B76">
        <f>MIN($B$64,CHOOSE($B$59,(1+$B$60)^5,(1+$B$61)^5,(1+$B$62)^5,(1+$B$63)^5,$B$70))</f>
        <v/>
      </c>
      <c r="C76" t="inlineStr">
        <is>
          <t>x</t>
        </is>
      </c>
      <c r="D76" t="inlineStr">
        <is>
          <t>Derived (GPU Market A100 evidence)</t>
        </is>
      </c>
      <c r="E76" t="inlineStr">
        <is>
          <t>LIST prices; spot median roughly flat. A100 (Nov-20 launch) still rents at ~list after 6 yrs =&gt; 5-6 yr economic life supported</t>
        </is>
      </c>
    </row>
    <row r="77">
      <c r="A77" t="inlineStr">
        <is>
          <t>Re-rent reference price per gross MW-yr (new-capacity market rate)</t>
        </is>
      </c>
      <c r="B77">
        <f>$B$45</f>
        <v/>
      </c>
      <c r="C77" t="inlineStr">
        <is>
          <t>$M</t>
        </is>
      </c>
      <c r="D77" t="inlineStr">
        <is>
          <t>Derived</t>
        </is>
      </c>
      <c r="E77" t="inlineStr">
        <is>
          <t>Q2-deal low ($20M); re-rent = MIN(cohort ACV, ref) x index x utilization</t>
        </is>
      </c>
    </row>
    <row r="78">
      <c r="A78" s="2" t="inlineStr">
        <is>
          <t>Fleet build mix (Sites sheet)</t>
        </is>
      </c>
    </row>
    <row r="79">
      <c r="A79" t="inlineStr">
        <is>
          <t>Owned share of capex: 1 = Capacity tracker (owned sites' share of energized MW added in FY), 2 = all leased (0%), 3 = all owned (100%)</t>
        </is>
      </c>
      <c r="B79" s="3" t="n">
        <v>1</v>
      </c>
      <c r="C79" t="inlineStr">
        <is>
          <t>flag</t>
        </is>
      </c>
      <c r="D79" t="inlineStr">
        <is>
          <t>Scenario input</t>
        </is>
      </c>
      <c r="E79" t="inlineStr">
        <is>
          <t>Nebius is mostly leased today (started leases $1,625M; $12.05B signed not started). Unknown-basis sites run both via modes 2/3</t>
        </is>
      </c>
    </row>
    <row r="80">
      <c r="A80" t="inlineStr">
        <is>
          <t>GPU+network share of FY26 capex and not-yet-in-use</t>
        </is>
      </c>
      <c r="B80" s="3" t="n">
        <v>0.79</v>
      </c>
      <c r="C80" t="inlineStr">
        <is>
          <t>%</t>
        </is>
      </c>
      <c r="D80" t="inlineStr">
        <is>
          <t>Estimated (mgmt via secondary)</t>
        </is>
      </c>
      <c r="E80" t="inlineStr">
        <is>
          <t>~79% GPUs / 20% DC / &lt;1% power (Q4'25 call, secondary). 2027+ share derived from mix and generation</t>
        </is>
      </c>
    </row>
    <row r="81">
      <c r="A81" t="inlineStr">
        <is>
          <t>First capex quarter buying Vera Rubin (index; 0 = Q3'26)</t>
        </is>
      </c>
      <c r="B81" s="3" t="n">
        <v>4</v>
      </c>
      <c r="C81" t="inlineStr">
        <is>
          <t>idx</t>
        </is>
      </c>
      <c r="D81" t="inlineStr">
        <is>
          <t>Estimated</t>
        </is>
      </c>
      <c r="E81" t="inlineStr">
        <is>
          <t>Meta #2 Vera Rubin from early 2027 (R); Q3'27 capex onward priced as VR</t>
        </is>
      </c>
    </row>
    <row r="82">
      <c r="A82" s="2" t="inlineStr">
        <is>
          <t>Lags (Modeling pushback)</t>
        </is>
      </c>
    </row>
    <row r="83">
      <c r="A83" t="inlineStr">
        <is>
          <t>Capex -&gt; energized / in service</t>
        </is>
      </c>
      <c r="B83" s="3" t="n">
        <v>2</v>
      </c>
      <c r="C83" t="inlineStr">
        <is>
          <t>quarters</t>
        </is>
      </c>
      <c r="D83" t="inlineStr">
        <is>
          <t>Estimated</t>
        </is>
      </c>
      <c r="E83" t="inlineStr">
        <is>
          <t>Capacity gives no explicit lag (gpu_mw_capex.md caveat 5: GPUs bought ~ at energization); v1 value kept</t>
        </is>
      </c>
    </row>
    <row r="84">
      <c r="A84" t="inlineStr">
        <is>
          <t>Capex basis: 1 = consensus capex, 2 = path-consistent (Capacity energized-MW adds x capex per IT MW) - BASE CASE = 2 from v3.2</t>
        </is>
      </c>
      <c r="B84" s="3" t="n">
        <v>2</v>
      </c>
      <c r="C84" t="inlineStr">
        <is>
          <t>flag</t>
        </is>
      </c>
      <c r="D84" t="inlineStr">
        <is>
          <t>Scenario input</t>
        </is>
      </c>
      <c r="E84" t="inlineStr">
        <is>
          <t>v3.1. Consensus capex implies ~157-200 IT MW bought/qtr, faster than Capacity's base path</t>
        </is>
      </c>
    </row>
    <row r="85">
      <c r="A85" t="inlineStr">
        <is>
          <t>Path basis: GPU/IT spend this many quarters BEFORE billing</t>
        </is>
      </c>
      <c r="B85" s="3" t="n">
        <v>1</v>
      </c>
      <c r="C85" t="inlineStr">
        <is>
          <t>quarters</t>
        </is>
      </c>
      <c r="D85" t="inlineStr">
        <is>
          <t>Estimated (team)</t>
        </is>
      </c>
      <c r="E85" t="inlineStr">
        <is>
          <t>Test 2</t>
        </is>
      </c>
    </row>
    <row r="86">
      <c r="A86" t="inlineStr">
        <is>
          <t>Path basis: shell/power spend this many quarters before energization (owned)</t>
        </is>
      </c>
      <c r="B86" s="3" t="n">
        <v>2</v>
      </c>
      <c r="C86" t="inlineStr">
        <is>
          <t>quarters</t>
        </is>
      </c>
      <c r="D86" t="inlineStr">
        <is>
          <t>Estimated (user)</t>
        </is>
      </c>
    </row>
    <row r="87">
      <c r="A87" t="inlineStr">
        <is>
          <t>Path basis: leased-site capex per IT MW (IT only, no shell) - GB200</t>
        </is>
      </c>
      <c r="B87" s="3" t="n">
        <v>30</v>
      </c>
      <c r="C87" t="inlineStr">
        <is>
          <t>$M/IT MW</t>
        </is>
      </c>
      <c r="D87" t="inlineStr">
        <is>
          <t>Estimated (Capacity, medium confidence; corrected 2026-10-04 19:02 ET)</t>
        </is>
      </c>
      <c r="E87" t="inlineStr">
        <is>
          <t>/workspace/nebius/capacity/gpu_mw_capex.xlsx + .md (team Capacity &amp; Power)</t>
        </is>
      </c>
    </row>
    <row r="88">
      <c r="A88" t="inlineStr">
        <is>
          <t>Path basis: leased-site capex per IT MW - GB300</t>
        </is>
      </c>
      <c r="B88" s="3" t="n">
        <v>41</v>
      </c>
      <c r="C88" t="inlineStr">
        <is>
          <t>$M/IT MW</t>
        </is>
      </c>
      <c r="D88" t="inlineStr">
        <is>
          <t>Estimated (Capacity, medium confidence)</t>
        </is>
      </c>
      <c r="E88" t="inlineStr">
        <is>
          <t>/workspace/nebius/capacity/gpu_mw_capex.xlsx + .md (team Capacity &amp; Power)</t>
        </is>
      </c>
    </row>
    <row r="89">
      <c r="A89" t="inlineStr">
        <is>
          <t>Path basis: leased-site capex per IT MW - Vera Rubin (midpoint of $31-33M)</t>
        </is>
      </c>
      <c r="B89" s="3" t="n">
        <v>32</v>
      </c>
      <c r="C89" t="inlineStr">
        <is>
          <t>$M/IT MW</t>
        </is>
      </c>
      <c r="D89" t="inlineStr">
        <is>
          <t>Estimated (Capacity, medium confidence)</t>
        </is>
      </c>
      <c r="E89" t="inlineStr">
        <is>
          <t>/workspace/nebius/capacity/gpu_mw_capex.xlsx + .md (team Capacity &amp; Power)</t>
        </is>
      </c>
    </row>
    <row r="90">
      <c r="A90" t="inlineStr">
        <is>
          <t>Connected/energized -&gt; billing (revenue)</t>
        </is>
      </c>
      <c r="B90" s="3" t="n">
        <v>1</v>
      </c>
      <c r="C90" t="inlineStr">
        <is>
          <t>quarters</t>
        </is>
      </c>
      <c r="D90" t="inlineStr">
        <is>
          <t>Estimated (Filings: mgmt's 'few months' lag runs from connected power to revenue; Capacity uses 1-2 qtrs)</t>
        </is>
      </c>
      <c r="E90" t="inlineStr">
        <is>
          <t>/workspace/nebius/filings/nebius_filings.xlsx; run 1 (default) and 2</t>
        </is>
      </c>
    </row>
    <row r="91">
      <c r="A91" t="inlineStr">
        <is>
          <t>Capacity MW scenario: 1 = low, 2 = base, 3 = high</t>
        </is>
      </c>
      <c r="B91" s="3" t="n">
        <v>2</v>
      </c>
      <c r="C91" t="inlineStr">
        <is>
          <t>flag</t>
        </is>
      </c>
      <c r="D91" t="inlineStr">
        <is>
          <t>Scenario input</t>
        </is>
      </c>
      <c r="E91" t="inlineStr">
        <is>
          <t>/workspace/nebius/capacity/nebius_capacity.xlsx 'Quarterly MW' energized rows</t>
        </is>
      </c>
    </row>
    <row r="92">
      <c r="A92" t="inlineStr">
        <is>
          <t>Unseen-site MW added (gross), e.g. Oklahoma / Minnesota colos - per quarter from Q4'26</t>
        </is>
      </c>
      <c r="B92" s="3" t="n">
        <v>0</v>
      </c>
      <c r="C92" t="inlineStr">
        <is>
          <t>MW/qtr</t>
        </is>
      </c>
      <c r="D92" t="inlineStr">
        <is>
          <t>Scenario input</t>
        </is>
      </c>
      <c r="E92" t="inlineStr">
        <is>
          <t>Capacity: MN, OK, France 2nd, UK 3rd MW not disclosed (plug to reach guide ~496 MW at YE26 base)</t>
        </is>
      </c>
    </row>
    <row r="93">
      <c r="A93" t="inlineStr">
        <is>
          <t>ACV on incremental (post-Q2'26) MW, per gross MW-yr</t>
        </is>
      </c>
      <c r="B93" s="3" t="n">
        <v>22.5</v>
      </c>
      <c r="C93" t="inlineStr">
        <is>
          <t>$M</t>
        </is>
      </c>
      <c r="D93" t="inlineStr">
        <is>
          <t>Reported range midpoint ($20-25M Q2 deals)</t>
        </is>
      </c>
      <c r="E93" t="inlineStr">
        <is>
          <t>https://www.sec.gov/Archives/edgar/data/1513845/000110465926094568/tm2622968d1_ex99-2.htm</t>
        </is>
      </c>
    </row>
    <row r="94">
      <c r="A94" t="inlineStr">
        <is>
          <t>On-demand + Token Factory share of revenue</t>
        </is>
      </c>
      <c r="B94" s="3" t="n">
        <v>0.04</v>
      </c>
      <c r="C94" t="inlineStr">
        <is>
          <t>%</t>
        </is>
      </c>
      <c r="D94" t="inlineStr">
        <is>
          <t>Reported (team GPU Market revenue mix: take-or-pay 45%, reserved ~50%, on-demand+TF ~4%)</t>
        </is>
      </c>
      <c r="E94" t="inlineStr">
        <is>
          <t>/workspace/nebius/market (GPU Market)</t>
        </is>
      </c>
    </row>
    <row r="95">
      <c r="A95" t="inlineStr">
        <is>
          <t>Oct 1 2026 on-demand list-price hike</t>
        </is>
      </c>
      <c r="B95" s="3" t="n">
        <v>0.19</v>
      </c>
      <c r="C95" t="inlineStr">
        <is>
          <t>%</t>
        </is>
      </c>
      <c r="D95" t="inlineStr">
        <is>
          <t>Reported (17-21%; H100 3.85-&gt;4.50, B300 7.85-&gt;9.50)</t>
        </is>
      </c>
      <c r="E95" t="inlineStr">
        <is>
          <t>nebius.com/prices via GPU Market</t>
        </is>
      </c>
    </row>
    <row r="96">
      <c r="A96" s="2" t="inlineStr">
        <is>
          <t>Price cycle (v3.1 bear input)</t>
        </is>
      </c>
    </row>
    <row r="97">
      <c r="A97" t="inlineStr">
        <is>
          <t>Blackwell $/GPU-hr cut in the 12 months after Rubin launch</t>
        </is>
      </c>
      <c r="B97" s="3" t="n">
        <v>0.275</v>
      </c>
      <c r="C97" t="inlineStr">
        <is>
          <t>%</t>
        </is>
      </c>
      <c r="D97" t="inlineStr">
        <is>
          <t>Scenario input (25-30%)</t>
        </is>
      </c>
      <c r="E97" t="inlineStr">
        <is>
          <t>Team bear input; 5-yr life unchanged underneath</t>
        </is>
      </c>
    </row>
    <row r="98">
      <c r="A98" t="inlineStr">
        <is>
          <t>Rubin launch quarter (Rev_MW index; 0 = Q3'26, 2 = Q1'27)</t>
        </is>
      </c>
      <c r="B98" s="3" t="n">
        <v>2</v>
      </c>
      <c r="C98" t="inlineStr">
        <is>
          <t>idx</t>
        </is>
      </c>
      <c r="D98" t="inlineStr">
        <is>
          <t>Estimated</t>
        </is>
      </c>
      <c r="E98" t="inlineStr">
        <is>
          <t>GPU Market: Nebius Rubin GA ~Dec'26-Mar'27; cut phases in linearly over 4 quarters</t>
        </is>
      </c>
    </row>
    <row r="99">
      <c r="A99" t="inlineStr">
        <is>
          <t>Reserved share of revenue</t>
        </is>
      </c>
      <c r="B99" s="3" t="n">
        <v>0.5</v>
      </c>
      <c r="C99" t="inlineStr">
        <is>
          <t>%</t>
        </is>
      </c>
      <c r="D99" t="inlineStr">
        <is>
          <t>Reported (GPU Market mix)</t>
        </is>
      </c>
      <c r="E99" t="inlineStr">
        <is>
          <t>take-or-pay 45% (not exposed), reserved ~50%, on-demand + Token Factory ~4%</t>
        </is>
      </c>
    </row>
    <row r="100">
      <c r="A100" t="inlineStr">
        <is>
          <t>Share of reserved contracts that renew (reprice) inside the window</t>
        </is>
      </c>
      <c r="B100" s="3" t="n">
        <v>0.5</v>
      </c>
      <c r="C100" t="inlineStr">
        <is>
          <t>%</t>
        </is>
      </c>
      <c r="D100" t="inlineStr">
        <is>
          <t>Scenario input</t>
        </is>
      </c>
      <c r="E100" t="inlineStr">
        <is>
          <t>Test 0-100%</t>
        </is>
      </c>
    </row>
    <row r="101">
      <c r="A101" s="2" t="inlineStr">
        <is>
          <t>Asset base at 30-Jun-2026 (Reported)</t>
        </is>
      </c>
    </row>
    <row r="102">
      <c r="A102" t="inlineStr">
        <is>
          <t>Server &amp; network gross in service</t>
        </is>
      </c>
      <c r="B102" s="3" t="n">
        <v>5197.7</v>
      </c>
      <c r="C102" t="inlineStr">
        <is>
          <t>$M</t>
        </is>
      </c>
      <c r="D102" t="inlineStr">
        <is>
          <t>Reported</t>
        </is>
      </c>
      <c r="E102" t="inlineStr">
        <is>
          <t>https://www.sec.gov/Archives/edgar/data/1513845/000110465926094844/nbis-20260812xex99d2.htm Note 7</t>
        </is>
      </c>
    </row>
    <row r="103">
      <c r="A103" t="inlineStr">
        <is>
          <t>Avg age of in-service server base (quarters)</t>
        </is>
      </c>
      <c r="B103" s="3" t="n">
        <v>4</v>
      </c>
      <c r="D103" t="inlineStr">
        <is>
          <t>Estimated</t>
        </is>
      </c>
      <c r="E103" t="inlineStr">
        <is>
          <t>Estimated as v1</t>
        </is>
      </c>
    </row>
    <row r="104">
      <c r="A104" t="inlineStr">
        <is>
          <t>Other in-service PP&amp;E gross</t>
        </is>
      </c>
      <c r="B104" s="3" t="n">
        <v>1115.4</v>
      </c>
      <c r="C104" t="inlineStr">
        <is>
          <t>$M</t>
        </is>
      </c>
      <c r="D104" t="inlineStr">
        <is>
          <t>Reported</t>
        </is>
      </c>
      <c r="E104" t="inlineStr">
        <is>
          <t>https://www.sec.gov/Archives/edgar/data/1513845/000110465926094844/nbis-20260812xex99d2.htm</t>
        </is>
      </c>
    </row>
    <row r="105">
      <c r="A105" t="inlineStr">
        <is>
          <t>Assets not yet in use</t>
        </is>
      </c>
      <c r="B105" s="3" t="n">
        <v>7836.4</v>
      </c>
      <c r="C105" t="inlineStr">
        <is>
          <t>$M</t>
        </is>
      </c>
      <c r="D105" t="inlineStr">
        <is>
          <t>Reported</t>
        </is>
      </c>
      <c r="E105" t="inlineStr">
        <is>
          <t>https://www.sec.gov/Archives/edgar/data/1513845/000110465926094844/nbis-20260812xex99d2.htm</t>
        </is>
      </c>
    </row>
    <row r="106">
      <c r="A106" t="inlineStr">
        <is>
          <t>Share of not-yet-in-use energized Q3'26 (rest Q4'26)</t>
        </is>
      </c>
      <c r="B106" s="3" t="n">
        <v>0.5</v>
      </c>
      <c r="D106" t="inlineStr">
        <is>
          <t>Estimated</t>
        </is>
      </c>
      <c r="E106" t="inlineStr">
        <is>
          <t>Estimated</t>
        </is>
      </c>
    </row>
    <row r="107">
      <c r="A107" s="2" t="inlineStr">
        <is>
          <t>Capex / EBITDA (consensus; extrapolation)</t>
        </is>
      </c>
    </row>
    <row r="108">
      <c r="A108" t="inlineStr">
        <is>
          <t>FY2026 capex</t>
        </is>
      </c>
      <c r="B108" s="3" t="n">
        <v>23207</v>
      </c>
      <c r="C108" t="inlineStr">
        <is>
          <t>$M</t>
        </is>
      </c>
      <c r="D108" t="inlineStr">
        <is>
          <t>Estimated (consensus)</t>
        </is>
      </c>
      <c r="E108" t="inlineStr">
        <is>
          <t>https://www.marketscreener.com/quote/stock/NEBIUS-GROUP-8037501/finances/</t>
        </is>
      </c>
    </row>
    <row r="109">
      <c r="A109" t="inlineStr">
        <is>
          <t>1H26 capex</t>
        </is>
      </c>
      <c r="B109" s="3" t="n">
        <v>8130.3</v>
      </c>
      <c r="C109" t="inlineStr">
        <is>
          <t>$M</t>
        </is>
      </c>
      <c r="D109" t="inlineStr">
        <is>
          <t>Reported</t>
        </is>
      </c>
      <c r="E109" t="inlineStr">
        <is>
          <t>/workspace/nebius/filings/nebius_fact_base.md</t>
        </is>
      </c>
    </row>
    <row r="110">
      <c r="A110" t="inlineStr">
        <is>
          <t>FY2027 capex</t>
        </is>
      </c>
      <c r="B110" s="3" t="n">
        <v>29135</v>
      </c>
      <c r="C110" t="inlineStr">
        <is>
          <t>$M</t>
        </is>
      </c>
      <c r="D110" t="inlineStr">
        <is>
          <t>Estimated (consensus)</t>
        </is>
      </c>
      <c r="E110" t="inlineStr">
        <is>
          <t>https://www.marketscreener.com/quote/stock/NEBIUS-GROUP-8037501/finances/</t>
        </is>
      </c>
    </row>
    <row r="111">
      <c r="A111" t="inlineStr">
        <is>
          <t>FY2028 capex</t>
        </is>
      </c>
      <c r="B111" s="3" t="n">
        <v>38885</v>
      </c>
      <c r="C111" t="inlineStr">
        <is>
          <t>$M</t>
        </is>
      </c>
      <c r="D111" t="inlineStr">
        <is>
          <t>Estimated (consensus)</t>
        </is>
      </c>
      <c r="E111" t="inlineStr">
        <is>
          <t>https://www.marketscreener.com/quote/stock/NEBIUS-GROUP-8037501/finances/</t>
        </is>
      </c>
    </row>
    <row r="112">
      <c r="A112" t="inlineStr">
        <is>
          <t>FY29 capex growth</t>
        </is>
      </c>
      <c r="B112" s="3" t="n">
        <v>0</v>
      </c>
      <c r="C112" t="inlineStr">
        <is>
          <t>%</t>
        </is>
      </c>
      <c r="D112" t="inlineStr">
        <is>
          <t>Estimated</t>
        </is>
      </c>
      <c r="E112" t="inlineStr">
        <is>
          <t>flat</t>
        </is>
      </c>
    </row>
    <row r="113">
      <c r="A113" t="inlineStr">
        <is>
          <t>FY30 capex growth</t>
        </is>
      </c>
      <c r="B113" s="3" t="n">
        <v>0</v>
      </c>
      <c r="C113" t="inlineStr">
        <is>
          <t>%</t>
        </is>
      </c>
      <c r="D113" t="inlineStr">
        <is>
          <t>Estimated</t>
        </is>
      </c>
      <c r="E113" t="inlineStr">
        <is>
          <t>flat</t>
        </is>
      </c>
    </row>
    <row r="114">
      <c r="A114" t="inlineStr">
        <is>
          <t>FY28 adj. EBITDA cons</t>
        </is>
      </c>
      <c r="B114" s="3" t="n">
        <v>13978</v>
      </c>
      <c r="C114" t="inlineStr">
        <is>
          <t>$M</t>
        </is>
      </c>
      <c r="D114" t="inlineStr">
        <is>
          <t>Estimated (consensus)</t>
        </is>
      </c>
      <c r="E114" t="inlineStr">
        <is>
          <t>https://www.marketscreener.com/quote/stock/NEBIUS-GROUP-8037501/finances/</t>
        </is>
      </c>
    </row>
    <row r="115">
      <c r="A115" t="inlineStr">
        <is>
          <t>FY28 revenue cons</t>
        </is>
      </c>
      <c r="B115" s="3" t="n">
        <v>22983</v>
      </c>
      <c r="C115" t="inlineStr">
        <is>
          <t>$M</t>
        </is>
      </c>
      <c r="D115" t="inlineStr">
        <is>
          <t>Estimated (consensus)</t>
        </is>
      </c>
      <c r="E115" t="inlineStr">
        <is>
          <t>https://www.marketscreener.com/quote/stock/NEBIUS-GROUP-8037501/finances/</t>
        </is>
      </c>
    </row>
    <row r="116">
      <c r="A116" t="inlineStr">
        <is>
          <t>FY28 weight Q1</t>
        </is>
      </c>
      <c r="B116" s="3" t="n">
        <v>0.22</v>
      </c>
      <c r="C116" t="inlineStr">
        <is>
          <t>%</t>
        </is>
      </c>
      <c r="D116" t="inlineStr">
        <is>
          <t>Estimated</t>
        </is>
      </c>
    </row>
    <row r="117">
      <c r="A117" t="inlineStr">
        <is>
          <t>FY28 weight Q2</t>
        </is>
      </c>
      <c r="B117" s="3" t="n">
        <v>0.24</v>
      </c>
      <c r="C117" t="inlineStr">
        <is>
          <t>%</t>
        </is>
      </c>
      <c r="D117" t="inlineStr">
        <is>
          <t>Estimated</t>
        </is>
      </c>
    </row>
    <row r="118">
      <c r="A118" t="inlineStr">
        <is>
          <t>FY28 weight Q3</t>
        </is>
      </c>
      <c r="B118" s="3" t="n">
        <v>0.26</v>
      </c>
      <c r="C118" t="inlineStr">
        <is>
          <t>%</t>
        </is>
      </c>
      <c r="D118" t="inlineStr">
        <is>
          <t>Estimated</t>
        </is>
      </c>
    </row>
    <row r="119">
      <c r="A119" t="inlineStr">
        <is>
          <t>FY28 weight Q4</t>
        </is>
      </c>
      <c r="B119" s="3" t="n">
        <v>0.28</v>
      </c>
      <c r="C119" t="inlineStr">
        <is>
          <t>%</t>
        </is>
      </c>
      <c r="D119" t="inlineStr">
        <is>
          <t>Estimated</t>
        </is>
      </c>
    </row>
    <row r="120">
      <c r="A120" t="inlineStr">
        <is>
          <t>FY29+ EBITDA yield basis: 1 = FY28 yield on BILLING GPU capital (v2 default), 2 = v1 in-service basis</t>
        </is>
      </c>
      <c r="B120" s="3" t="n">
        <v>1</v>
      </c>
      <c r="C120" t="inlineStr">
        <is>
          <t>flag</t>
        </is>
      </c>
      <c r="D120" t="inlineStr">
        <is>
          <t>Scenario input</t>
        </is>
      </c>
      <c r="E120" t="inlineStr">
        <is>
          <t>Modeling pushback: ramp-period in-service yield understates steady state</t>
        </is>
      </c>
    </row>
    <row r="121">
      <c r="A121" t="inlineStr">
        <is>
          <t>FY29+ yield override (blank = per basis)</t>
        </is>
      </c>
      <c r="B121" s="3" t="n"/>
      <c r="C121" t="inlineStr">
        <is>
          <t>%</t>
        </is>
      </c>
      <c r="D121" t="inlineStr">
        <is>
          <t>Scenario input</t>
        </is>
      </c>
    </row>
    <row r="122">
      <c r="A122" s="2" t="inlineStr">
        <is>
          <t>1H26 actuals</t>
        </is>
      </c>
    </row>
    <row r="123">
      <c r="A123" t="inlineStr">
        <is>
          <t>1H26 revenue</t>
        </is>
      </c>
      <c r="B123" s="3" t="n">
        <v>981.3</v>
      </c>
      <c r="C123" t="inlineStr">
        <is>
          <t>$M</t>
        </is>
      </c>
      <c r="D123" t="inlineStr">
        <is>
          <t>Reported</t>
        </is>
      </c>
      <c r="E123" t="inlineStr">
        <is>
          <t>/workspace/nebius/filings/nebius_fact_base.md</t>
        </is>
      </c>
    </row>
    <row r="124">
      <c r="A124" t="inlineStr">
        <is>
          <t>1H26 adj. EBITDA</t>
        </is>
      </c>
      <c r="B124" s="3" t="n">
        <v>365.7</v>
      </c>
      <c r="C124" t="inlineStr">
        <is>
          <t>$M</t>
        </is>
      </c>
      <c r="D124" t="inlineStr">
        <is>
          <t>Reported</t>
        </is>
      </c>
      <c r="E124" t="inlineStr">
        <is>
          <t>/workspace/nebius/filings/nebius_fact_base.md</t>
        </is>
      </c>
    </row>
    <row r="125">
      <c r="A125" t="inlineStr">
        <is>
          <t>1H26 D&amp;A</t>
        </is>
      </c>
      <c r="B125" s="3" t="n">
        <v>471.7</v>
      </c>
      <c r="C125" t="inlineStr">
        <is>
          <t>$M</t>
        </is>
      </c>
      <c r="D125" t="inlineStr">
        <is>
          <t>Reported</t>
        </is>
      </c>
      <c r="E125" t="inlineStr">
        <is>
          <t>/workspace/nebius/filings/nebius_fact_base.md</t>
        </is>
      </c>
    </row>
    <row r="126">
      <c r="A126" t="inlineStr">
        <is>
          <t>1H26 D&amp;A cut from 4-&gt;5 yr</t>
        </is>
      </c>
      <c r="B126" s="3" t="n">
        <v>86.09999999999999</v>
      </c>
      <c r="C126" t="inlineStr">
        <is>
          <t>$M</t>
        </is>
      </c>
      <c r="D126" t="inlineStr">
        <is>
          <t>Reported</t>
        </is>
      </c>
      <c r="E126" t="inlineStr">
        <is>
          <t>/workspace/nebius/filings/nebius_fact_base.md</t>
        </is>
      </c>
    </row>
    <row r="127">
      <c r="A127" s="2" t="inlineStr">
        <is>
          <t>Prepayments (working-capital funding)</t>
        </is>
      </c>
    </row>
    <row r="128">
      <c r="A128" t="inlineStr">
        <is>
          <t>Prepayment toggle (1 = on)</t>
        </is>
      </c>
      <c r="B128" s="3" t="n">
        <v>1</v>
      </c>
      <c r="C128" t="inlineStr">
        <is>
          <t>flag</t>
        </is>
      </c>
      <c r="D128" t="inlineStr">
        <is>
          <t>Scenario input</t>
        </is>
      </c>
      <c r="E128" t="inlineStr">
        <is>
          <t>v1 had none</t>
        </is>
      </c>
    </row>
    <row r="129">
      <c r="A129" t="inlineStr">
        <is>
          <t>Deferred revenue at 6/30/26</t>
        </is>
      </c>
      <c r="B129" s="3" t="n">
        <v>5975.2</v>
      </c>
      <c r="C129" t="inlineStr">
        <is>
          <t>$M</t>
        </is>
      </c>
      <c r="D129" t="inlineStr">
        <is>
          <t>Reported</t>
        </is>
      </c>
      <c r="E129" t="inlineStr">
        <is>
          <t>/workspace/nebius/filings/nebius_fact_base.md</t>
        </is>
      </c>
    </row>
    <row r="130">
      <c r="A130" t="inlineStr">
        <is>
          <t>Amortization period for deferred revenue</t>
        </is>
      </c>
      <c r="B130" s="3" t="n">
        <v>20</v>
      </c>
      <c r="C130" t="inlineStr">
        <is>
          <t>quarters</t>
        </is>
      </c>
      <c r="D130" t="inlineStr">
        <is>
          <t>Estimated</t>
        </is>
      </c>
      <c r="E130" t="inlineStr">
        <is>
          <t>5-yr contracts</t>
        </is>
      </c>
    </row>
    <row r="131">
      <c r="A131" s="2" t="inlineStr">
        <is>
          <t>Financing</t>
        </is>
      </c>
    </row>
    <row r="132">
      <c r="A132" t="inlineStr">
        <is>
          <t>Convert 2.00% 2029: principal / coupon</t>
        </is>
      </c>
      <c r="B132" s="3" t="n">
        <v>87.5</v>
      </c>
      <c r="C132" t="inlineStr">
        <is>
          <t>$M</t>
        </is>
      </c>
      <c r="D132" s="3" t="n">
        <v>0.02</v>
      </c>
      <c r="E132" t="inlineStr">
        <is>
          <t>Reported (/workspace/nebius/filings/nebius_fact_base.md)</t>
        </is>
      </c>
    </row>
    <row r="133">
      <c r="A133" t="inlineStr">
        <is>
          <t>Convert 3.00% 2031: principal / coupon</t>
        </is>
      </c>
      <c r="B133" s="3" t="n">
        <v>87.5</v>
      </c>
      <c r="C133" t="inlineStr">
        <is>
          <t>$M</t>
        </is>
      </c>
      <c r="D133" s="3" t="n">
        <v>0.03</v>
      </c>
      <c r="E133" t="inlineStr">
        <is>
          <t>Reported (/workspace/nebius/filings/nebius_fact_base.md)</t>
        </is>
      </c>
    </row>
    <row r="134">
      <c r="A134" t="inlineStr">
        <is>
          <t>Convert 1.00% 9/2030: principal / coupon</t>
        </is>
      </c>
      <c r="B134" s="3" t="n">
        <v>1581.25</v>
      </c>
      <c r="C134" t="inlineStr">
        <is>
          <t>$M</t>
        </is>
      </c>
      <c r="D134" s="3" t="n">
        <v>0.01</v>
      </c>
      <c r="E134" t="inlineStr">
        <is>
          <t>Reported (/workspace/nebius/filings/nebius_fact_base.md)</t>
        </is>
      </c>
    </row>
    <row r="135">
      <c r="A135" t="inlineStr">
        <is>
          <t>Convert 2.75% 9/2032: principal / coupon</t>
        </is>
      </c>
      <c r="B135" s="3" t="n">
        <v>1581.25</v>
      </c>
      <c r="C135" t="inlineStr">
        <is>
          <t>$M</t>
        </is>
      </c>
      <c r="D135" s="3" t="n">
        <v>0.0275</v>
      </c>
      <c r="E135" t="inlineStr">
        <is>
          <t>Reported (/workspace/nebius/filings/nebius_fact_base.md)</t>
        </is>
      </c>
    </row>
    <row r="136">
      <c r="A136" t="inlineStr">
        <is>
          <t>Convert 1.25% 3/2031: principal / coupon</t>
        </is>
      </c>
      <c r="B136" s="3" t="n">
        <v>2587.5</v>
      </c>
      <c r="C136" t="inlineStr">
        <is>
          <t>$M</t>
        </is>
      </c>
      <c r="D136" s="3" t="n">
        <v>0.0125</v>
      </c>
      <c r="E136" t="inlineStr">
        <is>
          <t>Reported (/workspace/nebius/filings/nebius_fact_base.md)</t>
        </is>
      </c>
    </row>
    <row r="137">
      <c r="A137" t="inlineStr">
        <is>
          <t>Convert 2.625% 3/2033: principal / coupon</t>
        </is>
      </c>
      <c r="B137" s="3" t="n">
        <v>1750</v>
      </c>
      <c r="C137" t="inlineStr">
        <is>
          <t>$M</t>
        </is>
      </c>
      <c r="D137" s="3" t="n">
        <v>0.02625</v>
      </c>
      <c r="E137" t="inlineStr">
        <is>
          <t>Reported (/workspace/nebius/filings/nebius_fact_base.md)</t>
        </is>
      </c>
    </row>
    <row r="138">
      <c r="A138" t="inlineStr">
        <is>
          <t>Convert 0.50% 2/2030: principal / coupon</t>
        </is>
      </c>
      <c r="B138" s="3" t="n">
        <v>3450</v>
      </c>
      <c r="C138" t="inlineStr">
        <is>
          <t>$M</t>
        </is>
      </c>
      <c r="D138" s="3" t="n">
        <v>0.005</v>
      </c>
      <c r="E138" t="inlineStr">
        <is>
          <t>Reported (/workspace/nebius/filings/nebius_fact_base.md)</t>
        </is>
      </c>
    </row>
    <row r="139">
      <c r="A139" t="inlineStr">
        <is>
          <t>Convert 4.50% 2/2034: principal / coupon</t>
        </is>
      </c>
      <c r="B139" s="3" t="n">
        <v>2300</v>
      </c>
      <c r="C139" t="inlineStr">
        <is>
          <t>$M</t>
        </is>
      </c>
      <c r="D139" s="3" t="n">
        <v>0.045</v>
      </c>
      <c r="E139" t="inlineStr">
        <is>
          <t>Reported (/workspace/nebius/filings/nebius_fact_base.md)</t>
        </is>
      </c>
    </row>
    <row r="140">
      <c r="A140" t="inlineStr">
        <is>
          <t>Term SOFR assumption</t>
        </is>
      </c>
      <c r="B140" s="3" t="n">
        <v>0.04</v>
      </c>
      <c r="C140" t="inlineStr">
        <is>
          <t>%</t>
        </is>
      </c>
      <c r="D140" t="inlineStr">
        <is>
          <t>Estimated</t>
        </is>
      </c>
      <c r="E140" t="inlineStr">
        <is>
          <t>verify</t>
        </is>
      </c>
    </row>
    <row r="141">
      <c r="A141" t="inlineStr">
        <is>
          <t>Secured loan</t>
        </is>
      </c>
      <c r="B141" s="3" t="n">
        <v>775</v>
      </c>
      <c r="C141" t="inlineStr">
        <is>
          <t>$M</t>
        </is>
      </c>
      <c r="D141" t="inlineStr">
        <is>
          <t>Reported</t>
        </is>
      </c>
      <c r="E141" t="inlineStr">
        <is>
          <t>/workspace/nebius/filings/nebius_fact_base.md</t>
        </is>
      </c>
    </row>
    <row r="142">
      <c r="A142" t="inlineStr">
        <is>
          <t>Cash interest per quarter</t>
        </is>
      </c>
      <c r="B142">
        <f>(B132*D132+B133*D133+B134*D134+B135*D135+B136*D136+B137*D137+B138*D138+B139*D139+$B$141*($B$140+0.025))/4</f>
        <v/>
      </c>
      <c r="C142" t="inlineStr">
        <is>
          <t>$M</t>
        </is>
      </c>
      <c r="D142" t="inlineStr">
        <is>
          <t>Derived</t>
        </is>
      </c>
    </row>
    <row r="143">
      <c r="A143" t="inlineStr">
        <is>
          <t>Cost of incremental funding</t>
        </is>
      </c>
      <c r="B143" s="3" t="n">
        <v>0.07000000000000001</v>
      </c>
      <c r="C143" t="inlineStr">
        <is>
          <t>%</t>
        </is>
      </c>
      <c r="D143" t="inlineStr">
        <is>
          <t>Estimated</t>
        </is>
      </c>
      <c r="E143" t="inlineStr">
        <is>
          <t>between NBIS 5.1% and CRWV 8.4%</t>
        </is>
      </c>
    </row>
    <row r="144">
      <c r="A144" t="inlineStr">
        <is>
          <t>Starting liquidity basis: 1 = v3.1 cash basis ($14,565M), 2 = v1 pro forma cash</t>
        </is>
      </c>
      <c r="B144" s="3" t="n">
        <v>1</v>
      </c>
      <c r="C144" t="inlineStr">
        <is>
          <t>flag</t>
        </is>
      </c>
      <c r="D144" t="inlineStr">
        <is>
          <t>Scenario input</t>
        </is>
      </c>
    </row>
    <row r="145">
      <c r="A145" t="inlineStr">
        <is>
          <t>Starting liquidity: 6/30 unrestricted cash + Aug converts + secured loan</t>
        </is>
      </c>
      <c r="B145" s="3" t="n">
        <v>14565</v>
      </c>
      <c r="C145" t="inlineStr">
        <is>
          <t>$M</t>
        </is>
      </c>
      <c r="D145" t="inlineStr">
        <is>
          <t>Derived (Filings, v3.1)</t>
        </is>
      </c>
      <c r="E145" t="inlineStr">
        <is>
          <t>8,040 + 5,750 + up to 775. v3 used $17.2B - a raise-vs-capex table, not cash, double counting ~$4.4B of prepayments already received</t>
        </is>
      </c>
    </row>
    <row r="146">
      <c r="A146" t="inlineStr">
        <is>
          <t>v1 pro forma cash</t>
        </is>
      </c>
      <c r="B146" s="3" t="n">
        <v>14497.1</v>
      </c>
      <c r="C146" t="inlineStr">
        <is>
          <t>$M</t>
        </is>
      </c>
      <c r="D146" t="inlineStr">
        <is>
          <t>Estimated</t>
        </is>
      </c>
      <c r="E146" t="inlineStr">
        <is>
          <t>01_priced_in</t>
        </is>
      </c>
    </row>
    <row r="147">
      <c r="A147" t="inlineStr">
        <is>
          <t>Starting liquidity used</t>
        </is>
      </c>
      <c r="B147">
        <f>IF($B$144=1,$B$145,$B$146)</f>
        <v/>
      </c>
      <c r="C147" t="inlineStr">
        <is>
          <t>$M</t>
        </is>
      </c>
      <c r="D147" t="inlineStr">
        <is>
          <t>Derived</t>
        </is>
      </c>
    </row>
    <row r="148">
      <c r="A148" s="2" t="inlineStr">
        <is>
          <t>Valuation</t>
        </is>
      </c>
    </row>
    <row r="149">
      <c r="A149" t="inlineStr">
        <is>
          <t>WACC</t>
        </is>
      </c>
      <c r="B149" s="3" t="n">
        <v>0.11</v>
      </c>
      <c r="C149" t="inlineStr">
        <is>
          <t>%</t>
        </is>
      </c>
      <c r="D149" t="inlineStr">
        <is>
          <t>Estimated</t>
        </is>
      </c>
      <c r="E149" t="inlineStr">
        <is>
          <t>assumption</t>
        </is>
      </c>
    </row>
    <row r="150">
      <c r="A150" t="inlineStr">
        <is>
          <t>Terminal growth</t>
        </is>
      </c>
      <c r="B150" s="3" t="n">
        <v>0.03</v>
      </c>
      <c r="C150" t="inlineStr">
        <is>
          <t>%</t>
        </is>
      </c>
      <c r="D150" t="inlineStr">
        <is>
          <t>Estimated</t>
        </is>
      </c>
      <c r="E150" t="inlineStr">
        <is>
          <t>assumption</t>
        </is>
      </c>
    </row>
    <row r="151">
      <c r="A151" t="inlineStr">
        <is>
          <t>Terminal tax rate</t>
        </is>
      </c>
      <c r="B151" s="3" t="n">
        <v>0.258</v>
      </c>
      <c r="C151" t="inlineStr">
        <is>
          <t>%</t>
        </is>
      </c>
      <c r="D151" t="inlineStr">
        <is>
          <t>Reported (NL statutory)</t>
        </is>
      </c>
    </row>
    <row r="152">
      <c r="A152" t="inlineStr">
        <is>
          <t>Market EV (base, ex-leases)</t>
        </is>
      </c>
      <c r="B152" s="3" t="n">
        <v>74727</v>
      </c>
      <c r="C152" t="inlineStr">
        <is>
          <t>$M</t>
        </is>
      </c>
      <c r="D152" t="inlineStr">
        <is>
          <t>Derived</t>
        </is>
      </c>
      <c r="E152" t="inlineStr">
        <is>
          <t>01_priced_in v3: 308.69M economic basic x $242.81 + 14,270.7 debt - 14,497.1 cash (Filings share-count reversal 2026-10-04 18:27 ET)</t>
        </is>
      </c>
    </row>
    <row r="153">
      <c r="A153" t="inlineStr">
        <is>
          <t>Pro forma net cash</t>
        </is>
      </c>
      <c r="B153" s="3" t="n">
        <v>226.4</v>
      </c>
      <c r="C153" t="inlineStr">
        <is>
          <t>$M</t>
        </is>
      </c>
      <c r="D153" t="inlineStr">
        <is>
          <t>Derived</t>
        </is>
      </c>
      <c r="E153" t="inlineStr">
        <is>
          <t>01_priced_in</t>
        </is>
      </c>
    </row>
    <row r="154">
      <c r="A154" t="inlineStr">
        <is>
          <t>Economic basic shares (incl. NVIDIA warrant)</t>
        </is>
      </c>
      <c r="B154" s="3" t="n">
        <v>308.69</v>
      </c>
      <c r="C154" t="inlineStr">
        <is>
          <t>$M</t>
        </is>
      </c>
      <c r="D154" t="inlineStr">
        <is>
          <t>Derived</t>
        </is>
      </c>
      <c r="E154" t="inlineStr">
        <is>
          <t>01_priced_in v3 / Filings CapStructure</t>
        </is>
      </c>
    </row>
    <row r="155">
      <c r="A155" t="inlineStr">
        <is>
          <t>Price 10/2/26</t>
        </is>
      </c>
      <c r="B155" s="3" t="n">
        <v>242.81</v>
      </c>
      <c r="C155" t="inlineStr">
        <is>
          <t>$M</t>
        </is>
      </c>
      <c r="D155" t="inlineStr">
        <is>
          <t>Reported</t>
        </is>
      </c>
      <c r="E155" t="inlineStr">
        <is>
          <t>StockAnalysis</t>
        </is>
      </c>
    </row>
    <row r="156">
      <c r="A156" t="inlineStr">
        <is>
          <t>Energy &amp; power purchase commitments (undiscounted)</t>
        </is>
      </c>
      <c r="B156" s="3" t="n">
        <v>5324.1</v>
      </c>
      <c r="C156" t="inlineStr">
        <is>
          <t>$M</t>
        </is>
      </c>
      <c r="D156" t="inlineStr">
        <is>
          <t>Reported</t>
        </is>
      </c>
      <c r="E156" t="inlineStr">
        <is>
          <t>https://www.sec.gov/Archives/edgar/data/1513845/000110465926094844/nbis-20260812xex99d2.htm: 81.7+541.8+542.0+540.5+535.8+3,082.3</t>
        </is>
      </c>
    </row>
    <row r="157">
      <c r="A157" t="inlineStr">
        <is>
          <t>Leases signed not yet commenced (undiscounted)</t>
        </is>
      </c>
      <c r="B157" s="3" t="n">
        <v>12054.1</v>
      </c>
      <c r="C157" t="inlineStr">
        <is>
          <t>$M</t>
        </is>
      </c>
      <c r="D157" t="inlineStr">
        <is>
          <t>Reported</t>
        </is>
      </c>
      <c r="E157" t="inlineStr">
        <is>
          <t>https://www.sec.gov/Archives/edgar/data/1513845/000110465926094844/nbis-20260812xex99d2.htm (prepaid $612.4M)</t>
        </is>
      </c>
    </row>
    <row r="158">
      <c r="A158" t="inlineStr">
        <is>
          <t>Operating lease liabilities on BS</t>
        </is>
      </c>
      <c r="B158" s="3" t="n">
        <v>1625.3</v>
      </c>
      <c r="C158" t="inlineStr">
        <is>
          <t>$M</t>
        </is>
      </c>
      <c r="D158" t="inlineStr">
        <is>
          <t>Reported</t>
        </is>
      </c>
      <c r="E158" t="inlineStr">
        <is>
          <t>01_priced_in</t>
        </is>
      </c>
    </row>
    <row r="159">
      <c r="A159" t="inlineStr">
        <is>
          <t>EV incl. off-BS commitments (debt-like variant)</t>
        </is>
      </c>
      <c r="B159">
        <f>$B$152+$B$156+$B$157+$B$158</f>
        <v/>
      </c>
      <c r="C159" t="inlineStr">
        <is>
          <t>$M</t>
        </is>
      </c>
      <c r="D159" t="inlineStr">
        <is>
          <t>Derived</t>
        </is>
      </c>
      <c r="E159" t="inlineStr">
        <is>
          <t>CAUTION: EBITDA is already after rent and power, so pair with EBITDAR for consistency; undiscounted</t>
        </is>
      </c>
    </row>
    <row r="160">
      <c r="A160" t="inlineStr">
        <is>
          <t>Microsoft scenario: 1 = letter ('all delivered', T3-T9 billing Q3'26), 2 = Capacity base, 3 = Capacity bear</t>
        </is>
      </c>
      <c r="B160" s="3" t="n">
        <v>2</v>
      </c>
      <c r="C160" t="inlineStr">
        <is>
          <t>flag</t>
        </is>
      </c>
      <c r="D160" t="inlineStr">
        <is>
          <t>Scenario input</t>
        </is>
      </c>
      <c r="E160" t="inlineStr">
        <is>
          <t>Capacity 'Vineland tranche track': T1-T4 within ~107 MW IT genset ceiling (equal-size assumption, ~27 MW IT each); T5-T9 need Bloom (stop-ordered Aug 6/10; NJDEP 45-day permit deadline ~early/mid Nov)</t>
        </is>
      </c>
    </row>
    <row r="161">
      <c r="A161" t="inlineStr">
        <is>
          <t>Microsoft TCV</t>
        </is>
      </c>
      <c r="B161" s="3" t="n">
        <v>17392.9</v>
      </c>
      <c r="C161" t="inlineStr">
        <is>
          <t>$M</t>
        </is>
      </c>
      <c r="D161" t="inlineStr">
        <is>
          <t>Reported</t>
        </is>
      </c>
      <c r="E161" t="inlineStr">
        <is>
          <t>20-F Note 1 / /workspace/nebius/filings/nebius_fact_base.md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26" customWidth="1" min="2" max="2"/>
    <col width="40" customWidth="1" min="4" max="4"/>
    <col width="20" customWidth="1" min="5" max="5"/>
    <col width="50" customWidth="1" min="9" max="9"/>
  </cols>
  <sheetData>
    <row r="1">
      <c r="A1" s="1" t="inlineStr">
        <is>
          <t>#</t>
        </is>
      </c>
      <c r="B1" s="1" t="inlineStr">
        <is>
          <t>Site</t>
        </is>
      </c>
      <c r="C1" s="1" t="inlineStr">
        <is>
          <t>Country</t>
        </is>
      </c>
      <c r="D1" s="1" t="inlineStr">
        <is>
          <t>Tracker type</t>
        </is>
      </c>
      <c r="E1" s="1" t="inlineStr">
        <is>
          <t>Ownership tag (v2)</t>
        </is>
      </c>
      <c r="F1" s="1" t="inlineStr">
        <is>
          <t>YE26 MW low</t>
        </is>
      </c>
      <c r="G1" s="1" t="inlineStr">
        <is>
          <t>YE26 MW base</t>
        </is>
      </c>
      <c r="H1" s="1" t="inlineStr">
        <is>
          <t>YE26 MW high</t>
        </is>
      </c>
      <c r="I1" s="1" t="inlineStr">
        <is>
          <t>MW basis</t>
        </is>
      </c>
      <c r="J1" s="1" t="inlineStr">
        <is>
          <t>Owned base MW</t>
        </is>
      </c>
      <c r="K1" s="1" t="inlineStr">
        <is>
          <t>Source</t>
        </is>
      </c>
    </row>
    <row r="2">
      <c r="A2" t="n">
        <v>1</v>
      </c>
      <c r="B2" t="inlineStr">
        <is>
          <t>Mantsala DC #1</t>
        </is>
      </c>
      <c r="C2" t="inlineStr">
        <is>
          <t>Finland</t>
        </is>
      </c>
      <c r="D2" t="inlineStr">
        <is>
          <t>Owned greenfield</t>
        </is>
      </c>
      <c r="E2" t="inlineStr">
        <is>
          <t>Owned</t>
        </is>
      </c>
      <c r="F2" s="4" t="n">
        <v>75</v>
      </c>
      <c r="G2" s="4" t="n">
        <v>75</v>
      </c>
      <c r="H2" s="4" t="n">
        <v>75</v>
      </c>
      <c r="I2" t="inlineStr">
        <is>
          <t>not disclosed (PUE ~1.1)</t>
        </is>
      </c>
      <c r="J2">
        <f>IF(LEFT(E2,5)="Owned",G2,0)</f>
        <v/>
      </c>
      <c r="K2" t="inlineStr">
        <is>
          <t>/workspace/nebius/capacity/site_list.xlsx (team Capacity &amp; Power)</t>
        </is>
      </c>
    </row>
    <row r="3">
      <c r="A3" t="n">
        <v>2</v>
      </c>
      <c r="B3" t="inlineStr">
        <is>
          <t>Mantsala DC #2</t>
        </is>
      </c>
      <c r="C3" t="inlineStr">
        <is>
          <t>Finland</t>
        </is>
      </c>
      <c r="D3" t="inlineStr">
        <is>
          <t>Owned (implied)</t>
        </is>
      </c>
      <c r="E3" t="inlineStr">
        <is>
          <t>Owned</t>
        </is>
      </c>
      <c r="F3" s="4" t="n">
        <v>0</v>
      </c>
      <c r="G3" s="4" t="n">
        <v>0</v>
      </c>
      <c r="H3" s="4" t="n">
        <v>0</v>
      </c>
      <c r="I3" t="inlineStr">
        <is>
          <t>n/d</t>
        </is>
      </c>
      <c r="J3">
        <f>IF(LEFT(E3,5)="Owned",G3,0)</f>
        <v/>
      </c>
      <c r="K3" t="inlineStr">
        <is>
          <t>/workspace/nebius/capacity/site_list.xlsx (team Capacity &amp; Power)</t>
        </is>
      </c>
    </row>
    <row r="4">
      <c r="A4" t="n">
        <v>3</v>
      </c>
      <c r="B4" t="inlineStr">
        <is>
          <t>Lappeenranta</t>
        </is>
      </c>
      <c r="C4" t="inlineStr">
        <is>
          <t>Finland</t>
        </is>
      </c>
      <c r="D4" t="inlineStr">
        <is>
          <t>Owned per Nebius; developer says Nebius 'operating Polarnode's campus'</t>
        </is>
      </c>
      <c r="E4" t="inlineStr">
        <is>
          <t>Unknown (conflict)</t>
        </is>
      </c>
      <c r="F4" s="4" t="n">
        <v>0</v>
      </c>
      <c r="G4" s="4" t="n">
        <v>0</v>
      </c>
      <c r="H4" s="4" t="n">
        <v>0</v>
      </c>
      <c r="I4" t="inlineStr">
        <is>
          <t>n/d</t>
        </is>
      </c>
      <c r="J4">
        <f>IF(LEFT(E4,5)="Owned",G4,0)</f>
        <v/>
      </c>
      <c r="K4" t="inlineStr">
        <is>
          <t>/workspace/nebius/capacity/site_list.xlsx (team Capacity &amp; Power)</t>
        </is>
      </c>
    </row>
    <row r="5">
      <c r="A5" t="n">
        <v>4</v>
      </c>
      <c r="B5" t="inlineStr">
        <is>
          <t>Paris Equinix PA10</t>
        </is>
      </c>
      <c r="C5" t="inlineStr">
        <is>
          <t>France</t>
        </is>
      </c>
      <c r="D5" t="inlineStr">
        <is>
          <t>Colocation</t>
        </is>
      </c>
      <c r="E5" t="inlineStr">
        <is>
          <t>Leased</t>
        </is>
      </c>
      <c r="F5" s="4" t="n">
        <v>5</v>
      </c>
      <c r="G5" s="4" t="n">
        <v>5</v>
      </c>
      <c r="H5" s="4" t="n">
        <v>5</v>
      </c>
      <c r="I5" t="inlineStr">
        <is>
          <t>n/d</t>
        </is>
      </c>
      <c r="J5">
        <f>IF(LEFT(E5,5)="Owned",G5,0)</f>
        <v/>
      </c>
      <c r="K5" t="inlineStr">
        <is>
          <t>/workspace/nebius/capacity/site_list.xlsx (team Capacity &amp; Power)</t>
        </is>
      </c>
    </row>
    <row r="6">
      <c r="A6" t="n">
        <v>5</v>
      </c>
      <c r="B6" t="inlineStr">
        <is>
          <t>Bethune</t>
        </is>
      </c>
      <c r="C6" t="inlineStr">
        <is>
          <t>France</t>
        </is>
      </c>
      <c r="D6" t="inlineStr">
        <is>
          <t>Colocation per 20-F</t>
        </is>
      </c>
      <c r="E6" t="inlineStr">
        <is>
          <t>Leased</t>
        </is>
      </c>
      <c r="F6" s="4" t="n">
        <v>0</v>
      </c>
      <c r="G6" s="4" t="n">
        <v>120</v>
      </c>
      <c r="H6" s="4" t="n">
        <v>120</v>
      </c>
      <c r="I6" t="inlineStr">
        <is>
          <t>n/d</t>
        </is>
      </c>
      <c r="J6">
        <f>IF(LEFT(E6,5)="Owned",G6,0)</f>
        <v/>
      </c>
      <c r="K6" t="inlineStr">
        <is>
          <t>/workspace/nebius/capacity/site_list.xlsx (team Capacity &amp; Power)</t>
        </is>
      </c>
    </row>
    <row r="7">
      <c r="A7" t="n">
        <v>6</v>
      </c>
      <c r="B7" t="inlineStr">
        <is>
          <t>France 2nd colo</t>
        </is>
      </c>
      <c r="C7" t="inlineStr">
        <is>
          <t>France</t>
        </is>
      </c>
      <c r="D7" t="inlineStr">
        <is>
          <t>Colocation</t>
        </is>
      </c>
      <c r="E7" t="inlineStr">
        <is>
          <t>Leased</t>
        </is>
      </c>
      <c r="F7" s="4" t="n">
        <v>0</v>
      </c>
      <c r="G7" s="4" t="n">
        <v>0</v>
      </c>
      <c r="H7" s="4" t="n">
        <v>0</v>
      </c>
      <c r="I7" t="inlineStr">
        <is>
          <t>n/d</t>
        </is>
      </c>
      <c r="J7">
        <f>IF(LEFT(E7,5)="Owned",G7,0)</f>
        <v/>
      </c>
      <c r="K7" t="inlineStr">
        <is>
          <t>/workspace/nebius/capacity/site_list.xlsx (team Capacity &amp; Power)</t>
        </is>
      </c>
    </row>
    <row r="8">
      <c r="A8" t="n">
        <v>7</v>
      </c>
      <c r="B8" t="inlineStr">
        <is>
          <t>Keflavik Verne</t>
        </is>
      </c>
      <c r="C8" t="inlineStr">
        <is>
          <t>Iceland</t>
        </is>
      </c>
      <c r="D8" t="inlineStr">
        <is>
          <t>Colocation</t>
        </is>
      </c>
      <c r="E8" t="inlineStr">
        <is>
          <t>Leased</t>
        </is>
      </c>
      <c r="F8" s="4" t="n">
        <v>10</v>
      </c>
      <c r="G8" s="4" t="n">
        <v>10</v>
      </c>
      <c r="H8" s="4" t="n">
        <v>10</v>
      </c>
      <c r="I8" t="inlineStr">
        <is>
          <t>n/d</t>
        </is>
      </c>
      <c r="J8">
        <f>IF(LEFT(E8,5)="Owned",G8,0)</f>
        <v/>
      </c>
      <c r="K8" t="inlineStr">
        <is>
          <t>/workspace/nebius/capacity/site_list.xlsx (team Capacity &amp; Power)</t>
        </is>
      </c>
    </row>
    <row r="9">
      <c r="A9" t="n">
        <v>8</v>
      </c>
      <c r="B9" t="inlineStr">
        <is>
          <t>London Longcross (Ark)</t>
        </is>
      </c>
      <c r="C9" t="inlineStr">
        <is>
          <t>UK</t>
        </is>
      </c>
      <c r="D9" t="inlineStr">
        <is>
          <t>Colocation</t>
        </is>
      </c>
      <c r="E9" t="inlineStr">
        <is>
          <t>Leased</t>
        </is>
      </c>
      <c r="F9" s="4" t="n">
        <v>16</v>
      </c>
      <c r="G9" s="4" t="n">
        <v>19</v>
      </c>
      <c r="H9" s="4" t="n">
        <v>19</v>
      </c>
      <c r="I9" t="inlineStr">
        <is>
          <t>gross (Capacity inference)</t>
        </is>
      </c>
      <c r="J9">
        <f>IF(LEFT(E9,5)="Owned",G9,0)</f>
        <v/>
      </c>
      <c r="K9" t="inlineStr">
        <is>
          <t>/workspace/nebius/capacity/site_list.xlsx (team Capacity &amp; Power)</t>
        </is>
      </c>
    </row>
    <row r="10">
      <c r="A10" t="n">
        <v>9</v>
      </c>
      <c r="B10" t="inlineStr">
        <is>
          <t>Harlow Kao</t>
        </is>
      </c>
      <c r="C10" t="inlineStr">
        <is>
          <t>UK</t>
        </is>
      </c>
      <c r="D10" t="inlineStr">
        <is>
          <t>Colocation</t>
        </is>
      </c>
      <c r="E10" t="inlineStr">
        <is>
          <t>Leased</t>
        </is>
      </c>
      <c r="F10" s="4" t="n">
        <v>0</v>
      </c>
      <c r="G10" s="4" t="n">
        <v>0</v>
      </c>
      <c r="H10" s="4" t="n">
        <v>4.4</v>
      </c>
      <c r="I10" t="inlineStr">
        <is>
          <t>n/d</t>
        </is>
      </c>
      <c r="J10">
        <f>IF(LEFT(E10,5)="Owned",G10,0)</f>
        <v/>
      </c>
      <c r="K10" t="inlineStr">
        <is>
          <t>/workspace/nebius/capacity/site_list.xlsx (team Capacity &amp; Power)</t>
        </is>
      </c>
    </row>
    <row r="11">
      <c r="A11" t="n">
        <v>10</v>
      </c>
      <c r="B11" t="inlineStr">
        <is>
          <t>UK 3rd site</t>
        </is>
      </c>
      <c r="C11" t="inlineStr">
        <is>
          <t>UK</t>
        </is>
      </c>
      <c r="D11" t="inlineStr">
        <is>
          <t>not disclosed (likely colo - inference)</t>
        </is>
      </c>
      <c r="E11" t="inlineStr">
        <is>
          <t>Unknown</t>
        </is>
      </c>
      <c r="F11" s="4" t="n">
        <v>0</v>
      </c>
      <c r="G11" s="4" t="n">
        <v>0</v>
      </c>
      <c r="H11" s="4" t="n">
        <v>0</v>
      </c>
      <c r="I11" t="inlineStr">
        <is>
          <t>n/d</t>
        </is>
      </c>
      <c r="J11">
        <f>IF(LEFT(E11,5)="Owned",G11,0)</f>
        <v/>
      </c>
      <c r="K11" t="inlineStr">
        <is>
          <t>/workspace/nebius/capacity/site_list.xlsx (team Capacity &amp; Power)</t>
        </is>
      </c>
    </row>
    <row r="12">
      <c r="A12" t="n">
        <v>11</v>
      </c>
      <c r="B12" t="inlineStr">
        <is>
          <t>Modi'in Mega Or</t>
        </is>
      </c>
      <c r="C12" t="inlineStr">
        <is>
          <t>Israel</t>
        </is>
      </c>
      <c r="D12" t="inlineStr">
        <is>
          <t>Colocation</t>
        </is>
      </c>
      <c r="E12" t="inlineStr">
        <is>
          <t>Leased</t>
        </is>
      </c>
      <c r="F12" s="4" t="n">
        <v>8</v>
      </c>
      <c r="G12" s="4" t="n">
        <v>8</v>
      </c>
      <c r="H12" s="4" t="n">
        <v>8</v>
      </c>
      <c r="I12" t="inlineStr">
        <is>
          <t>IT (Capacity)</t>
        </is>
      </c>
      <c r="J12">
        <f>IF(LEFT(E12,5)="Owned",G12,0)</f>
        <v/>
      </c>
      <c r="K12" t="inlineStr">
        <is>
          <t>/workspace/nebius/capacity/site_list.xlsx (team Capacity &amp; Power)</t>
        </is>
      </c>
    </row>
    <row r="13">
      <c r="A13" t="n">
        <v>12</v>
      </c>
      <c r="B13" t="inlineStr">
        <is>
          <t>Masmiyya</t>
        </is>
      </c>
      <c r="C13" t="inlineStr">
        <is>
          <t>Israel</t>
        </is>
      </c>
      <c r="D13" t="inlineStr">
        <is>
          <t>Colocation</t>
        </is>
      </c>
      <c r="E13" t="inlineStr">
        <is>
          <t>Leased</t>
        </is>
      </c>
      <c r="F13" s="4" t="n">
        <v>0</v>
      </c>
      <c r="G13" s="4" t="n">
        <v>22</v>
      </c>
      <c r="H13" s="4" t="n">
        <v>22</v>
      </c>
      <c r="I13" t="inlineStr">
        <is>
          <t>n/d</t>
        </is>
      </c>
      <c r="J13">
        <f>IF(LEFT(E13,5)="Owned",G13,0)</f>
        <v/>
      </c>
      <c r="K13" t="inlineStr">
        <is>
          <t>/workspace/nebius/capacity/site_list.xlsx (team Capacity &amp; Power)</t>
        </is>
      </c>
    </row>
    <row r="14">
      <c r="A14" t="n">
        <v>13</v>
      </c>
      <c r="B14" t="inlineStr">
        <is>
          <t>Beit Shemesh</t>
        </is>
      </c>
      <c r="C14" t="inlineStr">
        <is>
          <t>Israel</t>
        </is>
      </c>
      <c r="D14" t="inlineStr">
        <is>
          <t>Colocation</t>
        </is>
      </c>
      <c r="E14" t="inlineStr">
        <is>
          <t>Leased</t>
        </is>
      </c>
      <c r="F14" s="4" t="n">
        <v>0</v>
      </c>
      <c r="G14" s="4" t="n">
        <v>29</v>
      </c>
      <c r="H14" s="4" t="n">
        <v>58</v>
      </c>
      <c r="I14" t="inlineStr">
        <is>
          <t>n/d</t>
        </is>
      </c>
      <c r="J14">
        <f>IF(LEFT(E14,5)="Owned",G14,0)</f>
        <v/>
      </c>
      <c r="K14" t="inlineStr">
        <is>
          <t>/workspace/nebius/capacity/site_list.xlsx (team Capacity &amp; Power)</t>
        </is>
      </c>
    </row>
    <row r="15">
      <c r="A15" t="n">
        <v>14</v>
      </c>
      <c r="B15" t="inlineStr">
        <is>
          <t>Madrid-Getafe</t>
        </is>
      </c>
      <c r="C15" t="inlineStr">
        <is>
          <t>Spain</t>
        </is>
      </c>
      <c r="D15" t="inlineStr">
        <is>
          <t>Colocation</t>
        </is>
      </c>
      <c r="E15" t="inlineStr">
        <is>
          <t>Leased</t>
        </is>
      </c>
      <c r="F15" s="4" t="n">
        <v>9</v>
      </c>
      <c r="G15" s="4" t="n">
        <v>18</v>
      </c>
      <c r="H15" s="4" t="n">
        <v>18</v>
      </c>
      <c r="I15" t="inlineStr">
        <is>
          <t>n/d</t>
        </is>
      </c>
      <c r="J15">
        <f>IF(LEFT(E15,5)="Owned",G15,0)</f>
        <v/>
      </c>
      <c r="K15" t="inlineStr">
        <is>
          <t>/workspace/nebius/capacity/site_list.xlsx (team Capacity &amp; Power)</t>
        </is>
      </c>
    </row>
    <row r="16">
      <c r="A16" t="n">
        <v>15</v>
      </c>
      <c r="B16" t="inlineStr">
        <is>
          <t>Tallinn Huuru</t>
        </is>
      </c>
      <c r="C16" t="inlineStr">
        <is>
          <t>Estonia</t>
        </is>
      </c>
      <c r="D16" t="inlineStr">
        <is>
          <t>Colocation</t>
        </is>
      </c>
      <c r="E16" t="inlineStr">
        <is>
          <t>Leased</t>
        </is>
      </c>
      <c r="F16" s="4" t="n">
        <v>0</v>
      </c>
      <c r="G16" s="4" t="n">
        <v>22</v>
      </c>
      <c r="H16" s="4" t="n">
        <v>22</v>
      </c>
      <c r="I16" t="inlineStr">
        <is>
          <t>n/d</t>
        </is>
      </c>
      <c r="J16">
        <f>IF(LEFT(E16,5)="Owned",G16,0)</f>
        <v/>
      </c>
      <c r="K16" t="inlineStr">
        <is>
          <t>/workspace/nebius/capacity/site_list.xlsx (team Capacity &amp; Power)</t>
        </is>
      </c>
    </row>
    <row r="17">
      <c r="A17" t="n">
        <v>16</v>
      </c>
      <c r="B17" t="inlineStr">
        <is>
          <t>Kansas City Patmos</t>
        </is>
      </c>
      <c r="C17" t="inlineStr">
        <is>
          <t>USA</t>
        </is>
      </c>
      <c r="D17" t="inlineStr">
        <is>
          <t>Colocation</t>
        </is>
      </c>
      <c r="E17" t="inlineStr">
        <is>
          <t>Leased</t>
        </is>
      </c>
      <c r="F17" s="4" t="n">
        <v>5</v>
      </c>
      <c r="G17" s="4" t="n">
        <v>20</v>
      </c>
      <c r="H17" s="4" t="n">
        <v>40</v>
      </c>
      <c r="I17" t="inlineStr">
        <is>
          <t>n/d</t>
        </is>
      </c>
      <c r="J17">
        <f>IF(LEFT(E17,5)="Owned",G17,0)</f>
        <v/>
      </c>
      <c r="K17" t="inlineStr">
        <is>
          <t>/workspace/nebius/capacity/site_list.xlsx (team Capacity &amp; Power)</t>
        </is>
      </c>
    </row>
    <row r="18">
      <c r="A18" t="n">
        <v>17</v>
      </c>
      <c r="B18" t="inlineStr">
        <is>
          <t>Vineland DataOne</t>
        </is>
      </c>
      <c r="C18" t="inlineStr">
        <is>
          <t>USA</t>
        </is>
      </c>
      <c r="D18" t="inlineStr">
        <is>
          <t>Build-to-suit, Nebius tenant</t>
        </is>
      </c>
      <c r="E18" t="inlineStr">
        <is>
          <t>Leased (gross MW)</t>
        </is>
      </c>
      <c r="F18" s="4" t="n">
        <v>200</v>
      </c>
      <c r="G18" s="4" t="n">
        <v>200</v>
      </c>
      <c r="H18" s="4" t="n">
        <v>300</v>
      </c>
      <c r="I18" t="inlineStr">
        <is>
          <t>GROSS; physical cap 122.9 MW gross (62 x 1.98 MW rented gensets) until Bloom live</t>
        </is>
      </c>
      <c r="J18">
        <f>IF(LEFT(E18,5)="Owned",G18,0)</f>
        <v/>
      </c>
      <c r="K18" t="inlineStr">
        <is>
          <t>/workspace/nebius/capacity/site_list.xlsx (team Capacity &amp; Power)</t>
        </is>
      </c>
    </row>
    <row r="19">
      <c r="A19" t="n">
        <v>18</v>
      </c>
      <c r="B19" t="inlineStr">
        <is>
          <t>Independence MO</t>
        </is>
      </c>
      <c r="C19" t="inlineStr">
        <is>
          <t>USA</t>
        </is>
      </c>
      <c r="D19" t="inlineStr">
        <is>
          <t>Owned greenfield</t>
        </is>
      </c>
      <c r="E19" t="inlineStr">
        <is>
          <t>Owned</t>
        </is>
      </c>
      <c r="F19" s="4" t="n">
        <v>0</v>
      </c>
      <c r="G19" s="4" t="n">
        <v>0</v>
      </c>
      <c r="H19" s="4" t="n">
        <v>0</v>
      </c>
      <c r="I19" t="inlineStr">
        <is>
          <t>n/d</t>
        </is>
      </c>
      <c r="J19">
        <f>IF(LEFT(E19,5)="Owned",G19,0)</f>
        <v/>
      </c>
      <c r="K19" t="inlineStr">
        <is>
          <t>/workspace/nebius/capacity/site_list.xlsx (team Capacity &amp; Power)</t>
        </is>
      </c>
    </row>
    <row r="20">
      <c r="A20" t="n">
        <v>19</v>
      </c>
      <c r="B20" t="inlineStr">
        <is>
          <t>Birmingham BHM01</t>
        </is>
      </c>
      <c r="C20" t="inlineStr">
        <is>
          <t>USA</t>
        </is>
      </c>
      <c r="D20" t="inlineStr">
        <is>
          <t>Owned brownfield</t>
        </is>
      </c>
      <c r="E20" t="inlineStr">
        <is>
          <t>Owned</t>
        </is>
      </c>
      <c r="F20" s="4" t="n">
        <v>0</v>
      </c>
      <c r="G20" s="4" t="n">
        <v>50</v>
      </c>
      <c r="H20" s="4" t="n">
        <v>100</v>
      </c>
      <c r="I20" t="inlineStr">
        <is>
          <t>'electrical capacity' (press)</t>
        </is>
      </c>
      <c r="J20">
        <f>IF(LEFT(E20,5)="Owned",G20,0)</f>
        <v/>
      </c>
      <c r="K20" t="inlineStr">
        <is>
          <t>/workspace/nebius/capacity/site_list.xlsx (team Capacity &amp; Power)</t>
        </is>
      </c>
    </row>
    <row r="21">
      <c r="A21" t="n">
        <v>20</v>
      </c>
      <c r="B21" t="inlineStr">
        <is>
          <t>Pennsylvania</t>
        </is>
      </c>
      <c r="C21" t="inlineStr">
        <is>
          <t>USA</t>
        </is>
      </c>
      <c r="D21" t="inlineStr">
        <is>
          <t>Owned greenfield</t>
        </is>
      </c>
      <c r="E21" t="inlineStr">
        <is>
          <t>Owned</t>
        </is>
      </c>
      <c r="F21" s="4" t="n">
        <v>0</v>
      </c>
      <c r="G21" s="4" t="n">
        <v>0</v>
      </c>
      <c r="H21" s="4" t="n">
        <v>0</v>
      </c>
      <c r="I21" t="inlineStr">
        <is>
          <t>n/d</t>
        </is>
      </c>
      <c r="J21">
        <f>IF(LEFT(E21,5)="Owned",G21,0)</f>
        <v/>
      </c>
      <c r="K21" t="inlineStr">
        <is>
          <t>/workspace/nebius/capacity/site_list.xlsx (team Capacity &amp; Power)</t>
        </is>
      </c>
    </row>
    <row r="22">
      <c r="A22" t="n">
        <v>21</v>
      </c>
      <c r="B22" t="inlineStr">
        <is>
          <t>Oklahoma colo</t>
        </is>
      </c>
      <c r="C22" t="inlineStr">
        <is>
          <t>USA</t>
        </is>
      </c>
      <c r="D22" t="inlineStr">
        <is>
          <t>Colocation</t>
        </is>
      </c>
      <c r="E22" t="inlineStr">
        <is>
          <t>Leased</t>
        </is>
      </c>
      <c r="F22" s="4" t="n">
        <v>0</v>
      </c>
      <c r="G22" s="4" t="n">
        <v>0</v>
      </c>
      <c r="H22" s="4" t="n">
        <v>0</v>
      </c>
      <c r="I22" t="inlineStr">
        <is>
          <t>n/d</t>
        </is>
      </c>
      <c r="J22">
        <f>IF(LEFT(E22,5)="Owned",G22,0)</f>
        <v/>
      </c>
      <c r="K22" t="inlineStr">
        <is>
          <t>/workspace/nebius/capacity/site_list.xlsx (team Capacity &amp; Power)</t>
        </is>
      </c>
    </row>
    <row r="23">
      <c r="A23" t="n">
        <v>22</v>
      </c>
      <c r="B23" t="inlineStr">
        <is>
          <t>Minnesota colo</t>
        </is>
      </c>
      <c r="C23" t="inlineStr">
        <is>
          <t>USA</t>
        </is>
      </c>
      <c r="D23" t="inlineStr">
        <is>
          <t>Colocation</t>
        </is>
      </c>
      <c r="E23" t="inlineStr">
        <is>
          <t>Leased</t>
        </is>
      </c>
      <c r="F23" s="4" t="n">
        <v>0</v>
      </c>
      <c r="G23" s="4" t="n">
        <v>0</v>
      </c>
      <c r="H23" s="4" t="n">
        <v>0</v>
      </c>
      <c r="I23" t="inlineStr">
        <is>
          <t>n/d</t>
        </is>
      </c>
      <c r="J23">
        <f>IF(LEFT(E23,5)="Owned",G23,0)</f>
        <v/>
      </c>
      <c r="K23" t="inlineStr">
        <is>
          <t>/workspace/nebius/capacity/site_list.xlsx (team Capacity &amp; Power)</t>
        </is>
      </c>
    </row>
    <row r="24">
      <c r="A24" t="n">
        <v>23</v>
      </c>
      <c r="B24" t="inlineStr">
        <is>
          <t>AIB southeastern US</t>
        </is>
      </c>
      <c r="C24" t="inlineStr">
        <is>
          <t>USA</t>
        </is>
      </c>
      <c r="D24" t="inlineStr">
        <is>
          <t>Colocation/leased 12-yr</t>
        </is>
      </c>
      <c r="E24" t="inlineStr">
        <is>
          <t>Leased</t>
        </is>
      </c>
      <c r="F24" s="4" t="n">
        <v>0</v>
      </c>
      <c r="G24" s="4" t="n">
        <v>0</v>
      </c>
      <c r="H24" s="4" t="n">
        <v>0</v>
      </c>
      <c r="I24" t="inlineStr">
        <is>
          <t>IT (50 MW critical IT)</t>
        </is>
      </c>
      <c r="J24">
        <f>IF(LEFT(E24,5)="Owned",G24,0)</f>
        <v/>
      </c>
      <c r="K24" t="inlineStr">
        <is>
          <t>/workspace/nebius/capacity/site_list.xlsx (team Capacity &amp; Power)</t>
        </is>
      </c>
    </row>
    <row r="25">
      <c r="B25" t="inlineStr">
        <is>
          <t>TOTAL</t>
        </is>
      </c>
      <c r="F25">
        <f>SUM(F2:F24)</f>
        <v/>
      </c>
      <c r="G25">
        <f>SUM(G2:G24)</f>
        <v/>
      </c>
      <c r="H25">
        <f>SUM(H2:H24)</f>
        <v/>
      </c>
      <c r="J25">
        <f>SUM(J2:J24)</f>
        <v/>
      </c>
    </row>
    <row r="27">
      <c r="B27" t="inlineStr">
        <is>
          <t>Owned share of YE26 base MW</t>
        </is>
      </c>
      <c r="J27">
        <f>J25/G25</f>
        <v/>
      </c>
    </row>
    <row r="28">
      <c r="B28" t="inlineStr">
        <is>
          <t>Leased (incl. Vineland) share</t>
        </is>
      </c>
      <c r="J28">
        <f>SUMPRODUCT((LEFT(E2:E24,6)="Leased")*G2:G24)/G25</f>
        <v/>
      </c>
    </row>
    <row r="29">
      <c r="B29" t="inlineStr">
        <is>
          <t>Unknown: Lappeenranta, UK 3rd (0 MW in YE26 base) - run owned and leased (Cohorts both; fleet owned-share 0%/100% in md)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cols>
    <col width="78" customWidth="1" min="1" max="1"/>
    <col width="30" customWidth="1" min="2" max="2"/>
  </cols>
  <sheetData>
    <row r="1">
      <c r="A1" s="1" t="inlineStr">
        <is>
          <t>Capacity energized MW (identified sites) - /workspace/nebius/capacity/nebius_capacity.xlsx 'Quarterly MW' (pasted values, blue)</t>
        </is>
      </c>
      <c r="B1" s="1" t="inlineStr"/>
      <c r="C1" s="1" t="inlineStr">
        <is>
          <t>Q2 2026</t>
        </is>
      </c>
      <c r="D1" s="1" t="inlineStr">
        <is>
          <t>Q3 2026</t>
        </is>
      </c>
      <c r="E1" s="1" t="inlineStr">
        <is>
          <t>Q4 2026</t>
        </is>
      </c>
      <c r="F1" s="1" t="inlineStr">
        <is>
          <t>Q1 2027</t>
        </is>
      </c>
      <c r="G1" s="1" t="inlineStr">
        <is>
          <t>Q2 2027</t>
        </is>
      </c>
      <c r="H1" s="1" t="inlineStr">
        <is>
          <t>Q3 2027</t>
        </is>
      </c>
      <c r="I1" s="1" t="inlineStr">
        <is>
          <t>Q4 2027</t>
        </is>
      </c>
      <c r="J1" s="1" t="inlineStr">
        <is>
          <t>Q1 2028</t>
        </is>
      </c>
      <c r="K1" s="1" t="inlineStr">
        <is>
          <t>Q2 2028</t>
        </is>
      </c>
      <c r="L1" s="1" t="inlineStr">
        <is>
          <t>Q3 2028</t>
        </is>
      </c>
      <c r="M1" s="1" t="inlineStr">
        <is>
          <t>Q4 2028</t>
        </is>
      </c>
      <c r="N1" s="1" t="inlineStr">
        <is>
          <t>Q1 2029</t>
        </is>
      </c>
      <c r="O1" s="1" t="inlineStr">
        <is>
          <t>Q2 2029</t>
        </is>
      </c>
      <c r="P1" s="1" t="inlineStr">
        <is>
          <t>Q3 2029</t>
        </is>
      </c>
      <c r="Q1" s="1" t="inlineStr">
        <is>
          <t>Q4 2029</t>
        </is>
      </c>
      <c r="R1" s="1" t="inlineStr">
        <is>
          <t>Q1 2030</t>
        </is>
      </c>
      <c r="S1" s="1" t="inlineStr">
        <is>
          <t>Q2 2030</t>
        </is>
      </c>
      <c r="T1" s="1" t="inlineStr">
        <is>
          <t>Q3 2030</t>
        </is>
      </c>
      <c r="U1" s="1" t="inlineStr">
        <is>
          <t>Q4 2030</t>
        </is>
      </c>
    </row>
    <row r="2">
      <c r="A2" t="inlineStr">
        <is>
          <t>Energized MW, identified sites - low (mixed basis)</t>
        </is>
      </c>
      <c r="B2" t="inlineStr">
        <is>
          <t>Capacity Quarterly MW (sum of site rows; ties to COMPANY rows)</t>
        </is>
      </c>
      <c r="C2" s="5" t="n">
        <v>152</v>
      </c>
      <c r="D2" s="5" t="n">
        <v>182</v>
      </c>
      <c r="E2" s="5" t="n">
        <v>185</v>
      </c>
      <c r="F2" s="5" t="n">
        <v>270.4</v>
      </c>
      <c r="G2" s="5" t="n">
        <v>394.4</v>
      </c>
      <c r="H2" s="5" t="n">
        <v>509</v>
      </c>
      <c r="I2" s="5" t="n">
        <v>764</v>
      </c>
      <c r="J2" s="5" t="n">
        <v>824</v>
      </c>
      <c r="K2" s="5" t="n">
        <v>994</v>
      </c>
      <c r="L2" s="5" t="n">
        <v>1019</v>
      </c>
      <c r="M2" s="5" t="n">
        <v>1539</v>
      </c>
      <c r="N2" s="5" t="n">
        <v>1539</v>
      </c>
      <c r="O2" s="5" t="n">
        <v>1769</v>
      </c>
      <c r="P2" s="5" t="n">
        <v>1769</v>
      </c>
      <c r="Q2" s="5" t="n">
        <v>2289</v>
      </c>
      <c r="R2" s="5" t="n">
        <v>2289</v>
      </c>
      <c r="S2" s="5" t="n">
        <v>2289</v>
      </c>
      <c r="T2" s="5" t="n">
        <v>2289</v>
      </c>
      <c r="U2" s="5" t="n">
        <v>2839</v>
      </c>
    </row>
    <row r="3">
      <c r="A3" t="inlineStr">
        <is>
          <t xml:space="preserve">  of which IT-basis sites (Vineland, AIB) - low</t>
        </is>
      </c>
      <c r="B3" t="inlineStr">
        <is>
          <t>Capacity Basis column = IT</t>
        </is>
      </c>
      <c r="C3" s="5" t="n">
        <v>41</v>
      </c>
      <c r="D3" s="5" t="n">
        <v>65</v>
      </c>
      <c r="E3" s="5" t="n">
        <v>65</v>
      </c>
      <c r="F3" s="5" t="n">
        <v>65</v>
      </c>
      <c r="G3" s="5" t="n">
        <v>115</v>
      </c>
      <c r="H3" s="5" t="n">
        <v>168</v>
      </c>
      <c r="I3" s="5" t="n">
        <v>238</v>
      </c>
      <c r="J3" s="5" t="n">
        <v>263</v>
      </c>
      <c r="K3" s="5" t="n">
        <v>263</v>
      </c>
      <c r="L3" s="5" t="n">
        <v>288</v>
      </c>
      <c r="M3" s="5" t="n">
        <v>288</v>
      </c>
      <c r="N3" s="5" t="n">
        <v>288</v>
      </c>
      <c r="O3" s="5" t="n">
        <v>288</v>
      </c>
      <c r="P3" s="5" t="n">
        <v>288</v>
      </c>
      <c r="Q3" s="5" t="n">
        <v>288</v>
      </c>
      <c r="R3" s="5" t="n">
        <v>288</v>
      </c>
      <c r="S3" s="5" t="n">
        <v>288</v>
      </c>
      <c r="T3" s="5" t="n">
        <v>288</v>
      </c>
      <c r="U3" s="5" t="n">
        <v>288</v>
      </c>
    </row>
    <row r="4">
      <c r="A4" t="inlineStr">
        <is>
          <t xml:space="preserve">  of which Vineland (IT) - low</t>
        </is>
      </c>
      <c r="B4" t="inlineStr">
        <is>
          <t>Capacity</t>
        </is>
      </c>
      <c r="C4" s="5" t="n">
        <v>33</v>
      </c>
      <c r="D4" s="5" t="n">
        <v>57</v>
      </c>
      <c r="E4" s="5" t="n">
        <v>57</v>
      </c>
      <c r="F4" s="5" t="n">
        <v>57</v>
      </c>
      <c r="G4" s="5" t="n">
        <v>107</v>
      </c>
      <c r="H4" s="5" t="n">
        <v>160</v>
      </c>
      <c r="I4" s="5" t="n">
        <v>230</v>
      </c>
      <c r="J4" s="5" t="n">
        <v>230</v>
      </c>
      <c r="K4" s="5" t="n">
        <v>230</v>
      </c>
      <c r="L4" s="5" t="n">
        <v>230</v>
      </c>
      <c r="M4" s="5" t="n">
        <v>230</v>
      </c>
      <c r="N4" s="5" t="n">
        <v>230</v>
      </c>
      <c r="O4" s="5" t="n">
        <v>230</v>
      </c>
      <c r="P4" s="5" t="n">
        <v>230</v>
      </c>
      <c r="Q4" s="5" t="n">
        <v>230</v>
      </c>
      <c r="R4" s="5" t="n">
        <v>230</v>
      </c>
      <c r="S4" s="5" t="n">
        <v>230</v>
      </c>
      <c r="T4" s="5" t="n">
        <v>230</v>
      </c>
      <c r="U4" s="5" t="n">
        <v>230</v>
      </c>
    </row>
    <row r="5">
      <c r="A5" t="inlineStr">
        <is>
          <t xml:space="preserve">  of which owned sites (Independence, Butler PA, Birmingham, Lappeenranta, Mantsala) - low</t>
        </is>
      </c>
      <c r="B5" t="inlineStr">
        <is>
          <t>Capacity Sites 'Ownership type'</t>
        </is>
      </c>
      <c r="C5" s="5" t="n">
        <v>75</v>
      </c>
      <c r="D5" s="5" t="n">
        <v>75</v>
      </c>
      <c r="E5" s="5" t="n">
        <v>75</v>
      </c>
      <c r="F5" s="5" t="n">
        <v>75</v>
      </c>
      <c r="G5" s="5" t="n">
        <v>75</v>
      </c>
      <c r="H5" s="5" t="n">
        <v>100</v>
      </c>
      <c r="I5" s="5" t="n">
        <v>210</v>
      </c>
      <c r="J5" s="5" t="n">
        <v>245</v>
      </c>
      <c r="K5" s="5" t="n">
        <v>415</v>
      </c>
      <c r="L5" s="5" t="n">
        <v>415</v>
      </c>
      <c r="M5" s="5" t="n">
        <v>815</v>
      </c>
      <c r="N5" s="5" t="n">
        <v>815</v>
      </c>
      <c r="O5" s="5" t="n">
        <v>1045</v>
      </c>
      <c r="P5" s="5" t="n">
        <v>1045</v>
      </c>
      <c r="Q5" s="5" t="n">
        <v>1565</v>
      </c>
      <c r="R5" s="5" t="n">
        <v>1565</v>
      </c>
      <c r="S5" s="5" t="n">
        <v>1565</v>
      </c>
      <c r="T5" s="5" t="n">
        <v>1565</v>
      </c>
      <c r="U5" s="5" t="n">
        <v>2115</v>
      </c>
    </row>
    <row r="6">
      <c r="A6" t="inlineStr">
        <is>
          <t>Energized MW, identified sites - base (mixed basis)</t>
        </is>
      </c>
      <c r="B6" t="inlineStr">
        <is>
          <t>Capacity Quarterly MW (sum of site rows; ties to COMPANY rows)</t>
        </is>
      </c>
      <c r="C6" s="5" t="n">
        <v>173</v>
      </c>
      <c r="D6" s="5" t="n">
        <v>207.5</v>
      </c>
      <c r="E6" s="5" t="n">
        <v>304.5</v>
      </c>
      <c r="F6" s="5" t="n">
        <v>444.7</v>
      </c>
      <c r="G6" s="5" t="n">
        <v>591.7</v>
      </c>
      <c r="H6" s="5" t="n">
        <v>751.5</v>
      </c>
      <c r="I6" s="5" t="n">
        <v>1069</v>
      </c>
      <c r="J6" s="5" t="n">
        <v>1181.5</v>
      </c>
      <c r="K6" s="5" t="n">
        <v>1376.5</v>
      </c>
      <c r="L6" s="5" t="n">
        <v>1389</v>
      </c>
      <c r="M6" s="5" t="n">
        <v>1799</v>
      </c>
      <c r="N6" s="5" t="n">
        <v>1799</v>
      </c>
      <c r="O6" s="5" t="n">
        <v>2219</v>
      </c>
      <c r="P6" s="5" t="n">
        <v>2219</v>
      </c>
      <c r="Q6" s="5" t="n">
        <v>2804</v>
      </c>
      <c r="R6" s="5" t="n">
        <v>2804</v>
      </c>
      <c r="S6" s="5" t="n">
        <v>2804</v>
      </c>
      <c r="T6" s="5" t="n">
        <v>2804</v>
      </c>
      <c r="U6" s="5" t="n">
        <v>3379</v>
      </c>
    </row>
    <row r="7">
      <c r="A7" t="inlineStr">
        <is>
          <t xml:space="preserve">  of which IT-basis sites (Vineland, AIB) - base</t>
        </is>
      </c>
      <c r="B7" t="inlineStr">
        <is>
          <t>Capacity Basis column = IT</t>
        </is>
      </c>
      <c r="C7" s="5" t="n">
        <v>47</v>
      </c>
      <c r="D7" s="5" t="n">
        <v>74</v>
      </c>
      <c r="E7" s="5" t="n">
        <v>89.8</v>
      </c>
      <c r="F7" s="5" t="n">
        <v>126.5</v>
      </c>
      <c r="G7" s="5" t="n">
        <v>176.5</v>
      </c>
      <c r="H7" s="5" t="n">
        <v>225.5</v>
      </c>
      <c r="I7" s="5" t="n">
        <v>273</v>
      </c>
      <c r="J7" s="5" t="n">
        <v>285.5</v>
      </c>
      <c r="K7" s="5" t="n">
        <v>285.5</v>
      </c>
      <c r="L7" s="5" t="n">
        <v>298</v>
      </c>
      <c r="M7" s="5" t="n">
        <v>298</v>
      </c>
      <c r="N7" s="5" t="n">
        <v>298</v>
      </c>
      <c r="O7" s="5" t="n">
        <v>298</v>
      </c>
      <c r="P7" s="5" t="n">
        <v>298</v>
      </c>
      <c r="Q7" s="5" t="n">
        <v>298</v>
      </c>
      <c r="R7" s="5" t="n">
        <v>298</v>
      </c>
      <c r="S7" s="5" t="n">
        <v>298</v>
      </c>
      <c r="T7" s="5" t="n">
        <v>298</v>
      </c>
      <c r="U7" s="5" t="n">
        <v>298</v>
      </c>
    </row>
    <row r="8">
      <c r="A8" t="inlineStr">
        <is>
          <t xml:space="preserve">  of which Vineland (IT) - base</t>
        </is>
      </c>
      <c r="B8" t="inlineStr">
        <is>
          <t>Capacity</t>
        </is>
      </c>
      <c r="C8" s="5" t="n">
        <v>39</v>
      </c>
      <c r="D8" s="5" t="n">
        <v>66</v>
      </c>
      <c r="E8" s="5" t="n">
        <v>81.8</v>
      </c>
      <c r="F8" s="5" t="n">
        <v>118.5</v>
      </c>
      <c r="G8" s="5" t="n">
        <v>168.5</v>
      </c>
      <c r="H8" s="5" t="n">
        <v>205</v>
      </c>
      <c r="I8" s="5" t="n">
        <v>240</v>
      </c>
      <c r="J8" s="5" t="n">
        <v>240</v>
      </c>
      <c r="K8" s="5" t="n">
        <v>240</v>
      </c>
      <c r="L8" s="5" t="n">
        <v>240</v>
      </c>
      <c r="M8" s="5" t="n">
        <v>240</v>
      </c>
      <c r="N8" s="5" t="n">
        <v>240</v>
      </c>
      <c r="O8" s="5" t="n">
        <v>240</v>
      </c>
      <c r="P8" s="5" t="n">
        <v>240</v>
      </c>
      <c r="Q8" s="5" t="n">
        <v>240</v>
      </c>
      <c r="R8" s="5" t="n">
        <v>240</v>
      </c>
      <c r="S8" s="5" t="n">
        <v>240</v>
      </c>
      <c r="T8" s="5" t="n">
        <v>240</v>
      </c>
      <c r="U8" s="5" t="n">
        <v>240</v>
      </c>
    </row>
    <row r="9">
      <c r="A9" t="inlineStr">
        <is>
          <t xml:space="preserve">  of which owned sites (Independence, Butler PA, Birmingham, Lappeenranta, Mantsala) - base</t>
        </is>
      </c>
      <c r="B9" t="inlineStr">
        <is>
          <t>Capacity Sites 'Ownership type'</t>
        </is>
      </c>
      <c r="C9" s="5" t="n">
        <v>75</v>
      </c>
      <c r="D9" s="5" t="n">
        <v>75</v>
      </c>
      <c r="E9" s="5" t="n">
        <v>75</v>
      </c>
      <c r="F9" s="5" t="n">
        <v>87.5</v>
      </c>
      <c r="G9" s="5" t="n">
        <v>117.5</v>
      </c>
      <c r="H9" s="5" t="n">
        <v>210</v>
      </c>
      <c r="I9" s="5" t="n">
        <v>410</v>
      </c>
      <c r="J9" s="5" t="n">
        <v>510</v>
      </c>
      <c r="K9" s="5" t="n">
        <v>705</v>
      </c>
      <c r="L9" s="5" t="n">
        <v>705</v>
      </c>
      <c r="M9" s="5" t="n">
        <v>1055</v>
      </c>
      <c r="N9" s="5" t="n">
        <v>1055</v>
      </c>
      <c r="O9" s="5" t="n">
        <v>1475</v>
      </c>
      <c r="P9" s="5" t="n">
        <v>1475</v>
      </c>
      <c r="Q9" s="5" t="n">
        <v>2060</v>
      </c>
      <c r="R9" s="5" t="n">
        <v>2060</v>
      </c>
      <c r="S9" s="5" t="n">
        <v>2060</v>
      </c>
      <c r="T9" s="5" t="n">
        <v>2060</v>
      </c>
      <c r="U9" s="5" t="n">
        <v>2635</v>
      </c>
    </row>
    <row r="10">
      <c r="A10" t="inlineStr">
        <is>
          <t>Energized MW, identified sites - high (mixed basis)</t>
        </is>
      </c>
      <c r="B10" t="inlineStr">
        <is>
          <t>Capacity Quarterly MW (sum of site rows; ties to COMPANY rows)</t>
        </is>
      </c>
      <c r="C10" s="5" t="n">
        <v>194</v>
      </c>
      <c r="D10" s="5" t="n">
        <v>233</v>
      </c>
      <c r="E10" s="5" t="n">
        <v>424</v>
      </c>
      <c r="F10" s="5" t="n">
        <v>619</v>
      </c>
      <c r="G10" s="5" t="n">
        <v>789</v>
      </c>
      <c r="H10" s="5" t="n">
        <v>994</v>
      </c>
      <c r="I10" s="5" t="n">
        <v>1374</v>
      </c>
      <c r="J10" s="5" t="n">
        <v>1539</v>
      </c>
      <c r="K10" s="5" t="n">
        <v>1759</v>
      </c>
      <c r="L10" s="5" t="n">
        <v>1759</v>
      </c>
      <c r="M10" s="5" t="n">
        <v>2059</v>
      </c>
      <c r="N10" s="5" t="n">
        <v>2059</v>
      </c>
      <c r="O10" s="5" t="n">
        <v>2669</v>
      </c>
      <c r="P10" s="5" t="n">
        <v>2669</v>
      </c>
      <c r="Q10" s="5" t="n">
        <v>3319</v>
      </c>
      <c r="R10" s="5" t="n">
        <v>3319</v>
      </c>
      <c r="S10" s="5" t="n">
        <v>3319</v>
      </c>
      <c r="T10" s="5" t="n">
        <v>3319</v>
      </c>
      <c r="U10" s="5" t="n">
        <v>3919</v>
      </c>
    </row>
    <row r="11">
      <c r="A11" t="inlineStr">
        <is>
          <t xml:space="preserve">  of which IT-basis sites (Vineland, AIB) - high</t>
        </is>
      </c>
      <c r="B11" t="inlineStr">
        <is>
          <t>Capacity Basis column = IT</t>
        </is>
      </c>
      <c r="C11" s="5" t="n">
        <v>53</v>
      </c>
      <c r="D11" s="5" t="n">
        <v>83</v>
      </c>
      <c r="E11" s="5" t="n">
        <v>114.6</v>
      </c>
      <c r="F11" s="5" t="n">
        <v>188</v>
      </c>
      <c r="G11" s="5" t="n">
        <v>238</v>
      </c>
      <c r="H11" s="5" t="n">
        <v>283</v>
      </c>
      <c r="I11" s="5" t="n">
        <v>308</v>
      </c>
      <c r="J11" s="5" t="n">
        <v>308</v>
      </c>
      <c r="K11" s="5" t="n">
        <v>308</v>
      </c>
      <c r="L11" s="5" t="n">
        <v>308</v>
      </c>
      <c r="M11" s="5" t="n">
        <v>308</v>
      </c>
      <c r="N11" s="5" t="n">
        <v>308</v>
      </c>
      <c r="O11" s="5" t="n">
        <v>308</v>
      </c>
      <c r="P11" s="5" t="n">
        <v>308</v>
      </c>
      <c r="Q11" s="5" t="n">
        <v>308</v>
      </c>
      <c r="R11" s="5" t="n">
        <v>308</v>
      </c>
      <c r="S11" s="5" t="n">
        <v>308</v>
      </c>
      <c r="T11" s="5" t="n">
        <v>308</v>
      </c>
      <c r="U11" s="5" t="n">
        <v>308</v>
      </c>
    </row>
    <row r="12">
      <c r="A12" t="inlineStr">
        <is>
          <t xml:space="preserve">  of which Vineland (IT) - high</t>
        </is>
      </c>
      <c r="B12" t="inlineStr">
        <is>
          <t>Capacity</t>
        </is>
      </c>
      <c r="C12" s="5" t="n">
        <v>45</v>
      </c>
      <c r="D12" s="5" t="n">
        <v>75</v>
      </c>
      <c r="E12" s="5" t="n">
        <v>106.6</v>
      </c>
      <c r="F12" s="5" t="n">
        <v>180</v>
      </c>
      <c r="G12" s="5" t="n">
        <v>230</v>
      </c>
      <c r="H12" s="5" t="n">
        <v>250</v>
      </c>
      <c r="I12" s="5" t="n">
        <v>250</v>
      </c>
      <c r="J12" s="5" t="n">
        <v>250</v>
      </c>
      <c r="K12" s="5" t="n">
        <v>250</v>
      </c>
      <c r="L12" s="5" t="n">
        <v>250</v>
      </c>
      <c r="M12" s="5" t="n">
        <v>250</v>
      </c>
      <c r="N12" s="5" t="n">
        <v>250</v>
      </c>
      <c r="O12" s="5" t="n">
        <v>250</v>
      </c>
      <c r="P12" s="5" t="n">
        <v>250</v>
      </c>
      <c r="Q12" s="5" t="n">
        <v>250</v>
      </c>
      <c r="R12" s="5" t="n">
        <v>250</v>
      </c>
      <c r="S12" s="5" t="n">
        <v>250</v>
      </c>
      <c r="T12" s="5" t="n">
        <v>250</v>
      </c>
      <c r="U12" s="5" t="n">
        <v>250</v>
      </c>
    </row>
    <row r="13">
      <c r="A13" t="inlineStr">
        <is>
          <t xml:space="preserve">  of which owned sites (Independence, Butler PA, Birmingham, Lappeenranta, Mantsala) - high</t>
        </is>
      </c>
      <c r="B13" t="inlineStr">
        <is>
          <t>Capacity Sites 'Ownership type'</t>
        </is>
      </c>
      <c r="C13" s="5" t="n">
        <v>75</v>
      </c>
      <c r="D13" s="5" t="n">
        <v>75</v>
      </c>
      <c r="E13" s="5" t="n">
        <v>75</v>
      </c>
      <c r="F13" s="5" t="n">
        <v>100</v>
      </c>
      <c r="G13" s="5" t="n">
        <v>160</v>
      </c>
      <c r="H13" s="5" t="n">
        <v>320</v>
      </c>
      <c r="I13" s="5" t="n">
        <v>610</v>
      </c>
      <c r="J13" s="5" t="n">
        <v>775</v>
      </c>
      <c r="K13" s="5" t="n">
        <v>995</v>
      </c>
      <c r="L13" s="5" t="n">
        <v>995</v>
      </c>
      <c r="M13" s="5" t="n">
        <v>1295</v>
      </c>
      <c r="N13" s="5" t="n">
        <v>1295</v>
      </c>
      <c r="O13" s="5" t="n">
        <v>1905</v>
      </c>
      <c r="P13" s="5" t="n">
        <v>1905</v>
      </c>
      <c r="Q13" s="5" t="n">
        <v>2555</v>
      </c>
      <c r="R13" s="5" t="n">
        <v>2555</v>
      </c>
      <c r="S13" s="5" t="n">
        <v>2555</v>
      </c>
      <c r="T13" s="5" t="n">
        <v>2555</v>
      </c>
      <c r="U13" s="5" t="n">
        <v>3155</v>
      </c>
    </row>
    <row r="15">
      <c r="A15" t="inlineStr">
        <is>
          <t>Selected energized MW (mixed)</t>
        </is>
      </c>
      <c r="C15" s="6">
        <f>CHOOSE(Assumptions!$B$91,C2,C6,C10)</f>
        <v/>
      </c>
      <c r="D15" s="6">
        <f>CHOOSE(Assumptions!$B$91,D2,D6,D10)</f>
        <v/>
      </c>
      <c r="E15" s="6">
        <f>CHOOSE(Assumptions!$B$91,E2,E6,E10)</f>
        <v/>
      </c>
      <c r="F15" s="6">
        <f>CHOOSE(Assumptions!$B$91,F2,F6,F10)</f>
        <v/>
      </c>
      <c r="G15" s="6">
        <f>CHOOSE(Assumptions!$B$91,G2,G6,G10)</f>
        <v/>
      </c>
      <c r="H15" s="6">
        <f>CHOOSE(Assumptions!$B$91,H2,H6,H10)</f>
        <v/>
      </c>
      <c r="I15" s="6">
        <f>CHOOSE(Assumptions!$B$91,I2,I6,I10)</f>
        <v/>
      </c>
      <c r="J15" s="6">
        <f>CHOOSE(Assumptions!$B$91,J2,J6,J10)</f>
        <v/>
      </c>
      <c r="K15" s="6">
        <f>CHOOSE(Assumptions!$B$91,K2,K6,K10)</f>
        <v/>
      </c>
      <c r="L15" s="6">
        <f>CHOOSE(Assumptions!$B$91,L2,L6,L10)</f>
        <v/>
      </c>
      <c r="M15" s="6">
        <f>CHOOSE(Assumptions!$B$91,M2,M6,M10)</f>
        <v/>
      </c>
      <c r="N15" s="6">
        <f>CHOOSE(Assumptions!$B$91,N2,N6,N10)</f>
        <v/>
      </c>
      <c r="O15" s="6">
        <f>CHOOSE(Assumptions!$B$91,O2,O6,O10)</f>
        <v/>
      </c>
      <c r="P15" s="6">
        <f>CHOOSE(Assumptions!$B$91,P2,P6,P10)</f>
        <v/>
      </c>
      <c r="Q15" s="6">
        <f>CHOOSE(Assumptions!$B$91,Q2,Q6,Q10)</f>
        <v/>
      </c>
      <c r="R15" s="6">
        <f>CHOOSE(Assumptions!$B$91,R2,R6,R10)</f>
        <v/>
      </c>
      <c r="S15" s="6">
        <f>CHOOSE(Assumptions!$B$91,S2,S6,S10)</f>
        <v/>
      </c>
      <c r="T15" s="6">
        <f>CHOOSE(Assumptions!$B$91,T2,T6,T10)</f>
        <v/>
      </c>
      <c r="U15" s="6">
        <f>CHOOSE(Assumptions!$B$91,U2,U6,U10)</f>
        <v/>
      </c>
    </row>
    <row r="16">
      <c r="A16" t="inlineStr">
        <is>
          <t>Selected IT-basis MW</t>
        </is>
      </c>
      <c r="C16" s="6">
        <f>CHOOSE(Assumptions!$B$91,C3,C7,C11)</f>
        <v/>
      </c>
      <c r="D16" s="6">
        <f>CHOOSE(Assumptions!$B$91,D3,D7,D11)</f>
        <v/>
      </c>
      <c r="E16" s="6">
        <f>CHOOSE(Assumptions!$B$91,E3,E7,E11)</f>
        <v/>
      </c>
      <c r="F16" s="6">
        <f>CHOOSE(Assumptions!$B$91,F3,F7,F11)</f>
        <v/>
      </c>
      <c r="G16" s="6">
        <f>CHOOSE(Assumptions!$B$91,G3,G7,G11)</f>
        <v/>
      </c>
      <c r="H16" s="6">
        <f>CHOOSE(Assumptions!$B$91,H3,H7,H11)</f>
        <v/>
      </c>
      <c r="I16" s="6">
        <f>CHOOSE(Assumptions!$B$91,I3,I7,I11)</f>
        <v/>
      </c>
      <c r="J16" s="6">
        <f>CHOOSE(Assumptions!$B$91,J3,J7,J11)</f>
        <v/>
      </c>
      <c r="K16" s="6">
        <f>CHOOSE(Assumptions!$B$91,K3,K7,K11)</f>
        <v/>
      </c>
      <c r="L16" s="6">
        <f>CHOOSE(Assumptions!$B$91,L3,L7,L11)</f>
        <v/>
      </c>
      <c r="M16" s="6">
        <f>CHOOSE(Assumptions!$B$91,M3,M7,M11)</f>
        <v/>
      </c>
      <c r="N16" s="6">
        <f>CHOOSE(Assumptions!$B$91,N3,N7,N11)</f>
        <v/>
      </c>
      <c r="O16" s="6">
        <f>CHOOSE(Assumptions!$B$91,O3,O7,O11)</f>
        <v/>
      </c>
      <c r="P16" s="6">
        <f>CHOOSE(Assumptions!$B$91,P3,P7,P11)</f>
        <v/>
      </c>
      <c r="Q16" s="6">
        <f>CHOOSE(Assumptions!$B$91,Q3,Q7,Q11)</f>
        <v/>
      </c>
      <c r="R16" s="6">
        <f>CHOOSE(Assumptions!$B$91,R3,R7,R11)</f>
        <v/>
      </c>
      <c r="S16" s="6">
        <f>CHOOSE(Assumptions!$B$91,S3,S7,S11)</f>
        <v/>
      </c>
      <c r="T16" s="6">
        <f>CHOOSE(Assumptions!$B$91,T3,T7,T11)</f>
        <v/>
      </c>
      <c r="U16" s="6">
        <f>CHOOSE(Assumptions!$B$91,U3,U7,U11)</f>
        <v/>
      </c>
    </row>
    <row r="17">
      <c r="A17" t="inlineStr">
        <is>
          <t>Selected Vineland IT MW</t>
        </is>
      </c>
      <c r="C17" s="6">
        <f>CHOOSE(Assumptions!$B$91,C4,C8,C12)</f>
        <v/>
      </c>
      <c r="D17" s="6">
        <f>CHOOSE(Assumptions!$B$91,D4,D8,D12)</f>
        <v/>
      </c>
      <c r="E17" s="6">
        <f>CHOOSE(Assumptions!$B$91,E4,E8,E12)</f>
        <v/>
      </c>
      <c r="F17" s="6">
        <f>CHOOSE(Assumptions!$B$91,F4,F8,F12)</f>
        <v/>
      </c>
      <c r="G17" s="6">
        <f>CHOOSE(Assumptions!$B$91,G4,G8,G12)</f>
        <v/>
      </c>
      <c r="H17" s="6">
        <f>CHOOSE(Assumptions!$B$91,H4,H8,H12)</f>
        <v/>
      </c>
      <c r="I17" s="6">
        <f>CHOOSE(Assumptions!$B$91,I4,I8,I12)</f>
        <v/>
      </c>
      <c r="J17" s="6">
        <f>CHOOSE(Assumptions!$B$91,J4,J8,J12)</f>
        <v/>
      </c>
      <c r="K17" s="6">
        <f>CHOOSE(Assumptions!$B$91,K4,K8,K12)</f>
        <v/>
      </c>
      <c r="L17" s="6">
        <f>CHOOSE(Assumptions!$B$91,L4,L8,L12)</f>
        <v/>
      </c>
      <c r="M17" s="6">
        <f>CHOOSE(Assumptions!$B$91,M4,M8,M12)</f>
        <v/>
      </c>
      <c r="N17" s="6">
        <f>CHOOSE(Assumptions!$B$91,N4,N8,N12)</f>
        <v/>
      </c>
      <c r="O17" s="6">
        <f>CHOOSE(Assumptions!$B$91,O4,O8,O12)</f>
        <v/>
      </c>
      <c r="P17" s="6">
        <f>CHOOSE(Assumptions!$B$91,P4,P8,P12)</f>
        <v/>
      </c>
      <c r="Q17" s="6">
        <f>CHOOSE(Assumptions!$B$91,Q4,Q8,Q12)</f>
        <v/>
      </c>
      <c r="R17" s="6">
        <f>CHOOSE(Assumptions!$B$91,R4,R8,R12)</f>
        <v/>
      </c>
      <c r="S17" s="6">
        <f>CHOOSE(Assumptions!$B$91,S4,S8,S12)</f>
        <v/>
      </c>
      <c r="T17" s="6">
        <f>CHOOSE(Assumptions!$B$91,T4,T8,T12)</f>
        <v/>
      </c>
      <c r="U17" s="6">
        <f>CHOOSE(Assumptions!$B$91,U4,U8,U12)</f>
        <v/>
      </c>
    </row>
    <row r="18">
      <c r="A18" t="inlineStr">
        <is>
          <t>Selected owned-site MW</t>
        </is>
      </c>
      <c r="C18" s="6">
        <f>CHOOSE(Assumptions!$B$91,C5,C9,C13)</f>
        <v/>
      </c>
      <c r="D18" s="6">
        <f>CHOOSE(Assumptions!$B$91,D5,D9,D13)</f>
        <v/>
      </c>
      <c r="E18" s="6">
        <f>CHOOSE(Assumptions!$B$91,E5,E9,E13)</f>
        <v/>
      </c>
      <c r="F18" s="6">
        <f>CHOOSE(Assumptions!$B$91,F5,F9,F13)</f>
        <v/>
      </c>
      <c r="G18" s="6">
        <f>CHOOSE(Assumptions!$B$91,G5,G9,G13)</f>
        <v/>
      </c>
      <c r="H18" s="6">
        <f>CHOOSE(Assumptions!$B$91,H5,H9,H13)</f>
        <v/>
      </c>
      <c r="I18" s="6">
        <f>CHOOSE(Assumptions!$B$91,I5,I9,I13)</f>
        <v/>
      </c>
      <c r="J18" s="6">
        <f>CHOOSE(Assumptions!$B$91,J5,J9,J13)</f>
        <v/>
      </c>
      <c r="K18" s="6">
        <f>CHOOSE(Assumptions!$B$91,K5,K9,K13)</f>
        <v/>
      </c>
      <c r="L18" s="6">
        <f>CHOOSE(Assumptions!$B$91,L5,L9,L13)</f>
        <v/>
      </c>
      <c r="M18" s="6">
        <f>CHOOSE(Assumptions!$B$91,M5,M9,M13)</f>
        <v/>
      </c>
      <c r="N18" s="6">
        <f>CHOOSE(Assumptions!$B$91,N5,N9,N13)</f>
        <v/>
      </c>
      <c r="O18" s="6">
        <f>CHOOSE(Assumptions!$B$91,O5,O9,O13)</f>
        <v/>
      </c>
      <c r="P18" s="6">
        <f>CHOOSE(Assumptions!$B$91,P5,P9,P13)</f>
        <v/>
      </c>
      <c r="Q18" s="6">
        <f>CHOOSE(Assumptions!$B$91,Q5,Q9,Q13)</f>
        <v/>
      </c>
      <c r="R18" s="6">
        <f>CHOOSE(Assumptions!$B$91,R5,R9,R13)</f>
        <v/>
      </c>
      <c r="S18" s="6">
        <f>CHOOSE(Assumptions!$B$91,S5,S9,S13)</f>
        <v/>
      </c>
      <c r="T18" s="6">
        <f>CHOOSE(Assumptions!$B$91,T5,T9,T13)</f>
        <v/>
      </c>
      <c r="U18" s="6">
        <f>CHOOSE(Assumptions!$B$91,U5,U9,U13)</f>
        <v/>
      </c>
    </row>
    <row r="19">
      <c r="A19" s="2" t="inlineStr">
        <is>
          <t>Energized GROSS MW (unknown basis treated as gross; IT x PUE)</t>
        </is>
      </c>
      <c r="C19" s="6">
        <f>C15-C16+C16*Assumptions!$B$33</f>
        <v/>
      </c>
      <c r="D19" s="6">
        <f>D15-D16+D16*Assumptions!$B$33</f>
        <v/>
      </c>
      <c r="E19" s="6">
        <f>E15-E16+E16*Assumptions!$B$33</f>
        <v/>
      </c>
      <c r="F19" s="6">
        <f>F15-F16+F16*Assumptions!$B$33</f>
        <v/>
      </c>
      <c r="G19" s="6">
        <f>G15-G16+G16*Assumptions!$B$33</f>
        <v/>
      </c>
      <c r="H19" s="6">
        <f>H15-H16+H16*Assumptions!$B$33</f>
        <v/>
      </c>
      <c r="I19" s="6">
        <f>I15-I16+I16*Assumptions!$B$33</f>
        <v/>
      </c>
      <c r="J19" s="6">
        <f>J15-J16+J16*Assumptions!$B$33</f>
        <v/>
      </c>
      <c r="K19" s="6">
        <f>K15-K16+K16*Assumptions!$B$33</f>
        <v/>
      </c>
      <c r="L19" s="6">
        <f>L15-L16+L16*Assumptions!$B$33</f>
        <v/>
      </c>
      <c r="M19" s="6">
        <f>M15-M16+M16*Assumptions!$B$33</f>
        <v/>
      </c>
      <c r="N19" s="6">
        <f>N15-N16+N16*Assumptions!$B$33</f>
        <v/>
      </c>
      <c r="O19" s="6">
        <f>O15-O16+O16*Assumptions!$B$33</f>
        <v/>
      </c>
      <c r="P19" s="6">
        <f>P15-P16+P16*Assumptions!$B$33</f>
        <v/>
      </c>
      <c r="Q19" s="6">
        <f>Q15-Q16+Q16*Assumptions!$B$33</f>
        <v/>
      </c>
      <c r="R19" s="6">
        <f>R15-R16+R16*Assumptions!$B$33</f>
        <v/>
      </c>
      <c r="S19" s="6">
        <f>S15-S16+S16*Assumptions!$B$33</f>
        <v/>
      </c>
      <c r="T19" s="6">
        <f>T15-T16+T16*Assumptions!$B$33</f>
        <v/>
      </c>
      <c r="U19" s="6">
        <f>U15-U16+U16*Assumptions!$B$33</f>
        <v/>
      </c>
    </row>
    <row r="20">
      <c r="A20" t="inlineStr">
        <is>
          <t>+ Unseen-site gross MW (cumulative from Q4'26)</t>
        </is>
      </c>
      <c r="C20" s="6">
        <f>IF(0&gt;=2,(0-1)*Assumptions!$B$92,0)</f>
        <v/>
      </c>
      <c r="D20" s="6">
        <f>IF(1&gt;=2,(1-1)*Assumptions!$B$92,0)</f>
        <v/>
      </c>
      <c r="E20" s="6">
        <f>IF(2&gt;=2,(2-1)*Assumptions!$B$92,0)</f>
        <v/>
      </c>
      <c r="F20" s="6">
        <f>IF(3&gt;=2,(3-1)*Assumptions!$B$92,0)</f>
        <v/>
      </c>
      <c r="G20" s="6">
        <f>IF(4&gt;=2,(4-1)*Assumptions!$B$92,0)</f>
        <v/>
      </c>
      <c r="H20" s="6">
        <f>IF(5&gt;=2,(5-1)*Assumptions!$B$92,0)</f>
        <v/>
      </c>
      <c r="I20" s="6">
        <f>IF(6&gt;=2,(6-1)*Assumptions!$B$92,0)</f>
        <v/>
      </c>
      <c r="J20" s="6">
        <f>IF(7&gt;=2,(7-1)*Assumptions!$B$92,0)</f>
        <v/>
      </c>
      <c r="K20" s="6">
        <f>IF(8&gt;=2,(8-1)*Assumptions!$B$92,0)</f>
        <v/>
      </c>
      <c r="L20" s="6">
        <f>IF(9&gt;=2,(9-1)*Assumptions!$B$92,0)</f>
        <v/>
      </c>
      <c r="M20" s="6">
        <f>IF(10&gt;=2,(10-1)*Assumptions!$B$92,0)</f>
        <v/>
      </c>
      <c r="N20" s="6">
        <f>IF(11&gt;=2,(11-1)*Assumptions!$B$92,0)</f>
        <v/>
      </c>
      <c r="O20" s="6">
        <f>IF(12&gt;=2,(12-1)*Assumptions!$B$92,0)</f>
        <v/>
      </c>
      <c r="P20" s="6">
        <f>IF(13&gt;=2,(13-1)*Assumptions!$B$92,0)</f>
        <v/>
      </c>
      <c r="Q20" s="6">
        <f>IF(14&gt;=2,(14-1)*Assumptions!$B$92,0)</f>
        <v/>
      </c>
      <c r="R20" s="6">
        <f>IF(15&gt;=2,(15-1)*Assumptions!$B$92,0)</f>
        <v/>
      </c>
      <c r="S20" s="6">
        <f>IF(16&gt;=2,(16-1)*Assumptions!$B$92,0)</f>
        <v/>
      </c>
      <c r="T20" s="6">
        <f>IF(17&gt;=2,(17-1)*Assumptions!$B$92,0)</f>
        <v/>
      </c>
      <c r="U20" s="6">
        <f>IF(18&gt;=2,(18-1)*Assumptions!$B$92,0)</f>
        <v/>
      </c>
    </row>
    <row r="21">
      <c r="A21" s="2" t="inlineStr">
        <is>
          <t>Energized gross MW incl. unseen</t>
        </is>
      </c>
      <c r="C21" s="6">
        <f>C19+C20</f>
        <v/>
      </c>
      <c r="D21" s="6">
        <f>D19+D20</f>
        <v/>
      </c>
      <c r="E21" s="6">
        <f>E19+E20</f>
        <v/>
      </c>
      <c r="F21" s="6">
        <f>F19+F20</f>
        <v/>
      </c>
      <c r="G21" s="6">
        <f>G19+G20</f>
        <v/>
      </c>
      <c r="H21" s="6">
        <f>H19+H20</f>
        <v/>
      </c>
      <c r="I21" s="6">
        <f>I19+I20</f>
        <v/>
      </c>
      <c r="J21" s="6">
        <f>J19+J20</f>
        <v/>
      </c>
      <c r="K21" s="6">
        <f>K19+K20</f>
        <v/>
      </c>
      <c r="L21" s="6">
        <f>L19+L20</f>
        <v/>
      </c>
      <c r="M21" s="6">
        <f>M19+M20</f>
        <v/>
      </c>
      <c r="N21" s="6">
        <f>N19+N20</f>
        <v/>
      </c>
      <c r="O21" s="6">
        <f>O19+O20</f>
        <v/>
      </c>
      <c r="P21" s="6">
        <f>P19+P20</f>
        <v/>
      </c>
      <c r="Q21" s="6">
        <f>Q19+Q20</f>
        <v/>
      </c>
      <c r="R21" s="6">
        <f>R19+R20</f>
        <v/>
      </c>
      <c r="S21" s="6">
        <f>S19+S20</f>
        <v/>
      </c>
      <c r="T21" s="6">
        <f>T19+T20</f>
        <v/>
      </c>
      <c r="U21" s="6">
        <f>U19+U20</f>
        <v/>
      </c>
    </row>
    <row r="22">
      <c r="A22" t="inlineStr">
        <is>
          <t>IT-equivalent energized MW incl. unseen (gross / PUE)</t>
        </is>
      </c>
      <c r="C22" s="6">
        <f>C21/Assumptions!$B$33</f>
        <v/>
      </c>
      <c r="D22" s="6">
        <f>D21/Assumptions!$B$33</f>
        <v/>
      </c>
      <c r="E22" s="6">
        <f>E21/Assumptions!$B$33</f>
        <v/>
      </c>
      <c r="F22" s="6">
        <f>F21/Assumptions!$B$33</f>
        <v/>
      </c>
      <c r="G22" s="6">
        <f>G21/Assumptions!$B$33</f>
        <v/>
      </c>
      <c r="H22" s="6">
        <f>H21/Assumptions!$B$33</f>
        <v/>
      </c>
      <c r="I22" s="6">
        <f>I21/Assumptions!$B$33</f>
        <v/>
      </c>
      <c r="J22" s="6">
        <f>J21/Assumptions!$B$33</f>
        <v/>
      </c>
      <c r="K22" s="6">
        <f>K21/Assumptions!$B$33</f>
        <v/>
      </c>
      <c r="L22" s="6">
        <f>L21/Assumptions!$B$33</f>
        <v/>
      </c>
      <c r="M22" s="6">
        <f>M21/Assumptions!$B$33</f>
        <v/>
      </c>
      <c r="N22" s="6">
        <f>N21/Assumptions!$B$33</f>
        <v/>
      </c>
      <c r="O22" s="6">
        <f>O21/Assumptions!$B$33</f>
        <v/>
      </c>
      <c r="P22" s="6">
        <f>P21/Assumptions!$B$33</f>
        <v/>
      </c>
      <c r="Q22" s="6">
        <f>Q21/Assumptions!$B$33</f>
        <v/>
      </c>
      <c r="R22" s="6">
        <f>R21/Assumptions!$B$33</f>
        <v/>
      </c>
      <c r="S22" s="6">
        <f>S21/Assumptions!$B$33</f>
        <v/>
      </c>
      <c r="T22" s="6">
        <f>T21/Assumptions!$B$33</f>
        <v/>
      </c>
      <c r="U22" s="6">
        <f>U21/Assumptions!$B$33</f>
        <v/>
      </c>
    </row>
    <row r="23">
      <c r="A23" t="inlineStr">
        <is>
          <t>IT MW energized in quarter (additions)</t>
        </is>
      </c>
      <c r="C23" s="6">
        <f>IF(0=0,0,C22-None22)</f>
        <v/>
      </c>
      <c r="D23" s="6">
        <f>IF(1=0,0,D22-C22)</f>
        <v/>
      </c>
      <c r="E23" s="6">
        <f>IF(2=0,0,E22-D22)</f>
        <v/>
      </c>
      <c r="F23" s="6">
        <f>IF(3=0,0,F22-E22)</f>
        <v/>
      </c>
      <c r="G23" s="6">
        <f>IF(4=0,0,G22-F22)</f>
        <v/>
      </c>
      <c r="H23" s="6">
        <f>IF(5=0,0,H22-G22)</f>
        <v/>
      </c>
      <c r="I23" s="6">
        <f>IF(6=0,0,I22-H22)</f>
        <v/>
      </c>
      <c r="J23" s="6">
        <f>IF(7=0,0,J22-I22)</f>
        <v/>
      </c>
      <c r="K23" s="6">
        <f>IF(8=0,0,K22-J22)</f>
        <v/>
      </c>
      <c r="L23" s="6">
        <f>IF(9=0,0,L22-K22)</f>
        <v/>
      </c>
      <c r="M23" s="6">
        <f>IF(10=0,0,M22-L22)</f>
        <v/>
      </c>
      <c r="N23" s="6">
        <f>IF(11=0,0,N22-M22)</f>
        <v/>
      </c>
      <c r="O23" s="6">
        <f>IF(12=0,0,O22-N22)</f>
        <v/>
      </c>
      <c r="P23" s="6">
        <f>IF(13=0,0,P22-O22)</f>
        <v/>
      </c>
      <c r="Q23" s="6">
        <f>IF(14=0,0,Q22-P22)</f>
        <v/>
      </c>
      <c r="R23" s="6">
        <f>IF(15=0,0,R22-Q22)</f>
        <v/>
      </c>
      <c r="S23" s="6">
        <f>IF(16=0,0,S22-R22)</f>
        <v/>
      </c>
      <c r="T23" s="6">
        <f>IF(17=0,0,T22-S22)</f>
        <v/>
      </c>
      <c r="U23" s="6">
        <f>IF(18=0,0,U22-T22)</f>
        <v/>
      </c>
    </row>
    <row r="24">
      <c r="A24" t="inlineStr">
        <is>
          <t xml:space="preserve">  Vineland gross MW</t>
        </is>
      </c>
      <c r="C24" s="6">
        <f>C17*Assumptions!$B$33</f>
        <v/>
      </c>
      <c r="D24" s="6">
        <f>D17*Assumptions!$B$33</f>
        <v/>
      </c>
      <c r="E24" s="6">
        <f>E17*Assumptions!$B$33</f>
        <v/>
      </c>
      <c r="F24" s="6">
        <f>F17*Assumptions!$B$33</f>
        <v/>
      </c>
      <c r="G24" s="6">
        <f>G17*Assumptions!$B$33</f>
        <v/>
      </c>
      <c r="H24" s="6">
        <f>H17*Assumptions!$B$33</f>
        <v/>
      </c>
      <c r="I24" s="6">
        <f>I17*Assumptions!$B$33</f>
        <v/>
      </c>
      <c r="J24" s="6">
        <f>J17*Assumptions!$B$33</f>
        <v/>
      </c>
      <c r="K24" s="6">
        <f>K17*Assumptions!$B$33</f>
        <v/>
      </c>
      <c r="L24" s="6">
        <f>L17*Assumptions!$B$33</f>
        <v/>
      </c>
      <c r="M24" s="6">
        <f>M17*Assumptions!$B$33</f>
        <v/>
      </c>
      <c r="N24" s="6">
        <f>N17*Assumptions!$B$33</f>
        <v/>
      </c>
      <c r="O24" s="6">
        <f>O17*Assumptions!$B$33</f>
        <v/>
      </c>
      <c r="P24" s="6">
        <f>P17*Assumptions!$B$33</f>
        <v/>
      </c>
      <c r="Q24" s="6">
        <f>Q17*Assumptions!$B$33</f>
        <v/>
      </c>
      <c r="R24" s="6">
        <f>R17*Assumptions!$B$33</f>
        <v/>
      </c>
      <c r="S24" s="6">
        <f>S17*Assumptions!$B$33</f>
        <v/>
      </c>
      <c r="T24" s="6">
        <f>T17*Assumptions!$B$33</f>
        <v/>
      </c>
      <c r="U24" s="6">
        <f>U17*Assumptions!$B$33</f>
        <v/>
      </c>
    </row>
    <row r="25">
      <c r="A25" s="2" t="inlineStr">
        <is>
          <t>BILLING gross MW (energized shifted by billing lag; lag 0/1/2 supported)</t>
        </is>
      </c>
      <c r="C25" s="6">
        <f>IF(Assumptions!$B$90=0,C21,IF(Assumptions!$B$90=1,IF(0&gt;=1,INDEX($C$21:$U$21,0),C21),IF(0&gt;=2,INDEX($C$21:$U$21,0-1),$C$21)))</f>
        <v/>
      </c>
      <c r="D25" s="6">
        <f>IF(Assumptions!$B$90=0,D21,IF(Assumptions!$B$90=1,IF(1&gt;=1,INDEX($C$21:$U$21,1),D21),IF(1&gt;=2,INDEX($C$21:$U$21,1-1),$C$21)))</f>
        <v/>
      </c>
      <c r="E25" s="6">
        <f>IF(Assumptions!$B$90=0,E21,IF(Assumptions!$B$90=1,IF(2&gt;=1,INDEX($C$21:$U$21,2),E21),IF(2&gt;=2,INDEX($C$21:$U$21,2-1),$C$21)))</f>
        <v/>
      </c>
      <c r="F25" s="6">
        <f>IF(Assumptions!$B$90=0,F21,IF(Assumptions!$B$90=1,IF(3&gt;=1,INDEX($C$21:$U$21,3),F21),IF(3&gt;=2,INDEX($C$21:$U$21,3-1),$C$21)))</f>
        <v/>
      </c>
      <c r="G25" s="6">
        <f>IF(Assumptions!$B$90=0,G21,IF(Assumptions!$B$90=1,IF(4&gt;=1,INDEX($C$21:$U$21,4),G21),IF(4&gt;=2,INDEX($C$21:$U$21,4-1),$C$21)))</f>
        <v/>
      </c>
      <c r="H25" s="6">
        <f>IF(Assumptions!$B$90=0,H21,IF(Assumptions!$B$90=1,IF(5&gt;=1,INDEX($C$21:$U$21,5),H21),IF(5&gt;=2,INDEX($C$21:$U$21,5-1),$C$21)))</f>
        <v/>
      </c>
      <c r="I25" s="6">
        <f>IF(Assumptions!$B$90=0,I21,IF(Assumptions!$B$90=1,IF(6&gt;=1,INDEX($C$21:$U$21,6),I21),IF(6&gt;=2,INDEX($C$21:$U$21,6-1),$C$21)))</f>
        <v/>
      </c>
      <c r="J25" s="6">
        <f>IF(Assumptions!$B$90=0,J21,IF(Assumptions!$B$90=1,IF(7&gt;=1,INDEX($C$21:$U$21,7),J21),IF(7&gt;=2,INDEX($C$21:$U$21,7-1),$C$21)))</f>
        <v/>
      </c>
      <c r="K25" s="6">
        <f>IF(Assumptions!$B$90=0,K21,IF(Assumptions!$B$90=1,IF(8&gt;=1,INDEX($C$21:$U$21,8),K21),IF(8&gt;=2,INDEX($C$21:$U$21,8-1),$C$21)))</f>
        <v/>
      </c>
      <c r="L25" s="6">
        <f>IF(Assumptions!$B$90=0,L21,IF(Assumptions!$B$90=1,IF(9&gt;=1,INDEX($C$21:$U$21,9),L21),IF(9&gt;=2,INDEX($C$21:$U$21,9-1),$C$21)))</f>
        <v/>
      </c>
      <c r="M25" s="6">
        <f>IF(Assumptions!$B$90=0,M21,IF(Assumptions!$B$90=1,IF(10&gt;=1,INDEX($C$21:$U$21,10),M21),IF(10&gt;=2,INDEX($C$21:$U$21,10-1),$C$21)))</f>
        <v/>
      </c>
      <c r="N25" s="6">
        <f>IF(Assumptions!$B$90=0,N21,IF(Assumptions!$B$90=1,IF(11&gt;=1,INDEX($C$21:$U$21,11),N21),IF(11&gt;=2,INDEX($C$21:$U$21,11-1),$C$21)))</f>
        <v/>
      </c>
      <c r="O25" s="6">
        <f>IF(Assumptions!$B$90=0,O21,IF(Assumptions!$B$90=1,IF(12&gt;=1,INDEX($C$21:$U$21,12),O21),IF(12&gt;=2,INDEX($C$21:$U$21,12-1),$C$21)))</f>
        <v/>
      </c>
      <c r="P25" s="6">
        <f>IF(Assumptions!$B$90=0,P21,IF(Assumptions!$B$90=1,IF(13&gt;=1,INDEX($C$21:$U$21,13),P21),IF(13&gt;=2,INDEX($C$21:$U$21,13-1),$C$21)))</f>
        <v/>
      </c>
      <c r="Q25" s="6">
        <f>IF(Assumptions!$B$90=0,Q21,IF(Assumptions!$B$90=1,IF(14&gt;=1,INDEX($C$21:$U$21,14),Q21),IF(14&gt;=2,INDEX($C$21:$U$21,14-1),$C$21)))</f>
        <v/>
      </c>
      <c r="R25" s="6">
        <f>IF(Assumptions!$B$90=0,R21,IF(Assumptions!$B$90=1,IF(15&gt;=1,INDEX($C$21:$U$21,15),R21),IF(15&gt;=2,INDEX($C$21:$U$21,15-1),$C$21)))</f>
        <v/>
      </c>
      <c r="S25" s="6">
        <f>IF(Assumptions!$B$90=0,S21,IF(Assumptions!$B$90=1,IF(16&gt;=1,INDEX($C$21:$U$21,16),S21),IF(16&gt;=2,INDEX($C$21:$U$21,16-1),$C$21)))</f>
        <v/>
      </c>
      <c r="T25" s="6">
        <f>IF(Assumptions!$B$90=0,T21,IF(Assumptions!$B$90=1,IF(17&gt;=1,INDEX($C$21:$U$21,17),T21),IF(17&gt;=2,INDEX($C$21:$U$21,17-1),$C$21)))</f>
        <v/>
      </c>
      <c r="U25" s="6">
        <f>IF(Assumptions!$B$90=0,U21,IF(Assumptions!$B$90=1,IF(18&gt;=1,INDEX($C$21:$U$21,18),U21),IF(18&gt;=2,INDEX($C$21:$U$21,18-1),$C$21)))</f>
        <v/>
      </c>
    </row>
    <row r="26">
      <c r="A26" t="inlineStr">
        <is>
          <t xml:space="preserve">  Billing gross MW ex-Vineland</t>
        </is>
      </c>
      <c r="C26" s="6">
        <f>IF(Assumptions!$B$90=0,C21-C24,IF(Assumptions!$B$90=1,IF(0&gt;=1,INDEX($C$21:$U$21,0)-INDEX($C$24:$U$24,0),C21-C24),IF(0&gt;=2,INDEX($C$21:$U$21,0-1)-INDEX($C$24:$U$24,0-1),$C$21-$C$24)))</f>
        <v/>
      </c>
      <c r="D26" s="6">
        <f>IF(Assumptions!$B$90=0,D21-D24,IF(Assumptions!$B$90=1,IF(1&gt;=1,INDEX($C$21:$U$21,1)-INDEX($C$24:$U$24,1),D21-D24),IF(1&gt;=2,INDEX($C$21:$U$21,1-1)-INDEX($C$24:$U$24,1-1),$C$21-$C$24)))</f>
        <v/>
      </c>
      <c r="E26" s="6">
        <f>IF(Assumptions!$B$90=0,E21-E24,IF(Assumptions!$B$90=1,IF(2&gt;=1,INDEX($C$21:$U$21,2)-INDEX($C$24:$U$24,2),E21-E24),IF(2&gt;=2,INDEX($C$21:$U$21,2-1)-INDEX($C$24:$U$24,2-1),$C$21-$C$24)))</f>
        <v/>
      </c>
      <c r="F26" s="6">
        <f>IF(Assumptions!$B$90=0,F21-F24,IF(Assumptions!$B$90=1,IF(3&gt;=1,INDEX($C$21:$U$21,3)-INDEX($C$24:$U$24,3),F21-F24),IF(3&gt;=2,INDEX($C$21:$U$21,3-1)-INDEX($C$24:$U$24,3-1),$C$21-$C$24)))</f>
        <v/>
      </c>
      <c r="G26" s="6">
        <f>IF(Assumptions!$B$90=0,G21-G24,IF(Assumptions!$B$90=1,IF(4&gt;=1,INDEX($C$21:$U$21,4)-INDEX($C$24:$U$24,4),G21-G24),IF(4&gt;=2,INDEX($C$21:$U$21,4-1)-INDEX($C$24:$U$24,4-1),$C$21-$C$24)))</f>
        <v/>
      </c>
      <c r="H26" s="6">
        <f>IF(Assumptions!$B$90=0,H21-H24,IF(Assumptions!$B$90=1,IF(5&gt;=1,INDEX($C$21:$U$21,5)-INDEX($C$24:$U$24,5),H21-H24),IF(5&gt;=2,INDEX($C$21:$U$21,5-1)-INDEX($C$24:$U$24,5-1),$C$21-$C$24)))</f>
        <v/>
      </c>
      <c r="I26" s="6">
        <f>IF(Assumptions!$B$90=0,I21-I24,IF(Assumptions!$B$90=1,IF(6&gt;=1,INDEX($C$21:$U$21,6)-INDEX($C$24:$U$24,6),I21-I24),IF(6&gt;=2,INDEX($C$21:$U$21,6-1)-INDEX($C$24:$U$24,6-1),$C$21-$C$24)))</f>
        <v/>
      </c>
      <c r="J26" s="6">
        <f>IF(Assumptions!$B$90=0,J21-J24,IF(Assumptions!$B$90=1,IF(7&gt;=1,INDEX($C$21:$U$21,7)-INDEX($C$24:$U$24,7),J21-J24),IF(7&gt;=2,INDEX($C$21:$U$21,7-1)-INDEX($C$24:$U$24,7-1),$C$21-$C$24)))</f>
        <v/>
      </c>
      <c r="K26" s="6">
        <f>IF(Assumptions!$B$90=0,K21-K24,IF(Assumptions!$B$90=1,IF(8&gt;=1,INDEX($C$21:$U$21,8)-INDEX($C$24:$U$24,8),K21-K24),IF(8&gt;=2,INDEX($C$21:$U$21,8-1)-INDEX($C$24:$U$24,8-1),$C$21-$C$24)))</f>
        <v/>
      </c>
      <c r="L26" s="6">
        <f>IF(Assumptions!$B$90=0,L21-L24,IF(Assumptions!$B$90=1,IF(9&gt;=1,INDEX($C$21:$U$21,9)-INDEX($C$24:$U$24,9),L21-L24),IF(9&gt;=2,INDEX($C$21:$U$21,9-1)-INDEX($C$24:$U$24,9-1),$C$21-$C$24)))</f>
        <v/>
      </c>
      <c r="M26" s="6">
        <f>IF(Assumptions!$B$90=0,M21-M24,IF(Assumptions!$B$90=1,IF(10&gt;=1,INDEX($C$21:$U$21,10)-INDEX($C$24:$U$24,10),M21-M24),IF(10&gt;=2,INDEX($C$21:$U$21,10-1)-INDEX($C$24:$U$24,10-1),$C$21-$C$24)))</f>
        <v/>
      </c>
      <c r="N26" s="6">
        <f>IF(Assumptions!$B$90=0,N21-N24,IF(Assumptions!$B$90=1,IF(11&gt;=1,INDEX($C$21:$U$21,11)-INDEX($C$24:$U$24,11),N21-N24),IF(11&gt;=2,INDEX($C$21:$U$21,11-1)-INDEX($C$24:$U$24,11-1),$C$21-$C$24)))</f>
        <v/>
      </c>
      <c r="O26" s="6">
        <f>IF(Assumptions!$B$90=0,O21-O24,IF(Assumptions!$B$90=1,IF(12&gt;=1,INDEX($C$21:$U$21,12)-INDEX($C$24:$U$24,12),O21-O24),IF(12&gt;=2,INDEX($C$21:$U$21,12-1)-INDEX($C$24:$U$24,12-1),$C$21-$C$24)))</f>
        <v/>
      </c>
      <c r="P26" s="6">
        <f>IF(Assumptions!$B$90=0,P21-P24,IF(Assumptions!$B$90=1,IF(13&gt;=1,INDEX($C$21:$U$21,13)-INDEX($C$24:$U$24,13),P21-P24),IF(13&gt;=2,INDEX($C$21:$U$21,13-1)-INDEX($C$24:$U$24,13-1),$C$21-$C$24)))</f>
        <v/>
      </c>
      <c r="Q26" s="6">
        <f>IF(Assumptions!$B$90=0,Q21-Q24,IF(Assumptions!$B$90=1,IF(14&gt;=1,INDEX($C$21:$U$21,14)-INDEX($C$24:$U$24,14),Q21-Q24),IF(14&gt;=2,INDEX($C$21:$U$21,14-1)-INDEX($C$24:$U$24,14-1),$C$21-$C$24)))</f>
        <v/>
      </c>
      <c r="R26" s="6">
        <f>IF(Assumptions!$B$90=0,R21-R24,IF(Assumptions!$B$90=1,IF(15&gt;=1,INDEX($C$21:$U$21,15)-INDEX($C$24:$U$24,15),R21-R24),IF(15&gt;=2,INDEX($C$21:$U$21,15-1)-INDEX($C$24:$U$24,15-1),$C$21-$C$24)))</f>
        <v/>
      </c>
      <c r="S26" s="6">
        <f>IF(Assumptions!$B$90=0,S21-S24,IF(Assumptions!$B$90=1,IF(16&gt;=1,INDEX($C$21:$U$21,16)-INDEX($C$24:$U$24,16),S21-S24),IF(16&gt;=2,INDEX($C$21:$U$21,16-1)-INDEX($C$24:$U$24,16-1),$C$21-$C$24)))</f>
        <v/>
      </c>
      <c r="T26" s="6">
        <f>IF(Assumptions!$B$90=0,T21-T24,IF(Assumptions!$B$90=1,IF(17&gt;=1,INDEX($C$21:$U$21,17)-INDEX($C$24:$U$24,17),T21-T24),IF(17&gt;=2,INDEX($C$21:$U$21,17-1)-INDEX($C$24:$U$24,17-1),$C$21-$C$24)))</f>
        <v/>
      </c>
      <c r="U26" s="6">
        <f>IF(Assumptions!$B$90=0,U21-U24,IF(Assumptions!$B$90=1,IF(18&gt;=1,INDEX($C$21:$U$21,18)-INDEX($C$24:$U$24,18),U21-U24),IF(18&gt;=2,INDEX($C$21:$U$21,18-1)-INDEX($C$24:$U$24,18-1),$C$21-$C$24)))</f>
        <v/>
      </c>
    </row>
    <row r="27">
      <c r="A27" t="inlineStr">
        <is>
          <t>Owned share of cumulative energized MW (selected)</t>
        </is>
      </c>
      <c r="C27" s="7">
        <f>IF(C15&gt;0,C18/C15,0)</f>
        <v/>
      </c>
      <c r="D27" s="7">
        <f>IF(D15&gt;0,D18/D15,0)</f>
        <v/>
      </c>
      <c r="E27" s="7">
        <f>IF(E15&gt;0,E18/E15,0)</f>
        <v/>
      </c>
      <c r="F27" s="7">
        <f>IF(F15&gt;0,F18/F15,0)</f>
        <v/>
      </c>
      <c r="G27" s="7">
        <f>IF(G15&gt;0,G18/G15,0)</f>
        <v/>
      </c>
      <c r="H27" s="7">
        <f>IF(H15&gt;0,H18/H15,0)</f>
        <v/>
      </c>
      <c r="I27" s="7">
        <f>IF(I15&gt;0,I18/I15,0)</f>
        <v/>
      </c>
      <c r="J27" s="7">
        <f>IF(J15&gt;0,J18/J15,0)</f>
        <v/>
      </c>
      <c r="K27" s="7">
        <f>IF(K15&gt;0,K18/K15,0)</f>
        <v/>
      </c>
      <c r="L27" s="7">
        <f>IF(L15&gt;0,L18/L15,0)</f>
        <v/>
      </c>
      <c r="M27" s="7">
        <f>IF(M15&gt;0,M18/M15,0)</f>
        <v/>
      </c>
      <c r="N27" s="7">
        <f>IF(N15&gt;0,N18/N15,0)</f>
        <v/>
      </c>
      <c r="O27" s="7">
        <f>IF(O15&gt;0,O18/O15,0)</f>
        <v/>
      </c>
      <c r="P27" s="7">
        <f>IF(P15&gt;0,P18/P15,0)</f>
        <v/>
      </c>
      <c r="Q27" s="7">
        <f>IF(Q15&gt;0,Q18/Q15,0)</f>
        <v/>
      </c>
      <c r="R27" s="7">
        <f>IF(R15&gt;0,R18/R15,0)</f>
        <v/>
      </c>
      <c r="S27" s="7">
        <f>IF(S15&gt;0,S18/S15,0)</f>
        <v/>
      </c>
      <c r="T27" s="7">
        <f>IF(T15&gt;0,T18/T15,0)</f>
        <v/>
      </c>
      <c r="U27" s="7">
        <f>IF(U15&gt;0,U18/U15,0)</f>
        <v/>
      </c>
    </row>
    <row r="28">
      <c r="A28" t="inlineStr">
        <is>
          <t>Note: FY owned share of energized ADDITIONS (feeds capex mix) is on the Model sheet. Q2'26 column = starting point (energized at 6/30/26 per Capacity).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Microsoft (Vineland) tranche model - take-or-pay 'irrespective of actual utilization'; haircut = SLA/service credits + per-tranche termination (NOT demand)</t>
        </is>
      </c>
    </row>
    <row r="2">
      <c r="A2" t="inlineStr">
        <is>
          <t>Tranche</t>
        </is>
      </c>
      <c r="B2" t="inlineStr">
        <is>
          <t>Scheduled (contract/letter)</t>
        </is>
      </c>
      <c r="C2" t="inlineStr">
        <is>
          <t>Capacity base billing start</t>
        </is>
      </c>
      <c r="D2" t="inlineStr">
        <is>
          <t>Capacity bear billing start</t>
        </is>
      </c>
      <c r="E2" t="inlineStr">
        <is>
          <t>Selected start</t>
        </is>
      </c>
      <c r="F2" t="inlineStr">
        <is>
          <t>Terminate? (1 = cancelled)</t>
        </is>
      </c>
      <c r="G2" t="inlineStr">
        <is>
          <t>Quarterly revenue $M (TCV/9/20)</t>
        </is>
      </c>
      <c r="H2" t="inlineStr">
        <is>
          <t>Source / tag</t>
        </is>
      </c>
    </row>
    <row r="3">
      <c r="A3" t="inlineStr">
        <is>
          <t>T1</t>
        </is>
      </c>
      <c r="B3" s="3" t="inlineStr">
        <is>
          <t>Q4 2025</t>
        </is>
      </c>
      <c r="C3" s="3" t="inlineStr">
        <is>
          <t>Q4 2025</t>
        </is>
      </c>
      <c r="D3" s="3" t="inlineStr">
        <is>
          <t>Q4 2025</t>
        </is>
      </c>
      <c r="E3">
        <f>CHOOSE(Assumptions!$B$160,B3,C3,D3)</f>
        <v/>
      </c>
      <c r="F3" s="3" t="n">
        <v>0</v>
      </c>
      <c r="G3">
        <f>Assumptions!$B$161/9/20*(1-Assumptions!$B$53)*(1-F3)</f>
        <v/>
      </c>
      <c r="H3" t="inlineStr">
        <is>
          <t>Equal split (Estimated); dates: 20-F (T1 Nov-25, T2 Feb-26), Q2 letter (two tranches Jul/Aug-26), Capacity estimates T5-T9</t>
        </is>
      </c>
    </row>
    <row r="4">
      <c r="A4" t="inlineStr">
        <is>
          <t>T2</t>
        </is>
      </c>
      <c r="B4" s="3" t="inlineStr">
        <is>
          <t>Q1 2026</t>
        </is>
      </c>
      <c r="C4" s="3" t="inlineStr">
        <is>
          <t>Q1 2026</t>
        </is>
      </c>
      <c r="D4" s="3" t="inlineStr">
        <is>
          <t>Q1 2026</t>
        </is>
      </c>
      <c r="E4">
        <f>CHOOSE(Assumptions!$B$160,B4,C4,D4)</f>
        <v/>
      </c>
      <c r="F4" s="3" t="n">
        <v>0</v>
      </c>
      <c r="G4">
        <f>Assumptions!$B$161/9/20*(1-Assumptions!$B$53)*(1-F4)</f>
        <v/>
      </c>
      <c r="H4" t="inlineStr">
        <is>
          <t>Equal split (Estimated); dates: 20-F (T1 Nov-25, T2 Feb-26), Q2 letter (two tranches Jul/Aug-26), Capacity estimates T5-T9</t>
        </is>
      </c>
    </row>
    <row r="5">
      <c r="A5" t="inlineStr">
        <is>
          <t>T3</t>
        </is>
      </c>
      <c r="B5" s="3" t="inlineStr">
        <is>
          <t>Q3 2026</t>
        </is>
      </c>
      <c r="C5" s="3" t="inlineStr">
        <is>
          <t>Q3 2026</t>
        </is>
      </c>
      <c r="D5" s="3" t="inlineStr">
        <is>
          <t>Q3 2026</t>
        </is>
      </c>
      <c r="E5">
        <f>CHOOSE(Assumptions!$B$160,B5,C5,D5)</f>
        <v/>
      </c>
      <c r="F5" s="3" t="n">
        <v>0</v>
      </c>
      <c r="G5">
        <f>Assumptions!$B$161/9/20*(1-Assumptions!$B$53)*(1-F5)</f>
        <v/>
      </c>
      <c r="H5" t="inlineStr">
        <is>
          <t>Equal split (Estimated); dates: 20-F (T1 Nov-25, T2 Feb-26), Q2 letter (two tranches Jul/Aug-26), Capacity estimates T5-T9</t>
        </is>
      </c>
    </row>
    <row r="6">
      <c r="A6" t="inlineStr">
        <is>
          <t>T4</t>
        </is>
      </c>
      <c r="B6" s="3" t="inlineStr">
        <is>
          <t>Q3 2026</t>
        </is>
      </c>
      <c r="C6" s="3" t="inlineStr">
        <is>
          <t>Q3 2026</t>
        </is>
      </c>
      <c r="D6" s="3" t="inlineStr">
        <is>
          <t>Q3 2026</t>
        </is>
      </c>
      <c r="E6">
        <f>CHOOSE(Assumptions!$B$160,B6,C6,D6)</f>
        <v/>
      </c>
      <c r="F6" s="3" t="n">
        <v>0</v>
      </c>
      <c r="G6">
        <f>Assumptions!$B$161/9/20*(1-Assumptions!$B$53)*(1-F6)</f>
        <v/>
      </c>
      <c r="H6" t="inlineStr">
        <is>
          <t>Equal split (Estimated); dates: 20-F (T1 Nov-25, T2 Feb-26), Q2 letter (two tranches Jul/Aug-26), Capacity estimates T5-T9</t>
        </is>
      </c>
    </row>
    <row r="7">
      <c r="A7" t="inlineStr">
        <is>
          <t>T5</t>
        </is>
      </c>
      <c r="B7" s="3" t="inlineStr">
        <is>
          <t>Q3 2026</t>
        </is>
      </c>
      <c r="C7" s="3" t="inlineStr">
        <is>
          <t>Q2 2027</t>
        </is>
      </c>
      <c r="D7" s="3" t="inlineStr">
        <is>
          <t>Q3 2027</t>
        </is>
      </c>
      <c r="E7">
        <f>CHOOSE(Assumptions!$B$160,B7,C7,D7)</f>
        <v/>
      </c>
      <c r="F7" s="3" t="n">
        <v>0</v>
      </c>
      <c r="G7">
        <f>Assumptions!$B$161/9/20*(1-Assumptions!$B$53)*(1-F7)</f>
        <v/>
      </c>
      <c r="H7" t="inlineStr">
        <is>
          <t>Equal split (Estimated); dates: 20-F (T1 Nov-25, T2 Feb-26), Q2 letter (two tranches Jul/Aug-26), Capacity estimates T5-T9</t>
        </is>
      </c>
    </row>
    <row r="8">
      <c r="A8" t="inlineStr">
        <is>
          <t>T6</t>
        </is>
      </c>
      <c r="B8" s="3" t="inlineStr">
        <is>
          <t>Q3 2026</t>
        </is>
      </c>
      <c r="C8" s="3" t="inlineStr">
        <is>
          <t>Q2 2027</t>
        </is>
      </c>
      <c r="D8" s="3" t="inlineStr">
        <is>
          <t>Q3 2027</t>
        </is>
      </c>
      <c r="E8">
        <f>CHOOSE(Assumptions!$B$160,B8,C8,D8)</f>
        <v/>
      </c>
      <c r="F8" s="3" t="n">
        <v>0</v>
      </c>
      <c r="G8">
        <f>Assumptions!$B$161/9/20*(1-Assumptions!$B$53)*(1-F8)</f>
        <v/>
      </c>
      <c r="H8" t="inlineStr">
        <is>
          <t>Equal split (Estimated); dates: 20-F (T1 Nov-25, T2 Feb-26), Q2 letter (two tranches Jul/Aug-26), Capacity estimates T5-T9</t>
        </is>
      </c>
    </row>
    <row r="9">
      <c r="A9" t="inlineStr">
        <is>
          <t>T7</t>
        </is>
      </c>
      <c r="B9" s="3" t="inlineStr">
        <is>
          <t>Q3 2026</t>
        </is>
      </c>
      <c r="C9" s="3" t="inlineStr">
        <is>
          <t>Q3 2027</t>
        </is>
      </c>
      <c r="D9" s="3" t="inlineStr">
        <is>
          <t>Q4 2027</t>
        </is>
      </c>
      <c r="E9">
        <f>CHOOSE(Assumptions!$B$160,B9,C9,D9)</f>
        <v/>
      </c>
      <c r="F9" s="3" t="n">
        <v>0</v>
      </c>
      <c r="G9">
        <f>Assumptions!$B$161/9/20*(1-Assumptions!$B$53)*(1-F9)</f>
        <v/>
      </c>
      <c r="H9" t="inlineStr">
        <is>
          <t>Equal split (Estimated); dates: 20-F (T1 Nov-25, T2 Feb-26), Q2 letter (two tranches Jul/Aug-26), Capacity estimates T5-T9</t>
        </is>
      </c>
    </row>
    <row r="10">
      <c r="A10" t="inlineStr">
        <is>
          <t>T8</t>
        </is>
      </c>
      <c r="B10" s="3" t="inlineStr">
        <is>
          <t>Q3 2026</t>
        </is>
      </c>
      <c r="C10" s="3" t="inlineStr">
        <is>
          <t>Q3 2027</t>
        </is>
      </c>
      <c r="D10" s="3" t="inlineStr">
        <is>
          <t>Q4 2027</t>
        </is>
      </c>
      <c r="E10">
        <f>CHOOSE(Assumptions!$B$160,B10,C10,D10)</f>
        <v/>
      </c>
      <c r="F10" s="3" t="n">
        <v>0</v>
      </c>
      <c r="G10">
        <f>Assumptions!$B$161/9/20*(1-Assumptions!$B$53)*(1-F10)</f>
        <v/>
      </c>
      <c r="H10" t="inlineStr">
        <is>
          <t>Equal split (Estimated); dates: 20-F (T1 Nov-25, T2 Feb-26), Q2 letter (two tranches Jul/Aug-26), Capacity estimates T5-T9</t>
        </is>
      </c>
    </row>
    <row r="11">
      <c r="A11" t="inlineStr">
        <is>
          <t>T9</t>
        </is>
      </c>
      <c r="B11" s="3" t="inlineStr">
        <is>
          <t>Q3 2026</t>
        </is>
      </c>
      <c r="C11" s="3" t="inlineStr">
        <is>
          <t>Q3 2027</t>
        </is>
      </c>
      <c r="D11" s="3" t="inlineStr">
        <is>
          <t>Q1 2028</t>
        </is>
      </c>
      <c r="E11">
        <f>CHOOSE(Assumptions!$B$160,B11,C11,D11)</f>
        <v/>
      </c>
      <c r="F11" s="3" t="n">
        <v>0</v>
      </c>
      <c r="G11">
        <f>Assumptions!$B$161/9/20*(1-Assumptions!$B$53)*(1-F11)</f>
        <v/>
      </c>
      <c r="H11" t="inlineStr">
        <is>
          <t>Equal split (Estimated); dates: 20-F (T1 Nov-25, T2 Feb-26), Q2 letter (two tranches Jul/Aug-26), Capacity estimates T5-T9</t>
        </is>
      </c>
    </row>
    <row r="13">
      <c r="A13" t="inlineStr">
        <is>
          <t>Quarter</t>
        </is>
      </c>
      <c r="B13" t="inlineStr">
        <is>
          <t>Q4 2025</t>
        </is>
      </c>
      <c r="C13" t="inlineStr">
        <is>
          <t>Q1 2026</t>
        </is>
      </c>
      <c r="D13" t="inlineStr">
        <is>
          <t>Q2 2026</t>
        </is>
      </c>
      <c r="E13" t="inlineStr">
        <is>
          <t>Q3 2026</t>
        </is>
      </c>
      <c r="F13" t="inlineStr">
        <is>
          <t>Q4 2026</t>
        </is>
      </c>
      <c r="G13" t="inlineStr">
        <is>
          <t>Q1 2027</t>
        </is>
      </c>
      <c r="H13" t="inlineStr">
        <is>
          <t>Q2 2027</t>
        </is>
      </c>
      <c r="I13" t="inlineStr">
        <is>
          <t>Q3 2027</t>
        </is>
      </c>
      <c r="J13" t="inlineStr">
        <is>
          <t>Q4 2027</t>
        </is>
      </c>
      <c r="K13" t="inlineStr">
        <is>
          <t>Q1 2028</t>
        </is>
      </c>
      <c r="L13" t="inlineStr">
        <is>
          <t>Q2 2028</t>
        </is>
      </c>
      <c r="M13" t="inlineStr">
        <is>
          <t>Q3 2028</t>
        </is>
      </c>
      <c r="N13" t="inlineStr">
        <is>
          <t>Q4 2028</t>
        </is>
      </c>
      <c r="O13" t="inlineStr">
        <is>
          <t>Q1 2029</t>
        </is>
      </c>
      <c r="P13" t="inlineStr">
        <is>
          <t>Q2 2029</t>
        </is>
      </c>
      <c r="Q13" t="inlineStr">
        <is>
          <t>Q3 2029</t>
        </is>
      </c>
      <c r="R13" t="inlineStr">
        <is>
          <t>Q4 2029</t>
        </is>
      </c>
      <c r="S13" t="inlineStr">
        <is>
          <t>Q1 2030</t>
        </is>
      </c>
      <c r="T13" t="inlineStr">
        <is>
          <t>Q2 2030</t>
        </is>
      </c>
      <c r="U13" t="inlineStr">
        <is>
          <t>Q3 2030</t>
        </is>
      </c>
      <c r="V13" t="inlineStr">
        <is>
          <t>Q4 2030</t>
        </is>
      </c>
      <c r="W13" t="inlineStr">
        <is>
          <t>Q1 2031</t>
        </is>
      </c>
      <c r="X13" t="inlineStr">
        <is>
          <t>Q2 2031</t>
        </is>
      </c>
      <c r="Y13" t="inlineStr">
        <is>
          <t>Q3 2031</t>
        </is>
      </c>
      <c r="Z13" t="inlineStr">
        <is>
          <t>Q4 2031</t>
        </is>
      </c>
    </row>
    <row r="14">
      <c r="A14" t="inlineStr">
        <is>
          <t>Revenue $M</t>
        </is>
      </c>
      <c r="B14" s="8">
        <f>SUMPRODUCT(($G$3:$G$11)*(MATCH($E$3:$E$11,$B$13:$Z$13,0)&lt;=COLUMN()-1)*(MATCH($E$3:$E$11,$B$13:$Z$13,0)&gt;COLUMN()-21))</f>
        <v/>
      </c>
      <c r="C14" s="8">
        <f>SUMPRODUCT(($G$3:$G$11)*(MATCH($E$3:$E$11,$B$13:$Z$13,0)&lt;=COLUMN()-1)*(MATCH($E$3:$E$11,$B$13:$Z$13,0)&gt;COLUMN()-21))</f>
        <v/>
      </c>
      <c r="D14" s="8">
        <f>SUMPRODUCT(($G$3:$G$11)*(MATCH($E$3:$E$11,$B$13:$Z$13,0)&lt;=COLUMN()-1)*(MATCH($E$3:$E$11,$B$13:$Z$13,0)&gt;COLUMN()-21))</f>
        <v/>
      </c>
      <c r="E14" s="8">
        <f>SUMPRODUCT(($G$3:$G$11)*(MATCH($E$3:$E$11,$B$13:$Z$13,0)&lt;=COLUMN()-1)*(MATCH($E$3:$E$11,$B$13:$Z$13,0)&gt;COLUMN()-21))</f>
        <v/>
      </c>
      <c r="F14" s="8">
        <f>SUMPRODUCT(($G$3:$G$11)*(MATCH($E$3:$E$11,$B$13:$Z$13,0)&lt;=COLUMN()-1)*(MATCH($E$3:$E$11,$B$13:$Z$13,0)&gt;COLUMN()-21))</f>
        <v/>
      </c>
      <c r="G14" s="8">
        <f>SUMPRODUCT(($G$3:$G$11)*(MATCH($E$3:$E$11,$B$13:$Z$13,0)&lt;=COLUMN()-1)*(MATCH($E$3:$E$11,$B$13:$Z$13,0)&gt;COLUMN()-21))</f>
        <v/>
      </c>
      <c r="H14" s="8">
        <f>SUMPRODUCT(($G$3:$G$11)*(MATCH($E$3:$E$11,$B$13:$Z$13,0)&lt;=COLUMN()-1)*(MATCH($E$3:$E$11,$B$13:$Z$13,0)&gt;COLUMN()-21))</f>
        <v/>
      </c>
      <c r="I14" s="8">
        <f>SUMPRODUCT(($G$3:$G$11)*(MATCH($E$3:$E$11,$B$13:$Z$13,0)&lt;=COLUMN()-1)*(MATCH($E$3:$E$11,$B$13:$Z$13,0)&gt;COLUMN()-21))</f>
        <v/>
      </c>
      <c r="J14" s="8">
        <f>SUMPRODUCT(($G$3:$G$11)*(MATCH($E$3:$E$11,$B$13:$Z$13,0)&lt;=COLUMN()-1)*(MATCH($E$3:$E$11,$B$13:$Z$13,0)&gt;COLUMN()-21))</f>
        <v/>
      </c>
      <c r="K14" s="8">
        <f>SUMPRODUCT(($G$3:$G$11)*(MATCH($E$3:$E$11,$B$13:$Z$13,0)&lt;=COLUMN()-1)*(MATCH($E$3:$E$11,$B$13:$Z$13,0)&gt;COLUMN()-21))</f>
        <v/>
      </c>
      <c r="L14" s="8">
        <f>SUMPRODUCT(($G$3:$G$11)*(MATCH($E$3:$E$11,$B$13:$Z$13,0)&lt;=COLUMN()-1)*(MATCH($E$3:$E$11,$B$13:$Z$13,0)&gt;COLUMN()-21))</f>
        <v/>
      </c>
      <c r="M14" s="8">
        <f>SUMPRODUCT(($G$3:$G$11)*(MATCH($E$3:$E$11,$B$13:$Z$13,0)&lt;=COLUMN()-1)*(MATCH($E$3:$E$11,$B$13:$Z$13,0)&gt;COLUMN()-21))</f>
        <v/>
      </c>
      <c r="N14" s="8">
        <f>SUMPRODUCT(($G$3:$G$11)*(MATCH($E$3:$E$11,$B$13:$Z$13,0)&lt;=COLUMN()-1)*(MATCH($E$3:$E$11,$B$13:$Z$13,0)&gt;COLUMN()-21))</f>
        <v/>
      </c>
      <c r="O14" s="8">
        <f>SUMPRODUCT(($G$3:$G$11)*(MATCH($E$3:$E$11,$B$13:$Z$13,0)&lt;=COLUMN()-1)*(MATCH($E$3:$E$11,$B$13:$Z$13,0)&gt;COLUMN()-21))</f>
        <v/>
      </c>
      <c r="P14" s="8">
        <f>SUMPRODUCT(($G$3:$G$11)*(MATCH($E$3:$E$11,$B$13:$Z$13,0)&lt;=COLUMN()-1)*(MATCH($E$3:$E$11,$B$13:$Z$13,0)&gt;COLUMN()-21))</f>
        <v/>
      </c>
      <c r="Q14" s="8">
        <f>SUMPRODUCT(($G$3:$G$11)*(MATCH($E$3:$E$11,$B$13:$Z$13,0)&lt;=COLUMN()-1)*(MATCH($E$3:$E$11,$B$13:$Z$13,0)&gt;COLUMN()-21))</f>
        <v/>
      </c>
      <c r="R14" s="8">
        <f>SUMPRODUCT(($G$3:$G$11)*(MATCH($E$3:$E$11,$B$13:$Z$13,0)&lt;=COLUMN()-1)*(MATCH($E$3:$E$11,$B$13:$Z$13,0)&gt;COLUMN()-21))</f>
        <v/>
      </c>
      <c r="S14" s="8">
        <f>SUMPRODUCT(($G$3:$G$11)*(MATCH($E$3:$E$11,$B$13:$Z$13,0)&lt;=COLUMN()-1)*(MATCH($E$3:$E$11,$B$13:$Z$13,0)&gt;COLUMN()-21))</f>
        <v/>
      </c>
      <c r="T14" s="8">
        <f>SUMPRODUCT(($G$3:$G$11)*(MATCH($E$3:$E$11,$B$13:$Z$13,0)&lt;=COLUMN()-1)*(MATCH($E$3:$E$11,$B$13:$Z$13,0)&gt;COLUMN()-21))</f>
        <v/>
      </c>
      <c r="U14" s="8">
        <f>SUMPRODUCT(($G$3:$G$11)*(MATCH($E$3:$E$11,$B$13:$Z$13,0)&lt;=COLUMN()-1)*(MATCH($E$3:$E$11,$B$13:$Z$13,0)&gt;COLUMN()-21))</f>
        <v/>
      </c>
      <c r="V14" s="8">
        <f>SUMPRODUCT(($G$3:$G$11)*(MATCH($E$3:$E$11,$B$13:$Z$13,0)&lt;=COLUMN()-1)*(MATCH($E$3:$E$11,$B$13:$Z$13,0)&gt;COLUMN()-21))</f>
        <v/>
      </c>
      <c r="W14" s="8">
        <f>SUMPRODUCT(($G$3:$G$11)*(MATCH($E$3:$E$11,$B$13:$Z$13,0)&lt;=COLUMN()-1)*(MATCH($E$3:$E$11,$B$13:$Z$13,0)&gt;COLUMN()-21))</f>
        <v/>
      </c>
      <c r="X14" s="8">
        <f>SUMPRODUCT(($G$3:$G$11)*(MATCH($E$3:$E$11,$B$13:$Z$13,0)&lt;=COLUMN()-1)*(MATCH($E$3:$E$11,$B$13:$Z$13,0)&gt;COLUMN()-21))</f>
        <v/>
      </c>
      <c r="Y14" s="8">
        <f>SUMPRODUCT(($G$3:$G$11)*(MATCH($E$3:$E$11,$B$13:$Z$13,0)&lt;=COLUMN()-1)*(MATCH($E$3:$E$11,$B$13:$Z$13,0)&gt;COLUMN()-21))</f>
        <v/>
      </c>
      <c r="Z14" s="8">
        <f>SUMPRODUCT(($G$3:$G$11)*(MATCH($E$3:$E$11,$B$13:$Z$13,0)&lt;=COLUMN()-1)*(MATCH($E$3:$E$11,$B$13:$Z$13,0)&gt;COLUMN()-21))</f>
        <v/>
      </c>
    </row>
    <row r="15">
      <c r="A15" t="inlineStr">
        <is>
          <t>Billing tranches</t>
        </is>
      </c>
      <c r="B15">
        <f>SUMPRODUCT((1-$F$3:$F$11)*(MATCH($E$3:$E$11,$B$13:$Z$13,0)&lt;=COLUMN()-1)*(MATCH($E$3:$E$11,$B$13:$Z$13,0)&gt;COLUMN()-21))</f>
        <v/>
      </c>
      <c r="C15">
        <f>SUMPRODUCT((1-$F$3:$F$11)*(MATCH($E$3:$E$11,$B$13:$Z$13,0)&lt;=COLUMN()-1)*(MATCH($E$3:$E$11,$B$13:$Z$13,0)&gt;COLUMN()-21))</f>
        <v/>
      </c>
      <c r="D15">
        <f>SUMPRODUCT((1-$F$3:$F$11)*(MATCH($E$3:$E$11,$B$13:$Z$13,0)&lt;=COLUMN()-1)*(MATCH($E$3:$E$11,$B$13:$Z$13,0)&gt;COLUMN()-21))</f>
        <v/>
      </c>
      <c r="E15">
        <f>SUMPRODUCT((1-$F$3:$F$11)*(MATCH($E$3:$E$11,$B$13:$Z$13,0)&lt;=COLUMN()-1)*(MATCH($E$3:$E$11,$B$13:$Z$13,0)&gt;COLUMN()-21))</f>
        <v/>
      </c>
      <c r="F15">
        <f>SUMPRODUCT((1-$F$3:$F$11)*(MATCH($E$3:$E$11,$B$13:$Z$13,0)&lt;=COLUMN()-1)*(MATCH($E$3:$E$11,$B$13:$Z$13,0)&gt;COLUMN()-21))</f>
        <v/>
      </c>
      <c r="G15">
        <f>SUMPRODUCT((1-$F$3:$F$11)*(MATCH($E$3:$E$11,$B$13:$Z$13,0)&lt;=COLUMN()-1)*(MATCH($E$3:$E$11,$B$13:$Z$13,0)&gt;COLUMN()-21))</f>
        <v/>
      </c>
      <c r="H15">
        <f>SUMPRODUCT((1-$F$3:$F$11)*(MATCH($E$3:$E$11,$B$13:$Z$13,0)&lt;=COLUMN()-1)*(MATCH($E$3:$E$11,$B$13:$Z$13,0)&gt;COLUMN()-21))</f>
        <v/>
      </c>
      <c r="I15">
        <f>SUMPRODUCT((1-$F$3:$F$11)*(MATCH($E$3:$E$11,$B$13:$Z$13,0)&lt;=COLUMN()-1)*(MATCH($E$3:$E$11,$B$13:$Z$13,0)&gt;COLUMN()-21))</f>
        <v/>
      </c>
      <c r="J15">
        <f>SUMPRODUCT((1-$F$3:$F$11)*(MATCH($E$3:$E$11,$B$13:$Z$13,0)&lt;=COLUMN()-1)*(MATCH($E$3:$E$11,$B$13:$Z$13,0)&gt;COLUMN()-21))</f>
        <v/>
      </c>
      <c r="K15">
        <f>SUMPRODUCT((1-$F$3:$F$11)*(MATCH($E$3:$E$11,$B$13:$Z$13,0)&lt;=COLUMN()-1)*(MATCH($E$3:$E$11,$B$13:$Z$13,0)&gt;COLUMN()-21))</f>
        <v/>
      </c>
      <c r="L15">
        <f>SUMPRODUCT((1-$F$3:$F$11)*(MATCH($E$3:$E$11,$B$13:$Z$13,0)&lt;=COLUMN()-1)*(MATCH($E$3:$E$11,$B$13:$Z$13,0)&gt;COLUMN()-21))</f>
        <v/>
      </c>
      <c r="M15">
        <f>SUMPRODUCT((1-$F$3:$F$11)*(MATCH($E$3:$E$11,$B$13:$Z$13,0)&lt;=COLUMN()-1)*(MATCH($E$3:$E$11,$B$13:$Z$13,0)&gt;COLUMN()-21))</f>
        <v/>
      </c>
      <c r="N15">
        <f>SUMPRODUCT((1-$F$3:$F$11)*(MATCH($E$3:$E$11,$B$13:$Z$13,0)&lt;=COLUMN()-1)*(MATCH($E$3:$E$11,$B$13:$Z$13,0)&gt;COLUMN()-21))</f>
        <v/>
      </c>
      <c r="O15">
        <f>SUMPRODUCT((1-$F$3:$F$11)*(MATCH($E$3:$E$11,$B$13:$Z$13,0)&lt;=COLUMN()-1)*(MATCH($E$3:$E$11,$B$13:$Z$13,0)&gt;COLUMN()-21))</f>
        <v/>
      </c>
      <c r="P15">
        <f>SUMPRODUCT((1-$F$3:$F$11)*(MATCH($E$3:$E$11,$B$13:$Z$13,0)&lt;=COLUMN()-1)*(MATCH($E$3:$E$11,$B$13:$Z$13,0)&gt;COLUMN()-21))</f>
        <v/>
      </c>
      <c r="Q15">
        <f>SUMPRODUCT((1-$F$3:$F$11)*(MATCH($E$3:$E$11,$B$13:$Z$13,0)&lt;=COLUMN()-1)*(MATCH($E$3:$E$11,$B$13:$Z$13,0)&gt;COLUMN()-21))</f>
        <v/>
      </c>
      <c r="R15">
        <f>SUMPRODUCT((1-$F$3:$F$11)*(MATCH($E$3:$E$11,$B$13:$Z$13,0)&lt;=COLUMN()-1)*(MATCH($E$3:$E$11,$B$13:$Z$13,0)&gt;COLUMN()-21))</f>
        <v/>
      </c>
      <c r="S15">
        <f>SUMPRODUCT((1-$F$3:$F$11)*(MATCH($E$3:$E$11,$B$13:$Z$13,0)&lt;=COLUMN()-1)*(MATCH($E$3:$E$11,$B$13:$Z$13,0)&gt;COLUMN()-21))</f>
        <v/>
      </c>
      <c r="T15">
        <f>SUMPRODUCT((1-$F$3:$F$11)*(MATCH($E$3:$E$11,$B$13:$Z$13,0)&lt;=COLUMN()-1)*(MATCH($E$3:$E$11,$B$13:$Z$13,0)&gt;COLUMN()-21))</f>
        <v/>
      </c>
      <c r="U15">
        <f>SUMPRODUCT((1-$F$3:$F$11)*(MATCH($E$3:$E$11,$B$13:$Z$13,0)&lt;=COLUMN()-1)*(MATCH($E$3:$E$11,$B$13:$Z$13,0)&gt;COLUMN()-21))</f>
        <v/>
      </c>
      <c r="V15">
        <f>SUMPRODUCT((1-$F$3:$F$11)*(MATCH($E$3:$E$11,$B$13:$Z$13,0)&lt;=COLUMN()-1)*(MATCH($E$3:$E$11,$B$13:$Z$13,0)&gt;COLUMN()-21))</f>
        <v/>
      </c>
      <c r="W15">
        <f>SUMPRODUCT((1-$F$3:$F$11)*(MATCH($E$3:$E$11,$B$13:$Z$13,0)&lt;=COLUMN()-1)*(MATCH($E$3:$E$11,$B$13:$Z$13,0)&gt;COLUMN()-21))</f>
        <v/>
      </c>
      <c r="X15">
        <f>SUMPRODUCT((1-$F$3:$F$11)*(MATCH($E$3:$E$11,$B$13:$Z$13,0)&lt;=COLUMN()-1)*(MATCH($E$3:$E$11,$B$13:$Z$13,0)&gt;COLUMN()-21))</f>
        <v/>
      </c>
      <c r="Y15">
        <f>SUMPRODUCT((1-$F$3:$F$11)*(MATCH($E$3:$E$11,$B$13:$Z$13,0)&lt;=COLUMN()-1)*(MATCH($E$3:$E$11,$B$13:$Z$13,0)&gt;COLUMN()-21))</f>
        <v/>
      </c>
      <c r="Z15">
        <f>SUMPRODUCT((1-$F$3:$F$11)*(MATCH($E$3:$E$11,$B$13:$Z$13,0)&lt;=COLUMN()-1)*(MATCH($E$3:$E$11,$B$13:$Z$13,0)&gt;COLUMN()-21))</f>
        <v/>
      </c>
    </row>
    <row r="17">
      <c r="A17" t="inlineStr">
        <is>
          <t>Q2'26 check: equal-split T1+T2 = $193M/qtr vs top customer 24% x $582.3M = ~$140M (Capacity) - either T1/T2 smaller than 1/9 or customer C is not Microsoft</t>
        </is>
      </c>
    </row>
    <row r="18">
      <c r="A18" t="inlineStr">
        <is>
          <t>FY2026 Microsoft revenue</t>
        </is>
      </c>
      <c r="B18">
        <f>SUMPRODUCT(($B$14:$Z$14)*(RIGHT($B$13:$Z$13,4)="2026"))</f>
        <v/>
      </c>
    </row>
    <row r="19">
      <c r="A19" t="inlineStr">
        <is>
          <t>FY2027 Microsoft revenue</t>
        </is>
      </c>
      <c r="B19">
        <f>SUMPRODUCT(($B$14:$Z$14)*(RIGHT($B$13:$Z$13,4)="2027"))</f>
        <v/>
      </c>
    </row>
    <row r="20">
      <c r="A20" t="inlineStr">
        <is>
          <t>FY2028 Microsoft revenue</t>
        </is>
      </c>
      <c r="B20">
        <f>SUMPRODUCT(($B$14:$Z$14)*(RIGHT($B$13:$Z$13,4)="2028"))</f>
        <v/>
      </c>
    </row>
    <row r="21">
      <c r="A21" t="inlineStr">
        <is>
          <t>Total billed over life (TCV after SLA/terminations)</t>
        </is>
      </c>
      <c r="B21">
        <f>SUM(G3:G11)*20</f>
        <v/>
      </c>
    </row>
    <row r="22">
      <c r="A22" t="inlineStr">
        <is>
          <t>PV at Q3'26 of Microsoft revenue Q3'26-Q4'31 at WACC (Microsoft through 2031 only partly visible in the 2030 horizon)</t>
        </is>
      </c>
      <c r="B22">
        <f>SUMPRODUCT($B$14:$Z$14*(COLUMN($B$14:$Z$14)&gt;=5)*(1+Assumptions!$B$149)^(-(COLUMN($B$14:$Z$14)-5)/4))</f>
        <v/>
      </c>
    </row>
    <row r="23">
      <c r="A23" t="inlineStr">
        <is>
          <t>Genset ceiling run-rate (4 tranches) $M/yr</t>
        </is>
      </c>
      <c r="B23">
        <f>4*Assumptions!$B$161/9/5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t="inlineStr">
        <is>
          <t>Bottom-up revenue from billing-MW path ($M) - leg 3 re-run</t>
        </is>
      </c>
      <c r="C1" t="inlineStr">
        <is>
          <t>Q3 2026</t>
        </is>
      </c>
      <c r="D1" t="inlineStr">
        <is>
          <t>Q4 2026</t>
        </is>
      </c>
      <c r="E1" t="inlineStr">
        <is>
          <t>Q1 2027</t>
        </is>
      </c>
      <c r="F1" t="inlineStr">
        <is>
          <t>Q2 2027</t>
        </is>
      </c>
      <c r="G1" t="inlineStr">
        <is>
          <t>Q3 2027</t>
        </is>
      </c>
      <c r="H1" t="inlineStr">
        <is>
          <t>Q4 2027</t>
        </is>
      </c>
      <c r="I1" t="inlineStr">
        <is>
          <t>Q1 2028</t>
        </is>
      </c>
      <c r="J1" t="inlineStr">
        <is>
          <t>Q2 2028</t>
        </is>
      </c>
      <c r="K1" t="inlineStr">
        <is>
          <t>Q3 2028</t>
        </is>
      </c>
      <c r="L1" t="inlineStr">
        <is>
          <t>Q4 2028</t>
        </is>
      </c>
      <c r="M1" t="inlineStr">
        <is>
          <t>Q1 2029</t>
        </is>
      </c>
      <c r="N1" t="inlineStr">
        <is>
          <t>Q2 2029</t>
        </is>
      </c>
      <c r="O1" t="inlineStr">
        <is>
          <t>Q3 2029</t>
        </is>
      </c>
      <c r="P1" t="inlineStr">
        <is>
          <t>Q4 2029</t>
        </is>
      </c>
      <c r="Q1" t="inlineStr">
        <is>
          <t>Q1 2030</t>
        </is>
      </c>
      <c r="R1" t="inlineStr">
        <is>
          <t>Q2 2030</t>
        </is>
      </c>
      <c r="S1" t="inlineStr">
        <is>
          <t>Q3 2030</t>
        </is>
      </c>
      <c r="T1" t="inlineStr">
        <is>
          <t>Q4 2030</t>
        </is>
      </c>
    </row>
    <row r="2">
      <c r="A2" t="inlineStr">
        <is>
          <t>Billing gross MW ex-Vineland</t>
        </is>
      </c>
      <c r="C2" s="8">
        <f>MW!D26</f>
        <v/>
      </c>
      <c r="D2" s="8">
        <f>MW!E26</f>
        <v/>
      </c>
      <c r="E2" s="8">
        <f>MW!F26</f>
        <v/>
      </c>
      <c r="F2" s="8">
        <f>MW!G26</f>
        <v/>
      </c>
      <c r="G2" s="8">
        <f>MW!H26</f>
        <v/>
      </c>
      <c r="H2" s="8">
        <f>MW!I26</f>
        <v/>
      </c>
      <c r="I2" s="8">
        <f>MW!J26</f>
        <v/>
      </c>
      <c r="J2" s="8">
        <f>MW!K26</f>
        <v/>
      </c>
      <c r="K2" s="8">
        <f>MW!L26</f>
        <v/>
      </c>
      <c r="L2" s="8">
        <f>MW!M26</f>
        <v/>
      </c>
      <c r="M2" s="8">
        <f>MW!N26</f>
        <v/>
      </c>
      <c r="N2" s="8">
        <f>MW!O26</f>
        <v/>
      </c>
      <c r="O2" s="8">
        <f>MW!P26</f>
        <v/>
      </c>
      <c r="P2" s="8">
        <f>MW!Q26</f>
        <v/>
      </c>
      <c r="Q2" s="8">
        <f>MW!R26</f>
        <v/>
      </c>
      <c r="R2" s="8">
        <f>MW!S26</f>
        <v/>
      </c>
      <c r="S2" s="8">
        <f>MW!T26</f>
        <v/>
      </c>
      <c r="T2" s="8">
        <f>MW!U26</f>
        <v/>
      </c>
    </row>
    <row r="3">
      <c r="A3" t="inlineStr">
        <is>
          <t xml:space="preserve">  Installed-book MW (Q2'26 billing level, at $12M)</t>
        </is>
      </c>
      <c r="C3" s="8">
        <f>MIN(C2,MW!$C$26)</f>
        <v/>
      </c>
      <c r="D3" s="8">
        <f>MIN(D2,MW!$C$26)</f>
        <v/>
      </c>
      <c r="E3" s="8">
        <f>MIN(E2,MW!$C$26)</f>
        <v/>
      </c>
      <c r="F3" s="8">
        <f>MIN(F2,MW!$C$26)</f>
        <v/>
      </c>
      <c r="G3" s="8">
        <f>MIN(G2,MW!$C$26)</f>
        <v/>
      </c>
      <c r="H3" s="8">
        <f>MIN(H2,MW!$C$26)</f>
        <v/>
      </c>
      <c r="I3" s="8">
        <f>MIN(I2,MW!$C$26)</f>
        <v/>
      </c>
      <c r="J3" s="8">
        <f>MIN(J2,MW!$C$26)</f>
        <v/>
      </c>
      <c r="K3" s="8">
        <f>MIN(K2,MW!$C$26)</f>
        <v/>
      </c>
      <c r="L3" s="8">
        <f>MIN(L2,MW!$C$26)</f>
        <v/>
      </c>
      <c r="M3" s="8">
        <f>MIN(M2,MW!$C$26)</f>
        <v/>
      </c>
      <c r="N3" s="8">
        <f>MIN(N2,MW!$C$26)</f>
        <v/>
      </c>
      <c r="O3" s="8">
        <f>MIN(O2,MW!$C$26)</f>
        <v/>
      </c>
      <c r="P3" s="8">
        <f>MIN(P2,MW!$C$26)</f>
        <v/>
      </c>
      <c r="Q3" s="8">
        <f>MIN(Q2,MW!$C$26)</f>
        <v/>
      </c>
      <c r="R3" s="8">
        <f>MIN(R2,MW!$C$26)</f>
        <v/>
      </c>
      <c r="S3" s="8">
        <f>MIN(S2,MW!$C$26)</f>
        <v/>
      </c>
      <c r="T3" s="8">
        <f>MIN(T2,MW!$C$26)</f>
        <v/>
      </c>
    </row>
    <row r="4">
      <c r="A4" t="inlineStr">
        <is>
          <t xml:space="preserve">  Incremental MW (at Q2-deal ACV)</t>
        </is>
      </c>
      <c r="C4" s="8">
        <f>C2-C3</f>
        <v/>
      </c>
      <c r="D4" s="8">
        <f>D2-D3</f>
        <v/>
      </c>
      <c r="E4" s="8">
        <f>E2-E3</f>
        <v/>
      </c>
      <c r="F4" s="8">
        <f>F2-F3</f>
        <v/>
      </c>
      <c r="G4" s="8">
        <f>G2-G3</f>
        <v/>
      </c>
      <c r="H4" s="8">
        <f>H2-H3</f>
        <v/>
      </c>
      <c r="I4" s="8">
        <f>I2-I3</f>
        <v/>
      </c>
      <c r="J4" s="8">
        <f>J2-J3</f>
        <v/>
      </c>
      <c r="K4" s="8">
        <f>K2-K3</f>
        <v/>
      </c>
      <c r="L4" s="8">
        <f>L2-L3</f>
        <v/>
      </c>
      <c r="M4" s="8">
        <f>M2-M3</f>
        <v/>
      </c>
      <c r="N4" s="8">
        <f>N2-N3</f>
        <v/>
      </c>
      <c r="O4" s="8">
        <f>O2-O3</f>
        <v/>
      </c>
      <c r="P4" s="8">
        <f>P2-P3</f>
        <v/>
      </c>
      <c r="Q4" s="8">
        <f>Q2-Q3</f>
        <v/>
      </c>
      <c r="R4" s="8">
        <f>R2-R3</f>
        <v/>
      </c>
      <c r="S4" s="8">
        <f>S2-S3</f>
        <v/>
      </c>
      <c r="T4" s="8">
        <f>T2-T3</f>
        <v/>
      </c>
    </row>
    <row r="5">
      <c r="A5" t="inlineStr">
        <is>
          <t>Non-Microsoft revenue</t>
        </is>
      </c>
      <c r="C5" s="8">
        <f>(C3*Assumptions!$B$44+C4*Assumptions!$B$93)/4*(1+Assumptions!$B$94*Assumptions!$B$95)</f>
        <v/>
      </c>
      <c r="D5" s="8">
        <f>(D3*Assumptions!$B$44+D4*Assumptions!$B$93)/4*(1+Assumptions!$B$94*Assumptions!$B$95)</f>
        <v/>
      </c>
      <c r="E5" s="8">
        <f>(E3*Assumptions!$B$44+E4*Assumptions!$B$93)/4*(1+Assumptions!$B$94*Assumptions!$B$95)</f>
        <v/>
      </c>
      <c r="F5" s="8">
        <f>(F3*Assumptions!$B$44+F4*Assumptions!$B$93)/4*(1+Assumptions!$B$94*Assumptions!$B$95)</f>
        <v/>
      </c>
      <c r="G5" s="8">
        <f>(G3*Assumptions!$B$44+G4*Assumptions!$B$93)/4*(1+Assumptions!$B$94*Assumptions!$B$95)</f>
        <v/>
      </c>
      <c r="H5" s="8">
        <f>(H3*Assumptions!$B$44+H4*Assumptions!$B$93)/4*(1+Assumptions!$B$94*Assumptions!$B$95)</f>
        <v/>
      </c>
      <c r="I5" s="8">
        <f>(I3*Assumptions!$B$44+I4*Assumptions!$B$93)/4*(1+Assumptions!$B$94*Assumptions!$B$95)</f>
        <v/>
      </c>
      <c r="J5" s="8">
        <f>(J3*Assumptions!$B$44+J4*Assumptions!$B$93)/4*(1+Assumptions!$B$94*Assumptions!$B$95)</f>
        <v/>
      </c>
      <c r="K5" s="8">
        <f>(K3*Assumptions!$B$44+K4*Assumptions!$B$93)/4*(1+Assumptions!$B$94*Assumptions!$B$95)</f>
        <v/>
      </c>
      <c r="L5" s="8">
        <f>(L3*Assumptions!$B$44+L4*Assumptions!$B$93)/4*(1+Assumptions!$B$94*Assumptions!$B$95)</f>
        <v/>
      </c>
      <c r="M5" s="8">
        <f>(M3*Assumptions!$B$44+M4*Assumptions!$B$93)/4*(1+Assumptions!$B$94*Assumptions!$B$95)</f>
        <v/>
      </c>
      <c r="N5" s="8">
        <f>(N3*Assumptions!$B$44+N4*Assumptions!$B$93)/4*(1+Assumptions!$B$94*Assumptions!$B$95)</f>
        <v/>
      </c>
      <c r="O5" s="8">
        <f>(O3*Assumptions!$B$44+O4*Assumptions!$B$93)/4*(1+Assumptions!$B$94*Assumptions!$B$95)</f>
        <v/>
      </c>
      <c r="P5" s="8">
        <f>(P3*Assumptions!$B$44+P4*Assumptions!$B$93)/4*(1+Assumptions!$B$94*Assumptions!$B$95)</f>
        <v/>
      </c>
      <c r="Q5" s="8">
        <f>(Q3*Assumptions!$B$44+Q4*Assumptions!$B$93)/4*(1+Assumptions!$B$94*Assumptions!$B$95)</f>
        <v/>
      </c>
      <c r="R5" s="8">
        <f>(R3*Assumptions!$B$44+R4*Assumptions!$B$93)/4*(1+Assumptions!$B$94*Assumptions!$B$95)</f>
        <v/>
      </c>
      <c r="S5" s="8">
        <f>(S3*Assumptions!$B$44+S4*Assumptions!$B$93)/4*(1+Assumptions!$B$94*Assumptions!$B$95)</f>
        <v/>
      </c>
      <c r="T5" s="8">
        <f>(T3*Assumptions!$B$44+T4*Assumptions!$B$93)/4*(1+Assumptions!$B$94*Assumptions!$B$95)</f>
        <v/>
      </c>
    </row>
    <row r="6">
      <c r="A6" t="inlineStr">
        <is>
          <t>Microsoft revenue (Microsoft sheet)</t>
        </is>
      </c>
      <c r="C6" s="8">
        <f>INDEX(Microsoft!$B$14:$Z$14,MATCH(C$1,Microsoft!$B$13:$Z$13,0))</f>
        <v/>
      </c>
      <c r="D6" s="8">
        <f>INDEX(Microsoft!$B$14:$Z$14,MATCH(D$1,Microsoft!$B$13:$Z$13,0))</f>
        <v/>
      </c>
      <c r="E6" s="8">
        <f>INDEX(Microsoft!$B$14:$Z$14,MATCH(E$1,Microsoft!$B$13:$Z$13,0))</f>
        <v/>
      </c>
      <c r="F6" s="8">
        <f>INDEX(Microsoft!$B$14:$Z$14,MATCH(F$1,Microsoft!$B$13:$Z$13,0))</f>
        <v/>
      </c>
      <c r="G6" s="8">
        <f>INDEX(Microsoft!$B$14:$Z$14,MATCH(G$1,Microsoft!$B$13:$Z$13,0))</f>
        <v/>
      </c>
      <c r="H6" s="8">
        <f>INDEX(Microsoft!$B$14:$Z$14,MATCH(H$1,Microsoft!$B$13:$Z$13,0))</f>
        <v/>
      </c>
      <c r="I6" s="8">
        <f>INDEX(Microsoft!$B$14:$Z$14,MATCH(I$1,Microsoft!$B$13:$Z$13,0))</f>
        <v/>
      </c>
      <c r="J6" s="8">
        <f>INDEX(Microsoft!$B$14:$Z$14,MATCH(J$1,Microsoft!$B$13:$Z$13,0))</f>
        <v/>
      </c>
      <c r="K6" s="8">
        <f>INDEX(Microsoft!$B$14:$Z$14,MATCH(K$1,Microsoft!$B$13:$Z$13,0))</f>
        <v/>
      </c>
      <c r="L6" s="8">
        <f>INDEX(Microsoft!$B$14:$Z$14,MATCH(L$1,Microsoft!$B$13:$Z$13,0))</f>
        <v/>
      </c>
      <c r="M6" s="8">
        <f>INDEX(Microsoft!$B$14:$Z$14,MATCH(M$1,Microsoft!$B$13:$Z$13,0))</f>
        <v/>
      </c>
      <c r="N6" s="8">
        <f>INDEX(Microsoft!$B$14:$Z$14,MATCH(N$1,Microsoft!$B$13:$Z$13,0))</f>
        <v/>
      </c>
      <c r="O6" s="8">
        <f>INDEX(Microsoft!$B$14:$Z$14,MATCH(O$1,Microsoft!$B$13:$Z$13,0))</f>
        <v/>
      </c>
      <c r="P6" s="8">
        <f>INDEX(Microsoft!$B$14:$Z$14,MATCH(P$1,Microsoft!$B$13:$Z$13,0))</f>
        <v/>
      </c>
      <c r="Q6" s="8">
        <f>INDEX(Microsoft!$B$14:$Z$14,MATCH(Q$1,Microsoft!$B$13:$Z$13,0))</f>
        <v/>
      </c>
      <c r="R6" s="8">
        <f>INDEX(Microsoft!$B$14:$Z$14,MATCH(R$1,Microsoft!$B$13:$Z$13,0))</f>
        <v/>
      </c>
      <c r="S6" s="8">
        <f>INDEX(Microsoft!$B$14:$Z$14,MATCH(S$1,Microsoft!$B$13:$Z$13,0))</f>
        <v/>
      </c>
      <c r="T6" s="8">
        <f>INDEX(Microsoft!$B$14:$Z$14,MATCH(T$1,Microsoft!$B$13:$Z$13,0))</f>
        <v/>
      </c>
    </row>
    <row r="7">
      <c r="A7" s="2" t="inlineStr">
        <is>
          <t>TOTAL bottom-up revenue</t>
        </is>
      </c>
      <c r="C7" s="8">
        <f>C5+C6</f>
        <v/>
      </c>
      <c r="D7" s="8">
        <f>D5+D6</f>
        <v/>
      </c>
      <c r="E7" s="8">
        <f>E5+E6</f>
        <v/>
      </c>
      <c r="F7" s="8">
        <f>F5+F6</f>
        <v/>
      </c>
      <c r="G7" s="8">
        <f>G5+G6</f>
        <v/>
      </c>
      <c r="H7" s="8">
        <f>H5+H6</f>
        <v/>
      </c>
      <c r="I7" s="8">
        <f>I5+I6</f>
        <v/>
      </c>
      <c r="J7" s="8">
        <f>J5+J6</f>
        <v/>
      </c>
      <c r="K7" s="8">
        <f>K5+K6</f>
        <v/>
      </c>
      <c r="L7" s="8">
        <f>L5+L6</f>
        <v/>
      </c>
      <c r="M7" s="8">
        <f>M5+M6</f>
        <v/>
      </c>
      <c r="N7" s="8">
        <f>N5+N6</f>
        <v/>
      </c>
      <c r="O7" s="8">
        <f>O5+O6</f>
        <v/>
      </c>
      <c r="P7" s="8">
        <f>P5+P6</f>
        <v/>
      </c>
      <c r="Q7" s="8">
        <f>Q5+Q6</f>
        <v/>
      </c>
      <c r="R7" s="8">
        <f>R5+R6</f>
        <v/>
      </c>
      <c r="S7" s="8">
        <f>S5+S6</f>
        <v/>
      </c>
      <c r="T7" s="8">
        <f>T5+T6</f>
        <v/>
      </c>
    </row>
    <row r="8">
      <c r="A8" t="inlineStr">
        <is>
          <t>Blackwell (incremental-MW) revenue, non-Microsoft</t>
        </is>
      </c>
      <c r="C8" s="8">
        <f>C4*Assumptions!$B$93/4*(1+Assumptions!$B$94*Assumptions!$B$95)</f>
        <v/>
      </c>
      <c r="D8" s="8">
        <f>D4*Assumptions!$B$93/4*(1+Assumptions!$B$94*Assumptions!$B$95)</f>
        <v/>
      </c>
      <c r="E8" s="8">
        <f>E4*Assumptions!$B$93/4*(1+Assumptions!$B$94*Assumptions!$B$95)</f>
        <v/>
      </c>
      <c r="F8" s="8">
        <f>F4*Assumptions!$B$93/4*(1+Assumptions!$B$94*Assumptions!$B$95)</f>
        <v/>
      </c>
      <c r="G8" s="8">
        <f>G4*Assumptions!$B$93/4*(1+Assumptions!$B$94*Assumptions!$B$95)</f>
        <v/>
      </c>
      <c r="H8" s="8">
        <f>H4*Assumptions!$B$93/4*(1+Assumptions!$B$94*Assumptions!$B$95)</f>
        <v/>
      </c>
      <c r="I8" s="8">
        <f>I4*Assumptions!$B$93/4*(1+Assumptions!$B$94*Assumptions!$B$95)</f>
        <v/>
      </c>
      <c r="J8" s="8">
        <f>J4*Assumptions!$B$93/4*(1+Assumptions!$B$94*Assumptions!$B$95)</f>
        <v/>
      </c>
      <c r="K8" s="8">
        <f>K4*Assumptions!$B$93/4*(1+Assumptions!$B$94*Assumptions!$B$95)</f>
        <v/>
      </c>
      <c r="L8" s="8">
        <f>L4*Assumptions!$B$93/4*(1+Assumptions!$B$94*Assumptions!$B$95)</f>
        <v/>
      </c>
      <c r="M8" s="8">
        <f>M4*Assumptions!$B$93/4*(1+Assumptions!$B$94*Assumptions!$B$95)</f>
        <v/>
      </c>
      <c r="N8" s="8">
        <f>N4*Assumptions!$B$93/4*(1+Assumptions!$B$94*Assumptions!$B$95)</f>
        <v/>
      </c>
      <c r="O8" s="8">
        <f>O4*Assumptions!$B$93/4*(1+Assumptions!$B$94*Assumptions!$B$95)</f>
        <v/>
      </c>
      <c r="P8" s="8">
        <f>P4*Assumptions!$B$93/4*(1+Assumptions!$B$94*Assumptions!$B$95)</f>
        <v/>
      </c>
      <c r="Q8" s="8">
        <f>Q4*Assumptions!$B$93/4*(1+Assumptions!$B$94*Assumptions!$B$95)</f>
        <v/>
      </c>
      <c r="R8" s="8">
        <f>R4*Assumptions!$B$93/4*(1+Assumptions!$B$94*Assumptions!$B$95)</f>
        <v/>
      </c>
      <c r="S8" s="8">
        <f>S4*Assumptions!$B$93/4*(1+Assumptions!$B$94*Assumptions!$B$95)</f>
        <v/>
      </c>
      <c r="T8" s="8">
        <f>T4*Assumptions!$B$93/4*(1+Assumptions!$B$94*Assumptions!$B$95)</f>
        <v/>
      </c>
    </row>
    <row r="9">
      <c r="A9" t="inlineStr">
        <is>
          <t>Price-cycle phase-in (0-100% over 4 qtrs from Rubin launch)</t>
        </is>
      </c>
      <c r="C9" s="7">
        <f>MIN(1,MAX(0,(0-Assumptions!$B$98+1)/4))</f>
        <v/>
      </c>
      <c r="D9" s="7">
        <f>MIN(1,MAX(0,(1-Assumptions!$B$98+1)/4))</f>
        <v/>
      </c>
      <c r="E9" s="7">
        <f>MIN(1,MAX(0,(2-Assumptions!$B$98+1)/4))</f>
        <v/>
      </c>
      <c r="F9" s="7">
        <f>MIN(1,MAX(0,(3-Assumptions!$B$98+1)/4))</f>
        <v/>
      </c>
      <c r="G9" s="7">
        <f>MIN(1,MAX(0,(4-Assumptions!$B$98+1)/4))</f>
        <v/>
      </c>
      <c r="H9" s="7">
        <f>MIN(1,MAX(0,(5-Assumptions!$B$98+1)/4))</f>
        <v/>
      </c>
      <c r="I9" s="7">
        <f>MIN(1,MAX(0,(6-Assumptions!$B$98+1)/4))</f>
        <v/>
      </c>
      <c r="J9" s="7">
        <f>MIN(1,MAX(0,(7-Assumptions!$B$98+1)/4))</f>
        <v/>
      </c>
      <c r="K9" s="7">
        <f>MIN(1,MAX(0,(8-Assumptions!$B$98+1)/4))</f>
        <v/>
      </c>
      <c r="L9" s="7">
        <f>MIN(1,MAX(0,(9-Assumptions!$B$98+1)/4))</f>
        <v/>
      </c>
      <c r="M9" s="7">
        <f>MIN(1,MAX(0,(10-Assumptions!$B$98+1)/4))</f>
        <v/>
      </c>
      <c r="N9" s="7">
        <f>MIN(1,MAX(0,(11-Assumptions!$B$98+1)/4))</f>
        <v/>
      </c>
      <c r="O9" s="7">
        <f>MIN(1,MAX(0,(12-Assumptions!$B$98+1)/4))</f>
        <v/>
      </c>
      <c r="P9" s="7">
        <f>MIN(1,MAX(0,(13-Assumptions!$B$98+1)/4))</f>
        <v/>
      </c>
      <c r="Q9" s="7">
        <f>MIN(1,MAX(0,(14-Assumptions!$B$98+1)/4))</f>
        <v/>
      </c>
      <c r="R9" s="7">
        <f>MIN(1,MAX(0,(15-Assumptions!$B$98+1)/4))</f>
        <v/>
      </c>
      <c r="S9" s="7">
        <f>MIN(1,MAX(0,(16-Assumptions!$B$98+1)/4))</f>
        <v/>
      </c>
      <c r="T9" s="7">
        <f>MIN(1,MAX(0,(17-Assumptions!$B$98+1)/4))</f>
        <v/>
      </c>
    </row>
    <row r="10">
      <c r="A10" s="2" t="inlineStr">
        <is>
          <t>PRICE-CYCLE revenue hit = cut x phase x Blackwell rev x (on-demand + reserved x renewal share)</t>
        </is>
      </c>
      <c r="C10" s="8">
        <f>-Assumptions!$B$97*C9*C8*(Assumptions!$B$94+Assumptions!$B$99*Assumptions!$B$100)</f>
        <v/>
      </c>
      <c r="D10" s="8">
        <f>-Assumptions!$B$97*D9*D8*(Assumptions!$B$94+Assumptions!$B$99*Assumptions!$B$100)</f>
        <v/>
      </c>
      <c r="E10" s="8">
        <f>-Assumptions!$B$97*E9*E8*(Assumptions!$B$94+Assumptions!$B$99*Assumptions!$B$100)</f>
        <v/>
      </c>
      <c r="F10" s="8">
        <f>-Assumptions!$B$97*F9*F8*(Assumptions!$B$94+Assumptions!$B$99*Assumptions!$B$100)</f>
        <v/>
      </c>
      <c r="G10" s="8">
        <f>-Assumptions!$B$97*G9*G8*(Assumptions!$B$94+Assumptions!$B$99*Assumptions!$B$100)</f>
        <v/>
      </c>
      <c r="H10" s="8">
        <f>-Assumptions!$B$97*H9*H8*(Assumptions!$B$94+Assumptions!$B$99*Assumptions!$B$100)</f>
        <v/>
      </c>
      <c r="I10" s="8">
        <f>-Assumptions!$B$97*I9*I8*(Assumptions!$B$94+Assumptions!$B$99*Assumptions!$B$100)</f>
        <v/>
      </c>
      <c r="J10" s="8">
        <f>-Assumptions!$B$97*J9*J8*(Assumptions!$B$94+Assumptions!$B$99*Assumptions!$B$100)</f>
        <v/>
      </c>
      <c r="K10" s="8">
        <f>-Assumptions!$B$97*K9*K8*(Assumptions!$B$94+Assumptions!$B$99*Assumptions!$B$100)</f>
        <v/>
      </c>
      <c r="L10" s="8">
        <f>-Assumptions!$B$97*L9*L8*(Assumptions!$B$94+Assumptions!$B$99*Assumptions!$B$100)</f>
        <v/>
      </c>
      <c r="M10" s="8">
        <f>-Assumptions!$B$97*M9*M8*(Assumptions!$B$94+Assumptions!$B$99*Assumptions!$B$100)</f>
        <v/>
      </c>
      <c r="N10" s="8">
        <f>-Assumptions!$B$97*N9*N8*(Assumptions!$B$94+Assumptions!$B$99*Assumptions!$B$100)</f>
        <v/>
      </c>
      <c r="O10" s="8">
        <f>-Assumptions!$B$97*O9*O8*(Assumptions!$B$94+Assumptions!$B$99*Assumptions!$B$100)</f>
        <v/>
      </c>
      <c r="P10" s="8">
        <f>-Assumptions!$B$97*P9*P8*(Assumptions!$B$94+Assumptions!$B$99*Assumptions!$B$100)</f>
        <v/>
      </c>
      <c r="Q10" s="8">
        <f>-Assumptions!$B$97*Q9*Q8*(Assumptions!$B$94+Assumptions!$B$99*Assumptions!$B$100)</f>
        <v/>
      </c>
      <c r="R10" s="8">
        <f>-Assumptions!$B$97*R9*R8*(Assumptions!$B$94+Assumptions!$B$99*Assumptions!$B$100)</f>
        <v/>
      </c>
      <c r="S10" s="8">
        <f>-Assumptions!$B$97*S9*S8*(Assumptions!$B$94+Assumptions!$B$99*Assumptions!$B$100)</f>
        <v/>
      </c>
      <c r="T10" s="8">
        <f>-Assumptions!$B$97*T9*T8*(Assumptions!$B$94+Assumptions!$B$99*Assumptions!$B$100)</f>
        <v/>
      </c>
    </row>
    <row r="11">
      <c r="A11" t="inlineStr">
        <is>
          <t>Consensus quarterly revenue (MarketScreener)</t>
        </is>
      </c>
      <c r="C11" s="4" t="n">
        <v>904.1</v>
      </c>
      <c r="D11" s="4" t="n">
        <v>1452</v>
      </c>
      <c r="E11" s="4" t="n">
        <v>2175</v>
      </c>
      <c r="F11" s="4" t="n">
        <v>2646</v>
      </c>
      <c r="G11" s="4" t="n">
        <v>3304</v>
      </c>
      <c r="H11" s="4" t="n">
        <v>4052</v>
      </c>
    </row>
    <row r="13">
      <c r="A13" t="inlineStr">
        <is>
          <t>FY2027 bottom-up revenue</t>
        </is>
      </c>
      <c r="B13">
        <f>SUMPRODUCT(($C$7:$T$7)*(RIGHT($C$1:$T$1,4)="2027"))</f>
        <v/>
      </c>
    </row>
    <row r="14">
      <c r="A14" t="inlineStr">
        <is>
          <t>FY2027 consensus revenue</t>
        </is>
      </c>
      <c r="B14" s="4" t="n">
        <v>12300</v>
      </c>
    </row>
    <row r="15">
      <c r="A15" t="inlineStr">
        <is>
          <t>Gap vs consensus</t>
        </is>
      </c>
      <c r="B15">
        <f>B13-B14</f>
        <v/>
      </c>
    </row>
    <row r="16">
      <c r="A16" t="inlineStr">
        <is>
          <t>Gap %</t>
        </is>
      </c>
      <c r="B16">
        <f>B15/B14</f>
        <v/>
      </c>
    </row>
    <row r="17">
      <c r="A17" t="inlineStr">
        <is>
          <t>$/share at constant EV/FY27 revenue (308.69M sh)</t>
        </is>
      </c>
      <c r="B17">
        <f>B15*(Assumptions!$B$152/B14)/Assumptions!$B$154</f>
        <v/>
      </c>
    </row>
    <row r="18">
      <c r="A18" t="inlineStr">
        <is>
          <t>FY2026 H2 bottom-up vs consensus H2 (2,356)</t>
        </is>
      </c>
      <c r="B18">
        <f>SUMPRODUCT(($C$7:$T$7)*(RIGHT($C$1:$T$1,4)="2026"))</f>
        <v/>
      </c>
    </row>
    <row r="19">
      <c r="A19" t="inlineStr">
        <is>
          <t>FY2027 price-cycle revenue hit (= EBITDA hit; costs fixed; 5-yr life unchanged)</t>
        </is>
      </c>
      <c r="B19">
        <f>SUMPRODUCT(($C$10:$T$10)*(RIGHT($C$1:$T$1,4)="2027"))</f>
        <v/>
      </c>
    </row>
    <row r="20">
      <c r="A20" t="inlineStr">
        <is>
          <t xml:space="preserve">  as % of FY27 bottom-up revenue</t>
        </is>
      </c>
      <c r="B20">
        <f>B19/$B$13</f>
        <v/>
      </c>
    </row>
    <row r="21">
      <c r="A21" t="inlineStr">
        <is>
          <t xml:space="preserve">  scaled to FY27 consensus revenue ($12.3B)</t>
        </is>
      </c>
      <c r="B21">
        <f>B20*12300</f>
        <v/>
      </c>
    </row>
    <row r="22">
      <c r="A22" t="inlineStr">
        <is>
          <t xml:space="preserve">  as % of FY27 consensus EBITDA ($6,728M)</t>
        </is>
      </c>
      <c r="B22">
        <f>B21/6728</f>
        <v/>
      </c>
    </row>
    <row r="23">
      <c r="A23" t="inlineStr">
        <is>
          <t>FY2028 price-cycle revenue hit</t>
        </is>
      </c>
      <c r="B23">
        <f>SUMPRODUCT(($C$10:$T$10)*(RIGHT($C$1:$T$1,4)="2028"))</f>
        <v/>
      </c>
    </row>
    <row r="24">
      <c r="A24" t="inlineStr">
        <is>
          <t>Calibration: Q2'26 implied = MW!C ex-Vin (Q1'26 energized ~134 MW) x $12M/4 + MSFT T1+T2 $193M = ~$595M vs $582.3M reported</t>
        </is>
      </c>
    </row>
    <row r="25">
      <c r="A25" t="inlineStr">
        <is>
          <t>Oct 1 hike effect = on-demand share 4% x 19% = ~+0.8% of revenue (applied to non-MSFT revenue)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1" t="inlineStr">
        <is>
          <t>Fleet quarterly model ($M)</t>
        </is>
      </c>
      <c r="B1" s="1" t="inlineStr"/>
      <c r="C1" s="1" t="inlineStr">
        <is>
          <t>Q3 2026</t>
        </is>
      </c>
      <c r="D1" s="1" t="inlineStr">
        <is>
          <t>Q4 2026</t>
        </is>
      </c>
      <c r="E1" s="1" t="inlineStr">
        <is>
          <t>Q1 2027</t>
        </is>
      </c>
      <c r="F1" s="1" t="inlineStr">
        <is>
          <t>Q2 2027</t>
        </is>
      </c>
      <c r="G1" s="1" t="inlineStr">
        <is>
          <t>Q3 2027</t>
        </is>
      </c>
      <c r="H1" s="1" t="inlineStr">
        <is>
          <t>Q4 2027</t>
        </is>
      </c>
      <c r="I1" s="1" t="inlineStr">
        <is>
          <t>Q1 2028</t>
        </is>
      </c>
      <c r="J1" s="1" t="inlineStr">
        <is>
          <t>Q2 2028</t>
        </is>
      </c>
      <c r="K1" s="1" t="inlineStr">
        <is>
          <t>Q3 2028</t>
        </is>
      </c>
      <c r="L1" s="1" t="inlineStr">
        <is>
          <t>Q4 2028</t>
        </is>
      </c>
      <c r="M1" s="1" t="inlineStr">
        <is>
          <t>Q1 2029</t>
        </is>
      </c>
      <c r="N1" s="1" t="inlineStr">
        <is>
          <t>Q2 2029</t>
        </is>
      </c>
      <c r="O1" s="1" t="inlineStr">
        <is>
          <t>Q3 2029</t>
        </is>
      </c>
      <c r="P1" s="1" t="inlineStr">
        <is>
          <t>Q4 2029</t>
        </is>
      </c>
      <c r="Q1" s="1" t="inlineStr">
        <is>
          <t>Q1 2030</t>
        </is>
      </c>
      <c r="R1" s="1" t="inlineStr">
        <is>
          <t>Q2 2030</t>
        </is>
      </c>
      <c r="S1" s="1" t="inlineStr">
        <is>
          <t>Q3 2030</t>
        </is>
      </c>
      <c r="T1" s="1" t="inlineStr">
        <is>
          <t>Q4 2030</t>
        </is>
      </c>
    </row>
    <row r="2">
      <c r="A2" t="inlineStr">
        <is>
          <t>Quarter index (0 = Q3'26)</t>
        </is>
      </c>
      <c r="C2" s="9" t="n">
        <v>0</v>
      </c>
      <c r="D2" s="9" t="n">
        <v>1</v>
      </c>
      <c r="E2" s="9" t="n">
        <v>2</v>
      </c>
      <c r="F2" s="9" t="n">
        <v>3</v>
      </c>
      <c r="G2" s="9" t="n">
        <v>4</v>
      </c>
      <c r="H2" s="9" t="n">
        <v>5</v>
      </c>
      <c r="I2" s="9" t="n">
        <v>6</v>
      </c>
      <c r="J2" s="9" t="n">
        <v>7</v>
      </c>
      <c r="K2" s="9" t="n">
        <v>8</v>
      </c>
      <c r="L2" s="9" t="n">
        <v>9</v>
      </c>
      <c r="M2" s="9" t="n">
        <v>10</v>
      </c>
      <c r="N2" s="9" t="n">
        <v>11</v>
      </c>
      <c r="O2" s="9" t="n">
        <v>12</v>
      </c>
      <c r="P2" s="9" t="n">
        <v>13</v>
      </c>
      <c r="Q2" s="9" t="n">
        <v>14</v>
      </c>
      <c r="R2" s="9" t="n">
        <v>15</v>
      </c>
      <c r="S2" s="9" t="n">
        <v>16</v>
      </c>
      <c r="T2" s="9" t="n">
        <v>17</v>
      </c>
    </row>
    <row r="3">
      <c r="A3" t="inlineStr">
        <is>
          <t>Fiscal year</t>
        </is>
      </c>
      <c r="C3" s="9" t="n">
        <v>2026</v>
      </c>
      <c r="D3" s="9" t="n">
        <v>2026</v>
      </c>
      <c r="E3" s="9" t="n">
        <v>2027</v>
      </c>
      <c r="F3" s="9" t="n">
        <v>2027</v>
      </c>
      <c r="G3" s="9" t="n">
        <v>2027</v>
      </c>
      <c r="H3" s="9" t="n">
        <v>2027</v>
      </c>
      <c r="I3" s="9" t="n">
        <v>2028</v>
      </c>
      <c r="J3" s="9" t="n">
        <v>2028</v>
      </c>
      <c r="K3" s="9" t="n">
        <v>2028</v>
      </c>
      <c r="L3" s="9" t="n">
        <v>2028</v>
      </c>
      <c r="M3" s="9" t="n">
        <v>2029</v>
      </c>
      <c r="N3" s="9" t="n">
        <v>2029</v>
      </c>
      <c r="O3" s="9" t="n">
        <v>2029</v>
      </c>
      <c r="P3" s="9" t="n">
        <v>2029</v>
      </c>
      <c r="Q3" s="9" t="n">
        <v>2030</v>
      </c>
      <c r="R3" s="9" t="n">
        <v>2030</v>
      </c>
      <c r="S3" s="9" t="n">
        <v>2030</v>
      </c>
      <c r="T3" s="9" t="n">
        <v>2030</v>
      </c>
    </row>
    <row r="4">
      <c r="A4" t="inlineStr">
        <is>
          <t>Capex - consensus basis (FY26-28; FY29-30 extrapolated)</t>
        </is>
      </c>
      <c r="C4" s="8">
        <f>(Assumptions!$B$108-Assumptions!$B$109)/2</f>
        <v/>
      </c>
      <c r="D4" s="8">
        <f>(Assumptions!$B$108-Assumptions!$B$109)/2</f>
        <v/>
      </c>
      <c r="E4" s="8">
        <f>Assumptions!$B$110/4</f>
        <v/>
      </c>
      <c r="F4" s="8">
        <f>Assumptions!$B$110/4</f>
        <v/>
      </c>
      <c r="G4" s="8">
        <f>Assumptions!$B$110/4</f>
        <v/>
      </c>
      <c r="H4" s="8">
        <f>Assumptions!$B$110/4</f>
        <v/>
      </c>
      <c r="I4" s="8">
        <f>Assumptions!$B$111*Assumptions!$B$116</f>
        <v/>
      </c>
      <c r="J4" s="8">
        <f>Assumptions!$B$111*Assumptions!$B$117</f>
        <v/>
      </c>
      <c r="K4" s="8">
        <f>Assumptions!$B$111*Assumptions!$B$118</f>
        <v/>
      </c>
      <c r="L4" s="8">
        <f>Assumptions!$B$111*Assumptions!$B$119</f>
        <v/>
      </c>
      <c r="M4" s="8">
        <f>Assumptions!$B$111*(1+Assumptions!$B$112)/4</f>
        <v/>
      </c>
      <c r="N4" s="8">
        <f>Assumptions!$B$111*(1+Assumptions!$B$112)/4</f>
        <v/>
      </c>
      <c r="O4" s="8">
        <f>Assumptions!$B$111*(1+Assumptions!$B$112)/4</f>
        <v/>
      </c>
      <c r="P4" s="8">
        <f>Assumptions!$B$111*(1+Assumptions!$B$112)/4</f>
        <v/>
      </c>
      <c r="Q4" s="8">
        <f>Assumptions!$B$111*(1+Assumptions!$B$112)*(1+Assumptions!$B$113)/4</f>
        <v/>
      </c>
      <c r="R4" s="8">
        <f>Assumptions!$B$111*(1+Assumptions!$B$112)*(1+Assumptions!$B$113)/4</f>
        <v/>
      </c>
      <c r="S4" s="8">
        <f>Assumptions!$B$111*(1+Assumptions!$B$112)*(1+Assumptions!$B$113)/4</f>
        <v/>
      </c>
      <c r="T4" s="8">
        <f>Assumptions!$B$111*(1+Assumptions!$B$112)*(1+Assumptions!$B$113)/4</f>
        <v/>
      </c>
    </row>
    <row r="5">
      <c r="A5" t="inlineStr">
        <is>
          <t>Owned share of capex (FY energized additions, Capacity tracker)</t>
        </is>
      </c>
      <c r="C5" s="7">
        <f>CHOOSE(Assumptions!$B$79,IFERROR(IF(MW!E15-MW!C15&gt;0,(MW!E18-MW!C18)/(MW!E15-MW!C15),MW!E18/MW!E15),0),0,1)</f>
        <v/>
      </c>
      <c r="D5" s="7">
        <f>CHOOSE(Assumptions!$B$79,IFERROR(IF(MW!E15-MW!C15&gt;0,(MW!E18-MW!C18)/(MW!E15-MW!C15),MW!E18/MW!E15),0),0,1)</f>
        <v/>
      </c>
      <c r="E5" s="7">
        <f>CHOOSE(Assumptions!$B$79,IFERROR(IF(MW!I15-MW!E15&gt;0,(MW!I18-MW!E18)/(MW!I15-MW!E15),MW!I18/MW!I15),0),0,1)</f>
        <v/>
      </c>
      <c r="F5" s="7">
        <f>CHOOSE(Assumptions!$B$79,IFERROR(IF(MW!I15-MW!E15&gt;0,(MW!I18-MW!E18)/(MW!I15-MW!E15),MW!I18/MW!I15),0),0,1)</f>
        <v/>
      </c>
      <c r="G5" s="7">
        <f>CHOOSE(Assumptions!$B$79,IFERROR(IF(MW!I15-MW!E15&gt;0,(MW!I18-MW!E18)/(MW!I15-MW!E15),MW!I18/MW!I15),0),0,1)</f>
        <v/>
      </c>
      <c r="H5" s="7">
        <f>CHOOSE(Assumptions!$B$79,IFERROR(IF(MW!I15-MW!E15&gt;0,(MW!I18-MW!E18)/(MW!I15-MW!E15),MW!I18/MW!I15),0),0,1)</f>
        <v/>
      </c>
      <c r="I5" s="7">
        <f>CHOOSE(Assumptions!$B$79,IFERROR(IF(MW!M15-MW!I15&gt;0,(MW!M18-MW!I18)/(MW!M15-MW!I15),MW!M18/MW!M15),0),0,1)</f>
        <v/>
      </c>
      <c r="J5" s="7">
        <f>CHOOSE(Assumptions!$B$79,IFERROR(IF(MW!M15-MW!I15&gt;0,(MW!M18-MW!I18)/(MW!M15-MW!I15),MW!M18/MW!M15),0),0,1)</f>
        <v/>
      </c>
      <c r="K5" s="7">
        <f>CHOOSE(Assumptions!$B$79,IFERROR(IF(MW!M15-MW!I15&gt;0,(MW!M18-MW!I18)/(MW!M15-MW!I15),MW!M18/MW!M15),0),0,1)</f>
        <v/>
      </c>
      <c r="L5" s="7">
        <f>CHOOSE(Assumptions!$B$79,IFERROR(IF(MW!M15-MW!I15&gt;0,(MW!M18-MW!I18)/(MW!M15-MW!I15),MW!M18/MW!M15),0),0,1)</f>
        <v/>
      </c>
      <c r="M5" s="7">
        <f>CHOOSE(Assumptions!$B$79,IFERROR(IF(MW!Q15-MW!M15&gt;0,(MW!Q18-MW!M18)/(MW!Q15-MW!M15),MW!Q18/MW!Q15),0),0,1)</f>
        <v/>
      </c>
      <c r="N5" s="7">
        <f>CHOOSE(Assumptions!$B$79,IFERROR(IF(MW!Q15-MW!M15&gt;0,(MW!Q18-MW!M18)/(MW!Q15-MW!M15),MW!Q18/MW!Q15),0),0,1)</f>
        <v/>
      </c>
      <c r="O5" s="7">
        <f>CHOOSE(Assumptions!$B$79,IFERROR(IF(MW!Q15-MW!M15&gt;0,(MW!Q18-MW!M18)/(MW!Q15-MW!M15),MW!Q18/MW!Q15),0),0,1)</f>
        <v/>
      </c>
      <c r="P5" s="7">
        <f>CHOOSE(Assumptions!$B$79,IFERROR(IF(MW!Q15-MW!M15&gt;0,(MW!Q18-MW!M18)/(MW!Q15-MW!M15),MW!Q18/MW!Q15),0),0,1)</f>
        <v/>
      </c>
      <c r="Q5" s="7">
        <f>CHOOSE(Assumptions!$B$79,IFERROR(IF(MW!U15-MW!Q15&gt;0,(MW!U18-MW!Q18)/(MW!U15-MW!Q15),MW!U18/MW!U15),0),0,1)</f>
        <v/>
      </c>
      <c r="R5" s="7">
        <f>CHOOSE(Assumptions!$B$79,IFERROR(IF(MW!U15-MW!Q15&gt;0,(MW!U18-MW!Q18)/(MW!U15-MW!Q15),MW!U18/MW!U15),0),0,1)</f>
        <v/>
      </c>
      <c r="S5" s="7">
        <f>CHOOSE(Assumptions!$B$79,IFERROR(IF(MW!U15-MW!Q15&gt;0,(MW!U18-MW!Q18)/(MW!U15-MW!Q15),MW!U18/MW!U15),0),0,1)</f>
        <v/>
      </c>
      <c r="T5" s="7">
        <f>CHOOSE(Assumptions!$B$79,IFERROR(IF(MW!U15-MW!Q15&gt;0,(MW!U18-MW!Q18)/(MW!U15-MW!Q15),MW!U18/MW!U15),0),0,1)</f>
        <v/>
      </c>
    </row>
    <row r="6">
      <c r="A6" t="inlineStr">
        <is>
          <t>GPU+network share of capex (consensus basis)</t>
        </is>
      </c>
      <c r="C6" s="7">
        <f>Assumptions!$B$80</f>
        <v/>
      </c>
      <c r="D6" s="7">
        <f>Assumptions!$B$80</f>
        <v/>
      </c>
      <c r="E6" s="7">
        <f>IF(E2&gt;=Assumptions!$B$81,Assumptions!$B$29,Assumptions!$B$25)/(IF(E2&gt;=Assumptions!$B$81,Assumptions!$B$29,Assumptions!$B$25)+E5*IF(E2&gt;=Assumptions!$B$81,Assumptions!$B$30,Assumptions!$B$26)+(1-E5)*(IF(E2&gt;=Assumptions!$B$81,Assumptions!$B$31,Assumptions!$B$27)-IF(E2&gt;=Assumptions!$B$81,Assumptions!$B$29,Assumptions!$B$25)))</f>
        <v/>
      </c>
      <c r="F6" s="7">
        <f>IF(F2&gt;=Assumptions!$B$81,Assumptions!$B$29,Assumptions!$B$25)/(IF(F2&gt;=Assumptions!$B$81,Assumptions!$B$29,Assumptions!$B$25)+F5*IF(F2&gt;=Assumptions!$B$81,Assumptions!$B$30,Assumptions!$B$26)+(1-F5)*(IF(F2&gt;=Assumptions!$B$81,Assumptions!$B$31,Assumptions!$B$27)-IF(F2&gt;=Assumptions!$B$81,Assumptions!$B$29,Assumptions!$B$25)))</f>
        <v/>
      </c>
      <c r="G6" s="7">
        <f>IF(G2&gt;=Assumptions!$B$81,Assumptions!$B$29,Assumptions!$B$25)/(IF(G2&gt;=Assumptions!$B$81,Assumptions!$B$29,Assumptions!$B$25)+G5*IF(G2&gt;=Assumptions!$B$81,Assumptions!$B$30,Assumptions!$B$26)+(1-G5)*(IF(G2&gt;=Assumptions!$B$81,Assumptions!$B$31,Assumptions!$B$27)-IF(G2&gt;=Assumptions!$B$81,Assumptions!$B$29,Assumptions!$B$25)))</f>
        <v/>
      </c>
      <c r="H6" s="7">
        <f>IF(H2&gt;=Assumptions!$B$81,Assumptions!$B$29,Assumptions!$B$25)/(IF(H2&gt;=Assumptions!$B$81,Assumptions!$B$29,Assumptions!$B$25)+H5*IF(H2&gt;=Assumptions!$B$81,Assumptions!$B$30,Assumptions!$B$26)+(1-H5)*(IF(H2&gt;=Assumptions!$B$81,Assumptions!$B$31,Assumptions!$B$27)-IF(H2&gt;=Assumptions!$B$81,Assumptions!$B$29,Assumptions!$B$25)))</f>
        <v/>
      </c>
      <c r="I6" s="7">
        <f>IF(I2&gt;=Assumptions!$B$81,Assumptions!$B$29,Assumptions!$B$25)/(IF(I2&gt;=Assumptions!$B$81,Assumptions!$B$29,Assumptions!$B$25)+I5*IF(I2&gt;=Assumptions!$B$81,Assumptions!$B$30,Assumptions!$B$26)+(1-I5)*(IF(I2&gt;=Assumptions!$B$81,Assumptions!$B$31,Assumptions!$B$27)-IF(I2&gt;=Assumptions!$B$81,Assumptions!$B$29,Assumptions!$B$25)))</f>
        <v/>
      </c>
      <c r="J6" s="7">
        <f>IF(J2&gt;=Assumptions!$B$81,Assumptions!$B$29,Assumptions!$B$25)/(IF(J2&gt;=Assumptions!$B$81,Assumptions!$B$29,Assumptions!$B$25)+J5*IF(J2&gt;=Assumptions!$B$81,Assumptions!$B$30,Assumptions!$B$26)+(1-J5)*(IF(J2&gt;=Assumptions!$B$81,Assumptions!$B$31,Assumptions!$B$27)-IF(J2&gt;=Assumptions!$B$81,Assumptions!$B$29,Assumptions!$B$25)))</f>
        <v/>
      </c>
      <c r="K6" s="7">
        <f>IF(K2&gt;=Assumptions!$B$81,Assumptions!$B$29,Assumptions!$B$25)/(IF(K2&gt;=Assumptions!$B$81,Assumptions!$B$29,Assumptions!$B$25)+K5*IF(K2&gt;=Assumptions!$B$81,Assumptions!$B$30,Assumptions!$B$26)+(1-K5)*(IF(K2&gt;=Assumptions!$B$81,Assumptions!$B$31,Assumptions!$B$27)-IF(K2&gt;=Assumptions!$B$81,Assumptions!$B$29,Assumptions!$B$25)))</f>
        <v/>
      </c>
      <c r="L6" s="7">
        <f>IF(L2&gt;=Assumptions!$B$81,Assumptions!$B$29,Assumptions!$B$25)/(IF(L2&gt;=Assumptions!$B$81,Assumptions!$B$29,Assumptions!$B$25)+L5*IF(L2&gt;=Assumptions!$B$81,Assumptions!$B$30,Assumptions!$B$26)+(1-L5)*(IF(L2&gt;=Assumptions!$B$81,Assumptions!$B$31,Assumptions!$B$27)-IF(L2&gt;=Assumptions!$B$81,Assumptions!$B$29,Assumptions!$B$25)))</f>
        <v/>
      </c>
      <c r="M6" s="7">
        <f>IF(M2&gt;=Assumptions!$B$81,Assumptions!$B$29,Assumptions!$B$25)/(IF(M2&gt;=Assumptions!$B$81,Assumptions!$B$29,Assumptions!$B$25)+M5*IF(M2&gt;=Assumptions!$B$81,Assumptions!$B$30,Assumptions!$B$26)+(1-M5)*(IF(M2&gt;=Assumptions!$B$81,Assumptions!$B$31,Assumptions!$B$27)-IF(M2&gt;=Assumptions!$B$81,Assumptions!$B$29,Assumptions!$B$25)))</f>
        <v/>
      </c>
      <c r="N6" s="7">
        <f>IF(N2&gt;=Assumptions!$B$81,Assumptions!$B$29,Assumptions!$B$25)/(IF(N2&gt;=Assumptions!$B$81,Assumptions!$B$29,Assumptions!$B$25)+N5*IF(N2&gt;=Assumptions!$B$81,Assumptions!$B$30,Assumptions!$B$26)+(1-N5)*(IF(N2&gt;=Assumptions!$B$81,Assumptions!$B$31,Assumptions!$B$27)-IF(N2&gt;=Assumptions!$B$81,Assumptions!$B$29,Assumptions!$B$25)))</f>
        <v/>
      </c>
      <c r="O6" s="7">
        <f>IF(O2&gt;=Assumptions!$B$81,Assumptions!$B$29,Assumptions!$B$25)/(IF(O2&gt;=Assumptions!$B$81,Assumptions!$B$29,Assumptions!$B$25)+O5*IF(O2&gt;=Assumptions!$B$81,Assumptions!$B$30,Assumptions!$B$26)+(1-O5)*(IF(O2&gt;=Assumptions!$B$81,Assumptions!$B$31,Assumptions!$B$27)-IF(O2&gt;=Assumptions!$B$81,Assumptions!$B$29,Assumptions!$B$25)))</f>
        <v/>
      </c>
      <c r="P6" s="7">
        <f>IF(P2&gt;=Assumptions!$B$81,Assumptions!$B$29,Assumptions!$B$25)/(IF(P2&gt;=Assumptions!$B$81,Assumptions!$B$29,Assumptions!$B$25)+P5*IF(P2&gt;=Assumptions!$B$81,Assumptions!$B$30,Assumptions!$B$26)+(1-P5)*(IF(P2&gt;=Assumptions!$B$81,Assumptions!$B$31,Assumptions!$B$27)-IF(P2&gt;=Assumptions!$B$81,Assumptions!$B$29,Assumptions!$B$25)))</f>
        <v/>
      </c>
      <c r="Q6" s="7">
        <f>IF(Q2&gt;=Assumptions!$B$81,Assumptions!$B$29,Assumptions!$B$25)/(IF(Q2&gt;=Assumptions!$B$81,Assumptions!$B$29,Assumptions!$B$25)+Q5*IF(Q2&gt;=Assumptions!$B$81,Assumptions!$B$30,Assumptions!$B$26)+(1-Q5)*(IF(Q2&gt;=Assumptions!$B$81,Assumptions!$B$31,Assumptions!$B$27)-IF(Q2&gt;=Assumptions!$B$81,Assumptions!$B$29,Assumptions!$B$25)))</f>
        <v/>
      </c>
      <c r="R6" s="7">
        <f>IF(R2&gt;=Assumptions!$B$81,Assumptions!$B$29,Assumptions!$B$25)/(IF(R2&gt;=Assumptions!$B$81,Assumptions!$B$29,Assumptions!$B$25)+R5*IF(R2&gt;=Assumptions!$B$81,Assumptions!$B$30,Assumptions!$B$26)+(1-R5)*(IF(R2&gt;=Assumptions!$B$81,Assumptions!$B$31,Assumptions!$B$27)-IF(R2&gt;=Assumptions!$B$81,Assumptions!$B$29,Assumptions!$B$25)))</f>
        <v/>
      </c>
      <c r="S6" s="7">
        <f>IF(S2&gt;=Assumptions!$B$81,Assumptions!$B$29,Assumptions!$B$25)/(IF(S2&gt;=Assumptions!$B$81,Assumptions!$B$29,Assumptions!$B$25)+S5*IF(S2&gt;=Assumptions!$B$81,Assumptions!$B$30,Assumptions!$B$26)+(1-S5)*(IF(S2&gt;=Assumptions!$B$81,Assumptions!$B$31,Assumptions!$B$27)-IF(S2&gt;=Assumptions!$B$81,Assumptions!$B$29,Assumptions!$B$25)))</f>
        <v/>
      </c>
      <c r="T6" s="7">
        <f>IF(T2&gt;=Assumptions!$B$81,Assumptions!$B$29,Assumptions!$B$25)/(IF(T2&gt;=Assumptions!$B$81,Assumptions!$B$29,Assumptions!$B$25)+T5*IF(T2&gt;=Assumptions!$B$81,Assumptions!$B$30,Assumptions!$B$26)+(1-T5)*(IF(T2&gt;=Assumptions!$B$81,Assumptions!$B$31,Assumptions!$B$27)-IF(T2&gt;=Assumptions!$B$81,Assumptions!$B$29,Assumptions!$B$25)))</f>
        <v/>
      </c>
    </row>
    <row r="7">
      <c r="A7" t="inlineStr">
        <is>
          <t>Path: IT MW whose GPUs are bought this qtr (energized at t + lagb - pglag)</t>
        </is>
      </c>
      <c r="C7" s="6">
        <f>IF((C2+1+Assumptions!$B$90-Assumptions!$B$85)+1&lt;=19,INDEX(MW!$C$23:$U$23,(C2+1+Assumptions!$B$90-Assumptions!$B$85)+1),AVERAGE(MW!$R$23:$U$23))</f>
        <v/>
      </c>
      <c r="D7" s="6">
        <f>IF((D2+1+Assumptions!$B$90-Assumptions!$B$85)+1&lt;=19,INDEX(MW!$C$23:$U$23,(D2+1+Assumptions!$B$90-Assumptions!$B$85)+1),AVERAGE(MW!$R$23:$U$23))</f>
        <v/>
      </c>
      <c r="E7" s="6">
        <f>IF((E2+1+Assumptions!$B$90-Assumptions!$B$85)+1&lt;=19,INDEX(MW!$C$23:$U$23,(E2+1+Assumptions!$B$90-Assumptions!$B$85)+1),AVERAGE(MW!$R$23:$U$23))</f>
        <v/>
      </c>
      <c r="F7" s="6">
        <f>IF((F2+1+Assumptions!$B$90-Assumptions!$B$85)+1&lt;=19,INDEX(MW!$C$23:$U$23,(F2+1+Assumptions!$B$90-Assumptions!$B$85)+1),AVERAGE(MW!$R$23:$U$23))</f>
        <v/>
      </c>
      <c r="G7" s="6">
        <f>IF((G2+1+Assumptions!$B$90-Assumptions!$B$85)+1&lt;=19,INDEX(MW!$C$23:$U$23,(G2+1+Assumptions!$B$90-Assumptions!$B$85)+1),AVERAGE(MW!$R$23:$U$23))</f>
        <v/>
      </c>
      <c r="H7" s="6">
        <f>IF((H2+1+Assumptions!$B$90-Assumptions!$B$85)+1&lt;=19,INDEX(MW!$C$23:$U$23,(H2+1+Assumptions!$B$90-Assumptions!$B$85)+1),AVERAGE(MW!$R$23:$U$23))</f>
        <v/>
      </c>
      <c r="I7" s="6">
        <f>IF((I2+1+Assumptions!$B$90-Assumptions!$B$85)+1&lt;=19,INDEX(MW!$C$23:$U$23,(I2+1+Assumptions!$B$90-Assumptions!$B$85)+1),AVERAGE(MW!$R$23:$U$23))</f>
        <v/>
      </c>
      <c r="J7" s="6">
        <f>IF((J2+1+Assumptions!$B$90-Assumptions!$B$85)+1&lt;=19,INDEX(MW!$C$23:$U$23,(J2+1+Assumptions!$B$90-Assumptions!$B$85)+1),AVERAGE(MW!$R$23:$U$23))</f>
        <v/>
      </c>
      <c r="K7" s="6">
        <f>IF((K2+1+Assumptions!$B$90-Assumptions!$B$85)+1&lt;=19,INDEX(MW!$C$23:$U$23,(K2+1+Assumptions!$B$90-Assumptions!$B$85)+1),AVERAGE(MW!$R$23:$U$23))</f>
        <v/>
      </c>
      <c r="L7" s="6">
        <f>IF((L2+1+Assumptions!$B$90-Assumptions!$B$85)+1&lt;=19,INDEX(MW!$C$23:$U$23,(L2+1+Assumptions!$B$90-Assumptions!$B$85)+1),AVERAGE(MW!$R$23:$U$23))</f>
        <v/>
      </c>
      <c r="M7" s="6">
        <f>IF((M2+1+Assumptions!$B$90-Assumptions!$B$85)+1&lt;=19,INDEX(MW!$C$23:$U$23,(M2+1+Assumptions!$B$90-Assumptions!$B$85)+1),AVERAGE(MW!$R$23:$U$23))</f>
        <v/>
      </c>
      <c r="N7" s="6">
        <f>IF((N2+1+Assumptions!$B$90-Assumptions!$B$85)+1&lt;=19,INDEX(MW!$C$23:$U$23,(N2+1+Assumptions!$B$90-Assumptions!$B$85)+1),AVERAGE(MW!$R$23:$U$23))</f>
        <v/>
      </c>
      <c r="O7" s="6">
        <f>IF((O2+1+Assumptions!$B$90-Assumptions!$B$85)+1&lt;=19,INDEX(MW!$C$23:$U$23,(O2+1+Assumptions!$B$90-Assumptions!$B$85)+1),AVERAGE(MW!$R$23:$U$23))</f>
        <v/>
      </c>
      <c r="P7" s="6">
        <f>IF((P2+1+Assumptions!$B$90-Assumptions!$B$85)+1&lt;=19,INDEX(MW!$C$23:$U$23,(P2+1+Assumptions!$B$90-Assumptions!$B$85)+1),AVERAGE(MW!$R$23:$U$23))</f>
        <v/>
      </c>
      <c r="Q7" s="6">
        <f>IF((Q2+1+Assumptions!$B$90-Assumptions!$B$85)+1&lt;=19,INDEX(MW!$C$23:$U$23,(Q2+1+Assumptions!$B$90-Assumptions!$B$85)+1),AVERAGE(MW!$R$23:$U$23))</f>
        <v/>
      </c>
      <c r="R7" s="6">
        <f>IF((R2+1+Assumptions!$B$90-Assumptions!$B$85)+1&lt;=19,INDEX(MW!$C$23:$U$23,(R2+1+Assumptions!$B$90-Assumptions!$B$85)+1),AVERAGE(MW!$R$23:$U$23))</f>
        <v/>
      </c>
      <c r="S7" s="6">
        <f>IF((S2+1+Assumptions!$B$90-Assumptions!$B$85)+1&lt;=19,INDEX(MW!$C$23:$U$23,(S2+1+Assumptions!$B$90-Assumptions!$B$85)+1),AVERAGE(MW!$R$23:$U$23))</f>
        <v/>
      </c>
      <c r="T7" s="6">
        <f>IF((T2+1+Assumptions!$B$90-Assumptions!$B$85)+1&lt;=19,INDEX(MW!$C$23:$U$23,(T2+1+Assumptions!$B$90-Assumptions!$B$85)+1),AVERAGE(MW!$R$23:$U$23))</f>
        <v/>
      </c>
    </row>
    <row r="8">
      <c r="A8" t="inlineStr">
        <is>
          <t>Path: IT MW whose shell is built this qtr (energized at t + shlag)</t>
        </is>
      </c>
      <c r="C8" s="6">
        <f>IF((C2+1+Assumptions!$B$86)+1&lt;=19,INDEX(MW!$C$23:$U$23,(C2+1+Assumptions!$B$86)+1),AVERAGE(MW!$R$23:$U$23))</f>
        <v/>
      </c>
      <c r="D8" s="6">
        <f>IF((D2+1+Assumptions!$B$86)+1&lt;=19,INDEX(MW!$C$23:$U$23,(D2+1+Assumptions!$B$86)+1),AVERAGE(MW!$R$23:$U$23))</f>
        <v/>
      </c>
      <c r="E8" s="6">
        <f>IF((E2+1+Assumptions!$B$86)+1&lt;=19,INDEX(MW!$C$23:$U$23,(E2+1+Assumptions!$B$86)+1),AVERAGE(MW!$R$23:$U$23))</f>
        <v/>
      </c>
      <c r="F8" s="6">
        <f>IF((F2+1+Assumptions!$B$86)+1&lt;=19,INDEX(MW!$C$23:$U$23,(F2+1+Assumptions!$B$86)+1),AVERAGE(MW!$R$23:$U$23))</f>
        <v/>
      </c>
      <c r="G8" s="6">
        <f>IF((G2+1+Assumptions!$B$86)+1&lt;=19,INDEX(MW!$C$23:$U$23,(G2+1+Assumptions!$B$86)+1),AVERAGE(MW!$R$23:$U$23))</f>
        <v/>
      </c>
      <c r="H8" s="6">
        <f>IF((H2+1+Assumptions!$B$86)+1&lt;=19,INDEX(MW!$C$23:$U$23,(H2+1+Assumptions!$B$86)+1),AVERAGE(MW!$R$23:$U$23))</f>
        <v/>
      </c>
      <c r="I8" s="6">
        <f>IF((I2+1+Assumptions!$B$86)+1&lt;=19,INDEX(MW!$C$23:$U$23,(I2+1+Assumptions!$B$86)+1),AVERAGE(MW!$R$23:$U$23))</f>
        <v/>
      </c>
      <c r="J8" s="6">
        <f>IF((J2+1+Assumptions!$B$86)+1&lt;=19,INDEX(MW!$C$23:$U$23,(J2+1+Assumptions!$B$86)+1),AVERAGE(MW!$R$23:$U$23))</f>
        <v/>
      </c>
      <c r="K8" s="6">
        <f>IF((K2+1+Assumptions!$B$86)+1&lt;=19,INDEX(MW!$C$23:$U$23,(K2+1+Assumptions!$B$86)+1),AVERAGE(MW!$R$23:$U$23))</f>
        <v/>
      </c>
      <c r="L8" s="6">
        <f>IF((L2+1+Assumptions!$B$86)+1&lt;=19,INDEX(MW!$C$23:$U$23,(L2+1+Assumptions!$B$86)+1),AVERAGE(MW!$R$23:$U$23))</f>
        <v/>
      </c>
      <c r="M8" s="6">
        <f>IF((M2+1+Assumptions!$B$86)+1&lt;=19,INDEX(MW!$C$23:$U$23,(M2+1+Assumptions!$B$86)+1),AVERAGE(MW!$R$23:$U$23))</f>
        <v/>
      </c>
      <c r="N8" s="6">
        <f>IF((N2+1+Assumptions!$B$86)+1&lt;=19,INDEX(MW!$C$23:$U$23,(N2+1+Assumptions!$B$86)+1),AVERAGE(MW!$R$23:$U$23))</f>
        <v/>
      </c>
      <c r="O8" s="6">
        <f>IF((O2+1+Assumptions!$B$86)+1&lt;=19,INDEX(MW!$C$23:$U$23,(O2+1+Assumptions!$B$86)+1),AVERAGE(MW!$R$23:$U$23))</f>
        <v/>
      </c>
      <c r="P8" s="6">
        <f>IF((P2+1+Assumptions!$B$86)+1&lt;=19,INDEX(MW!$C$23:$U$23,(P2+1+Assumptions!$B$86)+1),AVERAGE(MW!$R$23:$U$23))</f>
        <v/>
      </c>
      <c r="Q8" s="6">
        <f>IF((Q2+1+Assumptions!$B$86)+1&lt;=19,INDEX(MW!$C$23:$U$23,(Q2+1+Assumptions!$B$86)+1),AVERAGE(MW!$R$23:$U$23))</f>
        <v/>
      </c>
      <c r="R8" s="6">
        <f>IF((R2+1+Assumptions!$B$86)+1&lt;=19,INDEX(MW!$C$23:$U$23,(R2+1+Assumptions!$B$86)+1),AVERAGE(MW!$R$23:$U$23))</f>
        <v/>
      </c>
      <c r="S8" s="6">
        <f>IF((S2+1+Assumptions!$B$86)+1&lt;=19,INDEX(MW!$C$23:$U$23,(S2+1+Assumptions!$B$86)+1),AVERAGE(MW!$R$23:$U$23))</f>
        <v/>
      </c>
      <c r="T8" s="6">
        <f>IF((T2+1+Assumptions!$B$86)+1&lt;=19,INDEX(MW!$C$23:$U$23,(T2+1+Assumptions!$B$86)+1),AVERAGE(MW!$R$23:$U$23))</f>
        <v/>
      </c>
    </row>
    <row r="9">
      <c r="A9" t="inlineStr">
        <is>
          <t>Path: GPU/IT capex (owned: GPU+net by gen; leased: leased $/IT MW by gen - GB300 before VR switch, VR after)</t>
        </is>
      </c>
      <c r="C9" s="8">
        <f>C7*(C5*IF(C2&gt;=Assumptions!$B$81,Assumptions!$B$29,Assumptions!$B$25)+(1-C5)*IF(C2&gt;=Assumptions!$B$81,Assumptions!$B$89,Assumptions!$B$88))</f>
        <v/>
      </c>
      <c r="D9" s="8">
        <f>D7*(D5*IF(D2&gt;=Assumptions!$B$81,Assumptions!$B$29,Assumptions!$B$25)+(1-D5)*IF(D2&gt;=Assumptions!$B$81,Assumptions!$B$89,Assumptions!$B$88))</f>
        <v/>
      </c>
      <c r="E9" s="8">
        <f>E7*(E5*IF(E2&gt;=Assumptions!$B$81,Assumptions!$B$29,Assumptions!$B$25)+(1-E5)*IF(E2&gt;=Assumptions!$B$81,Assumptions!$B$89,Assumptions!$B$88))</f>
        <v/>
      </c>
      <c r="F9" s="8">
        <f>F7*(F5*IF(F2&gt;=Assumptions!$B$81,Assumptions!$B$29,Assumptions!$B$25)+(1-F5)*IF(F2&gt;=Assumptions!$B$81,Assumptions!$B$89,Assumptions!$B$88))</f>
        <v/>
      </c>
      <c r="G9" s="8">
        <f>G7*(G5*IF(G2&gt;=Assumptions!$B$81,Assumptions!$B$29,Assumptions!$B$25)+(1-G5)*IF(G2&gt;=Assumptions!$B$81,Assumptions!$B$89,Assumptions!$B$88))</f>
        <v/>
      </c>
      <c r="H9" s="8">
        <f>H7*(H5*IF(H2&gt;=Assumptions!$B$81,Assumptions!$B$29,Assumptions!$B$25)+(1-H5)*IF(H2&gt;=Assumptions!$B$81,Assumptions!$B$89,Assumptions!$B$88))</f>
        <v/>
      </c>
      <c r="I9" s="8">
        <f>I7*(I5*IF(I2&gt;=Assumptions!$B$81,Assumptions!$B$29,Assumptions!$B$25)+(1-I5)*IF(I2&gt;=Assumptions!$B$81,Assumptions!$B$89,Assumptions!$B$88))</f>
        <v/>
      </c>
      <c r="J9" s="8">
        <f>J7*(J5*IF(J2&gt;=Assumptions!$B$81,Assumptions!$B$29,Assumptions!$B$25)+(1-J5)*IF(J2&gt;=Assumptions!$B$81,Assumptions!$B$89,Assumptions!$B$88))</f>
        <v/>
      </c>
      <c r="K9" s="8">
        <f>K7*(K5*IF(K2&gt;=Assumptions!$B$81,Assumptions!$B$29,Assumptions!$B$25)+(1-K5)*IF(K2&gt;=Assumptions!$B$81,Assumptions!$B$89,Assumptions!$B$88))</f>
        <v/>
      </c>
      <c r="L9" s="8">
        <f>L7*(L5*IF(L2&gt;=Assumptions!$B$81,Assumptions!$B$29,Assumptions!$B$25)+(1-L5)*IF(L2&gt;=Assumptions!$B$81,Assumptions!$B$89,Assumptions!$B$88))</f>
        <v/>
      </c>
      <c r="M9" s="8">
        <f>M7*(M5*IF(M2&gt;=Assumptions!$B$81,Assumptions!$B$29,Assumptions!$B$25)+(1-M5)*IF(M2&gt;=Assumptions!$B$81,Assumptions!$B$89,Assumptions!$B$88))</f>
        <v/>
      </c>
      <c r="N9" s="8">
        <f>N7*(N5*IF(N2&gt;=Assumptions!$B$81,Assumptions!$B$29,Assumptions!$B$25)+(1-N5)*IF(N2&gt;=Assumptions!$B$81,Assumptions!$B$89,Assumptions!$B$88))</f>
        <v/>
      </c>
      <c r="O9" s="8">
        <f>O7*(O5*IF(O2&gt;=Assumptions!$B$81,Assumptions!$B$29,Assumptions!$B$25)+(1-O5)*IF(O2&gt;=Assumptions!$B$81,Assumptions!$B$89,Assumptions!$B$88))</f>
        <v/>
      </c>
      <c r="P9" s="8">
        <f>P7*(P5*IF(P2&gt;=Assumptions!$B$81,Assumptions!$B$29,Assumptions!$B$25)+(1-P5)*IF(P2&gt;=Assumptions!$B$81,Assumptions!$B$89,Assumptions!$B$88))</f>
        <v/>
      </c>
      <c r="Q9" s="8">
        <f>Q7*(Q5*IF(Q2&gt;=Assumptions!$B$81,Assumptions!$B$29,Assumptions!$B$25)+(1-Q5)*IF(Q2&gt;=Assumptions!$B$81,Assumptions!$B$89,Assumptions!$B$88))</f>
        <v/>
      </c>
      <c r="R9" s="8">
        <f>R7*(R5*IF(R2&gt;=Assumptions!$B$81,Assumptions!$B$29,Assumptions!$B$25)+(1-R5)*IF(R2&gt;=Assumptions!$B$81,Assumptions!$B$89,Assumptions!$B$88))</f>
        <v/>
      </c>
      <c r="S9" s="8">
        <f>S7*(S5*IF(S2&gt;=Assumptions!$B$81,Assumptions!$B$29,Assumptions!$B$25)+(1-S5)*IF(S2&gt;=Assumptions!$B$81,Assumptions!$B$89,Assumptions!$B$88))</f>
        <v/>
      </c>
      <c r="T9" s="8">
        <f>T7*(T5*IF(T2&gt;=Assumptions!$B$81,Assumptions!$B$29,Assumptions!$B$25)+(1-T5)*IF(T2&gt;=Assumptions!$B$81,Assumptions!$B$89,Assumptions!$B$88))</f>
        <v/>
      </c>
    </row>
    <row r="10">
      <c r="A10" t="inlineStr">
        <is>
          <t>Path: shell/power capex (owned share only)</t>
        </is>
      </c>
      <c r="C10" s="8">
        <f>C8*C5*IF(C2&gt;=Assumptions!$B$81,Assumptions!$B$30,Assumptions!$B$26)</f>
        <v/>
      </c>
      <c r="D10" s="8">
        <f>D8*D5*IF(D2&gt;=Assumptions!$B$81,Assumptions!$B$30,Assumptions!$B$26)</f>
        <v/>
      </c>
      <c r="E10" s="8">
        <f>E8*E5*IF(E2&gt;=Assumptions!$B$81,Assumptions!$B$30,Assumptions!$B$26)</f>
        <v/>
      </c>
      <c r="F10" s="8">
        <f>F8*F5*IF(F2&gt;=Assumptions!$B$81,Assumptions!$B$30,Assumptions!$B$26)</f>
        <v/>
      </c>
      <c r="G10" s="8">
        <f>G8*G5*IF(G2&gt;=Assumptions!$B$81,Assumptions!$B$30,Assumptions!$B$26)</f>
        <v/>
      </c>
      <c r="H10" s="8">
        <f>H8*H5*IF(H2&gt;=Assumptions!$B$81,Assumptions!$B$30,Assumptions!$B$26)</f>
        <v/>
      </c>
      <c r="I10" s="8">
        <f>I8*I5*IF(I2&gt;=Assumptions!$B$81,Assumptions!$B$30,Assumptions!$B$26)</f>
        <v/>
      </c>
      <c r="J10" s="8">
        <f>J8*J5*IF(J2&gt;=Assumptions!$B$81,Assumptions!$B$30,Assumptions!$B$26)</f>
        <v/>
      </c>
      <c r="K10" s="8">
        <f>K8*K5*IF(K2&gt;=Assumptions!$B$81,Assumptions!$B$30,Assumptions!$B$26)</f>
        <v/>
      </c>
      <c r="L10" s="8">
        <f>L8*L5*IF(L2&gt;=Assumptions!$B$81,Assumptions!$B$30,Assumptions!$B$26)</f>
        <v/>
      </c>
      <c r="M10" s="8">
        <f>M8*M5*IF(M2&gt;=Assumptions!$B$81,Assumptions!$B$30,Assumptions!$B$26)</f>
        <v/>
      </c>
      <c r="N10" s="8">
        <f>N8*N5*IF(N2&gt;=Assumptions!$B$81,Assumptions!$B$30,Assumptions!$B$26)</f>
        <v/>
      </c>
      <c r="O10" s="8">
        <f>O8*O5*IF(O2&gt;=Assumptions!$B$81,Assumptions!$B$30,Assumptions!$B$26)</f>
        <v/>
      </c>
      <c r="P10" s="8">
        <f>P8*P5*IF(P2&gt;=Assumptions!$B$81,Assumptions!$B$30,Assumptions!$B$26)</f>
        <v/>
      </c>
      <c r="Q10" s="8">
        <f>Q8*Q5*IF(Q2&gt;=Assumptions!$B$81,Assumptions!$B$30,Assumptions!$B$26)</f>
        <v/>
      </c>
      <c r="R10" s="8">
        <f>R8*R5*IF(R2&gt;=Assumptions!$B$81,Assumptions!$B$30,Assumptions!$B$26)</f>
        <v/>
      </c>
      <c r="S10" s="8">
        <f>S8*S5*IF(S2&gt;=Assumptions!$B$81,Assumptions!$B$30,Assumptions!$B$26)</f>
        <v/>
      </c>
      <c r="T10" s="8">
        <f>T8*T5*IF(T2&gt;=Assumptions!$B$81,Assumptions!$B$30,Assumptions!$B$26)</f>
        <v/>
      </c>
    </row>
    <row r="11">
      <c r="A11" t="inlineStr">
        <is>
          <t>Capex - path-consistent basis</t>
        </is>
      </c>
      <c r="C11" s="8">
        <f>C9+C10</f>
        <v/>
      </c>
      <c r="D11" s="8">
        <f>D9+D10</f>
        <v/>
      </c>
      <c r="E11" s="8">
        <f>E9+E10</f>
        <v/>
      </c>
      <c r="F11" s="8">
        <f>F9+F10</f>
        <v/>
      </c>
      <c r="G11" s="8">
        <f>G9+G10</f>
        <v/>
      </c>
      <c r="H11" s="8">
        <f>H9+H10</f>
        <v/>
      </c>
      <c r="I11" s="8">
        <f>I9+I10</f>
        <v/>
      </c>
      <c r="J11" s="8">
        <f>J9+J10</f>
        <v/>
      </c>
      <c r="K11" s="8">
        <f>K9+K10</f>
        <v/>
      </c>
      <c r="L11" s="8">
        <f>L9+L10</f>
        <v/>
      </c>
      <c r="M11" s="8">
        <f>M9+M10</f>
        <v/>
      </c>
      <c r="N11" s="8">
        <f>N9+N10</f>
        <v/>
      </c>
      <c r="O11" s="8">
        <f>O9+O10</f>
        <v/>
      </c>
      <c r="P11" s="8">
        <f>P9+P10</f>
        <v/>
      </c>
      <c r="Q11" s="8">
        <f>Q9+Q10</f>
        <v/>
      </c>
      <c r="R11" s="8">
        <f>R9+R10</f>
        <v/>
      </c>
      <c r="S11" s="8">
        <f>S9+S10</f>
        <v/>
      </c>
      <c r="T11" s="8">
        <f>T9+T10</f>
        <v/>
      </c>
    </row>
    <row r="12">
      <c r="A12" s="2" t="inlineStr">
        <is>
          <t>CAPEX USED (basis toggle)</t>
        </is>
      </c>
      <c r="C12" s="8">
        <f>IF(Assumptions!$B$84=1,C4,C11)</f>
        <v/>
      </c>
      <c r="D12" s="8">
        <f>IF(Assumptions!$B$84=1,D4,D11)</f>
        <v/>
      </c>
      <c r="E12" s="8">
        <f>IF(Assumptions!$B$84=1,E4,E11)</f>
        <v/>
      </c>
      <c r="F12" s="8">
        <f>IF(Assumptions!$B$84=1,F4,F11)</f>
        <v/>
      </c>
      <c r="G12" s="8">
        <f>IF(Assumptions!$B$84=1,G4,G11)</f>
        <v/>
      </c>
      <c r="H12" s="8">
        <f>IF(Assumptions!$B$84=1,H4,H11)</f>
        <v/>
      </c>
      <c r="I12" s="8">
        <f>IF(Assumptions!$B$84=1,I4,I11)</f>
        <v/>
      </c>
      <c r="J12" s="8">
        <f>IF(Assumptions!$B$84=1,J4,J11)</f>
        <v/>
      </c>
      <c r="K12" s="8">
        <f>IF(Assumptions!$B$84=1,K4,K11)</f>
        <v/>
      </c>
      <c r="L12" s="8">
        <f>IF(Assumptions!$B$84=1,L4,L11)</f>
        <v/>
      </c>
      <c r="M12" s="8">
        <f>IF(Assumptions!$B$84=1,M4,M11)</f>
        <v/>
      </c>
      <c r="N12" s="8">
        <f>IF(Assumptions!$B$84=1,N4,N11)</f>
        <v/>
      </c>
      <c r="O12" s="8">
        <f>IF(Assumptions!$B$84=1,O4,O11)</f>
        <v/>
      </c>
      <c r="P12" s="8">
        <f>IF(Assumptions!$B$84=1,P4,P11)</f>
        <v/>
      </c>
      <c r="Q12" s="8">
        <f>IF(Assumptions!$B$84=1,Q4,Q11)</f>
        <v/>
      </c>
      <c r="R12" s="8">
        <f>IF(Assumptions!$B$84=1,R4,R11)</f>
        <v/>
      </c>
      <c r="S12" s="8">
        <f>IF(Assumptions!$B$84=1,S4,S11)</f>
        <v/>
      </c>
      <c r="T12" s="8">
        <f>IF(Assumptions!$B$84=1,T4,T11)</f>
        <v/>
      </c>
    </row>
    <row r="13">
      <c r="A13" t="inlineStr">
        <is>
          <t>Capex-implied IT MW bought (consensus capex / all-in $ per IT MW)</t>
        </is>
      </c>
      <c r="C13" s="8">
        <f>C4/(IF(C2&gt;=Assumptions!$B$81,Assumptions!$B$29,Assumptions!$B$25)+C5*IF(C2&gt;=Assumptions!$B$81,Assumptions!$B$30,Assumptions!$B$26)+(1-C5)*(IF(C2&gt;=Assumptions!$B$81,Assumptions!$B$31,Assumptions!$B$27)-IF(C2&gt;=Assumptions!$B$81,Assumptions!$B$29,Assumptions!$B$25)))</f>
        <v/>
      </c>
      <c r="D13" s="8">
        <f>D4/(IF(D2&gt;=Assumptions!$B$81,Assumptions!$B$29,Assumptions!$B$25)+D5*IF(D2&gt;=Assumptions!$B$81,Assumptions!$B$30,Assumptions!$B$26)+(1-D5)*(IF(D2&gt;=Assumptions!$B$81,Assumptions!$B$31,Assumptions!$B$27)-IF(D2&gt;=Assumptions!$B$81,Assumptions!$B$29,Assumptions!$B$25)))</f>
        <v/>
      </c>
      <c r="E13" s="8">
        <f>E4/(IF(E2&gt;=Assumptions!$B$81,Assumptions!$B$29,Assumptions!$B$25)+E5*IF(E2&gt;=Assumptions!$B$81,Assumptions!$B$30,Assumptions!$B$26)+(1-E5)*(IF(E2&gt;=Assumptions!$B$81,Assumptions!$B$31,Assumptions!$B$27)-IF(E2&gt;=Assumptions!$B$81,Assumptions!$B$29,Assumptions!$B$25)))</f>
        <v/>
      </c>
      <c r="F13" s="8">
        <f>F4/(IF(F2&gt;=Assumptions!$B$81,Assumptions!$B$29,Assumptions!$B$25)+F5*IF(F2&gt;=Assumptions!$B$81,Assumptions!$B$30,Assumptions!$B$26)+(1-F5)*(IF(F2&gt;=Assumptions!$B$81,Assumptions!$B$31,Assumptions!$B$27)-IF(F2&gt;=Assumptions!$B$81,Assumptions!$B$29,Assumptions!$B$25)))</f>
        <v/>
      </c>
      <c r="G13" s="8">
        <f>G4/(IF(G2&gt;=Assumptions!$B$81,Assumptions!$B$29,Assumptions!$B$25)+G5*IF(G2&gt;=Assumptions!$B$81,Assumptions!$B$30,Assumptions!$B$26)+(1-G5)*(IF(G2&gt;=Assumptions!$B$81,Assumptions!$B$31,Assumptions!$B$27)-IF(G2&gt;=Assumptions!$B$81,Assumptions!$B$29,Assumptions!$B$25)))</f>
        <v/>
      </c>
      <c r="H13" s="8">
        <f>H4/(IF(H2&gt;=Assumptions!$B$81,Assumptions!$B$29,Assumptions!$B$25)+H5*IF(H2&gt;=Assumptions!$B$81,Assumptions!$B$30,Assumptions!$B$26)+(1-H5)*(IF(H2&gt;=Assumptions!$B$81,Assumptions!$B$31,Assumptions!$B$27)-IF(H2&gt;=Assumptions!$B$81,Assumptions!$B$29,Assumptions!$B$25)))</f>
        <v/>
      </c>
      <c r="I13" s="8">
        <f>I4/(IF(I2&gt;=Assumptions!$B$81,Assumptions!$B$29,Assumptions!$B$25)+I5*IF(I2&gt;=Assumptions!$B$81,Assumptions!$B$30,Assumptions!$B$26)+(1-I5)*(IF(I2&gt;=Assumptions!$B$81,Assumptions!$B$31,Assumptions!$B$27)-IF(I2&gt;=Assumptions!$B$81,Assumptions!$B$29,Assumptions!$B$25)))</f>
        <v/>
      </c>
      <c r="J13" s="8">
        <f>J4/(IF(J2&gt;=Assumptions!$B$81,Assumptions!$B$29,Assumptions!$B$25)+J5*IF(J2&gt;=Assumptions!$B$81,Assumptions!$B$30,Assumptions!$B$26)+(1-J5)*(IF(J2&gt;=Assumptions!$B$81,Assumptions!$B$31,Assumptions!$B$27)-IF(J2&gt;=Assumptions!$B$81,Assumptions!$B$29,Assumptions!$B$25)))</f>
        <v/>
      </c>
      <c r="K13" s="8">
        <f>K4/(IF(K2&gt;=Assumptions!$B$81,Assumptions!$B$29,Assumptions!$B$25)+K5*IF(K2&gt;=Assumptions!$B$81,Assumptions!$B$30,Assumptions!$B$26)+(1-K5)*(IF(K2&gt;=Assumptions!$B$81,Assumptions!$B$31,Assumptions!$B$27)-IF(K2&gt;=Assumptions!$B$81,Assumptions!$B$29,Assumptions!$B$25)))</f>
        <v/>
      </c>
      <c r="L13" s="8">
        <f>L4/(IF(L2&gt;=Assumptions!$B$81,Assumptions!$B$29,Assumptions!$B$25)+L5*IF(L2&gt;=Assumptions!$B$81,Assumptions!$B$30,Assumptions!$B$26)+(1-L5)*(IF(L2&gt;=Assumptions!$B$81,Assumptions!$B$31,Assumptions!$B$27)-IF(L2&gt;=Assumptions!$B$81,Assumptions!$B$29,Assumptions!$B$25)))</f>
        <v/>
      </c>
      <c r="M13" s="8">
        <f>M4/(IF(M2&gt;=Assumptions!$B$81,Assumptions!$B$29,Assumptions!$B$25)+M5*IF(M2&gt;=Assumptions!$B$81,Assumptions!$B$30,Assumptions!$B$26)+(1-M5)*(IF(M2&gt;=Assumptions!$B$81,Assumptions!$B$31,Assumptions!$B$27)-IF(M2&gt;=Assumptions!$B$81,Assumptions!$B$29,Assumptions!$B$25)))</f>
        <v/>
      </c>
      <c r="N13" s="8">
        <f>N4/(IF(N2&gt;=Assumptions!$B$81,Assumptions!$B$29,Assumptions!$B$25)+N5*IF(N2&gt;=Assumptions!$B$81,Assumptions!$B$30,Assumptions!$B$26)+(1-N5)*(IF(N2&gt;=Assumptions!$B$81,Assumptions!$B$31,Assumptions!$B$27)-IF(N2&gt;=Assumptions!$B$81,Assumptions!$B$29,Assumptions!$B$25)))</f>
        <v/>
      </c>
      <c r="O13" s="8">
        <f>O4/(IF(O2&gt;=Assumptions!$B$81,Assumptions!$B$29,Assumptions!$B$25)+O5*IF(O2&gt;=Assumptions!$B$81,Assumptions!$B$30,Assumptions!$B$26)+(1-O5)*(IF(O2&gt;=Assumptions!$B$81,Assumptions!$B$31,Assumptions!$B$27)-IF(O2&gt;=Assumptions!$B$81,Assumptions!$B$29,Assumptions!$B$25)))</f>
        <v/>
      </c>
      <c r="P13" s="8">
        <f>P4/(IF(P2&gt;=Assumptions!$B$81,Assumptions!$B$29,Assumptions!$B$25)+P5*IF(P2&gt;=Assumptions!$B$81,Assumptions!$B$30,Assumptions!$B$26)+(1-P5)*(IF(P2&gt;=Assumptions!$B$81,Assumptions!$B$31,Assumptions!$B$27)-IF(P2&gt;=Assumptions!$B$81,Assumptions!$B$29,Assumptions!$B$25)))</f>
        <v/>
      </c>
      <c r="Q13" s="8">
        <f>Q4/(IF(Q2&gt;=Assumptions!$B$81,Assumptions!$B$29,Assumptions!$B$25)+Q5*IF(Q2&gt;=Assumptions!$B$81,Assumptions!$B$30,Assumptions!$B$26)+(1-Q5)*(IF(Q2&gt;=Assumptions!$B$81,Assumptions!$B$31,Assumptions!$B$27)-IF(Q2&gt;=Assumptions!$B$81,Assumptions!$B$29,Assumptions!$B$25)))</f>
        <v/>
      </c>
      <c r="R13" s="8">
        <f>R4/(IF(R2&gt;=Assumptions!$B$81,Assumptions!$B$29,Assumptions!$B$25)+R5*IF(R2&gt;=Assumptions!$B$81,Assumptions!$B$30,Assumptions!$B$26)+(1-R5)*(IF(R2&gt;=Assumptions!$B$81,Assumptions!$B$31,Assumptions!$B$27)-IF(R2&gt;=Assumptions!$B$81,Assumptions!$B$29,Assumptions!$B$25)))</f>
        <v/>
      </c>
      <c r="S13" s="8">
        <f>S4/(IF(S2&gt;=Assumptions!$B$81,Assumptions!$B$29,Assumptions!$B$25)+S5*IF(S2&gt;=Assumptions!$B$81,Assumptions!$B$30,Assumptions!$B$26)+(1-S5)*(IF(S2&gt;=Assumptions!$B$81,Assumptions!$B$31,Assumptions!$B$27)-IF(S2&gt;=Assumptions!$B$81,Assumptions!$B$29,Assumptions!$B$25)))</f>
        <v/>
      </c>
      <c r="T13" s="8">
        <f>T4/(IF(T2&gt;=Assumptions!$B$81,Assumptions!$B$29,Assumptions!$B$25)+T5*IF(T2&gt;=Assumptions!$B$81,Assumptions!$B$30,Assumptions!$B$26)+(1-T5)*(IF(T2&gt;=Assumptions!$B$81,Assumptions!$B$31,Assumptions!$B$27)-IF(T2&gt;=Assumptions!$B$81,Assumptions!$B$29,Assumptions!$B$25)))</f>
        <v/>
      </c>
    </row>
    <row r="14">
      <c r="A14" t="inlineStr">
        <is>
          <t>GPU+network capex</t>
        </is>
      </c>
      <c r="C14" s="8">
        <f>IF(Assumptions!$B$84=1,C12*C6,C9)</f>
        <v/>
      </c>
      <c r="D14" s="8">
        <f>IF(Assumptions!$B$84=1,D12*D6,D9)</f>
        <v/>
      </c>
      <c r="E14" s="8">
        <f>IF(Assumptions!$B$84=1,E12*E6,E9)</f>
        <v/>
      </c>
      <c r="F14" s="8">
        <f>IF(Assumptions!$B$84=1,F12*F6,F9)</f>
        <v/>
      </c>
      <c r="G14" s="8">
        <f>IF(Assumptions!$B$84=1,G12*G6,G9)</f>
        <v/>
      </c>
      <c r="H14" s="8">
        <f>IF(Assumptions!$B$84=1,H12*H6,H9)</f>
        <v/>
      </c>
      <c r="I14" s="8">
        <f>IF(Assumptions!$B$84=1,I12*I6,I9)</f>
        <v/>
      </c>
      <c r="J14" s="8">
        <f>IF(Assumptions!$B$84=1,J12*J6,J9)</f>
        <v/>
      </c>
      <c r="K14" s="8">
        <f>IF(Assumptions!$B$84=1,K12*K6,K9)</f>
        <v/>
      </c>
      <c r="L14" s="8">
        <f>IF(Assumptions!$B$84=1,L12*L6,L9)</f>
        <v/>
      </c>
      <c r="M14" s="8">
        <f>IF(Assumptions!$B$84=1,M12*M6,M9)</f>
        <v/>
      </c>
      <c r="N14" s="8">
        <f>IF(Assumptions!$B$84=1,N12*N6,N9)</f>
        <v/>
      </c>
      <c r="O14" s="8">
        <f>IF(Assumptions!$B$84=1,O12*O6,O9)</f>
        <v/>
      </c>
      <c r="P14" s="8">
        <f>IF(Assumptions!$B$84=1,P12*P6,P9)</f>
        <v/>
      </c>
      <c r="Q14" s="8">
        <f>IF(Assumptions!$B$84=1,Q12*Q6,Q9)</f>
        <v/>
      </c>
      <c r="R14" s="8">
        <f>IF(Assumptions!$B$84=1,R12*R6,R9)</f>
        <v/>
      </c>
      <c r="S14" s="8">
        <f>IF(Assumptions!$B$84=1,S12*S6,S9)</f>
        <v/>
      </c>
      <c r="T14" s="8">
        <f>IF(Assumptions!$B$84=1,T12*T6,T9)</f>
        <v/>
      </c>
    </row>
    <row r="15">
      <c r="A15" t="inlineStr">
        <is>
          <t>Shell/power/fit-out capex</t>
        </is>
      </c>
      <c r="C15" s="8">
        <f>C12-C14</f>
        <v/>
      </c>
      <c r="D15" s="8">
        <f>D12-D14</f>
        <v/>
      </c>
      <c r="E15" s="8">
        <f>E12-E14</f>
        <v/>
      </c>
      <c r="F15" s="8">
        <f>F12-F14</f>
        <v/>
      </c>
      <c r="G15" s="8">
        <f>G12-G14</f>
        <v/>
      </c>
      <c r="H15" s="8">
        <f>H12-H14</f>
        <v/>
      </c>
      <c r="I15" s="8">
        <f>I12-I14</f>
        <v/>
      </c>
      <c r="J15" s="8">
        <f>J12-J14</f>
        <v/>
      </c>
      <c r="K15" s="8">
        <f>K12-K14</f>
        <v/>
      </c>
      <c r="L15" s="8">
        <f>L12-L14</f>
        <v/>
      </c>
      <c r="M15" s="8">
        <f>M12-M14</f>
        <v/>
      </c>
      <c r="N15" s="8">
        <f>N12-N14</f>
        <v/>
      </c>
      <c r="O15" s="8">
        <f>O12-O14</f>
        <v/>
      </c>
      <c r="P15" s="8">
        <f>P12-P14</f>
        <v/>
      </c>
      <c r="Q15" s="8">
        <f>Q12-Q14</f>
        <v/>
      </c>
      <c r="R15" s="8">
        <f>R12-R14</f>
        <v/>
      </c>
      <c r="S15" s="8">
        <f>S12-S14</f>
        <v/>
      </c>
      <c r="T15" s="8">
        <f>T12-T14</f>
        <v/>
      </c>
    </row>
    <row r="16">
      <c r="A16" t="inlineStr">
        <is>
          <t>Effective capex-&gt;in-service lag for GPUs (consensus: lage; path: lagb - pglag)</t>
        </is>
      </c>
      <c r="B16">
        <f>IF(Assumptions!$B$84=1,Assumptions!$B$83,MAX(0,Assumptions!$B$90-Assumptions!$B$85))</f>
        <v/>
      </c>
    </row>
    <row r="17">
      <c r="A17" t="inlineStr">
        <is>
          <t>GPU+network placed in service (capex lagged by capex-&gt;energized; 6/30 not-in-use first)</t>
        </is>
      </c>
      <c r="C17" s="8">
        <f>Assumptions!$B$105*Assumptions!$B$80*Assumptions!$B$106</f>
        <v/>
      </c>
      <c r="D17" s="8">
        <f>Assumptions!$B$105*Assumptions!$B$80*(1-Assumptions!$B$106)</f>
        <v/>
      </c>
      <c r="E17" s="8">
        <f>IF(E2&gt;=$B$16,INDEX($C$14:$T$14,E2-$B$16+1),0)</f>
        <v/>
      </c>
      <c r="F17" s="8">
        <f>IF(F2&gt;=$B$16,INDEX($C$14:$T$14,F2-$B$16+1),0)</f>
        <v/>
      </c>
      <c r="G17" s="8">
        <f>IF(G2&gt;=$B$16,INDEX($C$14:$T$14,G2-$B$16+1),0)</f>
        <v/>
      </c>
      <c r="H17" s="8">
        <f>IF(H2&gt;=$B$16,INDEX($C$14:$T$14,H2-$B$16+1),0)</f>
        <v/>
      </c>
      <c r="I17" s="8">
        <f>IF(I2&gt;=$B$16,INDEX($C$14:$T$14,I2-$B$16+1),0)</f>
        <v/>
      </c>
      <c r="J17" s="8">
        <f>IF(J2&gt;=$B$16,INDEX($C$14:$T$14,J2-$B$16+1),0)</f>
        <v/>
      </c>
      <c r="K17" s="8">
        <f>IF(K2&gt;=$B$16,INDEX($C$14:$T$14,K2-$B$16+1),0)</f>
        <v/>
      </c>
      <c r="L17" s="8">
        <f>IF(L2&gt;=$B$16,INDEX($C$14:$T$14,L2-$B$16+1),0)</f>
        <v/>
      </c>
      <c r="M17" s="8">
        <f>IF(M2&gt;=$B$16,INDEX($C$14:$T$14,M2-$B$16+1),0)</f>
        <v/>
      </c>
      <c r="N17" s="8">
        <f>IF(N2&gt;=$B$16,INDEX($C$14:$T$14,N2-$B$16+1),0)</f>
        <v/>
      </c>
      <c r="O17" s="8">
        <f>IF(O2&gt;=$B$16,INDEX($C$14:$T$14,O2-$B$16+1),0)</f>
        <v/>
      </c>
      <c r="P17" s="8">
        <f>IF(P2&gt;=$B$16,INDEX($C$14:$T$14,P2-$B$16+1),0)</f>
        <v/>
      </c>
      <c r="Q17" s="8">
        <f>IF(Q2&gt;=$B$16,INDEX($C$14:$T$14,Q2-$B$16+1),0)</f>
        <v/>
      </c>
      <c r="R17" s="8">
        <f>IF(R2&gt;=$B$16,INDEX($C$14:$T$14,R2-$B$16+1),0)</f>
        <v/>
      </c>
      <c r="S17" s="8">
        <f>IF(S2&gt;=$B$16,INDEX($C$14:$T$14,S2-$B$16+1),0)</f>
        <v/>
      </c>
      <c r="T17" s="8">
        <f>IF(T2&gt;=$B$16,INDEX($C$14:$T$14,T2-$B$16+1),0)</f>
        <v/>
      </c>
    </row>
    <row r="18">
      <c r="A18" t="inlineStr">
        <is>
          <t>Non-GPU placed in service</t>
        </is>
      </c>
      <c r="C18" s="8">
        <f>Assumptions!$B$105*(1-Assumptions!$B$80)*Assumptions!$B$106</f>
        <v/>
      </c>
      <c r="D18" s="8">
        <f>Assumptions!$B$105*(1-Assumptions!$B$80)*(1-Assumptions!$B$106)</f>
        <v/>
      </c>
      <c r="E18" s="8">
        <f>IF(E2&gt;=Assumptions!$B$83,INDEX($C$15:$T$15,E2-Assumptions!$B$83+1),0)</f>
        <v/>
      </c>
      <c r="F18" s="8">
        <f>IF(F2&gt;=Assumptions!$B$83,INDEX($C$15:$T$15,F2-Assumptions!$B$83+1),0)</f>
        <v/>
      </c>
      <c r="G18" s="8">
        <f>IF(G2&gt;=Assumptions!$B$83,INDEX($C$15:$T$15,G2-Assumptions!$B$83+1),0)</f>
        <v/>
      </c>
      <c r="H18" s="8">
        <f>IF(H2&gt;=Assumptions!$B$83,INDEX($C$15:$T$15,H2-Assumptions!$B$83+1),0)</f>
        <v/>
      </c>
      <c r="I18" s="8">
        <f>IF(I2&gt;=Assumptions!$B$83,INDEX($C$15:$T$15,I2-Assumptions!$B$83+1),0)</f>
        <v/>
      </c>
      <c r="J18" s="8">
        <f>IF(J2&gt;=Assumptions!$B$83,INDEX($C$15:$T$15,J2-Assumptions!$B$83+1),0)</f>
        <v/>
      </c>
      <c r="K18" s="8">
        <f>IF(K2&gt;=Assumptions!$B$83,INDEX($C$15:$T$15,K2-Assumptions!$B$83+1),0)</f>
        <v/>
      </c>
      <c r="L18" s="8">
        <f>IF(L2&gt;=Assumptions!$B$83,INDEX($C$15:$T$15,L2-Assumptions!$B$83+1),0)</f>
        <v/>
      </c>
      <c r="M18" s="8">
        <f>IF(M2&gt;=Assumptions!$B$83,INDEX($C$15:$T$15,M2-Assumptions!$B$83+1),0)</f>
        <v/>
      </c>
      <c r="N18" s="8">
        <f>IF(N2&gt;=Assumptions!$B$83,INDEX($C$15:$T$15,N2-Assumptions!$B$83+1),0)</f>
        <v/>
      </c>
      <c r="O18" s="8">
        <f>IF(O2&gt;=Assumptions!$B$83,INDEX($C$15:$T$15,O2-Assumptions!$B$83+1),0)</f>
        <v/>
      </c>
      <c r="P18" s="8">
        <f>IF(P2&gt;=Assumptions!$B$83,INDEX($C$15:$T$15,P2-Assumptions!$B$83+1),0)</f>
        <v/>
      </c>
      <c r="Q18" s="8">
        <f>IF(Q2&gt;=Assumptions!$B$83,INDEX($C$15:$T$15,Q2-Assumptions!$B$83+1),0)</f>
        <v/>
      </c>
      <c r="R18" s="8">
        <f>IF(R2&gt;=Assumptions!$B$83,INDEX($C$15:$T$15,R2-Assumptions!$B$83+1),0)</f>
        <v/>
      </c>
      <c r="S18" s="8">
        <f>IF(S2&gt;=Assumptions!$B$83,INDEX($C$15:$T$15,S2-Assumptions!$B$83+1),0)</f>
        <v/>
      </c>
      <c r="T18" s="8">
        <f>IF(T2&gt;=Assumptions!$B$83,INDEX($C$15:$T$15,T2-Assumptions!$B$83+1),0)</f>
        <v/>
      </c>
    </row>
    <row r="19">
      <c r="A19" t="inlineStr">
        <is>
          <t>Gross GPU+network in service (end of qtr)</t>
        </is>
      </c>
      <c r="C19" s="8">
        <f>Assumptions!$B$102+SUM($C$17:C17)</f>
        <v/>
      </c>
      <c r="D19" s="8">
        <f>Assumptions!$B$102+SUM($C$17:D17)</f>
        <v/>
      </c>
      <c r="E19" s="8">
        <f>Assumptions!$B$102+SUM($C$17:E17)</f>
        <v/>
      </c>
      <c r="F19" s="8">
        <f>Assumptions!$B$102+SUM($C$17:F17)</f>
        <v/>
      </c>
      <c r="G19" s="8">
        <f>Assumptions!$B$102+SUM($C$17:G17)</f>
        <v/>
      </c>
      <c r="H19" s="8">
        <f>Assumptions!$B$102+SUM($C$17:H17)</f>
        <v/>
      </c>
      <c r="I19" s="8">
        <f>Assumptions!$B$102+SUM($C$17:I17)</f>
        <v/>
      </c>
      <c r="J19" s="8">
        <f>Assumptions!$B$102+SUM($C$17:J17)</f>
        <v/>
      </c>
      <c r="K19" s="8">
        <f>Assumptions!$B$102+SUM($C$17:K17)</f>
        <v/>
      </c>
      <c r="L19" s="8">
        <f>Assumptions!$B$102+SUM($C$17:L17)</f>
        <v/>
      </c>
      <c r="M19" s="8">
        <f>Assumptions!$B$102+SUM($C$17:M17)</f>
        <v/>
      </c>
      <c r="N19" s="8">
        <f>Assumptions!$B$102+SUM($C$17:N17)</f>
        <v/>
      </c>
      <c r="O19" s="8">
        <f>Assumptions!$B$102+SUM($C$17:O17)</f>
        <v/>
      </c>
      <c r="P19" s="8">
        <f>Assumptions!$B$102+SUM($C$17:P17)</f>
        <v/>
      </c>
      <c r="Q19" s="8">
        <f>Assumptions!$B$102+SUM($C$17:Q17)</f>
        <v/>
      </c>
      <c r="R19" s="8">
        <f>Assumptions!$B$102+SUM($C$17:R17)</f>
        <v/>
      </c>
      <c r="S19" s="8">
        <f>Assumptions!$B$102+SUM($C$17:S17)</f>
        <v/>
      </c>
      <c r="T19" s="8">
        <f>Assumptions!$B$102+SUM($C$17:T17)</f>
        <v/>
      </c>
    </row>
    <row r="20">
      <c r="A20" t="inlineStr">
        <is>
          <t>Gross GPU+network BILLING (in service lagged by energized-&gt;billing)</t>
        </is>
      </c>
      <c r="C20" s="8">
        <f>IF(C2&gt;=Assumptions!$B$90,INDEX($C$19:$T$19,C2-Assumptions!$B$90+1),Assumptions!$B$102)</f>
        <v/>
      </c>
      <c r="D20" s="8">
        <f>IF(D2&gt;=Assumptions!$B$90,INDEX($C$19:$T$19,D2-Assumptions!$B$90+1),Assumptions!$B$102)</f>
        <v/>
      </c>
      <c r="E20" s="8">
        <f>IF(E2&gt;=Assumptions!$B$90,INDEX($C$19:$T$19,E2-Assumptions!$B$90+1),Assumptions!$B$102)</f>
        <v/>
      </c>
      <c r="F20" s="8">
        <f>IF(F2&gt;=Assumptions!$B$90,INDEX($C$19:$T$19,F2-Assumptions!$B$90+1),Assumptions!$B$102)</f>
        <v/>
      </c>
      <c r="G20" s="8">
        <f>IF(G2&gt;=Assumptions!$B$90,INDEX($C$19:$T$19,G2-Assumptions!$B$90+1),Assumptions!$B$102)</f>
        <v/>
      </c>
      <c r="H20" s="8">
        <f>IF(H2&gt;=Assumptions!$B$90,INDEX($C$19:$T$19,H2-Assumptions!$B$90+1),Assumptions!$B$102)</f>
        <v/>
      </c>
      <c r="I20" s="8">
        <f>IF(I2&gt;=Assumptions!$B$90,INDEX($C$19:$T$19,I2-Assumptions!$B$90+1),Assumptions!$B$102)</f>
        <v/>
      </c>
      <c r="J20" s="8">
        <f>IF(J2&gt;=Assumptions!$B$90,INDEX($C$19:$T$19,J2-Assumptions!$B$90+1),Assumptions!$B$102)</f>
        <v/>
      </c>
      <c r="K20" s="8">
        <f>IF(K2&gt;=Assumptions!$B$90,INDEX($C$19:$T$19,K2-Assumptions!$B$90+1),Assumptions!$B$102)</f>
        <v/>
      </c>
      <c r="L20" s="8">
        <f>IF(L2&gt;=Assumptions!$B$90,INDEX($C$19:$T$19,L2-Assumptions!$B$90+1),Assumptions!$B$102)</f>
        <v/>
      </c>
      <c r="M20" s="8">
        <f>IF(M2&gt;=Assumptions!$B$90,INDEX($C$19:$T$19,M2-Assumptions!$B$90+1),Assumptions!$B$102)</f>
        <v/>
      </c>
      <c r="N20" s="8">
        <f>IF(N2&gt;=Assumptions!$B$90,INDEX($C$19:$T$19,N2-Assumptions!$B$90+1),Assumptions!$B$102)</f>
        <v/>
      </c>
      <c r="O20" s="8">
        <f>IF(O2&gt;=Assumptions!$B$90,INDEX($C$19:$T$19,O2-Assumptions!$B$90+1),Assumptions!$B$102)</f>
        <v/>
      </c>
      <c r="P20" s="8">
        <f>IF(P2&gt;=Assumptions!$B$90,INDEX($C$19:$T$19,P2-Assumptions!$B$90+1),Assumptions!$B$102)</f>
        <v/>
      </c>
      <c r="Q20" s="8">
        <f>IF(Q2&gt;=Assumptions!$B$90,INDEX($C$19:$T$19,Q2-Assumptions!$B$90+1),Assumptions!$B$102)</f>
        <v/>
      </c>
      <c r="R20" s="8">
        <f>IF(R2&gt;=Assumptions!$B$90,INDEX($C$19:$T$19,R2-Assumptions!$B$90+1),Assumptions!$B$102)</f>
        <v/>
      </c>
      <c r="S20" s="8">
        <f>IF(S2&gt;=Assumptions!$B$90,INDEX($C$19:$T$19,S2-Assumptions!$B$90+1),Assumptions!$B$102)</f>
        <v/>
      </c>
      <c r="T20" s="8">
        <f>IF(T2&gt;=Assumptions!$B$90,INDEX($C$19:$T$19,T2-Assumptions!$B$90+1),Assumptions!$B$102)</f>
        <v/>
      </c>
    </row>
    <row r="21">
      <c r="A21" t="inlineStr">
        <is>
          <t>Gross non-GPU in service</t>
        </is>
      </c>
      <c r="C21" s="8">
        <f>Assumptions!$B$104+SUM($C$18:C18)</f>
        <v/>
      </c>
      <c r="D21" s="8">
        <f>Assumptions!$B$104+SUM($C$18:D18)</f>
        <v/>
      </c>
      <c r="E21" s="8">
        <f>Assumptions!$B$104+SUM($C$18:E18)</f>
        <v/>
      </c>
      <c r="F21" s="8">
        <f>Assumptions!$B$104+SUM($C$18:F18)</f>
        <v/>
      </c>
      <c r="G21" s="8">
        <f>Assumptions!$B$104+SUM($C$18:G18)</f>
        <v/>
      </c>
      <c r="H21" s="8">
        <f>Assumptions!$B$104+SUM($C$18:H18)</f>
        <v/>
      </c>
      <c r="I21" s="8">
        <f>Assumptions!$B$104+SUM($C$18:I18)</f>
        <v/>
      </c>
      <c r="J21" s="8">
        <f>Assumptions!$B$104+SUM($C$18:J18)</f>
        <v/>
      </c>
      <c r="K21" s="8">
        <f>Assumptions!$B$104+SUM($C$18:K18)</f>
        <v/>
      </c>
      <c r="L21" s="8">
        <f>Assumptions!$B$104+SUM($C$18:L18)</f>
        <v/>
      </c>
      <c r="M21" s="8">
        <f>Assumptions!$B$104+SUM($C$18:M18)</f>
        <v/>
      </c>
      <c r="N21" s="8">
        <f>Assumptions!$B$104+SUM($C$18:N18)</f>
        <v/>
      </c>
      <c r="O21" s="8">
        <f>Assumptions!$B$104+SUM($C$18:O18)</f>
        <v/>
      </c>
      <c r="P21" s="8">
        <f>Assumptions!$B$104+SUM($C$18:P18)</f>
        <v/>
      </c>
      <c r="Q21" s="8">
        <f>Assumptions!$B$104+SUM($C$18:Q18)</f>
        <v/>
      </c>
      <c r="R21" s="8">
        <f>Assumptions!$B$104+SUM($C$18:R18)</f>
        <v/>
      </c>
      <c r="S21" s="8">
        <f>Assumptions!$B$104+SUM($C$18:S18)</f>
        <v/>
      </c>
      <c r="T21" s="8">
        <f>Assumptions!$B$104+SUM($C$18:T18)</f>
        <v/>
      </c>
    </row>
    <row r="22">
      <c r="A22" t="inlineStr">
        <is>
          <t>GPU+network D&amp;A at life L1</t>
        </is>
      </c>
      <c r="C22" s="8">
        <f>IF(C2&lt;(4*Assumptions!$B$3)-Assumptions!$B$103,Assumptions!$B$102/(4*Assumptions!$B$3),0)+SUMPRODUCT($C$17:C17,(((C2-$C$2:C2)=0)*0.5+(((C2-$C$2:C2)&gt;0)*((C2-$C$2:C2)&lt;(4*Assumptions!$B$3)))+(((C2-$C$2:C2)=(4*Assumptions!$B$3))*0.5))/(4*Assumptions!$B$3))</f>
        <v/>
      </c>
      <c r="D22" s="8">
        <f>IF(D2&lt;(4*Assumptions!$B$3)-Assumptions!$B$103,Assumptions!$B$102/(4*Assumptions!$B$3),0)+SUMPRODUCT($C$17:D17,(((D2-$C$2:D2)=0)*0.5+(((D2-$C$2:D2)&gt;0)*((D2-$C$2:D2)&lt;(4*Assumptions!$B$3)))+(((D2-$C$2:D2)=(4*Assumptions!$B$3))*0.5))/(4*Assumptions!$B$3))</f>
        <v/>
      </c>
      <c r="E22" s="8">
        <f>IF(E2&lt;(4*Assumptions!$B$3)-Assumptions!$B$103,Assumptions!$B$102/(4*Assumptions!$B$3),0)+SUMPRODUCT($C$17:E17,(((E2-$C$2:E2)=0)*0.5+(((E2-$C$2:E2)&gt;0)*((E2-$C$2:E2)&lt;(4*Assumptions!$B$3)))+(((E2-$C$2:E2)=(4*Assumptions!$B$3))*0.5))/(4*Assumptions!$B$3))</f>
        <v/>
      </c>
      <c r="F22" s="8">
        <f>IF(F2&lt;(4*Assumptions!$B$3)-Assumptions!$B$103,Assumptions!$B$102/(4*Assumptions!$B$3),0)+SUMPRODUCT($C$17:F17,(((F2-$C$2:F2)=0)*0.5+(((F2-$C$2:F2)&gt;0)*((F2-$C$2:F2)&lt;(4*Assumptions!$B$3)))+(((F2-$C$2:F2)=(4*Assumptions!$B$3))*0.5))/(4*Assumptions!$B$3))</f>
        <v/>
      </c>
      <c r="G22" s="8">
        <f>IF(G2&lt;(4*Assumptions!$B$3)-Assumptions!$B$103,Assumptions!$B$102/(4*Assumptions!$B$3),0)+SUMPRODUCT($C$17:G17,(((G2-$C$2:G2)=0)*0.5+(((G2-$C$2:G2)&gt;0)*((G2-$C$2:G2)&lt;(4*Assumptions!$B$3)))+(((G2-$C$2:G2)=(4*Assumptions!$B$3))*0.5))/(4*Assumptions!$B$3))</f>
        <v/>
      </c>
      <c r="H22" s="8">
        <f>IF(H2&lt;(4*Assumptions!$B$3)-Assumptions!$B$103,Assumptions!$B$102/(4*Assumptions!$B$3),0)+SUMPRODUCT($C$17:H17,(((H2-$C$2:H2)=0)*0.5+(((H2-$C$2:H2)&gt;0)*((H2-$C$2:H2)&lt;(4*Assumptions!$B$3)))+(((H2-$C$2:H2)=(4*Assumptions!$B$3))*0.5))/(4*Assumptions!$B$3))</f>
        <v/>
      </c>
      <c r="I22" s="8">
        <f>IF(I2&lt;(4*Assumptions!$B$3)-Assumptions!$B$103,Assumptions!$B$102/(4*Assumptions!$B$3),0)+SUMPRODUCT($C$17:I17,(((I2-$C$2:I2)=0)*0.5+(((I2-$C$2:I2)&gt;0)*((I2-$C$2:I2)&lt;(4*Assumptions!$B$3)))+(((I2-$C$2:I2)=(4*Assumptions!$B$3))*0.5))/(4*Assumptions!$B$3))</f>
        <v/>
      </c>
      <c r="J22" s="8">
        <f>IF(J2&lt;(4*Assumptions!$B$3)-Assumptions!$B$103,Assumptions!$B$102/(4*Assumptions!$B$3),0)+SUMPRODUCT($C$17:J17,(((J2-$C$2:J2)=0)*0.5+(((J2-$C$2:J2)&gt;0)*((J2-$C$2:J2)&lt;(4*Assumptions!$B$3)))+(((J2-$C$2:J2)=(4*Assumptions!$B$3))*0.5))/(4*Assumptions!$B$3))</f>
        <v/>
      </c>
      <c r="K22" s="8">
        <f>IF(K2&lt;(4*Assumptions!$B$3)-Assumptions!$B$103,Assumptions!$B$102/(4*Assumptions!$B$3),0)+SUMPRODUCT($C$17:K17,(((K2-$C$2:K2)=0)*0.5+(((K2-$C$2:K2)&gt;0)*((K2-$C$2:K2)&lt;(4*Assumptions!$B$3)))+(((K2-$C$2:K2)=(4*Assumptions!$B$3))*0.5))/(4*Assumptions!$B$3))</f>
        <v/>
      </c>
      <c r="L22" s="8">
        <f>IF(L2&lt;(4*Assumptions!$B$3)-Assumptions!$B$103,Assumptions!$B$102/(4*Assumptions!$B$3),0)+SUMPRODUCT($C$17:L17,(((L2-$C$2:L2)=0)*0.5+(((L2-$C$2:L2)&gt;0)*((L2-$C$2:L2)&lt;(4*Assumptions!$B$3)))+(((L2-$C$2:L2)=(4*Assumptions!$B$3))*0.5))/(4*Assumptions!$B$3))</f>
        <v/>
      </c>
      <c r="M22" s="8">
        <f>IF(M2&lt;(4*Assumptions!$B$3)-Assumptions!$B$103,Assumptions!$B$102/(4*Assumptions!$B$3),0)+SUMPRODUCT($C$17:M17,(((M2-$C$2:M2)=0)*0.5+(((M2-$C$2:M2)&gt;0)*((M2-$C$2:M2)&lt;(4*Assumptions!$B$3)))+(((M2-$C$2:M2)=(4*Assumptions!$B$3))*0.5))/(4*Assumptions!$B$3))</f>
        <v/>
      </c>
      <c r="N22" s="8">
        <f>IF(N2&lt;(4*Assumptions!$B$3)-Assumptions!$B$103,Assumptions!$B$102/(4*Assumptions!$B$3),0)+SUMPRODUCT($C$17:N17,(((N2-$C$2:N2)=0)*0.5+(((N2-$C$2:N2)&gt;0)*((N2-$C$2:N2)&lt;(4*Assumptions!$B$3)))+(((N2-$C$2:N2)=(4*Assumptions!$B$3))*0.5))/(4*Assumptions!$B$3))</f>
        <v/>
      </c>
      <c r="O22" s="8">
        <f>IF(O2&lt;(4*Assumptions!$B$3)-Assumptions!$B$103,Assumptions!$B$102/(4*Assumptions!$B$3),0)+SUMPRODUCT($C$17:O17,(((O2-$C$2:O2)=0)*0.5+(((O2-$C$2:O2)&gt;0)*((O2-$C$2:O2)&lt;(4*Assumptions!$B$3)))+(((O2-$C$2:O2)=(4*Assumptions!$B$3))*0.5))/(4*Assumptions!$B$3))</f>
        <v/>
      </c>
      <c r="P22" s="8">
        <f>IF(P2&lt;(4*Assumptions!$B$3)-Assumptions!$B$103,Assumptions!$B$102/(4*Assumptions!$B$3),0)+SUMPRODUCT($C$17:P17,(((P2-$C$2:P2)=0)*0.5+(((P2-$C$2:P2)&gt;0)*((P2-$C$2:P2)&lt;(4*Assumptions!$B$3)))+(((P2-$C$2:P2)=(4*Assumptions!$B$3))*0.5))/(4*Assumptions!$B$3))</f>
        <v/>
      </c>
      <c r="Q22" s="8">
        <f>IF(Q2&lt;(4*Assumptions!$B$3)-Assumptions!$B$103,Assumptions!$B$102/(4*Assumptions!$B$3),0)+SUMPRODUCT($C$17:Q17,(((Q2-$C$2:Q2)=0)*0.5+(((Q2-$C$2:Q2)&gt;0)*((Q2-$C$2:Q2)&lt;(4*Assumptions!$B$3)))+(((Q2-$C$2:Q2)=(4*Assumptions!$B$3))*0.5))/(4*Assumptions!$B$3))</f>
        <v/>
      </c>
      <c r="R22" s="8">
        <f>IF(R2&lt;(4*Assumptions!$B$3)-Assumptions!$B$103,Assumptions!$B$102/(4*Assumptions!$B$3),0)+SUMPRODUCT($C$17:R17,(((R2-$C$2:R2)=0)*0.5+(((R2-$C$2:R2)&gt;0)*((R2-$C$2:R2)&lt;(4*Assumptions!$B$3)))+(((R2-$C$2:R2)=(4*Assumptions!$B$3))*0.5))/(4*Assumptions!$B$3))</f>
        <v/>
      </c>
      <c r="S22" s="8">
        <f>IF(S2&lt;(4*Assumptions!$B$3)-Assumptions!$B$103,Assumptions!$B$102/(4*Assumptions!$B$3),0)+SUMPRODUCT($C$17:S17,(((S2-$C$2:S2)=0)*0.5+(((S2-$C$2:S2)&gt;0)*((S2-$C$2:S2)&lt;(4*Assumptions!$B$3)))+(((S2-$C$2:S2)=(4*Assumptions!$B$3))*0.5))/(4*Assumptions!$B$3))</f>
        <v/>
      </c>
      <c r="T22" s="8">
        <f>IF(T2&lt;(4*Assumptions!$B$3)-Assumptions!$B$103,Assumptions!$B$102/(4*Assumptions!$B$3),0)+SUMPRODUCT($C$17:T17,(((T2-$C$2:T2)=0)*0.5+(((T2-$C$2:T2)&gt;0)*((T2-$C$2:T2)&lt;(4*Assumptions!$B$3)))+(((T2-$C$2:T2)=(4*Assumptions!$B$3))*0.5))/(4*Assumptions!$B$3))</f>
        <v/>
      </c>
    </row>
    <row r="23">
      <c r="A23" t="inlineStr">
        <is>
          <t>GPU+network D&amp;A at life L2</t>
        </is>
      </c>
      <c r="C23" s="8">
        <f>IF(C2&lt;(4*Assumptions!$B$4)-Assumptions!$B$103,Assumptions!$B$102/(4*Assumptions!$B$4),0)+SUMPRODUCT($C$17:C17,(((C2-$C$2:C2)=0)*0.5+(((C2-$C$2:C2)&gt;0)*((C2-$C$2:C2)&lt;(4*Assumptions!$B$4)))+(((C2-$C$2:C2)=(4*Assumptions!$B$4))*0.5))/(4*Assumptions!$B$4))</f>
        <v/>
      </c>
      <c r="D23" s="8">
        <f>IF(D2&lt;(4*Assumptions!$B$4)-Assumptions!$B$103,Assumptions!$B$102/(4*Assumptions!$B$4),0)+SUMPRODUCT($C$17:D17,(((D2-$C$2:D2)=0)*0.5+(((D2-$C$2:D2)&gt;0)*((D2-$C$2:D2)&lt;(4*Assumptions!$B$4)))+(((D2-$C$2:D2)=(4*Assumptions!$B$4))*0.5))/(4*Assumptions!$B$4))</f>
        <v/>
      </c>
      <c r="E23" s="8">
        <f>IF(E2&lt;(4*Assumptions!$B$4)-Assumptions!$B$103,Assumptions!$B$102/(4*Assumptions!$B$4),0)+SUMPRODUCT($C$17:E17,(((E2-$C$2:E2)=0)*0.5+(((E2-$C$2:E2)&gt;0)*((E2-$C$2:E2)&lt;(4*Assumptions!$B$4)))+(((E2-$C$2:E2)=(4*Assumptions!$B$4))*0.5))/(4*Assumptions!$B$4))</f>
        <v/>
      </c>
      <c r="F23" s="8">
        <f>IF(F2&lt;(4*Assumptions!$B$4)-Assumptions!$B$103,Assumptions!$B$102/(4*Assumptions!$B$4),0)+SUMPRODUCT($C$17:F17,(((F2-$C$2:F2)=0)*0.5+(((F2-$C$2:F2)&gt;0)*((F2-$C$2:F2)&lt;(4*Assumptions!$B$4)))+(((F2-$C$2:F2)=(4*Assumptions!$B$4))*0.5))/(4*Assumptions!$B$4))</f>
        <v/>
      </c>
      <c r="G23" s="8">
        <f>IF(G2&lt;(4*Assumptions!$B$4)-Assumptions!$B$103,Assumptions!$B$102/(4*Assumptions!$B$4),0)+SUMPRODUCT($C$17:G17,(((G2-$C$2:G2)=0)*0.5+(((G2-$C$2:G2)&gt;0)*((G2-$C$2:G2)&lt;(4*Assumptions!$B$4)))+(((G2-$C$2:G2)=(4*Assumptions!$B$4))*0.5))/(4*Assumptions!$B$4))</f>
        <v/>
      </c>
      <c r="H23" s="8">
        <f>IF(H2&lt;(4*Assumptions!$B$4)-Assumptions!$B$103,Assumptions!$B$102/(4*Assumptions!$B$4),0)+SUMPRODUCT($C$17:H17,(((H2-$C$2:H2)=0)*0.5+(((H2-$C$2:H2)&gt;0)*((H2-$C$2:H2)&lt;(4*Assumptions!$B$4)))+(((H2-$C$2:H2)=(4*Assumptions!$B$4))*0.5))/(4*Assumptions!$B$4))</f>
        <v/>
      </c>
      <c r="I23" s="8">
        <f>IF(I2&lt;(4*Assumptions!$B$4)-Assumptions!$B$103,Assumptions!$B$102/(4*Assumptions!$B$4),0)+SUMPRODUCT($C$17:I17,(((I2-$C$2:I2)=0)*0.5+(((I2-$C$2:I2)&gt;0)*((I2-$C$2:I2)&lt;(4*Assumptions!$B$4)))+(((I2-$C$2:I2)=(4*Assumptions!$B$4))*0.5))/(4*Assumptions!$B$4))</f>
        <v/>
      </c>
      <c r="J23" s="8">
        <f>IF(J2&lt;(4*Assumptions!$B$4)-Assumptions!$B$103,Assumptions!$B$102/(4*Assumptions!$B$4),0)+SUMPRODUCT($C$17:J17,(((J2-$C$2:J2)=0)*0.5+(((J2-$C$2:J2)&gt;0)*((J2-$C$2:J2)&lt;(4*Assumptions!$B$4)))+(((J2-$C$2:J2)=(4*Assumptions!$B$4))*0.5))/(4*Assumptions!$B$4))</f>
        <v/>
      </c>
      <c r="K23" s="8">
        <f>IF(K2&lt;(4*Assumptions!$B$4)-Assumptions!$B$103,Assumptions!$B$102/(4*Assumptions!$B$4),0)+SUMPRODUCT($C$17:K17,(((K2-$C$2:K2)=0)*0.5+(((K2-$C$2:K2)&gt;0)*((K2-$C$2:K2)&lt;(4*Assumptions!$B$4)))+(((K2-$C$2:K2)=(4*Assumptions!$B$4))*0.5))/(4*Assumptions!$B$4))</f>
        <v/>
      </c>
      <c r="L23" s="8">
        <f>IF(L2&lt;(4*Assumptions!$B$4)-Assumptions!$B$103,Assumptions!$B$102/(4*Assumptions!$B$4),0)+SUMPRODUCT($C$17:L17,(((L2-$C$2:L2)=0)*0.5+(((L2-$C$2:L2)&gt;0)*((L2-$C$2:L2)&lt;(4*Assumptions!$B$4)))+(((L2-$C$2:L2)=(4*Assumptions!$B$4))*0.5))/(4*Assumptions!$B$4))</f>
        <v/>
      </c>
      <c r="M23" s="8">
        <f>IF(M2&lt;(4*Assumptions!$B$4)-Assumptions!$B$103,Assumptions!$B$102/(4*Assumptions!$B$4),0)+SUMPRODUCT($C$17:M17,(((M2-$C$2:M2)=0)*0.5+(((M2-$C$2:M2)&gt;0)*((M2-$C$2:M2)&lt;(4*Assumptions!$B$4)))+(((M2-$C$2:M2)=(4*Assumptions!$B$4))*0.5))/(4*Assumptions!$B$4))</f>
        <v/>
      </c>
      <c r="N23" s="8">
        <f>IF(N2&lt;(4*Assumptions!$B$4)-Assumptions!$B$103,Assumptions!$B$102/(4*Assumptions!$B$4),0)+SUMPRODUCT($C$17:N17,(((N2-$C$2:N2)=0)*0.5+(((N2-$C$2:N2)&gt;0)*((N2-$C$2:N2)&lt;(4*Assumptions!$B$4)))+(((N2-$C$2:N2)=(4*Assumptions!$B$4))*0.5))/(4*Assumptions!$B$4))</f>
        <v/>
      </c>
      <c r="O23" s="8">
        <f>IF(O2&lt;(4*Assumptions!$B$4)-Assumptions!$B$103,Assumptions!$B$102/(4*Assumptions!$B$4),0)+SUMPRODUCT($C$17:O17,(((O2-$C$2:O2)=0)*0.5+(((O2-$C$2:O2)&gt;0)*((O2-$C$2:O2)&lt;(4*Assumptions!$B$4)))+(((O2-$C$2:O2)=(4*Assumptions!$B$4))*0.5))/(4*Assumptions!$B$4))</f>
        <v/>
      </c>
      <c r="P23" s="8">
        <f>IF(P2&lt;(4*Assumptions!$B$4)-Assumptions!$B$103,Assumptions!$B$102/(4*Assumptions!$B$4),0)+SUMPRODUCT($C$17:P17,(((P2-$C$2:P2)=0)*0.5+(((P2-$C$2:P2)&gt;0)*((P2-$C$2:P2)&lt;(4*Assumptions!$B$4)))+(((P2-$C$2:P2)=(4*Assumptions!$B$4))*0.5))/(4*Assumptions!$B$4))</f>
        <v/>
      </c>
      <c r="Q23" s="8">
        <f>IF(Q2&lt;(4*Assumptions!$B$4)-Assumptions!$B$103,Assumptions!$B$102/(4*Assumptions!$B$4),0)+SUMPRODUCT($C$17:Q17,(((Q2-$C$2:Q2)=0)*0.5+(((Q2-$C$2:Q2)&gt;0)*((Q2-$C$2:Q2)&lt;(4*Assumptions!$B$4)))+(((Q2-$C$2:Q2)=(4*Assumptions!$B$4))*0.5))/(4*Assumptions!$B$4))</f>
        <v/>
      </c>
      <c r="R23" s="8">
        <f>IF(R2&lt;(4*Assumptions!$B$4)-Assumptions!$B$103,Assumptions!$B$102/(4*Assumptions!$B$4),0)+SUMPRODUCT($C$17:R17,(((R2-$C$2:R2)=0)*0.5+(((R2-$C$2:R2)&gt;0)*((R2-$C$2:R2)&lt;(4*Assumptions!$B$4)))+(((R2-$C$2:R2)=(4*Assumptions!$B$4))*0.5))/(4*Assumptions!$B$4))</f>
        <v/>
      </c>
      <c r="S23" s="8">
        <f>IF(S2&lt;(4*Assumptions!$B$4)-Assumptions!$B$103,Assumptions!$B$102/(4*Assumptions!$B$4),0)+SUMPRODUCT($C$17:S17,(((S2-$C$2:S2)=0)*0.5+(((S2-$C$2:S2)&gt;0)*((S2-$C$2:S2)&lt;(4*Assumptions!$B$4)))+(((S2-$C$2:S2)=(4*Assumptions!$B$4))*0.5))/(4*Assumptions!$B$4))</f>
        <v/>
      </c>
      <c r="T23" s="8">
        <f>IF(T2&lt;(4*Assumptions!$B$4)-Assumptions!$B$103,Assumptions!$B$102/(4*Assumptions!$B$4),0)+SUMPRODUCT($C$17:T17,(((T2-$C$2:T2)=0)*0.5+(((T2-$C$2:T2)&gt;0)*((T2-$C$2:T2)&lt;(4*Assumptions!$B$4)))+(((T2-$C$2:T2)=(4*Assumptions!$B$4))*0.5))/(4*Assumptions!$B$4))</f>
        <v/>
      </c>
    </row>
    <row r="24">
      <c r="A24" t="inlineStr">
        <is>
          <t>GPU+network D&amp;A at life L3</t>
        </is>
      </c>
      <c r="C24" s="8">
        <f>IF(C2&lt;(4*Assumptions!$B$5)-Assumptions!$B$103,Assumptions!$B$102/(4*Assumptions!$B$5),0)+SUMPRODUCT($C$17:C17,(((C2-$C$2:C2)=0)*0.5+(((C2-$C$2:C2)&gt;0)*((C2-$C$2:C2)&lt;(4*Assumptions!$B$5)))+(((C2-$C$2:C2)=(4*Assumptions!$B$5))*0.5))/(4*Assumptions!$B$5))</f>
        <v/>
      </c>
      <c r="D24" s="8">
        <f>IF(D2&lt;(4*Assumptions!$B$5)-Assumptions!$B$103,Assumptions!$B$102/(4*Assumptions!$B$5),0)+SUMPRODUCT($C$17:D17,(((D2-$C$2:D2)=0)*0.5+(((D2-$C$2:D2)&gt;0)*((D2-$C$2:D2)&lt;(4*Assumptions!$B$5)))+(((D2-$C$2:D2)=(4*Assumptions!$B$5))*0.5))/(4*Assumptions!$B$5))</f>
        <v/>
      </c>
      <c r="E24" s="8">
        <f>IF(E2&lt;(4*Assumptions!$B$5)-Assumptions!$B$103,Assumptions!$B$102/(4*Assumptions!$B$5),0)+SUMPRODUCT($C$17:E17,(((E2-$C$2:E2)=0)*0.5+(((E2-$C$2:E2)&gt;0)*((E2-$C$2:E2)&lt;(4*Assumptions!$B$5)))+(((E2-$C$2:E2)=(4*Assumptions!$B$5))*0.5))/(4*Assumptions!$B$5))</f>
        <v/>
      </c>
      <c r="F24" s="8">
        <f>IF(F2&lt;(4*Assumptions!$B$5)-Assumptions!$B$103,Assumptions!$B$102/(4*Assumptions!$B$5),0)+SUMPRODUCT($C$17:F17,(((F2-$C$2:F2)=0)*0.5+(((F2-$C$2:F2)&gt;0)*((F2-$C$2:F2)&lt;(4*Assumptions!$B$5)))+(((F2-$C$2:F2)=(4*Assumptions!$B$5))*0.5))/(4*Assumptions!$B$5))</f>
        <v/>
      </c>
      <c r="G24" s="8">
        <f>IF(G2&lt;(4*Assumptions!$B$5)-Assumptions!$B$103,Assumptions!$B$102/(4*Assumptions!$B$5),0)+SUMPRODUCT($C$17:G17,(((G2-$C$2:G2)=0)*0.5+(((G2-$C$2:G2)&gt;0)*((G2-$C$2:G2)&lt;(4*Assumptions!$B$5)))+(((G2-$C$2:G2)=(4*Assumptions!$B$5))*0.5))/(4*Assumptions!$B$5))</f>
        <v/>
      </c>
      <c r="H24" s="8">
        <f>IF(H2&lt;(4*Assumptions!$B$5)-Assumptions!$B$103,Assumptions!$B$102/(4*Assumptions!$B$5),0)+SUMPRODUCT($C$17:H17,(((H2-$C$2:H2)=0)*0.5+(((H2-$C$2:H2)&gt;0)*((H2-$C$2:H2)&lt;(4*Assumptions!$B$5)))+(((H2-$C$2:H2)=(4*Assumptions!$B$5))*0.5))/(4*Assumptions!$B$5))</f>
        <v/>
      </c>
      <c r="I24" s="8">
        <f>IF(I2&lt;(4*Assumptions!$B$5)-Assumptions!$B$103,Assumptions!$B$102/(4*Assumptions!$B$5),0)+SUMPRODUCT($C$17:I17,(((I2-$C$2:I2)=0)*0.5+(((I2-$C$2:I2)&gt;0)*((I2-$C$2:I2)&lt;(4*Assumptions!$B$5)))+(((I2-$C$2:I2)=(4*Assumptions!$B$5))*0.5))/(4*Assumptions!$B$5))</f>
        <v/>
      </c>
      <c r="J24" s="8">
        <f>IF(J2&lt;(4*Assumptions!$B$5)-Assumptions!$B$103,Assumptions!$B$102/(4*Assumptions!$B$5),0)+SUMPRODUCT($C$17:J17,(((J2-$C$2:J2)=0)*0.5+(((J2-$C$2:J2)&gt;0)*((J2-$C$2:J2)&lt;(4*Assumptions!$B$5)))+(((J2-$C$2:J2)=(4*Assumptions!$B$5))*0.5))/(4*Assumptions!$B$5))</f>
        <v/>
      </c>
      <c r="K24" s="8">
        <f>IF(K2&lt;(4*Assumptions!$B$5)-Assumptions!$B$103,Assumptions!$B$102/(4*Assumptions!$B$5),0)+SUMPRODUCT($C$17:K17,(((K2-$C$2:K2)=0)*0.5+(((K2-$C$2:K2)&gt;0)*((K2-$C$2:K2)&lt;(4*Assumptions!$B$5)))+(((K2-$C$2:K2)=(4*Assumptions!$B$5))*0.5))/(4*Assumptions!$B$5))</f>
        <v/>
      </c>
      <c r="L24" s="8">
        <f>IF(L2&lt;(4*Assumptions!$B$5)-Assumptions!$B$103,Assumptions!$B$102/(4*Assumptions!$B$5),0)+SUMPRODUCT($C$17:L17,(((L2-$C$2:L2)=0)*0.5+(((L2-$C$2:L2)&gt;0)*((L2-$C$2:L2)&lt;(4*Assumptions!$B$5)))+(((L2-$C$2:L2)=(4*Assumptions!$B$5))*0.5))/(4*Assumptions!$B$5))</f>
        <v/>
      </c>
      <c r="M24" s="8">
        <f>IF(M2&lt;(4*Assumptions!$B$5)-Assumptions!$B$103,Assumptions!$B$102/(4*Assumptions!$B$5),0)+SUMPRODUCT($C$17:M17,(((M2-$C$2:M2)=0)*0.5+(((M2-$C$2:M2)&gt;0)*((M2-$C$2:M2)&lt;(4*Assumptions!$B$5)))+(((M2-$C$2:M2)=(4*Assumptions!$B$5))*0.5))/(4*Assumptions!$B$5))</f>
        <v/>
      </c>
      <c r="N24" s="8">
        <f>IF(N2&lt;(4*Assumptions!$B$5)-Assumptions!$B$103,Assumptions!$B$102/(4*Assumptions!$B$5),0)+SUMPRODUCT($C$17:N17,(((N2-$C$2:N2)=0)*0.5+(((N2-$C$2:N2)&gt;0)*((N2-$C$2:N2)&lt;(4*Assumptions!$B$5)))+(((N2-$C$2:N2)=(4*Assumptions!$B$5))*0.5))/(4*Assumptions!$B$5))</f>
        <v/>
      </c>
      <c r="O24" s="8">
        <f>IF(O2&lt;(4*Assumptions!$B$5)-Assumptions!$B$103,Assumptions!$B$102/(4*Assumptions!$B$5),0)+SUMPRODUCT($C$17:O17,(((O2-$C$2:O2)=0)*0.5+(((O2-$C$2:O2)&gt;0)*((O2-$C$2:O2)&lt;(4*Assumptions!$B$5)))+(((O2-$C$2:O2)=(4*Assumptions!$B$5))*0.5))/(4*Assumptions!$B$5))</f>
        <v/>
      </c>
      <c r="P24" s="8">
        <f>IF(P2&lt;(4*Assumptions!$B$5)-Assumptions!$B$103,Assumptions!$B$102/(4*Assumptions!$B$5),0)+SUMPRODUCT($C$17:P17,(((P2-$C$2:P2)=0)*0.5+(((P2-$C$2:P2)&gt;0)*((P2-$C$2:P2)&lt;(4*Assumptions!$B$5)))+(((P2-$C$2:P2)=(4*Assumptions!$B$5))*0.5))/(4*Assumptions!$B$5))</f>
        <v/>
      </c>
      <c r="Q24" s="8">
        <f>IF(Q2&lt;(4*Assumptions!$B$5)-Assumptions!$B$103,Assumptions!$B$102/(4*Assumptions!$B$5),0)+SUMPRODUCT($C$17:Q17,(((Q2-$C$2:Q2)=0)*0.5+(((Q2-$C$2:Q2)&gt;0)*((Q2-$C$2:Q2)&lt;(4*Assumptions!$B$5)))+(((Q2-$C$2:Q2)=(4*Assumptions!$B$5))*0.5))/(4*Assumptions!$B$5))</f>
        <v/>
      </c>
      <c r="R24" s="8">
        <f>IF(R2&lt;(4*Assumptions!$B$5)-Assumptions!$B$103,Assumptions!$B$102/(4*Assumptions!$B$5),0)+SUMPRODUCT($C$17:R17,(((R2-$C$2:R2)=0)*0.5+(((R2-$C$2:R2)&gt;0)*((R2-$C$2:R2)&lt;(4*Assumptions!$B$5)))+(((R2-$C$2:R2)=(4*Assumptions!$B$5))*0.5))/(4*Assumptions!$B$5))</f>
        <v/>
      </c>
      <c r="S24" s="8">
        <f>IF(S2&lt;(4*Assumptions!$B$5)-Assumptions!$B$103,Assumptions!$B$102/(4*Assumptions!$B$5),0)+SUMPRODUCT($C$17:S17,(((S2-$C$2:S2)=0)*0.5+(((S2-$C$2:S2)&gt;0)*((S2-$C$2:S2)&lt;(4*Assumptions!$B$5)))+(((S2-$C$2:S2)=(4*Assumptions!$B$5))*0.5))/(4*Assumptions!$B$5))</f>
        <v/>
      </c>
      <c r="T24" s="8">
        <f>IF(T2&lt;(4*Assumptions!$B$5)-Assumptions!$B$103,Assumptions!$B$102/(4*Assumptions!$B$5),0)+SUMPRODUCT($C$17:T17,(((T2-$C$2:T2)=0)*0.5+(((T2-$C$2:T2)&gt;0)*((T2-$C$2:T2)&lt;(4*Assumptions!$B$5)))+(((T2-$C$2:T2)=(4*Assumptions!$B$5))*0.5))/(4*Assumptions!$B$5))</f>
        <v/>
      </c>
    </row>
    <row r="25">
      <c r="A25" t="inlineStr">
        <is>
          <t>Non-GPU D&amp;A (existing at ngl, new at shell life)</t>
        </is>
      </c>
      <c r="C25" s="8">
        <f>Assumptions!$B$104/(4*Assumptions!$B$7)+SUMPRODUCT($C$18:C18,(((C2-$C$2:C2)=0)*0.5+((C2-$C$2:C2)&gt;0))/(4*Assumptions!$B$6))</f>
        <v/>
      </c>
      <c r="D25" s="8">
        <f>Assumptions!$B$104/(4*Assumptions!$B$7)+SUMPRODUCT($C$18:D18,(((D2-$C$2:D2)=0)*0.5+((D2-$C$2:D2)&gt;0))/(4*Assumptions!$B$6))</f>
        <v/>
      </c>
      <c r="E25" s="8">
        <f>Assumptions!$B$104/(4*Assumptions!$B$7)+SUMPRODUCT($C$18:E18,(((E2-$C$2:E2)=0)*0.5+((E2-$C$2:E2)&gt;0))/(4*Assumptions!$B$6))</f>
        <v/>
      </c>
      <c r="F25" s="8">
        <f>Assumptions!$B$104/(4*Assumptions!$B$7)+SUMPRODUCT($C$18:F18,(((F2-$C$2:F2)=0)*0.5+((F2-$C$2:F2)&gt;0))/(4*Assumptions!$B$6))</f>
        <v/>
      </c>
      <c r="G25" s="8">
        <f>Assumptions!$B$104/(4*Assumptions!$B$7)+SUMPRODUCT($C$18:G18,(((G2-$C$2:G2)=0)*0.5+((G2-$C$2:G2)&gt;0))/(4*Assumptions!$B$6))</f>
        <v/>
      </c>
      <c r="H25" s="8">
        <f>Assumptions!$B$104/(4*Assumptions!$B$7)+SUMPRODUCT($C$18:H18,(((H2-$C$2:H2)=0)*0.5+((H2-$C$2:H2)&gt;0))/(4*Assumptions!$B$6))</f>
        <v/>
      </c>
      <c r="I25" s="8">
        <f>Assumptions!$B$104/(4*Assumptions!$B$7)+SUMPRODUCT($C$18:I18,(((I2-$C$2:I2)=0)*0.5+((I2-$C$2:I2)&gt;0))/(4*Assumptions!$B$6))</f>
        <v/>
      </c>
      <c r="J25" s="8">
        <f>Assumptions!$B$104/(4*Assumptions!$B$7)+SUMPRODUCT($C$18:J18,(((J2-$C$2:J2)=0)*0.5+((J2-$C$2:J2)&gt;0))/(4*Assumptions!$B$6))</f>
        <v/>
      </c>
      <c r="K25" s="8">
        <f>Assumptions!$B$104/(4*Assumptions!$B$7)+SUMPRODUCT($C$18:K18,(((K2-$C$2:K2)=0)*0.5+((K2-$C$2:K2)&gt;0))/(4*Assumptions!$B$6))</f>
        <v/>
      </c>
      <c r="L25" s="8">
        <f>Assumptions!$B$104/(4*Assumptions!$B$7)+SUMPRODUCT($C$18:L18,(((L2-$C$2:L2)=0)*0.5+((L2-$C$2:L2)&gt;0))/(4*Assumptions!$B$6))</f>
        <v/>
      </c>
      <c r="M25" s="8">
        <f>Assumptions!$B$104/(4*Assumptions!$B$7)+SUMPRODUCT($C$18:M18,(((M2-$C$2:M2)=0)*0.5+((M2-$C$2:M2)&gt;0))/(4*Assumptions!$B$6))</f>
        <v/>
      </c>
      <c r="N25" s="8">
        <f>Assumptions!$B$104/(4*Assumptions!$B$7)+SUMPRODUCT($C$18:N18,(((N2-$C$2:N2)=0)*0.5+((N2-$C$2:N2)&gt;0))/(4*Assumptions!$B$6))</f>
        <v/>
      </c>
      <c r="O25" s="8">
        <f>Assumptions!$B$104/(4*Assumptions!$B$7)+SUMPRODUCT($C$18:O18,(((O2-$C$2:O2)=0)*0.5+((O2-$C$2:O2)&gt;0))/(4*Assumptions!$B$6))</f>
        <v/>
      </c>
      <c r="P25" s="8">
        <f>Assumptions!$B$104/(4*Assumptions!$B$7)+SUMPRODUCT($C$18:P18,(((P2-$C$2:P2)=0)*0.5+((P2-$C$2:P2)&gt;0))/(4*Assumptions!$B$6))</f>
        <v/>
      </c>
      <c r="Q25" s="8">
        <f>Assumptions!$B$104/(4*Assumptions!$B$7)+SUMPRODUCT($C$18:Q18,(((Q2-$C$2:Q2)=0)*0.5+((Q2-$C$2:Q2)&gt;0))/(4*Assumptions!$B$6))</f>
        <v/>
      </c>
      <c r="R25" s="8">
        <f>Assumptions!$B$104/(4*Assumptions!$B$7)+SUMPRODUCT($C$18:R18,(((R2-$C$2:R2)=0)*0.5+((R2-$C$2:R2)&gt;0))/(4*Assumptions!$B$6))</f>
        <v/>
      </c>
      <c r="S25" s="8">
        <f>Assumptions!$B$104/(4*Assumptions!$B$7)+SUMPRODUCT($C$18:S18,(((S2-$C$2:S2)=0)*0.5+((S2-$C$2:S2)&gt;0))/(4*Assumptions!$B$6))</f>
        <v/>
      </c>
      <c r="T25" s="8">
        <f>Assumptions!$B$104/(4*Assumptions!$B$7)+SUMPRODUCT($C$18:T18,(((T2-$C$2:T2)=0)*0.5+((T2-$C$2:T2)&gt;0))/(4*Assumptions!$B$6))</f>
        <v/>
      </c>
    </row>
    <row r="26">
      <c r="A26" t="inlineStr">
        <is>
          <t>Revenue - consensus (Q3'26-Q4'27 quarterly, FY28 weights)</t>
        </is>
      </c>
      <c r="C26" s="10" t="n">
        <v>904.1</v>
      </c>
      <c r="D26" s="10" t="n">
        <v>1452</v>
      </c>
      <c r="E26" s="10" t="n">
        <v>2175</v>
      </c>
      <c r="F26" s="10" t="n">
        <v>2646</v>
      </c>
      <c r="G26" s="10" t="n">
        <v>3304</v>
      </c>
      <c r="H26" s="10" t="n">
        <v>4052</v>
      </c>
      <c r="I26" s="8">
        <f>Assumptions!$B$115*Assumptions!$B$116</f>
        <v/>
      </c>
      <c r="J26" s="8">
        <f>Assumptions!$B$115*Assumptions!$B$117</f>
        <v/>
      </c>
      <c r="K26" s="8">
        <f>Assumptions!$B$115*Assumptions!$B$118</f>
        <v/>
      </c>
      <c r="L26" s="8">
        <f>Assumptions!$B$115*Assumptions!$B$119</f>
        <v/>
      </c>
      <c r="M26" s="8" t="n"/>
      <c r="N26" s="8" t="n"/>
      <c r="O26" s="8" t="n"/>
      <c r="P26" s="8" t="n"/>
      <c r="Q26" s="8" t="n"/>
      <c r="R26" s="8" t="n"/>
      <c r="S26" s="8" t="n"/>
      <c r="T26" s="8" t="n"/>
    </row>
    <row r="27">
      <c r="A27" t="inlineStr">
        <is>
          <t>Adj. EBITDA - consensus</t>
        </is>
      </c>
      <c r="C27" s="10" t="n">
        <v>355</v>
      </c>
      <c r="D27" s="10" t="n">
        <v>671</v>
      </c>
      <c r="E27" s="10" t="n">
        <v>1277</v>
      </c>
      <c r="F27" s="10" t="n">
        <v>1581</v>
      </c>
      <c r="G27" s="10" t="n">
        <v>1883</v>
      </c>
      <c r="H27" s="10" t="n">
        <v>2372</v>
      </c>
      <c r="I27" s="8">
        <f>Assumptions!$B$114*Assumptions!$B$116</f>
        <v/>
      </c>
      <c r="J27" s="8">
        <f>Assumptions!$B$114*Assumptions!$B$117</f>
        <v/>
      </c>
      <c r="K27" s="8">
        <f>Assumptions!$B$114*Assumptions!$B$118</f>
        <v/>
      </c>
      <c r="L27" s="8">
        <f>Assumptions!$B$114*Assumptions!$B$119</f>
        <v/>
      </c>
      <c r="M27" s="8" t="n"/>
      <c r="N27" s="8" t="n"/>
      <c r="O27" s="8" t="n"/>
      <c r="P27" s="8" t="n"/>
      <c r="Q27" s="8" t="n"/>
      <c r="R27" s="8" t="n"/>
      <c r="S27" s="8" t="n"/>
      <c r="T27" s="8" t="n"/>
    </row>
    <row r="29">
      <c r="A29" t="inlineStr">
        <is>
          <t>FY28 EBITDA yield on avg gross GPU IN SERVICE (v1 basis)</t>
        </is>
      </c>
      <c r="B29" s="11">
        <f>Assumptions!$B$114/AVERAGE(I19:L19)</f>
        <v/>
      </c>
    </row>
    <row r="30">
      <c r="A30" t="inlineStr">
        <is>
          <t>FY28 EBITDA yield on avg gross GPU BILLING capital (v2 default)</t>
        </is>
      </c>
      <c r="B30" s="11">
        <f>Assumptions!$B$114/AVERAGE(I20:L20)</f>
        <v/>
      </c>
    </row>
    <row r="31">
      <c r="A31" t="inlineStr">
        <is>
          <t>FY28 EBITDA per avg billing gross MW (Capacity path, selected scenario) $M/MW</t>
        </is>
      </c>
      <c r="B31" s="12">
        <f>Assumptions!$B$114/AVERAGE(MW!J25:MW!M25)</f>
        <v/>
      </c>
    </row>
    <row r="32">
      <c r="A32" t="inlineStr">
        <is>
          <t>FY28 consensus revenue per avg billing gross MW $M/MW</t>
        </is>
      </c>
      <c r="B32" s="12">
        <f>Assumptions!$B$115/AVERAGE(MW!J25:MW!M25)</f>
        <v/>
      </c>
    </row>
    <row r="33">
      <c r="A33" t="inlineStr">
        <is>
          <t>FY29+ yield used</t>
        </is>
      </c>
      <c r="B33" s="11">
        <f>IF(ISNUMBER(Assumptions!$B$121),Assumptions!$B$121,IF(Assumptions!$B$120=1,B30,B29))</f>
        <v/>
      </c>
    </row>
    <row r="34">
      <c r="A34" t="inlineStr">
        <is>
          <t>FY28 EBITDA margin (FY29+ revenue = EBITDA / margin)</t>
        </is>
      </c>
      <c r="B34" s="11">
        <f>Assumptions!$B$114/Assumptions!$B$115</f>
        <v/>
      </c>
    </row>
    <row r="36">
      <c r="A36" s="2" t="inlineStr">
        <is>
          <t>Adj. EBITDA used</t>
        </is>
      </c>
      <c r="C36" s="8">
        <f>C27</f>
        <v/>
      </c>
      <c r="D36" s="8">
        <f>D27</f>
        <v/>
      </c>
      <c r="E36" s="8">
        <f>E27</f>
        <v/>
      </c>
      <c r="F36" s="8">
        <f>F27</f>
        <v/>
      </c>
      <c r="G36" s="8">
        <f>G27</f>
        <v/>
      </c>
      <c r="H36" s="8">
        <f>H27</f>
        <v/>
      </c>
      <c r="I36" s="8">
        <f>I27</f>
        <v/>
      </c>
      <c r="J36" s="8">
        <f>J27</f>
        <v/>
      </c>
      <c r="K36" s="8">
        <f>K27</f>
        <v/>
      </c>
      <c r="L36" s="8">
        <f>L27</f>
        <v/>
      </c>
      <c r="M36" s="8">
        <f>$B$33/4*IF(Assumptions!$B$120=1,AVERAGE(INDEX($C$20:$T$20,M2),INDEX($C$20:$T$20,M2+1)),AVERAGE(INDEX($C$19:$T$19,M2),INDEX($C$19:$T$19,M2+1)))</f>
        <v/>
      </c>
      <c r="N36" s="8">
        <f>$B$33/4*IF(Assumptions!$B$120=1,AVERAGE(INDEX($C$20:$T$20,N2),INDEX($C$20:$T$20,N2+1)),AVERAGE(INDEX($C$19:$T$19,N2),INDEX($C$19:$T$19,N2+1)))</f>
        <v/>
      </c>
      <c r="O36" s="8">
        <f>$B$33/4*IF(Assumptions!$B$120=1,AVERAGE(INDEX($C$20:$T$20,O2),INDEX($C$20:$T$20,O2+1)),AVERAGE(INDEX($C$19:$T$19,O2),INDEX($C$19:$T$19,O2+1)))</f>
        <v/>
      </c>
      <c r="P36" s="8">
        <f>$B$33/4*IF(Assumptions!$B$120=1,AVERAGE(INDEX($C$20:$T$20,P2),INDEX($C$20:$T$20,P2+1)),AVERAGE(INDEX($C$19:$T$19,P2),INDEX($C$19:$T$19,P2+1)))</f>
        <v/>
      </c>
      <c r="Q36" s="8">
        <f>$B$33/4*IF(Assumptions!$B$120=1,AVERAGE(INDEX($C$20:$T$20,Q2),INDEX($C$20:$T$20,Q2+1)),AVERAGE(INDEX($C$19:$T$19,Q2),INDEX($C$19:$T$19,Q2+1)))</f>
        <v/>
      </c>
      <c r="R36" s="8">
        <f>$B$33/4*IF(Assumptions!$B$120=1,AVERAGE(INDEX($C$20:$T$20,R2),INDEX($C$20:$T$20,R2+1)),AVERAGE(INDEX($C$19:$T$19,R2),INDEX($C$19:$T$19,R2+1)))</f>
        <v/>
      </c>
      <c r="S36" s="8">
        <f>$B$33/4*IF(Assumptions!$B$120=1,AVERAGE(INDEX($C$20:$T$20,S2),INDEX($C$20:$T$20,S2+1)),AVERAGE(INDEX($C$19:$T$19,S2),INDEX($C$19:$T$19,S2+1)))</f>
        <v/>
      </c>
      <c r="T36" s="8">
        <f>$B$33/4*IF(Assumptions!$B$120=1,AVERAGE(INDEX($C$20:$T$20,T2),INDEX($C$20:$T$20,T2+1)),AVERAGE(INDEX($C$19:$T$19,T2),INDEX($C$19:$T$19,T2+1)))</f>
        <v/>
      </c>
    </row>
    <row r="37">
      <c r="A37" t="inlineStr">
        <is>
          <t>Revenue used</t>
        </is>
      </c>
      <c r="C37" s="8">
        <f>C26</f>
        <v/>
      </c>
      <c r="D37" s="8">
        <f>D26</f>
        <v/>
      </c>
      <c r="E37" s="8">
        <f>E26</f>
        <v/>
      </c>
      <c r="F37" s="8">
        <f>F26</f>
        <v/>
      </c>
      <c r="G37" s="8">
        <f>G26</f>
        <v/>
      </c>
      <c r="H37" s="8">
        <f>H26</f>
        <v/>
      </c>
      <c r="I37" s="8">
        <f>I26</f>
        <v/>
      </c>
      <c r="J37" s="8">
        <f>J26</f>
        <v/>
      </c>
      <c r="K37" s="8">
        <f>K26</f>
        <v/>
      </c>
      <c r="L37" s="8">
        <f>L26</f>
        <v/>
      </c>
      <c r="M37" s="8">
        <f>M36/$B$34</f>
        <v/>
      </c>
      <c r="N37" s="8">
        <f>N36/$B$34</f>
        <v/>
      </c>
      <c r="O37" s="8">
        <f>O36/$B$34</f>
        <v/>
      </c>
      <c r="P37" s="8">
        <f>P36/$B$34</f>
        <v/>
      </c>
      <c r="Q37" s="8">
        <f>Q36/$B$34</f>
        <v/>
      </c>
      <c r="R37" s="8">
        <f>R36/$B$34</f>
        <v/>
      </c>
      <c r="S37" s="8">
        <f>S36/$B$34</f>
        <v/>
      </c>
      <c r="T37" s="8">
        <f>T36/$B$34</f>
        <v/>
      </c>
    </row>
    <row r="38">
      <c r="A38" s="2" t="inlineStr">
        <is>
          <t>EBIT at life L1</t>
        </is>
      </c>
      <c r="C38" s="8">
        <f>C36-C22-C25</f>
        <v/>
      </c>
      <c r="D38" s="8">
        <f>D36-D22-D25</f>
        <v/>
      </c>
      <c r="E38" s="8">
        <f>E36-E22-E25</f>
        <v/>
      </c>
      <c r="F38" s="8">
        <f>F36-F22-F25</f>
        <v/>
      </c>
      <c r="G38" s="8">
        <f>G36-G22-G25</f>
        <v/>
      </c>
      <c r="H38" s="8">
        <f>H36-H22-H25</f>
        <v/>
      </c>
      <c r="I38" s="8">
        <f>I36-I22-I25</f>
        <v/>
      </c>
      <c r="J38" s="8">
        <f>J36-J22-J25</f>
        <v/>
      </c>
      <c r="K38" s="8">
        <f>K36-K22-K25</f>
        <v/>
      </c>
      <c r="L38" s="8">
        <f>L36-L22-L25</f>
        <v/>
      </c>
      <c r="M38" s="8">
        <f>M36-M22-M25</f>
        <v/>
      </c>
      <c r="N38" s="8">
        <f>N36-N22-N25</f>
        <v/>
      </c>
      <c r="O38" s="8">
        <f>O36-O22-O25</f>
        <v/>
      </c>
      <c r="P38" s="8">
        <f>P36-P22-P25</f>
        <v/>
      </c>
      <c r="Q38" s="8">
        <f>Q36-Q22-Q25</f>
        <v/>
      </c>
      <c r="R38" s="8">
        <f>R36-R22-R25</f>
        <v/>
      </c>
      <c r="S38" s="8">
        <f>S36-S22-S25</f>
        <v/>
      </c>
      <c r="T38" s="8">
        <f>T36-T22-T25</f>
        <v/>
      </c>
    </row>
    <row r="39">
      <c r="A39" s="2" t="inlineStr">
        <is>
          <t>EBIT at life L2</t>
        </is>
      </c>
      <c r="C39" s="8">
        <f>C36-C23-C25</f>
        <v/>
      </c>
      <c r="D39" s="8">
        <f>D36-D23-D25</f>
        <v/>
      </c>
      <c r="E39" s="8">
        <f>E36-E23-E25</f>
        <v/>
      </c>
      <c r="F39" s="8">
        <f>F36-F23-F25</f>
        <v/>
      </c>
      <c r="G39" s="8">
        <f>G36-G23-G25</f>
        <v/>
      </c>
      <c r="H39" s="8">
        <f>H36-H23-H25</f>
        <v/>
      </c>
      <c r="I39" s="8">
        <f>I36-I23-I25</f>
        <v/>
      </c>
      <c r="J39" s="8">
        <f>J36-J23-J25</f>
        <v/>
      </c>
      <c r="K39" s="8">
        <f>K36-K23-K25</f>
        <v/>
      </c>
      <c r="L39" s="8">
        <f>L36-L23-L25</f>
        <v/>
      </c>
      <c r="M39" s="8">
        <f>M36-M23-M25</f>
        <v/>
      </c>
      <c r="N39" s="8">
        <f>N36-N23-N25</f>
        <v/>
      </c>
      <c r="O39" s="8">
        <f>O36-O23-O25</f>
        <v/>
      </c>
      <c r="P39" s="8">
        <f>P36-P23-P25</f>
        <v/>
      </c>
      <c r="Q39" s="8">
        <f>Q36-Q23-Q25</f>
        <v/>
      </c>
      <c r="R39" s="8">
        <f>R36-R23-R25</f>
        <v/>
      </c>
      <c r="S39" s="8">
        <f>S36-S23-S25</f>
        <v/>
      </c>
      <c r="T39" s="8">
        <f>T36-T23-T25</f>
        <v/>
      </c>
    </row>
    <row r="40">
      <c r="A40" s="2" t="inlineStr">
        <is>
          <t>EBIT at life L3</t>
        </is>
      </c>
      <c r="C40" s="8">
        <f>C36-C24-C25</f>
        <v/>
      </c>
      <c r="D40" s="8">
        <f>D36-D24-D25</f>
        <v/>
      </c>
      <c r="E40" s="8">
        <f>E36-E24-E25</f>
        <v/>
      </c>
      <c r="F40" s="8">
        <f>F36-F24-F25</f>
        <v/>
      </c>
      <c r="G40" s="8">
        <f>G36-G24-G25</f>
        <v/>
      </c>
      <c r="H40" s="8">
        <f>H36-H24-H25</f>
        <v/>
      </c>
      <c r="I40" s="8">
        <f>I36-I24-I25</f>
        <v/>
      </c>
      <c r="J40" s="8">
        <f>J36-J24-J25</f>
        <v/>
      </c>
      <c r="K40" s="8">
        <f>K36-K24-K25</f>
        <v/>
      </c>
      <c r="L40" s="8">
        <f>L36-L24-L25</f>
        <v/>
      </c>
      <c r="M40" s="8">
        <f>M36-M24-M25</f>
        <v/>
      </c>
      <c r="N40" s="8">
        <f>N36-N24-N25</f>
        <v/>
      </c>
      <c r="O40" s="8">
        <f>O36-O24-O25</f>
        <v/>
      </c>
      <c r="P40" s="8">
        <f>P36-P24-P25</f>
        <v/>
      </c>
      <c r="Q40" s="8">
        <f>Q36-Q24-Q25</f>
        <v/>
      </c>
      <c r="R40" s="8">
        <f>R36-R24-R25</f>
        <v/>
      </c>
      <c r="S40" s="8">
        <f>S36-S24-S25</f>
        <v/>
      </c>
      <c r="T40" s="8">
        <f>T36-T24-T25</f>
        <v/>
      </c>
    </row>
    <row r="41">
      <c r="A41" t="inlineStr">
        <is>
          <t>EBIT margin at life L1</t>
        </is>
      </c>
      <c r="C41" s="11">
        <f>C38/C37</f>
        <v/>
      </c>
      <c r="D41" s="11">
        <f>D38/D37</f>
        <v/>
      </c>
      <c r="E41" s="11">
        <f>E38/E37</f>
        <v/>
      </c>
      <c r="F41" s="11">
        <f>F38/F37</f>
        <v/>
      </c>
      <c r="G41" s="11">
        <f>G38/G37</f>
        <v/>
      </c>
      <c r="H41" s="11">
        <f>H38/H37</f>
        <v/>
      </c>
      <c r="I41" s="11">
        <f>I38/I37</f>
        <v/>
      </c>
      <c r="J41" s="11">
        <f>J38/J37</f>
        <v/>
      </c>
      <c r="K41" s="11">
        <f>K38/K37</f>
        <v/>
      </c>
      <c r="L41" s="11">
        <f>L38/L37</f>
        <v/>
      </c>
      <c r="M41" s="11">
        <f>M38/M37</f>
        <v/>
      </c>
      <c r="N41" s="11">
        <f>N38/N37</f>
        <v/>
      </c>
      <c r="O41" s="11">
        <f>O38/O37</f>
        <v/>
      </c>
      <c r="P41" s="11">
        <f>P38/P37</f>
        <v/>
      </c>
      <c r="Q41" s="11">
        <f>Q38/Q37</f>
        <v/>
      </c>
      <c r="R41" s="11">
        <f>R38/R37</f>
        <v/>
      </c>
      <c r="S41" s="11">
        <f>S38/S37</f>
        <v/>
      </c>
      <c r="T41" s="11">
        <f>T38/T37</f>
        <v/>
      </c>
    </row>
    <row r="42">
      <c r="A42" t="inlineStr">
        <is>
          <t>EBIT margin at life L2</t>
        </is>
      </c>
      <c r="C42" s="11">
        <f>C39/C37</f>
        <v/>
      </c>
      <c r="D42" s="11">
        <f>D39/D37</f>
        <v/>
      </c>
      <c r="E42" s="11">
        <f>E39/E37</f>
        <v/>
      </c>
      <c r="F42" s="11">
        <f>F39/F37</f>
        <v/>
      </c>
      <c r="G42" s="11">
        <f>G39/G37</f>
        <v/>
      </c>
      <c r="H42" s="11">
        <f>H39/H37</f>
        <v/>
      </c>
      <c r="I42" s="11">
        <f>I39/I37</f>
        <v/>
      </c>
      <c r="J42" s="11">
        <f>J39/J37</f>
        <v/>
      </c>
      <c r="K42" s="11">
        <f>K39/K37</f>
        <v/>
      </c>
      <c r="L42" s="11">
        <f>L39/L37</f>
        <v/>
      </c>
      <c r="M42" s="11">
        <f>M39/M37</f>
        <v/>
      </c>
      <c r="N42" s="11">
        <f>N39/N37</f>
        <v/>
      </c>
      <c r="O42" s="11">
        <f>O39/O37</f>
        <v/>
      </c>
      <c r="P42" s="11">
        <f>P39/P37</f>
        <v/>
      </c>
      <c r="Q42" s="11">
        <f>Q39/Q37</f>
        <v/>
      </c>
      <c r="R42" s="11">
        <f>R39/R37</f>
        <v/>
      </c>
      <c r="S42" s="11">
        <f>S39/S37</f>
        <v/>
      </c>
      <c r="T42" s="11">
        <f>T39/T37</f>
        <v/>
      </c>
    </row>
    <row r="43">
      <c r="A43" t="inlineStr">
        <is>
          <t>EBIT margin at life L3</t>
        </is>
      </c>
      <c r="C43" s="11">
        <f>C40/C37</f>
        <v/>
      </c>
      <c r="D43" s="11">
        <f>D40/D37</f>
        <v/>
      </c>
      <c r="E43" s="11">
        <f>E40/E37</f>
        <v/>
      </c>
      <c r="F43" s="11">
        <f>F40/F37</f>
        <v/>
      </c>
      <c r="G43" s="11">
        <f>G40/G37</f>
        <v/>
      </c>
      <c r="H43" s="11">
        <f>H40/H37</f>
        <v/>
      </c>
      <c r="I43" s="11">
        <f>I40/I37</f>
        <v/>
      </c>
      <c r="J43" s="11">
        <f>J40/J37</f>
        <v/>
      </c>
      <c r="K43" s="11">
        <f>K40/K37</f>
        <v/>
      </c>
      <c r="L43" s="11">
        <f>L40/L37</f>
        <v/>
      </c>
      <c r="M43" s="11">
        <f>M40/M37</f>
        <v/>
      </c>
      <c r="N43" s="11">
        <f>N40/N37</f>
        <v/>
      </c>
      <c r="O43" s="11">
        <f>O40/O37</f>
        <v/>
      </c>
      <c r="P43" s="11">
        <f>P40/P37</f>
        <v/>
      </c>
      <c r="Q43" s="11">
        <f>Q40/Q37</f>
        <v/>
      </c>
      <c r="R43" s="11">
        <f>R40/R37</f>
        <v/>
      </c>
      <c r="S43" s="11">
        <f>S40/S37</f>
        <v/>
      </c>
      <c r="T43" s="11">
        <f>T40/T37</f>
        <v/>
      </c>
    </row>
    <row r="44">
      <c r="A44" t="inlineStr">
        <is>
          <t>New customer prepayments (pinc x ppct x capex)</t>
        </is>
      </c>
      <c r="C44" s="8">
        <f>Assumptions!$B$128*Assumptions!$B$55*Assumptions!$B$54*C12</f>
        <v/>
      </c>
      <c r="D44" s="8">
        <f>Assumptions!$B$128*Assumptions!$B$55*Assumptions!$B$54*D12</f>
        <v/>
      </c>
      <c r="E44" s="8">
        <f>Assumptions!$B$128*Assumptions!$B$55*Assumptions!$B$54*E12</f>
        <v/>
      </c>
      <c r="F44" s="8">
        <f>Assumptions!$B$128*Assumptions!$B$55*Assumptions!$B$54*F12</f>
        <v/>
      </c>
      <c r="G44" s="8">
        <f>Assumptions!$B$128*Assumptions!$B$55*Assumptions!$B$54*G12</f>
        <v/>
      </c>
      <c r="H44" s="8">
        <f>Assumptions!$B$128*Assumptions!$B$55*Assumptions!$B$54*H12</f>
        <v/>
      </c>
      <c r="I44" s="8">
        <f>Assumptions!$B$128*Assumptions!$B$55*Assumptions!$B$54*I12</f>
        <v/>
      </c>
      <c r="J44" s="8">
        <f>Assumptions!$B$128*Assumptions!$B$55*Assumptions!$B$54*J12</f>
        <v/>
      </c>
      <c r="K44" s="8">
        <f>Assumptions!$B$128*Assumptions!$B$55*Assumptions!$B$54*K12</f>
        <v/>
      </c>
      <c r="L44" s="8">
        <f>Assumptions!$B$128*Assumptions!$B$55*Assumptions!$B$54*L12</f>
        <v/>
      </c>
      <c r="M44" s="8">
        <f>Assumptions!$B$128*Assumptions!$B$55*Assumptions!$B$54*M12</f>
        <v/>
      </c>
      <c r="N44" s="8">
        <f>Assumptions!$B$128*Assumptions!$B$55*Assumptions!$B$54*N12</f>
        <v/>
      </c>
      <c r="O44" s="8">
        <f>Assumptions!$B$128*Assumptions!$B$55*Assumptions!$B$54*O12</f>
        <v/>
      </c>
      <c r="P44" s="8">
        <f>Assumptions!$B$128*Assumptions!$B$55*Assumptions!$B$54*P12</f>
        <v/>
      </c>
      <c r="Q44" s="8">
        <f>Assumptions!$B$128*Assumptions!$B$55*Assumptions!$B$54*Q12</f>
        <v/>
      </c>
      <c r="R44" s="8">
        <f>Assumptions!$B$128*Assumptions!$B$55*Assumptions!$B$54*R12</f>
        <v/>
      </c>
      <c r="S44" s="8">
        <f>Assumptions!$B$128*Assumptions!$B$55*Assumptions!$B$54*S12</f>
        <v/>
      </c>
      <c r="T44" s="8">
        <f>Assumptions!$B$128*Assumptions!$B$55*Assumptions!$B$54*T12</f>
        <v/>
      </c>
    </row>
    <row r="45">
      <c r="A45" t="inlineStr">
        <is>
          <t>Deferred revenue recognized (non-cash revenue in EBITDA)</t>
        </is>
      </c>
      <c r="C45" s="8">
        <f>Assumptions!$B$128*(Assumptions!$B$129/Assumptions!$B$130+SUMPRODUCT($C$44:C44,((C2-$C$2:C2)&lt;Assumptions!$B$130)*1)/Assumptions!$B$130)</f>
        <v/>
      </c>
      <c r="D45" s="8">
        <f>Assumptions!$B$128*(Assumptions!$B$129/Assumptions!$B$130+SUMPRODUCT($C$44:D44,((D2-$C$2:D2)&lt;Assumptions!$B$130)*1)/Assumptions!$B$130)</f>
        <v/>
      </c>
      <c r="E45" s="8">
        <f>Assumptions!$B$128*(Assumptions!$B$129/Assumptions!$B$130+SUMPRODUCT($C$44:E44,((E2-$C$2:E2)&lt;Assumptions!$B$130)*1)/Assumptions!$B$130)</f>
        <v/>
      </c>
      <c r="F45" s="8">
        <f>Assumptions!$B$128*(Assumptions!$B$129/Assumptions!$B$130+SUMPRODUCT($C$44:F44,((F2-$C$2:F2)&lt;Assumptions!$B$130)*1)/Assumptions!$B$130)</f>
        <v/>
      </c>
      <c r="G45" s="8">
        <f>Assumptions!$B$128*(Assumptions!$B$129/Assumptions!$B$130+SUMPRODUCT($C$44:G44,((G2-$C$2:G2)&lt;Assumptions!$B$130)*1)/Assumptions!$B$130)</f>
        <v/>
      </c>
      <c r="H45" s="8">
        <f>Assumptions!$B$128*(Assumptions!$B$129/Assumptions!$B$130+SUMPRODUCT($C$44:H44,((H2-$C$2:H2)&lt;Assumptions!$B$130)*1)/Assumptions!$B$130)</f>
        <v/>
      </c>
      <c r="I45" s="8">
        <f>Assumptions!$B$128*(Assumptions!$B$129/Assumptions!$B$130+SUMPRODUCT($C$44:I44,((I2-$C$2:I2)&lt;Assumptions!$B$130)*1)/Assumptions!$B$130)</f>
        <v/>
      </c>
      <c r="J45" s="8">
        <f>Assumptions!$B$128*(Assumptions!$B$129/Assumptions!$B$130+SUMPRODUCT($C$44:J44,((J2-$C$2:J2)&lt;Assumptions!$B$130)*1)/Assumptions!$B$130)</f>
        <v/>
      </c>
      <c r="K45" s="8">
        <f>Assumptions!$B$128*(Assumptions!$B$129/Assumptions!$B$130+SUMPRODUCT($C$44:K44,((K2-$C$2:K2)&lt;Assumptions!$B$130)*1)/Assumptions!$B$130)</f>
        <v/>
      </c>
      <c r="L45" s="8">
        <f>Assumptions!$B$128*(Assumptions!$B$129/Assumptions!$B$130+SUMPRODUCT($C$44:L44,((L2-$C$2:L2)&lt;Assumptions!$B$130)*1)/Assumptions!$B$130)</f>
        <v/>
      </c>
      <c r="M45" s="8">
        <f>Assumptions!$B$128*(Assumptions!$B$129/Assumptions!$B$130+SUMPRODUCT($C$44:M44,((M2-$C$2:M2)&lt;Assumptions!$B$130)*1)/Assumptions!$B$130)</f>
        <v/>
      </c>
      <c r="N45" s="8">
        <f>Assumptions!$B$128*(Assumptions!$B$129/Assumptions!$B$130+SUMPRODUCT($C$44:N44,((N2-$C$2:N2)&lt;Assumptions!$B$130)*1)/Assumptions!$B$130)</f>
        <v/>
      </c>
      <c r="O45" s="8">
        <f>Assumptions!$B$128*(Assumptions!$B$129/Assumptions!$B$130+SUMPRODUCT($C$44:O44,((O2-$C$2:O2)&lt;Assumptions!$B$130)*1)/Assumptions!$B$130)</f>
        <v/>
      </c>
      <c r="P45" s="8">
        <f>Assumptions!$B$128*(Assumptions!$B$129/Assumptions!$B$130+SUMPRODUCT($C$44:P44,((P2-$C$2:P2)&lt;Assumptions!$B$130)*1)/Assumptions!$B$130)</f>
        <v/>
      </c>
      <c r="Q45" s="8">
        <f>Assumptions!$B$128*(Assumptions!$B$129/Assumptions!$B$130+SUMPRODUCT($C$44:Q44,((Q2-$C$2:Q2)&lt;Assumptions!$B$130)*1)/Assumptions!$B$130)</f>
        <v/>
      </c>
      <c r="R45" s="8">
        <f>Assumptions!$B$128*(Assumptions!$B$129/Assumptions!$B$130+SUMPRODUCT($C$44:R44,((R2-$C$2:R2)&lt;Assumptions!$B$130)*1)/Assumptions!$B$130)</f>
        <v/>
      </c>
      <c r="S45" s="8">
        <f>Assumptions!$B$128*(Assumptions!$B$129/Assumptions!$B$130+SUMPRODUCT($C$44:S44,((S2-$C$2:S2)&lt;Assumptions!$B$130)*1)/Assumptions!$B$130)</f>
        <v/>
      </c>
      <c r="T45" s="8">
        <f>Assumptions!$B$128*(Assumptions!$B$129/Assumptions!$B$130+SUMPRODUCT($C$44:T44,((T2-$C$2:T2)&lt;Assumptions!$B$130)*1)/Assumptions!$B$130)</f>
        <v/>
      </c>
    </row>
    <row r="46">
      <c r="A46" t="inlineStr">
        <is>
          <t>Cash interest (converts + loan) + interest on funding gap</t>
        </is>
      </c>
      <c r="C46" s="8">
        <f>Assumptions!$B$142</f>
        <v/>
      </c>
      <c r="D46" s="8">
        <f>Assumptions!$B$142+MAX(0,-C49)*Assumptions!$B$143/4</f>
        <v/>
      </c>
      <c r="E46" s="8">
        <f>Assumptions!$B$142+MAX(0,-D49)*Assumptions!$B$143/4</f>
        <v/>
      </c>
      <c r="F46" s="8">
        <f>Assumptions!$B$142+MAX(0,-E49)*Assumptions!$B$143/4</f>
        <v/>
      </c>
      <c r="G46" s="8">
        <f>Assumptions!$B$142+MAX(0,-F49)*Assumptions!$B$143/4</f>
        <v/>
      </c>
      <c r="H46" s="8">
        <f>Assumptions!$B$142+MAX(0,-G49)*Assumptions!$B$143/4</f>
        <v/>
      </c>
      <c r="I46" s="8">
        <f>Assumptions!$B$142+MAX(0,-H49)*Assumptions!$B$143/4</f>
        <v/>
      </c>
      <c r="J46" s="8">
        <f>Assumptions!$B$142+MAX(0,-I49)*Assumptions!$B$143/4</f>
        <v/>
      </c>
      <c r="K46" s="8">
        <f>Assumptions!$B$142+MAX(0,-J49)*Assumptions!$B$143/4</f>
        <v/>
      </c>
      <c r="L46" s="8">
        <f>Assumptions!$B$142+MAX(0,-K49)*Assumptions!$B$143/4</f>
        <v/>
      </c>
      <c r="M46" s="8">
        <f>Assumptions!$B$142+MAX(0,-L49)*Assumptions!$B$143/4</f>
        <v/>
      </c>
      <c r="N46" s="8">
        <f>Assumptions!$B$142+MAX(0,-M49)*Assumptions!$B$143/4</f>
        <v/>
      </c>
      <c r="O46" s="8">
        <f>Assumptions!$B$142+MAX(0,-N49)*Assumptions!$B$143/4</f>
        <v/>
      </c>
      <c r="P46" s="8">
        <f>Assumptions!$B$142+MAX(0,-O49)*Assumptions!$B$143/4</f>
        <v/>
      </c>
      <c r="Q46" s="8">
        <f>Assumptions!$B$142+MAX(0,-P49)*Assumptions!$B$143/4</f>
        <v/>
      </c>
      <c r="R46" s="8">
        <f>Assumptions!$B$142+MAX(0,-Q49)*Assumptions!$B$143/4</f>
        <v/>
      </c>
      <c r="S46" s="8">
        <f>Assumptions!$B$142+MAX(0,-R49)*Assumptions!$B$143/4</f>
        <v/>
      </c>
      <c r="T46" s="8">
        <f>Assumptions!$B$142+MAX(0,-S49)*Assumptions!$B$143/4</f>
        <v/>
      </c>
    </row>
    <row r="47">
      <c r="A47" s="2" t="inlineStr">
        <is>
          <t>FCF (EBITDA - capex - interest + prepayments - deferred revenue recognized)</t>
        </is>
      </c>
      <c r="C47" s="8">
        <f>C36-C12-C46+C44-C45</f>
        <v/>
      </c>
      <c r="D47" s="8">
        <f>D36-D12-D46+D44-D45</f>
        <v/>
      </c>
      <c r="E47" s="8">
        <f>E36-E12-E46+E44-E45</f>
        <v/>
      </c>
      <c r="F47" s="8">
        <f>F36-F12-F46+F44-F45</f>
        <v/>
      </c>
      <c r="G47" s="8">
        <f>G36-G12-G46+G44-G45</f>
        <v/>
      </c>
      <c r="H47" s="8">
        <f>H36-H12-H46+H44-H45</f>
        <v/>
      </c>
      <c r="I47" s="8">
        <f>I36-I12-I46+I44-I45</f>
        <v/>
      </c>
      <c r="J47" s="8">
        <f>J36-J12-J46+J44-J45</f>
        <v/>
      </c>
      <c r="K47" s="8">
        <f>K36-K12-K46+K44-K45</f>
        <v/>
      </c>
      <c r="L47" s="8">
        <f>L36-L12-L46+L44-L45</f>
        <v/>
      </c>
      <c r="M47" s="8">
        <f>M36-M12-M46+M44-M45</f>
        <v/>
      </c>
      <c r="N47" s="8">
        <f>N36-N12-N46+N44-N45</f>
        <v/>
      </c>
      <c r="O47" s="8">
        <f>O36-O12-O46+O44-O45</f>
        <v/>
      </c>
      <c r="P47" s="8">
        <f>P36-P12-P46+P44-P45</f>
        <v/>
      </c>
      <c r="Q47" s="8">
        <f>Q36-Q12-Q46+Q44-Q45</f>
        <v/>
      </c>
      <c r="R47" s="8">
        <f>R36-R12-R46+R44-R45</f>
        <v/>
      </c>
      <c r="S47" s="8">
        <f>S36-S12-S46+S44-S45</f>
        <v/>
      </c>
      <c r="T47" s="8">
        <f>T36-T12-T46+T44-T45</f>
        <v/>
      </c>
    </row>
    <row r="48">
      <c r="A48" t="inlineStr">
        <is>
          <t>FCF ex-prepayment effects</t>
        </is>
      </c>
      <c r="C48" s="8">
        <f>C36-C12-C46</f>
        <v/>
      </c>
      <c r="D48" s="8">
        <f>D36-D12-D46</f>
        <v/>
      </c>
      <c r="E48" s="8">
        <f>E36-E12-E46</f>
        <v/>
      </c>
      <c r="F48" s="8">
        <f>F36-F12-F46</f>
        <v/>
      </c>
      <c r="G48" s="8">
        <f>G36-G12-G46</f>
        <v/>
      </c>
      <c r="H48" s="8">
        <f>H36-H12-H46</f>
        <v/>
      </c>
      <c r="I48" s="8">
        <f>I36-I12-I46</f>
        <v/>
      </c>
      <c r="J48" s="8">
        <f>J36-J12-J46</f>
        <v/>
      </c>
      <c r="K48" s="8">
        <f>K36-K12-K46</f>
        <v/>
      </c>
      <c r="L48" s="8">
        <f>L36-L12-L46</f>
        <v/>
      </c>
      <c r="M48" s="8">
        <f>M36-M12-M46</f>
        <v/>
      </c>
      <c r="N48" s="8">
        <f>N36-N12-N46</f>
        <v/>
      </c>
      <c r="O48" s="8">
        <f>O36-O12-O46</f>
        <v/>
      </c>
      <c r="P48" s="8">
        <f>P36-P12-P46</f>
        <v/>
      </c>
      <c r="Q48" s="8">
        <f>Q36-Q12-Q46</f>
        <v/>
      </c>
      <c r="R48" s="8">
        <f>R36-R12-R46</f>
        <v/>
      </c>
      <c r="S48" s="8">
        <f>S36-S12-S46</f>
        <v/>
      </c>
      <c r="T48" s="8">
        <f>T36-T12-T46</f>
        <v/>
      </c>
    </row>
    <row r="49">
      <c r="A49" s="2" t="inlineStr">
        <is>
          <t>Liquidity (starting liquidity + cumulative FCF; negative = funding need)</t>
        </is>
      </c>
      <c r="C49" s="8">
        <f>Assumptions!$B$147+SUM($C$47:C47)</f>
        <v/>
      </c>
      <c r="D49" s="8">
        <f>Assumptions!$B$147+SUM($C$47:D47)</f>
        <v/>
      </c>
      <c r="E49" s="8">
        <f>Assumptions!$B$147+SUM($C$47:E47)</f>
        <v/>
      </c>
      <c r="F49" s="8">
        <f>Assumptions!$B$147+SUM($C$47:F47)</f>
        <v/>
      </c>
      <c r="G49" s="8">
        <f>Assumptions!$B$147+SUM($C$47:G47)</f>
        <v/>
      </c>
      <c r="H49" s="8">
        <f>Assumptions!$B$147+SUM($C$47:H47)</f>
        <v/>
      </c>
      <c r="I49" s="8">
        <f>Assumptions!$B$147+SUM($C$47:I47)</f>
        <v/>
      </c>
      <c r="J49" s="8">
        <f>Assumptions!$B$147+SUM($C$47:J47)</f>
        <v/>
      </c>
      <c r="K49" s="8">
        <f>Assumptions!$B$147+SUM($C$47:K47)</f>
        <v/>
      </c>
      <c r="L49" s="8">
        <f>Assumptions!$B$147+SUM($C$47:L47)</f>
        <v/>
      </c>
      <c r="M49" s="8">
        <f>Assumptions!$B$147+SUM($C$47:M47)</f>
        <v/>
      </c>
      <c r="N49" s="8">
        <f>Assumptions!$B$147+SUM($C$47:N47)</f>
        <v/>
      </c>
      <c r="O49" s="8">
        <f>Assumptions!$B$147+SUM($C$47:O47)</f>
        <v/>
      </c>
      <c r="P49" s="8">
        <f>Assumptions!$B$147+SUM($C$47:P47)</f>
        <v/>
      </c>
      <c r="Q49" s="8">
        <f>Assumptions!$B$147+SUM($C$47:Q47)</f>
        <v/>
      </c>
      <c r="R49" s="8">
        <f>Assumptions!$B$147+SUM($C$47:R47)</f>
        <v/>
      </c>
      <c r="S49" s="8">
        <f>Assumptions!$B$147+SUM($C$47:S47)</f>
        <v/>
      </c>
      <c r="T49" s="8">
        <f>Assumptions!$B$147+SUM($C$47:T47)</f>
        <v/>
      </c>
    </row>
    <row r="51">
      <c r="A51" t="inlineStr">
        <is>
          <t>First quarter with negative liquidity</t>
        </is>
      </c>
      <c r="B51">
        <f>IFERROR(INDEX($C$1:$T$1,MATCH(TRUE,INDEX($C$49:$T$49&lt;0,0),0)),"none by Q4 2030")</f>
        <v/>
      </c>
    </row>
    <row r="52">
      <c r="A52" t="inlineStr">
        <is>
          <t>Peak funding need ($M)</t>
        </is>
      </c>
      <c r="B52">
        <f>-MIN(0,MIN($C$49:$T$49))</f>
        <v/>
      </c>
    </row>
    <row r="53">
      <c r="A53" t="inlineStr">
        <is>
          <t>Peak funding need in new shares at $242.81 (M)</t>
        </is>
      </c>
      <c r="B53">
        <f>B52/Assumptions!$B$155</f>
        <v/>
      </c>
    </row>
    <row r="54">
      <c r="A54" t="inlineStr">
        <is>
          <t>Avg billing GPU capital in quarter (for yield)</t>
        </is>
      </c>
      <c r="C54" s="8">
        <f>AVERAGE(C20,C20)</f>
        <v/>
      </c>
      <c r="D54" s="8">
        <f>AVERAGE(D20,C20)</f>
        <v/>
      </c>
      <c r="E54" s="8">
        <f>AVERAGE(E20,D20)</f>
        <v/>
      </c>
      <c r="F54" s="8">
        <f>AVERAGE(F20,E20)</f>
        <v/>
      </c>
      <c r="G54" s="8">
        <f>AVERAGE(G20,F20)</f>
        <v/>
      </c>
      <c r="H54" s="8">
        <f>AVERAGE(H20,G20)</f>
        <v/>
      </c>
      <c r="I54" s="8">
        <f>AVERAGE(I20,H20)</f>
        <v/>
      </c>
      <c r="J54" s="8">
        <f>AVERAGE(J20,I20)</f>
        <v/>
      </c>
      <c r="K54" s="8">
        <f>AVERAGE(K20,J20)</f>
        <v/>
      </c>
      <c r="L54" s="8">
        <f>AVERAGE(L20,K20)</f>
        <v/>
      </c>
      <c r="M54" s="8">
        <f>AVERAGE(M20,L20)</f>
        <v/>
      </c>
      <c r="N54" s="8">
        <f>AVERAGE(N20,M20)</f>
        <v/>
      </c>
      <c r="O54" s="8">
        <f>AVERAGE(O20,N20)</f>
        <v/>
      </c>
      <c r="P54" s="8">
        <f>AVERAGE(P20,O20)</f>
        <v/>
      </c>
      <c r="Q54" s="8">
        <f>AVERAGE(Q20,P20)</f>
        <v/>
      </c>
      <c r="R54" s="8">
        <f>AVERAGE(R20,Q20)</f>
        <v/>
      </c>
      <c r="S54" s="8">
        <f>AVERAGE(S20,R20)</f>
        <v/>
      </c>
      <c r="T54" s="8">
        <f>AVERAGE(T20,S20)</f>
        <v/>
      </c>
    </row>
    <row r="55">
      <c r="A55" t="inlineStr">
        <is>
          <t>Avg in-service GPU capital in quarter</t>
        </is>
      </c>
      <c r="C55" s="8">
        <f>AVERAGE(C19,C19)</f>
        <v/>
      </c>
      <c r="D55" s="8">
        <f>AVERAGE(D19,C19)</f>
        <v/>
      </c>
      <c r="E55" s="8">
        <f>AVERAGE(E19,D19)</f>
        <v/>
      </c>
      <c r="F55" s="8">
        <f>AVERAGE(F19,E19)</f>
        <v/>
      </c>
      <c r="G55" s="8">
        <f>AVERAGE(G19,F19)</f>
        <v/>
      </c>
      <c r="H55" s="8">
        <f>AVERAGE(H19,G19)</f>
        <v/>
      </c>
      <c r="I55" s="8">
        <f>AVERAGE(I19,H19)</f>
        <v/>
      </c>
      <c r="J55" s="8">
        <f>AVERAGE(J19,I19)</f>
        <v/>
      </c>
      <c r="K55" s="8">
        <f>AVERAGE(K19,J19)</f>
        <v/>
      </c>
      <c r="L55" s="8">
        <f>AVERAGE(L19,K19)</f>
        <v/>
      </c>
      <c r="M55" s="8">
        <f>AVERAGE(M19,L19)</f>
        <v/>
      </c>
      <c r="N55" s="8">
        <f>AVERAGE(N19,M19)</f>
        <v/>
      </c>
      <c r="O55" s="8">
        <f>AVERAGE(O19,N19)</f>
        <v/>
      </c>
      <c r="P55" s="8">
        <f>AVERAGE(P19,O19)</f>
        <v/>
      </c>
      <c r="Q55" s="8">
        <f>AVERAGE(Q19,P19)</f>
        <v/>
      </c>
      <c r="R55" s="8">
        <f>AVERAGE(R19,Q19)</f>
        <v/>
      </c>
      <c r="S55" s="8">
        <f>AVERAGE(S19,R19)</f>
        <v/>
      </c>
      <c r="T55" s="8">
        <f>AVERAGE(T19,S19)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6" customWidth="1" min="1" max="1"/>
  </cols>
  <sheetData>
    <row r="1">
      <c r="A1" t="inlineStr">
        <is>
          <t>Annual roll-up ($M; FY26 = 1H actual + 2H model)</t>
        </is>
      </c>
      <c r="B1" t="n">
        <v>2026</v>
      </c>
      <c r="C1" t="n">
        <v>2027</v>
      </c>
      <c r="D1" t="n">
        <v>2028</v>
      </c>
      <c r="E1" t="n">
        <v>2029</v>
      </c>
      <c r="F1" t="n">
        <v>2030</v>
      </c>
    </row>
    <row r="2">
      <c r="A2" t="inlineStr">
        <is>
          <t>Revenue</t>
        </is>
      </c>
      <c r="B2" s="8">
        <f>SUMPRODUCT((Model!$C$3:$T$3=2026)*Model!$C$37:$T$37)+Assumptions!$B$123</f>
        <v/>
      </c>
      <c r="C2" s="8">
        <f>SUMPRODUCT((Model!$C$3:$T$3=2027)*Model!$C$37:$T$37)</f>
        <v/>
      </c>
      <c r="D2" s="8">
        <f>SUMPRODUCT((Model!$C$3:$T$3=2028)*Model!$C$37:$T$37)</f>
        <v/>
      </c>
      <c r="E2" s="8">
        <f>SUMPRODUCT((Model!$C$3:$T$3=2029)*Model!$C$37:$T$37)</f>
        <v/>
      </c>
      <c r="F2" s="8">
        <f>SUMPRODUCT((Model!$C$3:$T$3=2030)*Model!$C$37:$T$37)</f>
        <v/>
      </c>
    </row>
    <row r="3">
      <c r="A3" t="inlineStr">
        <is>
          <t>Adj. EBITDA</t>
        </is>
      </c>
      <c r="B3" s="8">
        <f>SUMPRODUCT((Model!$C$3:$T$3=2026)*Model!$C$36:$T$36)+Assumptions!$B$124</f>
        <v/>
      </c>
      <c r="C3" s="8">
        <f>SUMPRODUCT((Model!$C$3:$T$3=2027)*Model!$C$36:$T$36)</f>
        <v/>
      </c>
      <c r="D3" s="8">
        <f>SUMPRODUCT((Model!$C$3:$T$3=2028)*Model!$C$36:$T$36)</f>
        <v/>
      </c>
      <c r="E3" s="8">
        <f>SUMPRODUCT((Model!$C$3:$T$3=2029)*Model!$C$36:$T$36)</f>
        <v/>
      </c>
      <c r="F3" s="8">
        <f>SUMPRODUCT((Model!$C$3:$T$3=2030)*Model!$C$36:$T$36)</f>
        <v/>
      </c>
    </row>
    <row r="4">
      <c r="A4" t="inlineStr">
        <is>
          <t>Capex</t>
        </is>
      </c>
      <c r="B4" s="8">
        <f>SUMPRODUCT((Model!$C$3:$T$3=2026)*Model!$C$12:$T$12)+Assumptions!$B$109</f>
        <v/>
      </c>
      <c r="C4" s="8">
        <f>SUMPRODUCT((Model!$C$3:$T$3=2027)*Model!$C$12:$T$12)</f>
        <v/>
      </c>
      <c r="D4" s="8">
        <f>SUMPRODUCT((Model!$C$3:$T$3=2028)*Model!$C$12:$T$12)</f>
        <v/>
      </c>
      <c r="E4" s="8">
        <f>SUMPRODUCT((Model!$C$3:$T$3=2029)*Model!$C$12:$T$12)</f>
        <v/>
      </c>
      <c r="F4" s="8">
        <f>SUMPRODUCT((Model!$C$3:$T$3=2030)*Model!$C$12:$T$12)</f>
        <v/>
      </c>
    </row>
    <row r="5">
      <c r="A5" t="inlineStr">
        <is>
          <t>Total D&amp;A at life L1 (FY26 H1 actual at 5y; 4y adds back 86.1)</t>
        </is>
      </c>
      <c r="B5" s="8">
        <f>SUMPRODUCT((Model!$C$3:$T$3=2026)*Model!$C$22:$T$22)+SUMPRODUCT((Model!$C$3:$T$3=2026)*Model!$C$25:$T$25)+Assumptions!$B$125+Assumptions!$B$126</f>
        <v/>
      </c>
      <c r="C5" s="8">
        <f>SUMPRODUCT((Model!$C$3:$T$3=2027)*Model!$C$22:$T$22)+SUMPRODUCT((Model!$C$3:$T$3=2027)*Model!$C$25:$T$25)</f>
        <v/>
      </c>
      <c r="D5" s="8">
        <f>SUMPRODUCT((Model!$C$3:$T$3=2028)*Model!$C$22:$T$22)+SUMPRODUCT((Model!$C$3:$T$3=2028)*Model!$C$25:$T$25)</f>
        <v/>
      </c>
      <c r="E5" s="8">
        <f>SUMPRODUCT((Model!$C$3:$T$3=2029)*Model!$C$22:$T$22)+SUMPRODUCT((Model!$C$3:$T$3=2029)*Model!$C$25:$T$25)</f>
        <v/>
      </c>
      <c r="F5" s="8">
        <f>SUMPRODUCT((Model!$C$3:$T$3=2030)*Model!$C$22:$T$22)+SUMPRODUCT((Model!$C$3:$T$3=2030)*Model!$C$25:$T$25)</f>
        <v/>
      </c>
    </row>
    <row r="6">
      <c r="A6" t="inlineStr">
        <is>
          <t>Total D&amp;A at life L2 (FY26 H1 actual at 5y; 4y adds back 86.1)</t>
        </is>
      </c>
      <c r="B6" s="8">
        <f>SUMPRODUCT((Model!$C$3:$T$3=2026)*Model!$C$23:$T$23)+SUMPRODUCT((Model!$C$3:$T$3=2026)*Model!$C$25:$T$25)+Assumptions!$B$125</f>
        <v/>
      </c>
      <c r="C6" s="8">
        <f>SUMPRODUCT((Model!$C$3:$T$3=2027)*Model!$C$23:$T$23)+SUMPRODUCT((Model!$C$3:$T$3=2027)*Model!$C$25:$T$25)</f>
        <v/>
      </c>
      <c r="D6" s="8">
        <f>SUMPRODUCT((Model!$C$3:$T$3=2028)*Model!$C$23:$T$23)+SUMPRODUCT((Model!$C$3:$T$3=2028)*Model!$C$25:$T$25)</f>
        <v/>
      </c>
      <c r="E6" s="8">
        <f>SUMPRODUCT((Model!$C$3:$T$3=2029)*Model!$C$23:$T$23)+SUMPRODUCT((Model!$C$3:$T$3=2029)*Model!$C$25:$T$25)</f>
        <v/>
      </c>
      <c r="F6" s="8">
        <f>SUMPRODUCT((Model!$C$3:$T$3=2030)*Model!$C$23:$T$23)+SUMPRODUCT((Model!$C$3:$T$3=2030)*Model!$C$25:$T$25)</f>
        <v/>
      </c>
    </row>
    <row r="7">
      <c r="A7" t="inlineStr">
        <is>
          <t>Total D&amp;A at life L3 (FY26 H1 actual at 5y; 4y adds back 86.1)</t>
        </is>
      </c>
      <c r="B7" s="8">
        <f>SUMPRODUCT((Model!$C$3:$T$3=2026)*Model!$C$24:$T$24)+SUMPRODUCT((Model!$C$3:$T$3=2026)*Model!$C$25:$T$25)+Assumptions!$B$125</f>
        <v/>
      </c>
      <c r="C7" s="8">
        <f>SUMPRODUCT((Model!$C$3:$T$3=2027)*Model!$C$24:$T$24)+SUMPRODUCT((Model!$C$3:$T$3=2027)*Model!$C$25:$T$25)</f>
        <v/>
      </c>
      <c r="D7" s="8">
        <f>SUMPRODUCT((Model!$C$3:$T$3=2028)*Model!$C$24:$T$24)+SUMPRODUCT((Model!$C$3:$T$3=2028)*Model!$C$25:$T$25)</f>
        <v/>
      </c>
      <c r="E7" s="8">
        <f>SUMPRODUCT((Model!$C$3:$T$3=2029)*Model!$C$24:$T$24)+SUMPRODUCT((Model!$C$3:$T$3=2029)*Model!$C$25:$T$25)</f>
        <v/>
      </c>
      <c r="F7" s="8">
        <f>SUMPRODUCT((Model!$C$3:$T$3=2030)*Model!$C$24:$T$24)+SUMPRODUCT((Model!$C$3:$T$3=2030)*Model!$C$25:$T$25)</f>
        <v/>
      </c>
    </row>
    <row r="8">
      <c r="A8" t="inlineStr">
        <is>
          <t>EBIT at life L1</t>
        </is>
      </c>
      <c r="B8" s="8">
        <f>B3-B5</f>
        <v/>
      </c>
      <c r="C8" s="8">
        <f>C3-C5</f>
        <v/>
      </c>
      <c r="D8" s="8">
        <f>D3-D5</f>
        <v/>
      </c>
      <c r="E8" s="8">
        <f>E3-E5</f>
        <v/>
      </c>
      <c r="F8" s="8">
        <f>F3-F5</f>
        <v/>
      </c>
    </row>
    <row r="9">
      <c r="A9" t="inlineStr">
        <is>
          <t>EBIT at life L2</t>
        </is>
      </c>
      <c r="B9" s="8">
        <f>B3-B6</f>
        <v/>
      </c>
      <c r="C9" s="8">
        <f>C3-C6</f>
        <v/>
      </c>
      <c r="D9" s="8">
        <f>D3-D6</f>
        <v/>
      </c>
      <c r="E9" s="8">
        <f>E3-E6</f>
        <v/>
      </c>
      <c r="F9" s="8">
        <f>F3-F6</f>
        <v/>
      </c>
    </row>
    <row r="10">
      <c r="A10" t="inlineStr">
        <is>
          <t>EBIT at life L3</t>
        </is>
      </c>
      <c r="B10" s="8">
        <f>B3-B7</f>
        <v/>
      </c>
      <c r="C10" s="8">
        <f>C3-C7</f>
        <v/>
      </c>
      <c r="D10" s="8">
        <f>D3-D7</f>
        <v/>
      </c>
      <c r="E10" s="8">
        <f>E3-E7</f>
        <v/>
      </c>
      <c r="F10" s="8">
        <f>F3-F7</f>
        <v/>
      </c>
    </row>
    <row r="11">
      <c r="A11" t="inlineStr">
        <is>
          <t>EBIT margin at life L1</t>
        </is>
      </c>
      <c r="B11" s="11">
        <f>B8/B2</f>
        <v/>
      </c>
      <c r="C11" s="11">
        <f>C8/C2</f>
        <v/>
      </c>
      <c r="D11" s="11">
        <f>D8/D2</f>
        <v/>
      </c>
      <c r="E11" s="11">
        <f>E8/E2</f>
        <v/>
      </c>
      <c r="F11" s="11">
        <f>F8/F2</f>
        <v/>
      </c>
    </row>
    <row r="12">
      <c r="A12" t="inlineStr">
        <is>
          <t>EBIT margin at life L2</t>
        </is>
      </c>
      <c r="B12" s="11">
        <f>B9/B2</f>
        <v/>
      </c>
      <c r="C12" s="11">
        <f>C9/C2</f>
        <v/>
      </c>
      <c r="D12" s="11">
        <f>D9/D2</f>
        <v/>
      </c>
      <c r="E12" s="11">
        <f>E9/E2</f>
        <v/>
      </c>
      <c r="F12" s="11">
        <f>F9/F2</f>
        <v/>
      </c>
    </row>
    <row r="13">
      <c r="A13" t="inlineStr">
        <is>
          <t>EBIT margin at life L3</t>
        </is>
      </c>
      <c r="B13" s="11">
        <f>B10/B2</f>
        <v/>
      </c>
      <c r="C13" s="11">
        <f>C10/C2</f>
        <v/>
      </c>
      <c r="D13" s="11">
        <f>D10/D2</f>
        <v/>
      </c>
      <c r="E13" s="11">
        <f>E10/E2</f>
        <v/>
      </c>
      <c r="F13" s="11">
        <f>F10/F2</f>
        <v/>
      </c>
    </row>
    <row r="14">
      <c r="A14" t="inlineStr">
        <is>
          <t>EBIT-margin points added by 4-&gt;5 yr life change (governance leg)</t>
        </is>
      </c>
      <c r="B14" s="11">
        <f>(B5-B6)/B2</f>
        <v/>
      </c>
      <c r="C14" s="11">
        <f>(C5-C6)/C2</f>
        <v/>
      </c>
      <c r="D14" s="11">
        <f>(D5-D6)/D2</f>
        <v/>
      </c>
      <c r="E14" s="11">
        <f>(E5-E6)/E2</f>
        <v/>
      </c>
      <c r="F14" s="11">
        <f>(F5-F6)/F2</f>
        <v/>
      </c>
    </row>
    <row r="15">
      <c r="A15" t="inlineStr">
        <is>
          <t>FCF (H2 only for 2026)</t>
        </is>
      </c>
      <c r="B15" s="8">
        <f>SUMPRODUCT((Model!$C$3:$T$3=2026)*Model!$C$47:$T$47)</f>
        <v/>
      </c>
      <c r="C15" s="8">
        <f>SUMPRODUCT((Model!$C$3:$T$3=2027)*Model!$C$47:$T$47)</f>
        <v/>
      </c>
      <c r="D15" s="8">
        <f>SUMPRODUCT((Model!$C$3:$T$3=2028)*Model!$C$47:$T$47)</f>
        <v/>
      </c>
      <c r="E15" s="8">
        <f>SUMPRODUCT((Model!$C$3:$T$3=2029)*Model!$C$47:$T$47)</f>
        <v/>
      </c>
      <c r="F15" s="8">
        <f>SUMPRODUCT((Model!$C$3:$T$3=2030)*Model!$C$47:$T$47)</f>
        <v/>
      </c>
    </row>
    <row r="16">
      <c r="A16" t="inlineStr">
        <is>
          <t>FCF ex-prepayments (H2 only for 2026)</t>
        </is>
      </c>
      <c r="B16" s="8">
        <f>SUMPRODUCT((Model!$C$3:$T$3=2026)*Model!$C$48:$T$48)</f>
        <v/>
      </c>
      <c r="C16" s="8">
        <f>SUMPRODUCT((Model!$C$3:$T$3=2027)*Model!$C$48:$T$48)</f>
        <v/>
      </c>
      <c r="D16" s="8">
        <f>SUMPRODUCT((Model!$C$3:$T$3=2028)*Model!$C$48:$T$48)</f>
        <v/>
      </c>
      <c r="E16" s="8">
        <f>SUMPRODUCT((Model!$C$3:$T$3=2029)*Model!$C$48:$T$48)</f>
        <v/>
      </c>
      <c r="F16" s="8">
        <f>SUMPRODUCT((Model!$C$3:$T$3=2030)*Model!$C$48:$T$48)</f>
        <v/>
      </c>
    </row>
    <row r="17">
      <c r="A17" t="inlineStr">
        <is>
          <t>Liquidity at year end</t>
        </is>
      </c>
      <c r="B17" s="8">
        <f>INDEX(Model!$C$49:$T$49,MATCH(2026,Model!$C$3:$T$3,1))</f>
        <v/>
      </c>
      <c r="C17" s="8">
        <f>INDEX(Model!$C$49:$T$49,MATCH(2027,Model!$C$3:$T$3,1))</f>
        <v/>
      </c>
      <c r="D17" s="8">
        <f>INDEX(Model!$C$49:$T$49,MATCH(2028,Model!$C$3:$T$3,1))</f>
        <v/>
      </c>
      <c r="E17" s="8">
        <f>INDEX(Model!$C$49:$T$49,MATCH(2029,Model!$C$3:$T$3,1))</f>
        <v/>
      </c>
      <c r="F17" s="8">
        <f>INDEX(Model!$C$49:$T$49,MATCH(2030,Model!$C$3:$T$3,1))</f>
        <v/>
      </c>
    </row>
    <row r="18">
      <c r="A18" t="inlineStr">
        <is>
          <t>Bottom-up revenue from billing MW (Rev_MW)</t>
        </is>
      </c>
      <c r="B18" s="8">
        <f>SUMPRODUCT((RIGHT(Rev_MW!$C$1:$T$1,4)="2026")*Rev_MW!$C$7:$T$7)+Assumptions!$B$123</f>
        <v/>
      </c>
      <c r="C18" s="8">
        <f>SUMPRODUCT((RIGHT(Rev_MW!$C$1:$T$1,4)="2027")*Rev_MW!$C$7:$T$7)</f>
        <v/>
      </c>
      <c r="D18" s="8">
        <f>SUMPRODUCT((RIGHT(Rev_MW!$C$1:$T$1,4)="2028")*Rev_MW!$C$7:$T$7)</f>
        <v/>
      </c>
      <c r="E18" s="8">
        <f>SUMPRODUCT((RIGHT(Rev_MW!$C$1:$T$1,4)="2029")*Rev_MW!$C$7:$T$7)</f>
        <v/>
      </c>
      <c r="F18" s="8">
        <f>SUMPRODUCT((RIGHT(Rev_MW!$C$1:$T$1,4)="2030")*Rev_MW!$C$7:$T$7)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Metric (quarter at horizon)</t>
        </is>
      </c>
      <c r="B1" t="inlineStr">
        <is>
          <t>6-month (Q1 2027)</t>
        </is>
      </c>
      <c r="C1" t="inlineStr">
        <is>
          <t>1-year (Q3 2027)</t>
        </is>
      </c>
      <c r="D1" t="inlineStr">
        <is>
          <t>3-year (Q3 2029)</t>
        </is>
      </c>
    </row>
    <row r="2">
      <c r="A2" t="inlineStr">
        <is>
          <t>Revenue</t>
        </is>
      </c>
      <c r="B2">
        <f>Model!E37</f>
        <v/>
      </c>
      <c r="C2">
        <f>Model!G37</f>
        <v/>
      </c>
      <c r="D2">
        <f>Model!O37</f>
        <v/>
      </c>
    </row>
    <row r="3">
      <c r="A3" t="inlineStr">
        <is>
          <t>Adj. EBITDA</t>
        </is>
      </c>
      <c r="B3">
        <f>Model!E36</f>
        <v/>
      </c>
      <c r="C3">
        <f>Model!G36</f>
        <v/>
      </c>
      <c r="D3">
        <f>Model!O36</f>
        <v/>
      </c>
    </row>
    <row r="4">
      <c r="A4" t="inlineStr">
        <is>
          <t>EBIT 4y</t>
        </is>
      </c>
      <c r="B4">
        <f>Model!E38</f>
        <v/>
      </c>
      <c r="C4">
        <f>Model!G38</f>
        <v/>
      </c>
      <c r="D4">
        <f>Model!O38</f>
        <v/>
      </c>
    </row>
    <row r="5">
      <c r="A5" t="inlineStr">
        <is>
          <t>EBIT 5y</t>
        </is>
      </c>
      <c r="B5">
        <f>Model!E39</f>
        <v/>
      </c>
      <c r="C5">
        <f>Model!G39</f>
        <v/>
      </c>
      <c r="D5">
        <f>Model!O39</f>
        <v/>
      </c>
    </row>
    <row r="6">
      <c r="A6" t="inlineStr">
        <is>
          <t>EBIT 6y</t>
        </is>
      </c>
      <c r="B6">
        <f>Model!E40</f>
        <v/>
      </c>
      <c r="C6">
        <f>Model!G40</f>
        <v/>
      </c>
      <c r="D6">
        <f>Model!O40</f>
        <v/>
      </c>
    </row>
    <row r="7">
      <c r="A7" t="inlineStr">
        <is>
          <t>FCF</t>
        </is>
      </c>
      <c r="B7">
        <f>Model!E47</f>
        <v/>
      </c>
      <c r="C7">
        <f>Model!G47</f>
        <v/>
      </c>
      <c r="D7">
        <f>Model!O47</f>
        <v/>
      </c>
    </row>
    <row r="8">
      <c r="A8" t="inlineStr">
        <is>
          <t>Liquidity</t>
        </is>
      </c>
      <c r="B8">
        <f>Model!E49</f>
        <v/>
      </c>
      <c r="C8">
        <f>Model!G49</f>
        <v/>
      </c>
      <c r="D8">
        <f>Model!O49</f>
        <v/>
      </c>
    </row>
    <row r="9">
      <c r="A9" t="inlineStr">
        <is>
          <t>Gross GPU billing capital</t>
        </is>
      </c>
      <c r="B9">
        <f>Model!E20</f>
        <v/>
      </c>
      <c r="C9">
        <f>Model!G20</f>
        <v/>
      </c>
      <c r="D9">
        <f>Model!O20</f>
        <v/>
      </c>
    </row>
    <row r="10">
      <c r="A10" t="inlineStr">
        <is>
          <t>Billing gross MW (Capacity path)</t>
        </is>
      </c>
      <c r="B10">
        <f>MW!F25</f>
        <v/>
      </c>
      <c r="C10">
        <f>MW!H25</f>
        <v/>
      </c>
      <c r="D10">
        <f>MW!P25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t="inlineStr">
        <is>
          <t>Unlevered DCF EV ($M) by FY29+ EBITDA yield on billing GPU capital (columns) and GPU life (rows). Pre-2029 = consensus. Discounted from Q3'26 at WACC; terminal at Q4'30 run-rate with maintenance capex = capital/life</t>
        </is>
      </c>
    </row>
    <row r="2">
      <c r="A2" t="inlineStr">
        <is>
          <t>Life \ yield</t>
        </is>
      </c>
      <c r="B2" s="13" t="n">
        <v>0.1</v>
      </c>
      <c r="C2" s="13" t="n">
        <v>0.15</v>
      </c>
      <c r="D2" s="13" t="n">
        <v>0.2</v>
      </c>
      <c r="E2" s="13" t="n">
        <v>0.25</v>
      </c>
      <c r="F2" s="13" t="n">
        <v>0.3</v>
      </c>
      <c r="G2" s="13" t="n">
        <v>0.35</v>
      </c>
      <c r="H2" s="13" t="n">
        <v>0.4</v>
      </c>
      <c r="I2" s="13" t="n">
        <v>0.45</v>
      </c>
      <c r="J2" s="13" t="n">
        <v>0.5</v>
      </c>
      <c r="K2" s="13" t="n">
        <v>0.55</v>
      </c>
      <c r="L2" s="13" t="n">
        <v>0.6</v>
      </c>
      <c r="M2" s="13" t="n">
        <v>0.65</v>
      </c>
      <c r="N2" s="13" t="n">
        <v>0.7</v>
      </c>
    </row>
    <row r="3">
      <c r="A3" t="inlineStr">
        <is>
          <t>EV at life L1</t>
        </is>
      </c>
      <c r="B3">
        <f>SUMPRODUCT(((((Model!$C$3:$T$3&lt;=2028))*Model!$C$36:$T$36+((Model!$C$3:$T$3&gt;=2029))*B$2/4*Model!$C$54:$T$54)-Model!$C$12:$T$12-Assumptions!$B$151*(((((Model!$C$3:$T$3&lt;=2028))*Model!$C$36:$T$36+((Model!$C$3:$T$3&gt;=2029))*B$2/4*Model!$C$54:$T$54)-(Model!$C$22:$T$22+Model!$C$25:$T$25))&gt;0)*((((Model!$C$3:$T$3&lt;=2028))*Model!$C$36:$T$36+((Model!$C$3:$T$3&gt;=2029))*B$2/4*Model!$C$54:$T$54)-(Model!$C$22:$T$22+Model!$C$25:$T$25)))*(1+Assumptions!$B$149)^(-(Model!$C$2:$T$2+0.5)/4))+((B$2*Model!$T$20)-Assumptions!$B$151*MAX(0,(B$2*Model!$T$20)-(Model!$T$20/Assumptions!$B$3+Model!$T$21/Assumptions!$B$6))-(Model!$T$20/Assumptions!$B$3+Model!$T$21/Assumptions!$B$6)-Assumptions!$B$150*(Model!$T$20+Model!$T$21))*(1+Assumptions!$B$150)/(Assumptions!$B$149-Assumptions!$B$150)*(1+Assumptions!$B$149)^(-18/4)</f>
        <v/>
      </c>
      <c r="C3">
        <f>SUMPRODUCT(((((Model!$C$3:$T$3&lt;=2028))*Model!$C$36:$T$36+((Model!$C$3:$T$3&gt;=2029))*C$2/4*Model!$C$54:$T$54)-Model!$C$12:$T$12-Assumptions!$B$151*(((((Model!$C$3:$T$3&lt;=2028))*Model!$C$36:$T$36+((Model!$C$3:$T$3&gt;=2029))*C$2/4*Model!$C$54:$T$54)-(Model!$C$22:$T$22+Model!$C$25:$T$25))&gt;0)*((((Model!$C$3:$T$3&lt;=2028))*Model!$C$36:$T$36+((Model!$C$3:$T$3&gt;=2029))*C$2/4*Model!$C$54:$T$54)-(Model!$C$22:$T$22+Model!$C$25:$T$25)))*(1+Assumptions!$B$149)^(-(Model!$C$2:$T$2+0.5)/4))+((C$2*Model!$T$20)-Assumptions!$B$151*MAX(0,(C$2*Model!$T$20)-(Model!$T$20/Assumptions!$B$3+Model!$T$21/Assumptions!$B$6))-(Model!$T$20/Assumptions!$B$3+Model!$T$21/Assumptions!$B$6)-Assumptions!$B$150*(Model!$T$20+Model!$T$21))*(1+Assumptions!$B$150)/(Assumptions!$B$149-Assumptions!$B$150)*(1+Assumptions!$B$149)^(-18/4)</f>
        <v/>
      </c>
      <c r="D3">
        <f>SUMPRODUCT(((((Model!$C$3:$T$3&lt;=2028))*Model!$C$36:$T$36+((Model!$C$3:$T$3&gt;=2029))*D$2/4*Model!$C$54:$T$54)-Model!$C$12:$T$12-Assumptions!$B$151*(((((Model!$C$3:$T$3&lt;=2028))*Model!$C$36:$T$36+((Model!$C$3:$T$3&gt;=2029))*D$2/4*Model!$C$54:$T$54)-(Model!$C$22:$T$22+Model!$C$25:$T$25))&gt;0)*((((Model!$C$3:$T$3&lt;=2028))*Model!$C$36:$T$36+((Model!$C$3:$T$3&gt;=2029))*D$2/4*Model!$C$54:$T$54)-(Model!$C$22:$T$22+Model!$C$25:$T$25)))*(1+Assumptions!$B$149)^(-(Model!$C$2:$T$2+0.5)/4))+((D$2*Model!$T$20)-Assumptions!$B$151*MAX(0,(D$2*Model!$T$20)-(Model!$T$20/Assumptions!$B$3+Model!$T$21/Assumptions!$B$6))-(Model!$T$20/Assumptions!$B$3+Model!$T$21/Assumptions!$B$6)-Assumptions!$B$150*(Model!$T$20+Model!$T$21))*(1+Assumptions!$B$150)/(Assumptions!$B$149-Assumptions!$B$150)*(1+Assumptions!$B$149)^(-18/4)</f>
        <v/>
      </c>
      <c r="E3">
        <f>SUMPRODUCT(((((Model!$C$3:$T$3&lt;=2028))*Model!$C$36:$T$36+((Model!$C$3:$T$3&gt;=2029))*E$2/4*Model!$C$54:$T$54)-Model!$C$12:$T$12-Assumptions!$B$151*(((((Model!$C$3:$T$3&lt;=2028))*Model!$C$36:$T$36+((Model!$C$3:$T$3&gt;=2029))*E$2/4*Model!$C$54:$T$54)-(Model!$C$22:$T$22+Model!$C$25:$T$25))&gt;0)*((((Model!$C$3:$T$3&lt;=2028))*Model!$C$36:$T$36+((Model!$C$3:$T$3&gt;=2029))*E$2/4*Model!$C$54:$T$54)-(Model!$C$22:$T$22+Model!$C$25:$T$25)))*(1+Assumptions!$B$149)^(-(Model!$C$2:$T$2+0.5)/4))+((E$2*Model!$T$20)-Assumptions!$B$151*MAX(0,(E$2*Model!$T$20)-(Model!$T$20/Assumptions!$B$3+Model!$T$21/Assumptions!$B$6))-(Model!$T$20/Assumptions!$B$3+Model!$T$21/Assumptions!$B$6)-Assumptions!$B$150*(Model!$T$20+Model!$T$21))*(1+Assumptions!$B$150)/(Assumptions!$B$149-Assumptions!$B$150)*(1+Assumptions!$B$149)^(-18/4)</f>
        <v/>
      </c>
      <c r="F3">
        <f>SUMPRODUCT(((((Model!$C$3:$T$3&lt;=2028))*Model!$C$36:$T$36+((Model!$C$3:$T$3&gt;=2029))*F$2/4*Model!$C$54:$T$54)-Model!$C$12:$T$12-Assumptions!$B$151*(((((Model!$C$3:$T$3&lt;=2028))*Model!$C$36:$T$36+((Model!$C$3:$T$3&gt;=2029))*F$2/4*Model!$C$54:$T$54)-(Model!$C$22:$T$22+Model!$C$25:$T$25))&gt;0)*((((Model!$C$3:$T$3&lt;=2028))*Model!$C$36:$T$36+((Model!$C$3:$T$3&gt;=2029))*F$2/4*Model!$C$54:$T$54)-(Model!$C$22:$T$22+Model!$C$25:$T$25)))*(1+Assumptions!$B$149)^(-(Model!$C$2:$T$2+0.5)/4))+((F$2*Model!$T$20)-Assumptions!$B$151*MAX(0,(F$2*Model!$T$20)-(Model!$T$20/Assumptions!$B$3+Model!$T$21/Assumptions!$B$6))-(Model!$T$20/Assumptions!$B$3+Model!$T$21/Assumptions!$B$6)-Assumptions!$B$150*(Model!$T$20+Model!$T$21))*(1+Assumptions!$B$150)/(Assumptions!$B$149-Assumptions!$B$150)*(1+Assumptions!$B$149)^(-18/4)</f>
        <v/>
      </c>
      <c r="G3">
        <f>SUMPRODUCT(((((Model!$C$3:$T$3&lt;=2028))*Model!$C$36:$T$36+((Model!$C$3:$T$3&gt;=2029))*G$2/4*Model!$C$54:$T$54)-Model!$C$12:$T$12-Assumptions!$B$151*(((((Model!$C$3:$T$3&lt;=2028))*Model!$C$36:$T$36+((Model!$C$3:$T$3&gt;=2029))*G$2/4*Model!$C$54:$T$54)-(Model!$C$22:$T$22+Model!$C$25:$T$25))&gt;0)*((((Model!$C$3:$T$3&lt;=2028))*Model!$C$36:$T$36+((Model!$C$3:$T$3&gt;=2029))*G$2/4*Model!$C$54:$T$54)-(Model!$C$22:$T$22+Model!$C$25:$T$25)))*(1+Assumptions!$B$149)^(-(Model!$C$2:$T$2+0.5)/4))+((G$2*Model!$T$20)-Assumptions!$B$151*MAX(0,(G$2*Model!$T$20)-(Model!$T$20/Assumptions!$B$3+Model!$T$21/Assumptions!$B$6))-(Model!$T$20/Assumptions!$B$3+Model!$T$21/Assumptions!$B$6)-Assumptions!$B$150*(Model!$T$20+Model!$T$21))*(1+Assumptions!$B$150)/(Assumptions!$B$149-Assumptions!$B$150)*(1+Assumptions!$B$149)^(-18/4)</f>
        <v/>
      </c>
      <c r="H3">
        <f>SUMPRODUCT(((((Model!$C$3:$T$3&lt;=2028))*Model!$C$36:$T$36+((Model!$C$3:$T$3&gt;=2029))*H$2/4*Model!$C$54:$T$54)-Model!$C$12:$T$12-Assumptions!$B$151*(((((Model!$C$3:$T$3&lt;=2028))*Model!$C$36:$T$36+((Model!$C$3:$T$3&gt;=2029))*H$2/4*Model!$C$54:$T$54)-(Model!$C$22:$T$22+Model!$C$25:$T$25))&gt;0)*((((Model!$C$3:$T$3&lt;=2028))*Model!$C$36:$T$36+((Model!$C$3:$T$3&gt;=2029))*H$2/4*Model!$C$54:$T$54)-(Model!$C$22:$T$22+Model!$C$25:$T$25)))*(1+Assumptions!$B$149)^(-(Model!$C$2:$T$2+0.5)/4))+((H$2*Model!$T$20)-Assumptions!$B$151*MAX(0,(H$2*Model!$T$20)-(Model!$T$20/Assumptions!$B$3+Model!$T$21/Assumptions!$B$6))-(Model!$T$20/Assumptions!$B$3+Model!$T$21/Assumptions!$B$6)-Assumptions!$B$150*(Model!$T$20+Model!$T$21))*(1+Assumptions!$B$150)/(Assumptions!$B$149-Assumptions!$B$150)*(1+Assumptions!$B$149)^(-18/4)</f>
        <v/>
      </c>
      <c r="I3">
        <f>SUMPRODUCT(((((Model!$C$3:$T$3&lt;=2028))*Model!$C$36:$T$36+((Model!$C$3:$T$3&gt;=2029))*I$2/4*Model!$C$54:$T$54)-Model!$C$12:$T$12-Assumptions!$B$151*(((((Model!$C$3:$T$3&lt;=2028))*Model!$C$36:$T$36+((Model!$C$3:$T$3&gt;=2029))*I$2/4*Model!$C$54:$T$54)-(Model!$C$22:$T$22+Model!$C$25:$T$25))&gt;0)*((((Model!$C$3:$T$3&lt;=2028))*Model!$C$36:$T$36+((Model!$C$3:$T$3&gt;=2029))*I$2/4*Model!$C$54:$T$54)-(Model!$C$22:$T$22+Model!$C$25:$T$25)))*(1+Assumptions!$B$149)^(-(Model!$C$2:$T$2+0.5)/4))+((I$2*Model!$T$20)-Assumptions!$B$151*MAX(0,(I$2*Model!$T$20)-(Model!$T$20/Assumptions!$B$3+Model!$T$21/Assumptions!$B$6))-(Model!$T$20/Assumptions!$B$3+Model!$T$21/Assumptions!$B$6)-Assumptions!$B$150*(Model!$T$20+Model!$T$21))*(1+Assumptions!$B$150)/(Assumptions!$B$149-Assumptions!$B$150)*(1+Assumptions!$B$149)^(-18/4)</f>
        <v/>
      </c>
      <c r="J3">
        <f>SUMPRODUCT(((((Model!$C$3:$T$3&lt;=2028))*Model!$C$36:$T$36+((Model!$C$3:$T$3&gt;=2029))*J$2/4*Model!$C$54:$T$54)-Model!$C$12:$T$12-Assumptions!$B$151*(((((Model!$C$3:$T$3&lt;=2028))*Model!$C$36:$T$36+((Model!$C$3:$T$3&gt;=2029))*J$2/4*Model!$C$54:$T$54)-(Model!$C$22:$T$22+Model!$C$25:$T$25))&gt;0)*((((Model!$C$3:$T$3&lt;=2028))*Model!$C$36:$T$36+((Model!$C$3:$T$3&gt;=2029))*J$2/4*Model!$C$54:$T$54)-(Model!$C$22:$T$22+Model!$C$25:$T$25)))*(1+Assumptions!$B$149)^(-(Model!$C$2:$T$2+0.5)/4))+((J$2*Model!$T$20)-Assumptions!$B$151*MAX(0,(J$2*Model!$T$20)-(Model!$T$20/Assumptions!$B$3+Model!$T$21/Assumptions!$B$6))-(Model!$T$20/Assumptions!$B$3+Model!$T$21/Assumptions!$B$6)-Assumptions!$B$150*(Model!$T$20+Model!$T$21))*(1+Assumptions!$B$150)/(Assumptions!$B$149-Assumptions!$B$150)*(1+Assumptions!$B$149)^(-18/4)</f>
        <v/>
      </c>
      <c r="K3">
        <f>SUMPRODUCT(((((Model!$C$3:$T$3&lt;=2028))*Model!$C$36:$T$36+((Model!$C$3:$T$3&gt;=2029))*K$2/4*Model!$C$54:$T$54)-Model!$C$12:$T$12-Assumptions!$B$151*(((((Model!$C$3:$T$3&lt;=2028))*Model!$C$36:$T$36+((Model!$C$3:$T$3&gt;=2029))*K$2/4*Model!$C$54:$T$54)-(Model!$C$22:$T$22+Model!$C$25:$T$25))&gt;0)*((((Model!$C$3:$T$3&lt;=2028))*Model!$C$36:$T$36+((Model!$C$3:$T$3&gt;=2029))*K$2/4*Model!$C$54:$T$54)-(Model!$C$22:$T$22+Model!$C$25:$T$25)))*(1+Assumptions!$B$149)^(-(Model!$C$2:$T$2+0.5)/4))+((K$2*Model!$T$20)-Assumptions!$B$151*MAX(0,(K$2*Model!$T$20)-(Model!$T$20/Assumptions!$B$3+Model!$T$21/Assumptions!$B$6))-(Model!$T$20/Assumptions!$B$3+Model!$T$21/Assumptions!$B$6)-Assumptions!$B$150*(Model!$T$20+Model!$T$21))*(1+Assumptions!$B$150)/(Assumptions!$B$149-Assumptions!$B$150)*(1+Assumptions!$B$149)^(-18/4)</f>
        <v/>
      </c>
      <c r="L3">
        <f>SUMPRODUCT(((((Model!$C$3:$T$3&lt;=2028))*Model!$C$36:$T$36+((Model!$C$3:$T$3&gt;=2029))*L$2/4*Model!$C$54:$T$54)-Model!$C$12:$T$12-Assumptions!$B$151*(((((Model!$C$3:$T$3&lt;=2028))*Model!$C$36:$T$36+((Model!$C$3:$T$3&gt;=2029))*L$2/4*Model!$C$54:$T$54)-(Model!$C$22:$T$22+Model!$C$25:$T$25))&gt;0)*((((Model!$C$3:$T$3&lt;=2028))*Model!$C$36:$T$36+((Model!$C$3:$T$3&gt;=2029))*L$2/4*Model!$C$54:$T$54)-(Model!$C$22:$T$22+Model!$C$25:$T$25)))*(1+Assumptions!$B$149)^(-(Model!$C$2:$T$2+0.5)/4))+((L$2*Model!$T$20)-Assumptions!$B$151*MAX(0,(L$2*Model!$T$20)-(Model!$T$20/Assumptions!$B$3+Model!$T$21/Assumptions!$B$6))-(Model!$T$20/Assumptions!$B$3+Model!$T$21/Assumptions!$B$6)-Assumptions!$B$150*(Model!$T$20+Model!$T$21))*(1+Assumptions!$B$150)/(Assumptions!$B$149-Assumptions!$B$150)*(1+Assumptions!$B$149)^(-18/4)</f>
        <v/>
      </c>
      <c r="M3">
        <f>SUMPRODUCT(((((Model!$C$3:$T$3&lt;=2028))*Model!$C$36:$T$36+((Model!$C$3:$T$3&gt;=2029))*M$2/4*Model!$C$54:$T$54)-Model!$C$12:$T$12-Assumptions!$B$151*(((((Model!$C$3:$T$3&lt;=2028))*Model!$C$36:$T$36+((Model!$C$3:$T$3&gt;=2029))*M$2/4*Model!$C$54:$T$54)-(Model!$C$22:$T$22+Model!$C$25:$T$25))&gt;0)*((((Model!$C$3:$T$3&lt;=2028))*Model!$C$36:$T$36+((Model!$C$3:$T$3&gt;=2029))*M$2/4*Model!$C$54:$T$54)-(Model!$C$22:$T$22+Model!$C$25:$T$25)))*(1+Assumptions!$B$149)^(-(Model!$C$2:$T$2+0.5)/4))+((M$2*Model!$T$20)-Assumptions!$B$151*MAX(0,(M$2*Model!$T$20)-(Model!$T$20/Assumptions!$B$3+Model!$T$21/Assumptions!$B$6))-(Model!$T$20/Assumptions!$B$3+Model!$T$21/Assumptions!$B$6)-Assumptions!$B$150*(Model!$T$20+Model!$T$21))*(1+Assumptions!$B$150)/(Assumptions!$B$149-Assumptions!$B$150)*(1+Assumptions!$B$149)^(-18/4)</f>
        <v/>
      </c>
      <c r="N3">
        <f>SUMPRODUCT(((((Model!$C$3:$T$3&lt;=2028))*Model!$C$36:$T$36+((Model!$C$3:$T$3&gt;=2029))*N$2/4*Model!$C$54:$T$54)-Model!$C$12:$T$12-Assumptions!$B$151*(((((Model!$C$3:$T$3&lt;=2028))*Model!$C$36:$T$36+((Model!$C$3:$T$3&gt;=2029))*N$2/4*Model!$C$54:$T$54)-(Model!$C$22:$T$22+Model!$C$25:$T$25))&gt;0)*((((Model!$C$3:$T$3&lt;=2028))*Model!$C$36:$T$36+((Model!$C$3:$T$3&gt;=2029))*N$2/4*Model!$C$54:$T$54)-(Model!$C$22:$T$22+Model!$C$25:$T$25)))*(1+Assumptions!$B$149)^(-(Model!$C$2:$T$2+0.5)/4))+((N$2*Model!$T$20)-Assumptions!$B$151*MAX(0,(N$2*Model!$T$20)-(Model!$T$20/Assumptions!$B$3+Model!$T$21/Assumptions!$B$6))-(Model!$T$20/Assumptions!$B$3+Model!$T$21/Assumptions!$B$6)-Assumptions!$B$150*(Model!$T$20+Model!$T$21))*(1+Assumptions!$B$150)/(Assumptions!$B$149-Assumptions!$B$150)*(1+Assumptions!$B$149)^(-18/4)</f>
        <v/>
      </c>
    </row>
    <row r="4">
      <c r="A4" t="inlineStr">
        <is>
          <t>EV at life L2</t>
        </is>
      </c>
      <c r="B4">
        <f>SUMPRODUCT(((((Model!$C$3:$T$3&lt;=2028))*Model!$C$36:$T$36+((Model!$C$3:$T$3&gt;=2029))*B$2/4*Model!$C$54:$T$54)-Model!$C$12:$T$12-Assumptions!$B$151*(((((Model!$C$3:$T$3&lt;=2028))*Model!$C$36:$T$36+((Model!$C$3:$T$3&gt;=2029))*B$2/4*Model!$C$54:$T$54)-(Model!$C$23:$T$23+Model!$C$25:$T$25))&gt;0)*((((Model!$C$3:$T$3&lt;=2028))*Model!$C$36:$T$36+((Model!$C$3:$T$3&gt;=2029))*B$2/4*Model!$C$54:$T$54)-(Model!$C$23:$T$23+Model!$C$25:$T$25)))*(1+Assumptions!$B$149)^(-(Model!$C$2:$T$2+0.5)/4))+((B$2*Model!$T$20)-Assumptions!$B$151*MAX(0,(B$2*Model!$T$20)-(Model!$T$20/Assumptions!$B$4+Model!$T$21/Assumptions!$B$6))-(Model!$T$20/Assumptions!$B$4+Model!$T$21/Assumptions!$B$6)-Assumptions!$B$150*(Model!$T$20+Model!$T$21))*(1+Assumptions!$B$150)/(Assumptions!$B$149-Assumptions!$B$150)*(1+Assumptions!$B$149)^(-18/4)</f>
        <v/>
      </c>
      <c r="C4">
        <f>SUMPRODUCT(((((Model!$C$3:$T$3&lt;=2028))*Model!$C$36:$T$36+((Model!$C$3:$T$3&gt;=2029))*C$2/4*Model!$C$54:$T$54)-Model!$C$12:$T$12-Assumptions!$B$151*(((((Model!$C$3:$T$3&lt;=2028))*Model!$C$36:$T$36+((Model!$C$3:$T$3&gt;=2029))*C$2/4*Model!$C$54:$T$54)-(Model!$C$23:$T$23+Model!$C$25:$T$25))&gt;0)*((((Model!$C$3:$T$3&lt;=2028))*Model!$C$36:$T$36+((Model!$C$3:$T$3&gt;=2029))*C$2/4*Model!$C$54:$T$54)-(Model!$C$23:$T$23+Model!$C$25:$T$25)))*(1+Assumptions!$B$149)^(-(Model!$C$2:$T$2+0.5)/4))+((C$2*Model!$T$20)-Assumptions!$B$151*MAX(0,(C$2*Model!$T$20)-(Model!$T$20/Assumptions!$B$4+Model!$T$21/Assumptions!$B$6))-(Model!$T$20/Assumptions!$B$4+Model!$T$21/Assumptions!$B$6)-Assumptions!$B$150*(Model!$T$20+Model!$T$21))*(1+Assumptions!$B$150)/(Assumptions!$B$149-Assumptions!$B$150)*(1+Assumptions!$B$149)^(-18/4)</f>
        <v/>
      </c>
      <c r="D4">
        <f>SUMPRODUCT(((((Model!$C$3:$T$3&lt;=2028))*Model!$C$36:$T$36+((Model!$C$3:$T$3&gt;=2029))*D$2/4*Model!$C$54:$T$54)-Model!$C$12:$T$12-Assumptions!$B$151*(((((Model!$C$3:$T$3&lt;=2028))*Model!$C$36:$T$36+((Model!$C$3:$T$3&gt;=2029))*D$2/4*Model!$C$54:$T$54)-(Model!$C$23:$T$23+Model!$C$25:$T$25))&gt;0)*((((Model!$C$3:$T$3&lt;=2028))*Model!$C$36:$T$36+((Model!$C$3:$T$3&gt;=2029))*D$2/4*Model!$C$54:$T$54)-(Model!$C$23:$T$23+Model!$C$25:$T$25)))*(1+Assumptions!$B$149)^(-(Model!$C$2:$T$2+0.5)/4))+((D$2*Model!$T$20)-Assumptions!$B$151*MAX(0,(D$2*Model!$T$20)-(Model!$T$20/Assumptions!$B$4+Model!$T$21/Assumptions!$B$6))-(Model!$T$20/Assumptions!$B$4+Model!$T$21/Assumptions!$B$6)-Assumptions!$B$150*(Model!$T$20+Model!$T$21))*(1+Assumptions!$B$150)/(Assumptions!$B$149-Assumptions!$B$150)*(1+Assumptions!$B$149)^(-18/4)</f>
        <v/>
      </c>
      <c r="E4">
        <f>SUMPRODUCT(((((Model!$C$3:$T$3&lt;=2028))*Model!$C$36:$T$36+((Model!$C$3:$T$3&gt;=2029))*E$2/4*Model!$C$54:$T$54)-Model!$C$12:$T$12-Assumptions!$B$151*(((((Model!$C$3:$T$3&lt;=2028))*Model!$C$36:$T$36+((Model!$C$3:$T$3&gt;=2029))*E$2/4*Model!$C$54:$T$54)-(Model!$C$23:$T$23+Model!$C$25:$T$25))&gt;0)*((((Model!$C$3:$T$3&lt;=2028))*Model!$C$36:$T$36+((Model!$C$3:$T$3&gt;=2029))*E$2/4*Model!$C$54:$T$54)-(Model!$C$23:$T$23+Model!$C$25:$T$25)))*(1+Assumptions!$B$149)^(-(Model!$C$2:$T$2+0.5)/4))+((E$2*Model!$T$20)-Assumptions!$B$151*MAX(0,(E$2*Model!$T$20)-(Model!$T$20/Assumptions!$B$4+Model!$T$21/Assumptions!$B$6))-(Model!$T$20/Assumptions!$B$4+Model!$T$21/Assumptions!$B$6)-Assumptions!$B$150*(Model!$T$20+Model!$T$21))*(1+Assumptions!$B$150)/(Assumptions!$B$149-Assumptions!$B$150)*(1+Assumptions!$B$149)^(-18/4)</f>
        <v/>
      </c>
      <c r="F4">
        <f>SUMPRODUCT(((((Model!$C$3:$T$3&lt;=2028))*Model!$C$36:$T$36+((Model!$C$3:$T$3&gt;=2029))*F$2/4*Model!$C$54:$T$54)-Model!$C$12:$T$12-Assumptions!$B$151*(((((Model!$C$3:$T$3&lt;=2028))*Model!$C$36:$T$36+((Model!$C$3:$T$3&gt;=2029))*F$2/4*Model!$C$54:$T$54)-(Model!$C$23:$T$23+Model!$C$25:$T$25))&gt;0)*((((Model!$C$3:$T$3&lt;=2028))*Model!$C$36:$T$36+((Model!$C$3:$T$3&gt;=2029))*F$2/4*Model!$C$54:$T$54)-(Model!$C$23:$T$23+Model!$C$25:$T$25)))*(1+Assumptions!$B$149)^(-(Model!$C$2:$T$2+0.5)/4))+((F$2*Model!$T$20)-Assumptions!$B$151*MAX(0,(F$2*Model!$T$20)-(Model!$T$20/Assumptions!$B$4+Model!$T$21/Assumptions!$B$6))-(Model!$T$20/Assumptions!$B$4+Model!$T$21/Assumptions!$B$6)-Assumptions!$B$150*(Model!$T$20+Model!$T$21))*(1+Assumptions!$B$150)/(Assumptions!$B$149-Assumptions!$B$150)*(1+Assumptions!$B$149)^(-18/4)</f>
        <v/>
      </c>
      <c r="G4">
        <f>SUMPRODUCT(((((Model!$C$3:$T$3&lt;=2028))*Model!$C$36:$T$36+((Model!$C$3:$T$3&gt;=2029))*G$2/4*Model!$C$54:$T$54)-Model!$C$12:$T$12-Assumptions!$B$151*(((((Model!$C$3:$T$3&lt;=2028))*Model!$C$36:$T$36+((Model!$C$3:$T$3&gt;=2029))*G$2/4*Model!$C$54:$T$54)-(Model!$C$23:$T$23+Model!$C$25:$T$25))&gt;0)*((((Model!$C$3:$T$3&lt;=2028))*Model!$C$36:$T$36+((Model!$C$3:$T$3&gt;=2029))*G$2/4*Model!$C$54:$T$54)-(Model!$C$23:$T$23+Model!$C$25:$T$25)))*(1+Assumptions!$B$149)^(-(Model!$C$2:$T$2+0.5)/4))+((G$2*Model!$T$20)-Assumptions!$B$151*MAX(0,(G$2*Model!$T$20)-(Model!$T$20/Assumptions!$B$4+Model!$T$21/Assumptions!$B$6))-(Model!$T$20/Assumptions!$B$4+Model!$T$21/Assumptions!$B$6)-Assumptions!$B$150*(Model!$T$20+Model!$T$21))*(1+Assumptions!$B$150)/(Assumptions!$B$149-Assumptions!$B$150)*(1+Assumptions!$B$149)^(-18/4)</f>
        <v/>
      </c>
      <c r="H4">
        <f>SUMPRODUCT(((((Model!$C$3:$T$3&lt;=2028))*Model!$C$36:$T$36+((Model!$C$3:$T$3&gt;=2029))*H$2/4*Model!$C$54:$T$54)-Model!$C$12:$T$12-Assumptions!$B$151*(((((Model!$C$3:$T$3&lt;=2028))*Model!$C$36:$T$36+((Model!$C$3:$T$3&gt;=2029))*H$2/4*Model!$C$54:$T$54)-(Model!$C$23:$T$23+Model!$C$25:$T$25))&gt;0)*((((Model!$C$3:$T$3&lt;=2028))*Model!$C$36:$T$36+((Model!$C$3:$T$3&gt;=2029))*H$2/4*Model!$C$54:$T$54)-(Model!$C$23:$T$23+Model!$C$25:$T$25)))*(1+Assumptions!$B$149)^(-(Model!$C$2:$T$2+0.5)/4))+((H$2*Model!$T$20)-Assumptions!$B$151*MAX(0,(H$2*Model!$T$20)-(Model!$T$20/Assumptions!$B$4+Model!$T$21/Assumptions!$B$6))-(Model!$T$20/Assumptions!$B$4+Model!$T$21/Assumptions!$B$6)-Assumptions!$B$150*(Model!$T$20+Model!$T$21))*(1+Assumptions!$B$150)/(Assumptions!$B$149-Assumptions!$B$150)*(1+Assumptions!$B$149)^(-18/4)</f>
        <v/>
      </c>
      <c r="I4">
        <f>SUMPRODUCT(((((Model!$C$3:$T$3&lt;=2028))*Model!$C$36:$T$36+((Model!$C$3:$T$3&gt;=2029))*I$2/4*Model!$C$54:$T$54)-Model!$C$12:$T$12-Assumptions!$B$151*(((((Model!$C$3:$T$3&lt;=2028))*Model!$C$36:$T$36+((Model!$C$3:$T$3&gt;=2029))*I$2/4*Model!$C$54:$T$54)-(Model!$C$23:$T$23+Model!$C$25:$T$25))&gt;0)*((((Model!$C$3:$T$3&lt;=2028))*Model!$C$36:$T$36+((Model!$C$3:$T$3&gt;=2029))*I$2/4*Model!$C$54:$T$54)-(Model!$C$23:$T$23+Model!$C$25:$T$25)))*(1+Assumptions!$B$149)^(-(Model!$C$2:$T$2+0.5)/4))+((I$2*Model!$T$20)-Assumptions!$B$151*MAX(0,(I$2*Model!$T$20)-(Model!$T$20/Assumptions!$B$4+Model!$T$21/Assumptions!$B$6))-(Model!$T$20/Assumptions!$B$4+Model!$T$21/Assumptions!$B$6)-Assumptions!$B$150*(Model!$T$20+Model!$T$21))*(1+Assumptions!$B$150)/(Assumptions!$B$149-Assumptions!$B$150)*(1+Assumptions!$B$149)^(-18/4)</f>
        <v/>
      </c>
      <c r="J4">
        <f>SUMPRODUCT(((((Model!$C$3:$T$3&lt;=2028))*Model!$C$36:$T$36+((Model!$C$3:$T$3&gt;=2029))*J$2/4*Model!$C$54:$T$54)-Model!$C$12:$T$12-Assumptions!$B$151*(((((Model!$C$3:$T$3&lt;=2028))*Model!$C$36:$T$36+((Model!$C$3:$T$3&gt;=2029))*J$2/4*Model!$C$54:$T$54)-(Model!$C$23:$T$23+Model!$C$25:$T$25))&gt;0)*((((Model!$C$3:$T$3&lt;=2028))*Model!$C$36:$T$36+((Model!$C$3:$T$3&gt;=2029))*J$2/4*Model!$C$54:$T$54)-(Model!$C$23:$T$23+Model!$C$25:$T$25)))*(1+Assumptions!$B$149)^(-(Model!$C$2:$T$2+0.5)/4))+((J$2*Model!$T$20)-Assumptions!$B$151*MAX(0,(J$2*Model!$T$20)-(Model!$T$20/Assumptions!$B$4+Model!$T$21/Assumptions!$B$6))-(Model!$T$20/Assumptions!$B$4+Model!$T$21/Assumptions!$B$6)-Assumptions!$B$150*(Model!$T$20+Model!$T$21))*(1+Assumptions!$B$150)/(Assumptions!$B$149-Assumptions!$B$150)*(1+Assumptions!$B$149)^(-18/4)</f>
        <v/>
      </c>
      <c r="K4">
        <f>SUMPRODUCT(((((Model!$C$3:$T$3&lt;=2028))*Model!$C$36:$T$36+((Model!$C$3:$T$3&gt;=2029))*K$2/4*Model!$C$54:$T$54)-Model!$C$12:$T$12-Assumptions!$B$151*(((((Model!$C$3:$T$3&lt;=2028))*Model!$C$36:$T$36+((Model!$C$3:$T$3&gt;=2029))*K$2/4*Model!$C$54:$T$54)-(Model!$C$23:$T$23+Model!$C$25:$T$25))&gt;0)*((((Model!$C$3:$T$3&lt;=2028))*Model!$C$36:$T$36+((Model!$C$3:$T$3&gt;=2029))*K$2/4*Model!$C$54:$T$54)-(Model!$C$23:$T$23+Model!$C$25:$T$25)))*(1+Assumptions!$B$149)^(-(Model!$C$2:$T$2+0.5)/4))+((K$2*Model!$T$20)-Assumptions!$B$151*MAX(0,(K$2*Model!$T$20)-(Model!$T$20/Assumptions!$B$4+Model!$T$21/Assumptions!$B$6))-(Model!$T$20/Assumptions!$B$4+Model!$T$21/Assumptions!$B$6)-Assumptions!$B$150*(Model!$T$20+Model!$T$21))*(1+Assumptions!$B$150)/(Assumptions!$B$149-Assumptions!$B$150)*(1+Assumptions!$B$149)^(-18/4)</f>
        <v/>
      </c>
      <c r="L4">
        <f>SUMPRODUCT(((((Model!$C$3:$T$3&lt;=2028))*Model!$C$36:$T$36+((Model!$C$3:$T$3&gt;=2029))*L$2/4*Model!$C$54:$T$54)-Model!$C$12:$T$12-Assumptions!$B$151*(((((Model!$C$3:$T$3&lt;=2028))*Model!$C$36:$T$36+((Model!$C$3:$T$3&gt;=2029))*L$2/4*Model!$C$54:$T$54)-(Model!$C$23:$T$23+Model!$C$25:$T$25))&gt;0)*((((Model!$C$3:$T$3&lt;=2028))*Model!$C$36:$T$36+((Model!$C$3:$T$3&gt;=2029))*L$2/4*Model!$C$54:$T$54)-(Model!$C$23:$T$23+Model!$C$25:$T$25)))*(1+Assumptions!$B$149)^(-(Model!$C$2:$T$2+0.5)/4))+((L$2*Model!$T$20)-Assumptions!$B$151*MAX(0,(L$2*Model!$T$20)-(Model!$T$20/Assumptions!$B$4+Model!$T$21/Assumptions!$B$6))-(Model!$T$20/Assumptions!$B$4+Model!$T$21/Assumptions!$B$6)-Assumptions!$B$150*(Model!$T$20+Model!$T$21))*(1+Assumptions!$B$150)/(Assumptions!$B$149-Assumptions!$B$150)*(1+Assumptions!$B$149)^(-18/4)</f>
        <v/>
      </c>
      <c r="M4">
        <f>SUMPRODUCT(((((Model!$C$3:$T$3&lt;=2028))*Model!$C$36:$T$36+((Model!$C$3:$T$3&gt;=2029))*M$2/4*Model!$C$54:$T$54)-Model!$C$12:$T$12-Assumptions!$B$151*(((((Model!$C$3:$T$3&lt;=2028))*Model!$C$36:$T$36+((Model!$C$3:$T$3&gt;=2029))*M$2/4*Model!$C$54:$T$54)-(Model!$C$23:$T$23+Model!$C$25:$T$25))&gt;0)*((((Model!$C$3:$T$3&lt;=2028))*Model!$C$36:$T$36+((Model!$C$3:$T$3&gt;=2029))*M$2/4*Model!$C$54:$T$54)-(Model!$C$23:$T$23+Model!$C$25:$T$25)))*(1+Assumptions!$B$149)^(-(Model!$C$2:$T$2+0.5)/4))+((M$2*Model!$T$20)-Assumptions!$B$151*MAX(0,(M$2*Model!$T$20)-(Model!$T$20/Assumptions!$B$4+Model!$T$21/Assumptions!$B$6))-(Model!$T$20/Assumptions!$B$4+Model!$T$21/Assumptions!$B$6)-Assumptions!$B$150*(Model!$T$20+Model!$T$21))*(1+Assumptions!$B$150)/(Assumptions!$B$149-Assumptions!$B$150)*(1+Assumptions!$B$149)^(-18/4)</f>
        <v/>
      </c>
      <c r="N4">
        <f>SUMPRODUCT(((((Model!$C$3:$T$3&lt;=2028))*Model!$C$36:$T$36+((Model!$C$3:$T$3&gt;=2029))*N$2/4*Model!$C$54:$T$54)-Model!$C$12:$T$12-Assumptions!$B$151*(((((Model!$C$3:$T$3&lt;=2028))*Model!$C$36:$T$36+((Model!$C$3:$T$3&gt;=2029))*N$2/4*Model!$C$54:$T$54)-(Model!$C$23:$T$23+Model!$C$25:$T$25))&gt;0)*((((Model!$C$3:$T$3&lt;=2028))*Model!$C$36:$T$36+((Model!$C$3:$T$3&gt;=2029))*N$2/4*Model!$C$54:$T$54)-(Model!$C$23:$T$23+Model!$C$25:$T$25)))*(1+Assumptions!$B$149)^(-(Model!$C$2:$T$2+0.5)/4))+((N$2*Model!$T$20)-Assumptions!$B$151*MAX(0,(N$2*Model!$T$20)-(Model!$T$20/Assumptions!$B$4+Model!$T$21/Assumptions!$B$6))-(Model!$T$20/Assumptions!$B$4+Model!$T$21/Assumptions!$B$6)-Assumptions!$B$150*(Model!$T$20+Model!$T$21))*(1+Assumptions!$B$150)/(Assumptions!$B$149-Assumptions!$B$150)*(1+Assumptions!$B$149)^(-18/4)</f>
        <v/>
      </c>
    </row>
    <row r="5">
      <c r="A5" t="inlineStr">
        <is>
          <t>EV at life L3</t>
        </is>
      </c>
      <c r="B5">
        <f>SUMPRODUCT(((((Model!$C$3:$T$3&lt;=2028))*Model!$C$36:$T$36+((Model!$C$3:$T$3&gt;=2029))*B$2/4*Model!$C$54:$T$54)-Model!$C$12:$T$12-Assumptions!$B$151*(((((Model!$C$3:$T$3&lt;=2028))*Model!$C$36:$T$36+((Model!$C$3:$T$3&gt;=2029))*B$2/4*Model!$C$54:$T$54)-(Model!$C$24:$T$24+Model!$C$25:$T$25))&gt;0)*((((Model!$C$3:$T$3&lt;=2028))*Model!$C$36:$T$36+((Model!$C$3:$T$3&gt;=2029))*B$2/4*Model!$C$54:$T$54)-(Model!$C$24:$T$24+Model!$C$25:$T$25)))*(1+Assumptions!$B$149)^(-(Model!$C$2:$T$2+0.5)/4))+((B$2*Model!$T$20)-Assumptions!$B$151*MAX(0,(B$2*Model!$T$20)-(Model!$T$20/Assumptions!$B$5+Model!$T$21/Assumptions!$B$6))-(Model!$T$20/Assumptions!$B$5+Model!$T$21/Assumptions!$B$6)-Assumptions!$B$150*(Model!$T$20+Model!$T$21))*(1+Assumptions!$B$150)/(Assumptions!$B$149-Assumptions!$B$150)*(1+Assumptions!$B$149)^(-18/4)</f>
        <v/>
      </c>
      <c r="C5">
        <f>SUMPRODUCT(((((Model!$C$3:$T$3&lt;=2028))*Model!$C$36:$T$36+((Model!$C$3:$T$3&gt;=2029))*C$2/4*Model!$C$54:$T$54)-Model!$C$12:$T$12-Assumptions!$B$151*(((((Model!$C$3:$T$3&lt;=2028))*Model!$C$36:$T$36+((Model!$C$3:$T$3&gt;=2029))*C$2/4*Model!$C$54:$T$54)-(Model!$C$24:$T$24+Model!$C$25:$T$25))&gt;0)*((((Model!$C$3:$T$3&lt;=2028))*Model!$C$36:$T$36+((Model!$C$3:$T$3&gt;=2029))*C$2/4*Model!$C$54:$T$54)-(Model!$C$24:$T$24+Model!$C$25:$T$25)))*(1+Assumptions!$B$149)^(-(Model!$C$2:$T$2+0.5)/4))+((C$2*Model!$T$20)-Assumptions!$B$151*MAX(0,(C$2*Model!$T$20)-(Model!$T$20/Assumptions!$B$5+Model!$T$21/Assumptions!$B$6))-(Model!$T$20/Assumptions!$B$5+Model!$T$21/Assumptions!$B$6)-Assumptions!$B$150*(Model!$T$20+Model!$T$21))*(1+Assumptions!$B$150)/(Assumptions!$B$149-Assumptions!$B$150)*(1+Assumptions!$B$149)^(-18/4)</f>
        <v/>
      </c>
      <c r="D5">
        <f>SUMPRODUCT(((((Model!$C$3:$T$3&lt;=2028))*Model!$C$36:$T$36+((Model!$C$3:$T$3&gt;=2029))*D$2/4*Model!$C$54:$T$54)-Model!$C$12:$T$12-Assumptions!$B$151*(((((Model!$C$3:$T$3&lt;=2028))*Model!$C$36:$T$36+((Model!$C$3:$T$3&gt;=2029))*D$2/4*Model!$C$54:$T$54)-(Model!$C$24:$T$24+Model!$C$25:$T$25))&gt;0)*((((Model!$C$3:$T$3&lt;=2028))*Model!$C$36:$T$36+((Model!$C$3:$T$3&gt;=2029))*D$2/4*Model!$C$54:$T$54)-(Model!$C$24:$T$24+Model!$C$25:$T$25)))*(1+Assumptions!$B$149)^(-(Model!$C$2:$T$2+0.5)/4))+((D$2*Model!$T$20)-Assumptions!$B$151*MAX(0,(D$2*Model!$T$20)-(Model!$T$20/Assumptions!$B$5+Model!$T$21/Assumptions!$B$6))-(Model!$T$20/Assumptions!$B$5+Model!$T$21/Assumptions!$B$6)-Assumptions!$B$150*(Model!$T$20+Model!$T$21))*(1+Assumptions!$B$150)/(Assumptions!$B$149-Assumptions!$B$150)*(1+Assumptions!$B$149)^(-18/4)</f>
        <v/>
      </c>
      <c r="E5">
        <f>SUMPRODUCT(((((Model!$C$3:$T$3&lt;=2028))*Model!$C$36:$T$36+((Model!$C$3:$T$3&gt;=2029))*E$2/4*Model!$C$54:$T$54)-Model!$C$12:$T$12-Assumptions!$B$151*(((((Model!$C$3:$T$3&lt;=2028))*Model!$C$36:$T$36+((Model!$C$3:$T$3&gt;=2029))*E$2/4*Model!$C$54:$T$54)-(Model!$C$24:$T$24+Model!$C$25:$T$25))&gt;0)*((((Model!$C$3:$T$3&lt;=2028))*Model!$C$36:$T$36+((Model!$C$3:$T$3&gt;=2029))*E$2/4*Model!$C$54:$T$54)-(Model!$C$24:$T$24+Model!$C$25:$T$25)))*(1+Assumptions!$B$149)^(-(Model!$C$2:$T$2+0.5)/4))+((E$2*Model!$T$20)-Assumptions!$B$151*MAX(0,(E$2*Model!$T$20)-(Model!$T$20/Assumptions!$B$5+Model!$T$21/Assumptions!$B$6))-(Model!$T$20/Assumptions!$B$5+Model!$T$21/Assumptions!$B$6)-Assumptions!$B$150*(Model!$T$20+Model!$T$21))*(1+Assumptions!$B$150)/(Assumptions!$B$149-Assumptions!$B$150)*(1+Assumptions!$B$149)^(-18/4)</f>
        <v/>
      </c>
      <c r="F5">
        <f>SUMPRODUCT(((((Model!$C$3:$T$3&lt;=2028))*Model!$C$36:$T$36+((Model!$C$3:$T$3&gt;=2029))*F$2/4*Model!$C$54:$T$54)-Model!$C$12:$T$12-Assumptions!$B$151*(((((Model!$C$3:$T$3&lt;=2028))*Model!$C$36:$T$36+((Model!$C$3:$T$3&gt;=2029))*F$2/4*Model!$C$54:$T$54)-(Model!$C$24:$T$24+Model!$C$25:$T$25))&gt;0)*((((Model!$C$3:$T$3&lt;=2028))*Model!$C$36:$T$36+((Model!$C$3:$T$3&gt;=2029))*F$2/4*Model!$C$54:$T$54)-(Model!$C$24:$T$24+Model!$C$25:$T$25)))*(1+Assumptions!$B$149)^(-(Model!$C$2:$T$2+0.5)/4))+((F$2*Model!$T$20)-Assumptions!$B$151*MAX(0,(F$2*Model!$T$20)-(Model!$T$20/Assumptions!$B$5+Model!$T$21/Assumptions!$B$6))-(Model!$T$20/Assumptions!$B$5+Model!$T$21/Assumptions!$B$6)-Assumptions!$B$150*(Model!$T$20+Model!$T$21))*(1+Assumptions!$B$150)/(Assumptions!$B$149-Assumptions!$B$150)*(1+Assumptions!$B$149)^(-18/4)</f>
        <v/>
      </c>
      <c r="G5">
        <f>SUMPRODUCT(((((Model!$C$3:$T$3&lt;=2028))*Model!$C$36:$T$36+((Model!$C$3:$T$3&gt;=2029))*G$2/4*Model!$C$54:$T$54)-Model!$C$12:$T$12-Assumptions!$B$151*(((((Model!$C$3:$T$3&lt;=2028))*Model!$C$36:$T$36+((Model!$C$3:$T$3&gt;=2029))*G$2/4*Model!$C$54:$T$54)-(Model!$C$24:$T$24+Model!$C$25:$T$25))&gt;0)*((((Model!$C$3:$T$3&lt;=2028))*Model!$C$36:$T$36+((Model!$C$3:$T$3&gt;=2029))*G$2/4*Model!$C$54:$T$54)-(Model!$C$24:$T$24+Model!$C$25:$T$25)))*(1+Assumptions!$B$149)^(-(Model!$C$2:$T$2+0.5)/4))+((G$2*Model!$T$20)-Assumptions!$B$151*MAX(0,(G$2*Model!$T$20)-(Model!$T$20/Assumptions!$B$5+Model!$T$21/Assumptions!$B$6))-(Model!$T$20/Assumptions!$B$5+Model!$T$21/Assumptions!$B$6)-Assumptions!$B$150*(Model!$T$20+Model!$T$21))*(1+Assumptions!$B$150)/(Assumptions!$B$149-Assumptions!$B$150)*(1+Assumptions!$B$149)^(-18/4)</f>
        <v/>
      </c>
      <c r="H5">
        <f>SUMPRODUCT(((((Model!$C$3:$T$3&lt;=2028))*Model!$C$36:$T$36+((Model!$C$3:$T$3&gt;=2029))*H$2/4*Model!$C$54:$T$54)-Model!$C$12:$T$12-Assumptions!$B$151*(((((Model!$C$3:$T$3&lt;=2028))*Model!$C$36:$T$36+((Model!$C$3:$T$3&gt;=2029))*H$2/4*Model!$C$54:$T$54)-(Model!$C$24:$T$24+Model!$C$25:$T$25))&gt;0)*((((Model!$C$3:$T$3&lt;=2028))*Model!$C$36:$T$36+((Model!$C$3:$T$3&gt;=2029))*H$2/4*Model!$C$54:$T$54)-(Model!$C$24:$T$24+Model!$C$25:$T$25)))*(1+Assumptions!$B$149)^(-(Model!$C$2:$T$2+0.5)/4))+((H$2*Model!$T$20)-Assumptions!$B$151*MAX(0,(H$2*Model!$T$20)-(Model!$T$20/Assumptions!$B$5+Model!$T$21/Assumptions!$B$6))-(Model!$T$20/Assumptions!$B$5+Model!$T$21/Assumptions!$B$6)-Assumptions!$B$150*(Model!$T$20+Model!$T$21))*(1+Assumptions!$B$150)/(Assumptions!$B$149-Assumptions!$B$150)*(1+Assumptions!$B$149)^(-18/4)</f>
        <v/>
      </c>
      <c r="I5">
        <f>SUMPRODUCT(((((Model!$C$3:$T$3&lt;=2028))*Model!$C$36:$T$36+((Model!$C$3:$T$3&gt;=2029))*I$2/4*Model!$C$54:$T$54)-Model!$C$12:$T$12-Assumptions!$B$151*(((((Model!$C$3:$T$3&lt;=2028))*Model!$C$36:$T$36+((Model!$C$3:$T$3&gt;=2029))*I$2/4*Model!$C$54:$T$54)-(Model!$C$24:$T$24+Model!$C$25:$T$25))&gt;0)*((((Model!$C$3:$T$3&lt;=2028))*Model!$C$36:$T$36+((Model!$C$3:$T$3&gt;=2029))*I$2/4*Model!$C$54:$T$54)-(Model!$C$24:$T$24+Model!$C$25:$T$25)))*(1+Assumptions!$B$149)^(-(Model!$C$2:$T$2+0.5)/4))+((I$2*Model!$T$20)-Assumptions!$B$151*MAX(0,(I$2*Model!$T$20)-(Model!$T$20/Assumptions!$B$5+Model!$T$21/Assumptions!$B$6))-(Model!$T$20/Assumptions!$B$5+Model!$T$21/Assumptions!$B$6)-Assumptions!$B$150*(Model!$T$20+Model!$T$21))*(1+Assumptions!$B$150)/(Assumptions!$B$149-Assumptions!$B$150)*(1+Assumptions!$B$149)^(-18/4)</f>
        <v/>
      </c>
      <c r="J5">
        <f>SUMPRODUCT(((((Model!$C$3:$T$3&lt;=2028))*Model!$C$36:$T$36+((Model!$C$3:$T$3&gt;=2029))*J$2/4*Model!$C$54:$T$54)-Model!$C$12:$T$12-Assumptions!$B$151*(((((Model!$C$3:$T$3&lt;=2028))*Model!$C$36:$T$36+((Model!$C$3:$T$3&gt;=2029))*J$2/4*Model!$C$54:$T$54)-(Model!$C$24:$T$24+Model!$C$25:$T$25))&gt;0)*((((Model!$C$3:$T$3&lt;=2028))*Model!$C$36:$T$36+((Model!$C$3:$T$3&gt;=2029))*J$2/4*Model!$C$54:$T$54)-(Model!$C$24:$T$24+Model!$C$25:$T$25)))*(1+Assumptions!$B$149)^(-(Model!$C$2:$T$2+0.5)/4))+((J$2*Model!$T$20)-Assumptions!$B$151*MAX(0,(J$2*Model!$T$20)-(Model!$T$20/Assumptions!$B$5+Model!$T$21/Assumptions!$B$6))-(Model!$T$20/Assumptions!$B$5+Model!$T$21/Assumptions!$B$6)-Assumptions!$B$150*(Model!$T$20+Model!$T$21))*(1+Assumptions!$B$150)/(Assumptions!$B$149-Assumptions!$B$150)*(1+Assumptions!$B$149)^(-18/4)</f>
        <v/>
      </c>
      <c r="K5">
        <f>SUMPRODUCT(((((Model!$C$3:$T$3&lt;=2028))*Model!$C$36:$T$36+((Model!$C$3:$T$3&gt;=2029))*K$2/4*Model!$C$54:$T$54)-Model!$C$12:$T$12-Assumptions!$B$151*(((((Model!$C$3:$T$3&lt;=2028))*Model!$C$36:$T$36+((Model!$C$3:$T$3&gt;=2029))*K$2/4*Model!$C$54:$T$54)-(Model!$C$24:$T$24+Model!$C$25:$T$25))&gt;0)*((((Model!$C$3:$T$3&lt;=2028))*Model!$C$36:$T$36+((Model!$C$3:$T$3&gt;=2029))*K$2/4*Model!$C$54:$T$54)-(Model!$C$24:$T$24+Model!$C$25:$T$25)))*(1+Assumptions!$B$149)^(-(Model!$C$2:$T$2+0.5)/4))+((K$2*Model!$T$20)-Assumptions!$B$151*MAX(0,(K$2*Model!$T$20)-(Model!$T$20/Assumptions!$B$5+Model!$T$21/Assumptions!$B$6))-(Model!$T$20/Assumptions!$B$5+Model!$T$21/Assumptions!$B$6)-Assumptions!$B$150*(Model!$T$20+Model!$T$21))*(1+Assumptions!$B$150)/(Assumptions!$B$149-Assumptions!$B$150)*(1+Assumptions!$B$149)^(-18/4)</f>
        <v/>
      </c>
      <c r="L5">
        <f>SUMPRODUCT(((((Model!$C$3:$T$3&lt;=2028))*Model!$C$36:$T$36+((Model!$C$3:$T$3&gt;=2029))*L$2/4*Model!$C$54:$T$54)-Model!$C$12:$T$12-Assumptions!$B$151*(((((Model!$C$3:$T$3&lt;=2028))*Model!$C$36:$T$36+((Model!$C$3:$T$3&gt;=2029))*L$2/4*Model!$C$54:$T$54)-(Model!$C$24:$T$24+Model!$C$25:$T$25))&gt;0)*((((Model!$C$3:$T$3&lt;=2028))*Model!$C$36:$T$36+((Model!$C$3:$T$3&gt;=2029))*L$2/4*Model!$C$54:$T$54)-(Model!$C$24:$T$24+Model!$C$25:$T$25)))*(1+Assumptions!$B$149)^(-(Model!$C$2:$T$2+0.5)/4))+((L$2*Model!$T$20)-Assumptions!$B$151*MAX(0,(L$2*Model!$T$20)-(Model!$T$20/Assumptions!$B$5+Model!$T$21/Assumptions!$B$6))-(Model!$T$20/Assumptions!$B$5+Model!$T$21/Assumptions!$B$6)-Assumptions!$B$150*(Model!$T$20+Model!$T$21))*(1+Assumptions!$B$150)/(Assumptions!$B$149-Assumptions!$B$150)*(1+Assumptions!$B$149)^(-18/4)</f>
        <v/>
      </c>
      <c r="M5">
        <f>SUMPRODUCT(((((Model!$C$3:$T$3&lt;=2028))*Model!$C$36:$T$36+((Model!$C$3:$T$3&gt;=2029))*M$2/4*Model!$C$54:$T$54)-Model!$C$12:$T$12-Assumptions!$B$151*(((((Model!$C$3:$T$3&lt;=2028))*Model!$C$36:$T$36+((Model!$C$3:$T$3&gt;=2029))*M$2/4*Model!$C$54:$T$54)-(Model!$C$24:$T$24+Model!$C$25:$T$25))&gt;0)*((((Model!$C$3:$T$3&lt;=2028))*Model!$C$36:$T$36+((Model!$C$3:$T$3&gt;=2029))*M$2/4*Model!$C$54:$T$54)-(Model!$C$24:$T$24+Model!$C$25:$T$25)))*(1+Assumptions!$B$149)^(-(Model!$C$2:$T$2+0.5)/4))+((M$2*Model!$T$20)-Assumptions!$B$151*MAX(0,(M$2*Model!$T$20)-(Model!$T$20/Assumptions!$B$5+Model!$T$21/Assumptions!$B$6))-(Model!$T$20/Assumptions!$B$5+Model!$T$21/Assumptions!$B$6)-Assumptions!$B$150*(Model!$T$20+Model!$T$21))*(1+Assumptions!$B$150)/(Assumptions!$B$149-Assumptions!$B$150)*(1+Assumptions!$B$149)^(-18/4)</f>
        <v/>
      </c>
      <c r="N5">
        <f>SUMPRODUCT(((((Model!$C$3:$T$3&lt;=2028))*Model!$C$36:$T$36+((Model!$C$3:$T$3&gt;=2029))*N$2/4*Model!$C$54:$T$54)-Model!$C$12:$T$12-Assumptions!$B$151*(((((Model!$C$3:$T$3&lt;=2028))*Model!$C$36:$T$36+((Model!$C$3:$T$3&gt;=2029))*N$2/4*Model!$C$54:$T$54)-(Model!$C$24:$T$24+Model!$C$25:$T$25))&gt;0)*((((Model!$C$3:$T$3&lt;=2028))*Model!$C$36:$T$36+((Model!$C$3:$T$3&gt;=2029))*N$2/4*Model!$C$54:$T$54)-(Model!$C$24:$T$24+Model!$C$25:$T$25)))*(1+Assumptions!$B$149)^(-(Model!$C$2:$T$2+0.5)/4))+((N$2*Model!$T$20)-Assumptions!$B$151*MAX(0,(N$2*Model!$T$20)-(Model!$T$20/Assumptions!$B$5+Model!$T$21/Assumptions!$B$6))-(Model!$T$20/Assumptions!$B$5+Model!$T$21/Assumptions!$B$6)-Assumptions!$B$150*(Model!$T$20+Model!$T$21))*(1+Assumptions!$B$150)/(Assumptions!$B$149-Assumptions!$B$150)*(1+Assumptions!$B$149)^(-18/4)</f>
        <v/>
      </c>
    </row>
    <row r="7">
      <c r="A7" t="inlineStr">
        <is>
          <t>Market EV (ex-leases)</t>
        </is>
      </c>
      <c r="B7">
        <f>Assumptions!$B$152</f>
        <v/>
      </c>
    </row>
    <row r="8">
      <c r="A8" t="inlineStr">
        <is>
          <t>Market EV incl. off-BS commitments (debt-like variant)</t>
        </is>
      </c>
      <c r="B8">
        <f>Assumptions!$B$159</f>
        <v/>
      </c>
    </row>
    <row r="10">
      <c r="A10" t="inlineStr">
        <is>
          <t>Life</t>
        </is>
      </c>
      <c r="B10" t="inlineStr">
        <is>
          <t>Implied FY29+ yield (market EV)</t>
        </is>
      </c>
      <c r="C10" t="inlineStr">
        <is>
          <t>Implied yield (EV incl. off-BS)</t>
        </is>
      </c>
      <c r="D10" t="inlineStr">
        <is>
          <t>FY28 yield on billing capital (v2 default)</t>
        </is>
      </c>
      <c r="E10" t="inlineStr">
        <is>
          <t>FY28 yield in service (v1 basis)</t>
        </is>
      </c>
      <c r="F10" t="inlineStr">
        <is>
          <t>EV at v2 default yield</t>
        </is>
      </c>
      <c r="G10" t="inlineStr">
        <is>
          <t>Value gap $/share at v2 yield (308.69M sh)</t>
        </is>
      </c>
      <c r="H10" t="inlineStr">
        <is>
          <t>EV at v1-basis yield</t>
        </is>
      </c>
      <c r="I10" t="inlineStr">
        <is>
          <t>Value gap $/share at v1 yield</t>
        </is>
      </c>
    </row>
    <row r="11">
      <c r="A11">
        <f>Assumptions!B3</f>
        <v/>
      </c>
      <c r="B11" s="11">
        <f>IFERROR(INDEX($B$2:$N$2,MATCH($B$7,$B$3:$N$3,1))+($B$7-INDEX($B$3:$N$3,MATCH($B$7,$B$3:$N$3,1)))*(INDEX($B$2:$N$2,MATCH($B$7,$B$3:$N$3,1)+1)-INDEX($B$2:$N$2,MATCH($B$7,$B$3:$N$3,1)))/(INDEX($B$3:$N$3,MATCH($B$7,$B$3:$N$3,1)+1)-INDEX($B$3:$N$3,MATCH($B$7,$B$3:$N$3,1))),IF($B$7&lt;$B$3,"&lt;10%","&gt;70%"))</f>
        <v/>
      </c>
      <c r="C11" s="11">
        <f>IFERROR(INDEX($B$2:$N$2,MATCH($B$8,$B$3:$N$3,1))+($B$8-INDEX($B$3:$N$3,MATCH($B$8,$B$3:$N$3,1)))*(INDEX($B$2:$N$2,MATCH($B$8,$B$3:$N$3,1)+1)-INDEX($B$2:$N$2,MATCH($B$8,$B$3:$N$3,1)))/(INDEX($B$3:$N$3,MATCH($B$8,$B$3:$N$3,1)+1)-INDEX($B$3:$N$3,MATCH($B$8,$B$3:$N$3,1))),IF($B$8&lt;$B$3,"&lt;10%","&gt;70%"))</f>
        <v/>
      </c>
      <c r="D11" s="11">
        <f>Model!B30</f>
        <v/>
      </c>
      <c r="E11" s="11">
        <f>Model!B29</f>
        <v/>
      </c>
      <c r="F11" s="8">
        <f>(INDEX($B$3:$N$3,MIN(12,MAX(1,MATCH(D11,$B$2:$N$2,1))))+(D11-INDEX($B$2:$N$2,MIN(12,MAX(1,MATCH(D11,$B$2:$N$2,1)))))*(INDEX($B$3:$N$3,MIN(12,MAX(1,MATCH(D11,$B$2:$N$2,1)))+1)-INDEX($B$3:$N$3,MIN(12,MAX(1,MATCH(D11,$B$2:$N$2,1)))))/(INDEX($B$2:$N$2,MIN(12,MAX(1,MATCH(D11,$B$2:$N$2,1)))+1)-INDEX($B$2:$N$2,MIN(12,MAX(1,MATCH(D11,$B$2:$N$2,1))))))</f>
        <v/>
      </c>
      <c r="G11" s="14">
        <f>(F11-$B$7)/Assumptions!$B$154</f>
        <v/>
      </c>
      <c r="H11" s="8">
        <f>(INDEX($B$3:$N$3,MIN(12,MAX(1,MATCH(E11,$B$2:$N$2,1))))+(E11-INDEX($B$2:$N$2,MIN(12,MAX(1,MATCH(E11,$B$2:$N$2,1)))))*(INDEX($B$3:$N$3,MIN(12,MAX(1,MATCH(E11,$B$2:$N$2,1)))+1)-INDEX($B$3:$N$3,MIN(12,MAX(1,MATCH(E11,$B$2:$N$2,1)))))/(INDEX($B$2:$N$2,MIN(12,MAX(1,MATCH(E11,$B$2:$N$2,1)))+1)-INDEX($B$2:$N$2,MIN(12,MAX(1,MATCH(E11,$B$2:$N$2,1))))))</f>
        <v/>
      </c>
      <c r="I11" s="14">
        <f>(H11-$B$7)/Assumptions!$B$154</f>
        <v/>
      </c>
    </row>
    <row r="12">
      <c r="A12">
        <f>Assumptions!B4</f>
        <v/>
      </c>
      <c r="B12" s="11">
        <f>IFERROR(INDEX($B$2:$N$2,MATCH($B$7,$B$4:$N$4,1))+($B$7-INDEX($B$4:$N$4,MATCH($B$7,$B$4:$N$4,1)))*(INDEX($B$2:$N$2,MATCH($B$7,$B$4:$N$4,1)+1)-INDEX($B$2:$N$2,MATCH($B$7,$B$4:$N$4,1)))/(INDEX($B$4:$N$4,MATCH($B$7,$B$4:$N$4,1)+1)-INDEX($B$4:$N$4,MATCH($B$7,$B$4:$N$4,1))),IF($B$7&lt;$B$4,"&lt;10%","&gt;70%"))</f>
        <v/>
      </c>
      <c r="C12" s="11">
        <f>IFERROR(INDEX($B$2:$N$2,MATCH($B$8,$B$4:$N$4,1))+($B$8-INDEX($B$4:$N$4,MATCH($B$8,$B$4:$N$4,1)))*(INDEX($B$2:$N$2,MATCH($B$8,$B$4:$N$4,1)+1)-INDEX($B$2:$N$2,MATCH($B$8,$B$4:$N$4,1)))/(INDEX($B$4:$N$4,MATCH($B$8,$B$4:$N$4,1)+1)-INDEX($B$4:$N$4,MATCH($B$8,$B$4:$N$4,1))),IF($B$8&lt;$B$4,"&lt;10%","&gt;70%"))</f>
        <v/>
      </c>
      <c r="D12" s="11">
        <f>Model!B30</f>
        <v/>
      </c>
      <c r="E12" s="11">
        <f>Model!B29</f>
        <v/>
      </c>
      <c r="F12" s="8">
        <f>(INDEX($B$4:$N$4,MIN(12,MAX(1,MATCH(D12,$B$2:$N$2,1))))+(D12-INDEX($B$2:$N$2,MIN(12,MAX(1,MATCH(D12,$B$2:$N$2,1)))))*(INDEX($B$4:$N$4,MIN(12,MAX(1,MATCH(D12,$B$2:$N$2,1)))+1)-INDEX($B$4:$N$4,MIN(12,MAX(1,MATCH(D12,$B$2:$N$2,1)))))/(INDEX($B$2:$N$2,MIN(12,MAX(1,MATCH(D12,$B$2:$N$2,1)))+1)-INDEX($B$2:$N$2,MIN(12,MAX(1,MATCH(D12,$B$2:$N$2,1))))))</f>
        <v/>
      </c>
      <c r="G12" s="14">
        <f>(F12-$B$7)/Assumptions!$B$154</f>
        <v/>
      </c>
      <c r="H12" s="8">
        <f>(INDEX($B$4:$N$4,MIN(12,MAX(1,MATCH(E12,$B$2:$N$2,1))))+(E12-INDEX($B$2:$N$2,MIN(12,MAX(1,MATCH(E12,$B$2:$N$2,1)))))*(INDEX($B$4:$N$4,MIN(12,MAX(1,MATCH(E12,$B$2:$N$2,1)))+1)-INDEX($B$4:$N$4,MIN(12,MAX(1,MATCH(E12,$B$2:$N$2,1)))))/(INDEX($B$2:$N$2,MIN(12,MAX(1,MATCH(E12,$B$2:$N$2,1)))+1)-INDEX($B$2:$N$2,MIN(12,MAX(1,MATCH(E12,$B$2:$N$2,1))))))</f>
        <v/>
      </c>
      <c r="I12" s="14">
        <f>(H12-$B$7)/Assumptions!$B$154</f>
        <v/>
      </c>
    </row>
    <row r="13">
      <c r="A13">
        <f>Assumptions!B5</f>
        <v/>
      </c>
      <c r="B13" s="11">
        <f>IFERROR(INDEX($B$2:$N$2,MATCH($B$7,$B$5:$N$5,1))+($B$7-INDEX($B$5:$N$5,MATCH($B$7,$B$5:$N$5,1)))*(INDEX($B$2:$N$2,MATCH($B$7,$B$5:$N$5,1)+1)-INDEX($B$2:$N$2,MATCH($B$7,$B$5:$N$5,1)))/(INDEX($B$5:$N$5,MATCH($B$7,$B$5:$N$5,1)+1)-INDEX($B$5:$N$5,MATCH($B$7,$B$5:$N$5,1))),IF($B$7&lt;$B$5,"&lt;10%","&gt;70%"))</f>
        <v/>
      </c>
      <c r="C13" s="11">
        <f>IFERROR(INDEX($B$2:$N$2,MATCH($B$8,$B$5:$N$5,1))+($B$8-INDEX($B$5:$N$5,MATCH($B$8,$B$5:$N$5,1)))*(INDEX($B$2:$N$2,MATCH($B$8,$B$5:$N$5,1)+1)-INDEX($B$2:$N$2,MATCH($B$8,$B$5:$N$5,1)))/(INDEX($B$5:$N$5,MATCH($B$8,$B$5:$N$5,1)+1)-INDEX($B$5:$N$5,MATCH($B$8,$B$5:$N$5,1))),IF($B$8&lt;$B$5,"&lt;10%","&gt;70%"))</f>
        <v/>
      </c>
      <c r="D13" s="11">
        <f>Model!B30</f>
        <v/>
      </c>
      <c r="E13" s="11">
        <f>Model!B29</f>
        <v/>
      </c>
      <c r="F13" s="8">
        <f>(INDEX($B$5:$N$5,MIN(12,MAX(1,MATCH(D13,$B$2:$N$2,1))))+(D13-INDEX($B$2:$N$2,MIN(12,MAX(1,MATCH(D13,$B$2:$N$2,1)))))*(INDEX($B$5:$N$5,MIN(12,MAX(1,MATCH(D13,$B$2:$N$2,1)))+1)-INDEX($B$5:$N$5,MIN(12,MAX(1,MATCH(D13,$B$2:$N$2,1)))))/(INDEX($B$2:$N$2,MIN(12,MAX(1,MATCH(D13,$B$2:$N$2,1)))+1)-INDEX($B$2:$N$2,MIN(12,MAX(1,MATCH(D13,$B$2:$N$2,1))))))</f>
        <v/>
      </c>
      <c r="G13" s="14">
        <f>(F13-$B$7)/Assumptions!$B$154</f>
        <v/>
      </c>
      <c r="H13" s="8">
        <f>(INDEX($B$5:$N$5,MIN(12,MAX(1,MATCH(E13,$B$2:$N$2,1))))+(E13-INDEX($B$2:$N$2,MIN(12,MAX(1,MATCH(E13,$B$2:$N$2,1)))))*(INDEX($B$5:$N$5,MIN(12,MAX(1,MATCH(E13,$B$2:$N$2,1)))+1)-INDEX($B$5:$N$5,MIN(12,MAX(1,MATCH(E13,$B$2:$N$2,1)))))/(INDEX($B$2:$N$2,MIN(12,MAX(1,MATCH(E13,$B$2:$N$2,1)))+1)-INDEX($B$2:$N$2,MIN(12,MAX(1,MATCH(E13,$B$2:$N$2,1))))))</f>
        <v/>
      </c>
      <c r="I13" s="14">
        <f>(H13-$B$7)/Assumptions!$B$154</f>
        <v/>
      </c>
    </row>
    <row r="15">
      <c r="A15" t="inlineStr">
        <is>
          <t>Note: off-BS variant compares an EBITDA-after-rent-and-power DCF with an EV that also counts lease/energy commitments - directionally conservative (double-counts), shown as a bound only.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33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s="1" t="inlineStr">
        <is>
          <t>Case</t>
        </is>
      </c>
      <c r="B1" s="1" t="inlineStr">
        <is>
          <t>Cohort</t>
        </is>
      </c>
      <c r="C1" s="1" t="inlineStr">
        <is>
          <t>ACV $M/gross MW-yr</t>
        </is>
      </c>
      <c r="D1" s="1" t="inlineStr">
        <is>
          <t>Owned (1)/Leased (0)</t>
        </is>
      </c>
      <c r="E1" s="1" t="inlineStr">
        <is>
          <t>GPU life (yrs)</t>
        </is>
      </c>
      <c r="F1" s="1" t="inlineStr">
        <is>
          <t>Contract term (yrs)</t>
        </is>
      </c>
      <c r="G1" s="1" t="inlineStr">
        <is>
          <t>Capex $M/gross MW</t>
        </is>
      </c>
      <c r="H1" s="1" t="inlineStr">
        <is>
          <t>Contract EBITDA margin</t>
        </is>
      </c>
      <c r="I1" s="1" t="inlineStr">
        <is>
          <t>Project CF yr0</t>
        </is>
      </c>
      <c r="J1" s="1" t="inlineStr">
        <is>
          <t>Project CF yr1</t>
        </is>
      </c>
      <c r="K1" s="1" t="inlineStr">
        <is>
          <t>Project CF yr2</t>
        </is>
      </c>
      <c r="L1" s="1" t="inlineStr">
        <is>
          <t>Project CF yr3</t>
        </is>
      </c>
      <c r="M1" s="1" t="inlineStr">
        <is>
          <t>Project CF yr4</t>
        </is>
      </c>
      <c r="N1" s="1" t="inlineStr">
        <is>
          <t>Project CF yr5</t>
        </is>
      </c>
      <c r="O1" s="1" t="inlineStr">
        <is>
          <t>Project CF yr6</t>
        </is>
      </c>
      <c r="P1" s="1" t="inlineStr">
        <is>
          <t>Project IRR</t>
        </is>
      </c>
      <c r="Q1" s="1" t="inlineStr">
        <is>
          <t>Project payback (yrs)</t>
        </is>
      </c>
      <c r="R1" s="1" t="inlineStr">
        <is>
          <t>Project NPV @WACC</t>
        </is>
      </c>
      <c r="S1" s="1" t="inlineStr">
        <is>
          <t>Breakeven EBITDA margin (NPV=0)</t>
        </is>
      </c>
      <c r="T1" s="1" t="inlineStr">
        <is>
          <t>Accounting breakeven margin (D&amp;A/ACV)</t>
        </is>
      </c>
      <c r="U1" s="1" t="inlineStr">
        <is>
          <t>Prepayment $M/MW (prepaid deal)</t>
        </is>
      </c>
      <c r="V1" s="1" t="inlineStr">
        <is>
          <t>Equity CF yr0</t>
        </is>
      </c>
      <c r="W1" s="1" t="inlineStr">
        <is>
          <t>Equity CF yr1</t>
        </is>
      </c>
      <c r="X1" s="1" t="inlineStr">
        <is>
          <t>Equity CF yr2</t>
        </is>
      </c>
      <c r="Y1" s="1" t="inlineStr">
        <is>
          <t>Equity CF yr3</t>
        </is>
      </c>
      <c r="Z1" s="1" t="inlineStr">
        <is>
          <t>Equity CF yr4</t>
        </is>
      </c>
      <c r="AA1" s="1" t="inlineStr">
        <is>
          <t>Equity CF yr5</t>
        </is>
      </c>
      <c r="AB1" s="1" t="inlineStr">
        <is>
          <t>Equity CF yr6</t>
        </is>
      </c>
      <c r="AC1" s="1" t="inlineStr">
        <is>
          <t>Equity IRR (prepaid deal)</t>
        </is>
      </c>
      <c r="AD1" s="1" t="inlineStr">
        <is>
          <t>Equity payback (yrs)</t>
        </is>
      </c>
      <c r="AE1" s="1" t="inlineStr">
        <is>
          <t>cumP0</t>
        </is>
      </c>
      <c r="AF1" s="1" t="inlineStr">
        <is>
          <t>cumP1</t>
        </is>
      </c>
      <c r="AG1" s="1" t="inlineStr">
        <is>
          <t>cumP2</t>
        </is>
      </c>
      <c r="AH1" s="1" t="inlineStr">
        <is>
          <t>cumP3</t>
        </is>
      </c>
      <c r="AI1" s="1" t="inlineStr">
        <is>
          <t>cumP4</t>
        </is>
      </c>
      <c r="AJ1" s="1" t="inlineStr">
        <is>
          <t>cumP5</t>
        </is>
      </c>
      <c r="AK1" s="1" t="inlineStr">
        <is>
          <t>cumP6</t>
        </is>
      </c>
      <c r="AL1" s="1" t="inlineStr">
        <is>
          <t>cumE0</t>
        </is>
      </c>
      <c r="AM1" s="1" t="inlineStr">
        <is>
          <t>cumE1</t>
        </is>
      </c>
      <c r="AN1" s="1" t="inlineStr">
        <is>
          <t>cumE2</t>
        </is>
      </c>
      <c r="AO1" s="1" t="inlineStr">
        <is>
          <t>cumE3</t>
        </is>
      </c>
      <c r="AP1" s="1" t="inlineStr">
        <is>
          <t>cumE4</t>
        </is>
      </c>
      <c r="AQ1" s="1" t="inlineStr">
        <is>
          <t>cumE5</t>
        </is>
      </c>
      <c r="AR1" s="1" t="inlineStr">
        <is>
          <t>cumE6</t>
        </is>
      </c>
    </row>
    <row r="2">
      <c r="A2" t="n">
        <v>1</v>
      </c>
      <c r="B2" t="inlineStr">
        <is>
          <t>Installed book ($12M, Hopper-era capex)</t>
        </is>
      </c>
      <c r="C2">
        <f>Assumptions!$B$44*(1-0)</f>
        <v/>
      </c>
      <c r="D2" t="n">
        <v>1</v>
      </c>
      <c r="E2">
        <f>Assumptions!$B$3</f>
        <v/>
      </c>
      <c r="F2">
        <f>Assumptions!$B$50</f>
        <v/>
      </c>
      <c r="G2" s="6">
        <f>IF(D2=1,Assumptions!$B$9+Assumptions!$B$10,Assumptions!$B$11)/Assumptions!$B$33</f>
        <v/>
      </c>
      <c r="H2" s="11">
        <f>1-Assumptions!$B$42-(Assumptions!$B$38+(1-D2)*Assumptions!$B$39/Assumptions!$B$33)/C2</f>
        <v/>
      </c>
      <c r="I2" s="6">
        <f>-G2</f>
        <v/>
      </c>
      <c r="J2" s="6">
        <f>IF(1&gt;E2,0,IF(1&lt;=F2,C2,MIN(C2,Assumptions!$B$77)*INDEX(Assumptions!$B$71:$B$76,1)*Assumptions!$B$58))-IF(1&gt;E2,0,IF(1&gt;E2,0,IF(1&lt;=F2,C2,MIN(C2,Assumptions!$B$77)*INDEX(Assumptions!$B$71:$B$76,1)*Assumptions!$B$58))*Assumptions!$B$42+Assumptions!$B$38*IF(1&lt;=F2,1,Assumptions!$B$58)+(1-D2)*Assumptions!$B$39/Assumptions!$B$33)+IF(1=E2,D2*Assumptions!$B$10/Assumptions!$B$33*MAX(0,1-E2/Assumptions!$B$6),0)</f>
        <v/>
      </c>
      <c r="K2" s="6">
        <f>IF(2&gt;E2,0,IF(2&lt;=F2,C2,MIN(C2,Assumptions!$B$77)*INDEX(Assumptions!$B$71:$B$76,2)*Assumptions!$B$58))-IF(2&gt;E2,0,IF(2&gt;E2,0,IF(2&lt;=F2,C2,MIN(C2,Assumptions!$B$77)*INDEX(Assumptions!$B$71:$B$76,2)*Assumptions!$B$58))*Assumptions!$B$42+Assumptions!$B$38*IF(2&lt;=F2,1,Assumptions!$B$58)+(1-D2)*Assumptions!$B$39/Assumptions!$B$33)+IF(2=E2,D2*Assumptions!$B$10/Assumptions!$B$33*MAX(0,1-E2/Assumptions!$B$6),0)</f>
        <v/>
      </c>
      <c r="L2" s="6">
        <f>IF(3&gt;E2,0,IF(3&lt;=F2,C2,MIN(C2,Assumptions!$B$77)*INDEX(Assumptions!$B$71:$B$76,3)*Assumptions!$B$58))-IF(3&gt;E2,0,IF(3&gt;E2,0,IF(3&lt;=F2,C2,MIN(C2,Assumptions!$B$77)*INDEX(Assumptions!$B$71:$B$76,3)*Assumptions!$B$58))*Assumptions!$B$42+Assumptions!$B$38*IF(3&lt;=F2,1,Assumptions!$B$58)+(1-D2)*Assumptions!$B$39/Assumptions!$B$33)+IF(3=E2,D2*Assumptions!$B$10/Assumptions!$B$33*MAX(0,1-E2/Assumptions!$B$6),0)</f>
        <v/>
      </c>
      <c r="M2" s="6">
        <f>IF(4&gt;E2,0,IF(4&lt;=F2,C2,MIN(C2,Assumptions!$B$77)*INDEX(Assumptions!$B$71:$B$76,4)*Assumptions!$B$58))-IF(4&gt;E2,0,IF(4&gt;E2,0,IF(4&lt;=F2,C2,MIN(C2,Assumptions!$B$77)*INDEX(Assumptions!$B$71:$B$76,4)*Assumptions!$B$58))*Assumptions!$B$42+Assumptions!$B$38*IF(4&lt;=F2,1,Assumptions!$B$58)+(1-D2)*Assumptions!$B$39/Assumptions!$B$33)+IF(4=E2,D2*Assumptions!$B$10/Assumptions!$B$33*MAX(0,1-E2/Assumptions!$B$6),0)</f>
        <v/>
      </c>
      <c r="N2" s="6">
        <f>IF(5&gt;E2,0,IF(5&lt;=F2,C2,MIN(C2,Assumptions!$B$77)*INDEX(Assumptions!$B$71:$B$76,5)*Assumptions!$B$58))-IF(5&gt;E2,0,IF(5&gt;E2,0,IF(5&lt;=F2,C2,MIN(C2,Assumptions!$B$77)*INDEX(Assumptions!$B$71:$B$76,5)*Assumptions!$B$58))*Assumptions!$B$42+Assumptions!$B$38*IF(5&lt;=F2,1,Assumptions!$B$58)+(1-D2)*Assumptions!$B$39/Assumptions!$B$33)+IF(5=E2,D2*Assumptions!$B$10/Assumptions!$B$33*MAX(0,1-E2/Assumptions!$B$6),0)</f>
        <v/>
      </c>
      <c r="O2" s="6">
        <f>IF(6&gt;E2,0,IF(6&lt;=F2,C2,MIN(C2,Assumptions!$B$77)*INDEX(Assumptions!$B$71:$B$76,6)*Assumptions!$B$58))-IF(6&gt;E2,0,IF(6&gt;E2,0,IF(6&lt;=F2,C2,MIN(C2,Assumptions!$B$77)*INDEX(Assumptions!$B$71:$B$76,6)*Assumptions!$B$58))*Assumptions!$B$42+Assumptions!$B$38*IF(6&lt;=F2,1,Assumptions!$B$58)+(1-D2)*Assumptions!$B$39/Assumptions!$B$33)+IF(6=E2,D2*Assumptions!$B$10/Assumptions!$B$33*MAX(0,1-E2/Assumptions!$B$6),0)</f>
        <v/>
      </c>
      <c r="P2" s="11">
        <f>IFERROR(IRR(I2:O2),-1)</f>
        <v/>
      </c>
      <c r="Q2" s="12">
        <f>IFERROR(MATCH(TRUE,INDEX(AE2:AK2&gt;=0,0),0)-2+(-INDEX(AE2:AK2,MATCH(TRUE,INDEX(AE2:AK2&gt;=0,0),0)-1))/INDEX(I2:O2,MATCH(TRUE,INDEX(AE2:AK2&gt;=0,0),0)),"never")</f>
        <v/>
      </c>
      <c r="R2" s="6">
        <f>NPV(Assumptions!$B$149,J2:O2)+I2</f>
        <v/>
      </c>
      <c r="S2" s="11">
        <f>(G2-D2*Assumptions!$B$10/Assumptions!$B$33*MAX(0,1-E2/Assumptions!$B$6)/(1+Assumptions!$B$149)^E2)/(IF(1&gt;E2,0,IF(1&lt;=F2,C2,MIN(C2,Assumptions!$B$77)*INDEX(Assumptions!$B$71:$B$76,1)*Assumptions!$B$58))/(1+Assumptions!$B$149)^1+IF(2&gt;E2,0,IF(2&lt;=F2,C2,MIN(C2,Assumptions!$B$77)*INDEX(Assumptions!$B$71:$B$76,2)*Assumptions!$B$58))/(1+Assumptions!$B$149)^2+IF(3&gt;E2,0,IF(3&lt;=F2,C2,MIN(C2,Assumptions!$B$77)*INDEX(Assumptions!$B$71:$B$76,3)*Assumptions!$B$58))/(1+Assumptions!$B$149)^3+IF(4&gt;E2,0,IF(4&lt;=F2,C2,MIN(C2,Assumptions!$B$77)*INDEX(Assumptions!$B$71:$B$76,4)*Assumptions!$B$58))/(1+Assumptions!$B$149)^4+IF(5&gt;E2,0,IF(5&lt;=F2,C2,MIN(C2,Assumptions!$B$77)*INDEX(Assumptions!$B$71:$B$76,5)*Assumptions!$B$58))/(1+Assumptions!$B$149)^5+IF(6&gt;E2,0,IF(6&lt;=F2,C2,MIN(C2,Assumptions!$B$77)*INDEX(Assumptions!$B$71:$B$76,6)*Assumptions!$B$58))/(1+Assumptions!$B$149)^6)</f>
        <v/>
      </c>
      <c r="T2" s="11">
        <f>(IF(D2=1,Assumptions!$B$9/E2+Assumptions!$B$10/Assumptions!$B$6,Assumptions!$B$9/E2+(Assumptions!$B$11-Assumptions!$B$9)/Assumptions!$B$6)/Assumptions!$B$33)/C2</f>
        <v/>
      </c>
      <c r="U2" s="6">
        <f>Assumptions!$B$54*G2</f>
        <v/>
      </c>
      <c r="V2" s="6">
        <f>I2+U2</f>
        <v/>
      </c>
      <c r="W2" s="6">
        <f>J2-IF(1&lt;=F2,$U2/F2,0)</f>
        <v/>
      </c>
      <c r="X2" s="6">
        <f>K2-IF(2&lt;=F2,$U2/F2,0)</f>
        <v/>
      </c>
      <c r="Y2" s="6">
        <f>L2-IF(3&lt;=F2,$U2/F2,0)</f>
        <v/>
      </c>
      <c r="Z2" s="6">
        <f>M2-IF(4&lt;=F2,$U2/F2,0)</f>
        <v/>
      </c>
      <c r="AA2" s="6">
        <f>N2-IF(5&lt;=F2,$U2/F2,0)</f>
        <v/>
      </c>
      <c r="AB2" s="6">
        <f>O2-IF(6&lt;=F2,$U2/F2,0)</f>
        <v/>
      </c>
      <c r="AC2" s="11">
        <f>IFERROR(IRR(V2:AB2),IF(V2&gt;=0,"no equity at risk",-1))</f>
        <v/>
      </c>
      <c r="AD2" s="12">
        <f>IFERROR(MATCH(TRUE,INDEX(AL2:AR2&gt;=0,0),0)-2+(-INDEX(AL2:AR2,MATCH(TRUE,INDEX(AL2:AR2&gt;=0,0),0)-1))/INDEX(V2:AB2,MATCH(TRUE,INDEX(AL2:AR2&gt;=0,0),0)),"never")</f>
        <v/>
      </c>
      <c r="AE2">
        <f>SUM($I2:I2)</f>
        <v/>
      </c>
      <c r="AF2">
        <f>SUM($I2:J2)</f>
        <v/>
      </c>
      <c r="AG2">
        <f>SUM($I2:K2)</f>
        <v/>
      </c>
      <c r="AH2">
        <f>SUM($I2:L2)</f>
        <v/>
      </c>
      <c r="AI2">
        <f>SUM($I2:M2)</f>
        <v/>
      </c>
      <c r="AJ2">
        <f>SUM($I2:N2)</f>
        <v/>
      </c>
      <c r="AK2">
        <f>SUM($I2:O2)</f>
        <v/>
      </c>
      <c r="AL2">
        <f>SUM($V2:V2)</f>
        <v/>
      </c>
      <c r="AM2">
        <f>SUM($V2:W2)</f>
        <v/>
      </c>
      <c r="AN2">
        <f>SUM($V2:X2)</f>
        <v/>
      </c>
      <c r="AO2">
        <f>SUM($V2:Y2)</f>
        <v/>
      </c>
      <c r="AP2">
        <f>SUM($V2:Z2)</f>
        <v/>
      </c>
      <c r="AQ2">
        <f>SUM($V2:AA2)</f>
        <v/>
      </c>
      <c r="AR2">
        <f>SUM($V2:AB2)</f>
        <v/>
      </c>
    </row>
    <row r="3">
      <c r="A3" t="n">
        <v>2</v>
      </c>
      <c r="B3" t="inlineStr">
        <is>
          <t>Installed book ($12M, Hopper-era capex)</t>
        </is>
      </c>
      <c r="C3">
        <f>Assumptions!$B$44*(1-0)</f>
        <v/>
      </c>
      <c r="D3" t="n">
        <v>1</v>
      </c>
      <c r="E3">
        <f>Assumptions!$B$4</f>
        <v/>
      </c>
      <c r="F3">
        <f>Assumptions!$B$50</f>
        <v/>
      </c>
      <c r="G3" s="6">
        <f>IF(D3=1,Assumptions!$B$9+Assumptions!$B$10,Assumptions!$B$11)/Assumptions!$B$33</f>
        <v/>
      </c>
      <c r="H3" s="11">
        <f>1-Assumptions!$B$42-(Assumptions!$B$38+(1-D3)*Assumptions!$B$39/Assumptions!$B$33)/C3</f>
        <v/>
      </c>
      <c r="I3" s="6">
        <f>-G3</f>
        <v/>
      </c>
      <c r="J3" s="6">
        <f>IF(1&gt;E3,0,IF(1&lt;=F3,C3,MIN(C3,Assumptions!$B$77)*INDEX(Assumptions!$B$71:$B$76,1)*Assumptions!$B$58))-IF(1&gt;E3,0,IF(1&gt;E3,0,IF(1&lt;=F3,C3,MIN(C3,Assumptions!$B$77)*INDEX(Assumptions!$B$71:$B$76,1)*Assumptions!$B$58))*Assumptions!$B$42+Assumptions!$B$38*IF(1&lt;=F3,1,Assumptions!$B$58)+(1-D3)*Assumptions!$B$39/Assumptions!$B$33)+IF(1=E3,D3*Assumptions!$B$10/Assumptions!$B$33*MAX(0,1-E3/Assumptions!$B$6),0)</f>
        <v/>
      </c>
      <c r="K3" s="6">
        <f>IF(2&gt;E3,0,IF(2&lt;=F3,C3,MIN(C3,Assumptions!$B$77)*INDEX(Assumptions!$B$71:$B$76,2)*Assumptions!$B$58))-IF(2&gt;E3,0,IF(2&gt;E3,0,IF(2&lt;=F3,C3,MIN(C3,Assumptions!$B$77)*INDEX(Assumptions!$B$71:$B$76,2)*Assumptions!$B$58))*Assumptions!$B$42+Assumptions!$B$38*IF(2&lt;=F3,1,Assumptions!$B$58)+(1-D3)*Assumptions!$B$39/Assumptions!$B$33)+IF(2=E3,D3*Assumptions!$B$10/Assumptions!$B$33*MAX(0,1-E3/Assumptions!$B$6),0)</f>
        <v/>
      </c>
      <c r="L3" s="6">
        <f>IF(3&gt;E3,0,IF(3&lt;=F3,C3,MIN(C3,Assumptions!$B$77)*INDEX(Assumptions!$B$71:$B$76,3)*Assumptions!$B$58))-IF(3&gt;E3,0,IF(3&gt;E3,0,IF(3&lt;=F3,C3,MIN(C3,Assumptions!$B$77)*INDEX(Assumptions!$B$71:$B$76,3)*Assumptions!$B$58))*Assumptions!$B$42+Assumptions!$B$38*IF(3&lt;=F3,1,Assumptions!$B$58)+(1-D3)*Assumptions!$B$39/Assumptions!$B$33)+IF(3=E3,D3*Assumptions!$B$10/Assumptions!$B$33*MAX(0,1-E3/Assumptions!$B$6),0)</f>
        <v/>
      </c>
      <c r="M3" s="6">
        <f>IF(4&gt;E3,0,IF(4&lt;=F3,C3,MIN(C3,Assumptions!$B$77)*INDEX(Assumptions!$B$71:$B$76,4)*Assumptions!$B$58))-IF(4&gt;E3,0,IF(4&gt;E3,0,IF(4&lt;=F3,C3,MIN(C3,Assumptions!$B$77)*INDEX(Assumptions!$B$71:$B$76,4)*Assumptions!$B$58))*Assumptions!$B$42+Assumptions!$B$38*IF(4&lt;=F3,1,Assumptions!$B$58)+(1-D3)*Assumptions!$B$39/Assumptions!$B$33)+IF(4=E3,D3*Assumptions!$B$10/Assumptions!$B$33*MAX(0,1-E3/Assumptions!$B$6),0)</f>
        <v/>
      </c>
      <c r="N3" s="6">
        <f>IF(5&gt;E3,0,IF(5&lt;=F3,C3,MIN(C3,Assumptions!$B$77)*INDEX(Assumptions!$B$71:$B$76,5)*Assumptions!$B$58))-IF(5&gt;E3,0,IF(5&gt;E3,0,IF(5&lt;=F3,C3,MIN(C3,Assumptions!$B$77)*INDEX(Assumptions!$B$71:$B$76,5)*Assumptions!$B$58))*Assumptions!$B$42+Assumptions!$B$38*IF(5&lt;=F3,1,Assumptions!$B$58)+(1-D3)*Assumptions!$B$39/Assumptions!$B$33)+IF(5=E3,D3*Assumptions!$B$10/Assumptions!$B$33*MAX(0,1-E3/Assumptions!$B$6),0)</f>
        <v/>
      </c>
      <c r="O3" s="6">
        <f>IF(6&gt;E3,0,IF(6&lt;=F3,C3,MIN(C3,Assumptions!$B$77)*INDEX(Assumptions!$B$71:$B$76,6)*Assumptions!$B$58))-IF(6&gt;E3,0,IF(6&gt;E3,0,IF(6&lt;=F3,C3,MIN(C3,Assumptions!$B$77)*INDEX(Assumptions!$B$71:$B$76,6)*Assumptions!$B$58))*Assumptions!$B$42+Assumptions!$B$38*IF(6&lt;=F3,1,Assumptions!$B$58)+(1-D3)*Assumptions!$B$39/Assumptions!$B$33)+IF(6=E3,D3*Assumptions!$B$10/Assumptions!$B$33*MAX(0,1-E3/Assumptions!$B$6),0)</f>
        <v/>
      </c>
      <c r="P3" s="11">
        <f>IFERROR(IRR(I3:O3),-1)</f>
        <v/>
      </c>
      <c r="Q3" s="12">
        <f>IFERROR(MATCH(TRUE,INDEX(AE3:AK3&gt;=0,0),0)-2+(-INDEX(AE3:AK3,MATCH(TRUE,INDEX(AE3:AK3&gt;=0,0),0)-1))/INDEX(I3:O3,MATCH(TRUE,INDEX(AE3:AK3&gt;=0,0),0)),"never")</f>
        <v/>
      </c>
      <c r="R3" s="6">
        <f>NPV(Assumptions!$B$149,J3:O3)+I3</f>
        <v/>
      </c>
      <c r="S3" s="11">
        <f>(G3-D3*Assumptions!$B$10/Assumptions!$B$33*MAX(0,1-E3/Assumptions!$B$6)/(1+Assumptions!$B$149)^E3)/(IF(1&gt;E3,0,IF(1&lt;=F3,C3,MIN(C3,Assumptions!$B$77)*INDEX(Assumptions!$B$71:$B$76,1)*Assumptions!$B$58))/(1+Assumptions!$B$149)^1+IF(2&gt;E3,0,IF(2&lt;=F3,C3,MIN(C3,Assumptions!$B$77)*INDEX(Assumptions!$B$71:$B$76,2)*Assumptions!$B$58))/(1+Assumptions!$B$149)^2+IF(3&gt;E3,0,IF(3&lt;=F3,C3,MIN(C3,Assumptions!$B$77)*INDEX(Assumptions!$B$71:$B$76,3)*Assumptions!$B$58))/(1+Assumptions!$B$149)^3+IF(4&gt;E3,0,IF(4&lt;=F3,C3,MIN(C3,Assumptions!$B$77)*INDEX(Assumptions!$B$71:$B$76,4)*Assumptions!$B$58))/(1+Assumptions!$B$149)^4+IF(5&gt;E3,0,IF(5&lt;=F3,C3,MIN(C3,Assumptions!$B$77)*INDEX(Assumptions!$B$71:$B$76,5)*Assumptions!$B$58))/(1+Assumptions!$B$149)^5+IF(6&gt;E3,0,IF(6&lt;=F3,C3,MIN(C3,Assumptions!$B$77)*INDEX(Assumptions!$B$71:$B$76,6)*Assumptions!$B$58))/(1+Assumptions!$B$149)^6)</f>
        <v/>
      </c>
      <c r="T3" s="11">
        <f>(IF(D3=1,Assumptions!$B$9/E3+Assumptions!$B$10/Assumptions!$B$6,Assumptions!$B$9/E3+(Assumptions!$B$11-Assumptions!$B$9)/Assumptions!$B$6)/Assumptions!$B$33)/C3</f>
        <v/>
      </c>
      <c r="U3" s="6">
        <f>Assumptions!$B$54*G3</f>
        <v/>
      </c>
      <c r="V3" s="6">
        <f>I3+U3</f>
        <v/>
      </c>
      <c r="W3" s="6">
        <f>J3-IF(1&lt;=F3,$U3/F3,0)</f>
        <v/>
      </c>
      <c r="X3" s="6">
        <f>K3-IF(2&lt;=F3,$U3/F3,0)</f>
        <v/>
      </c>
      <c r="Y3" s="6">
        <f>L3-IF(3&lt;=F3,$U3/F3,0)</f>
        <v/>
      </c>
      <c r="Z3" s="6">
        <f>M3-IF(4&lt;=F3,$U3/F3,0)</f>
        <v/>
      </c>
      <c r="AA3" s="6">
        <f>N3-IF(5&lt;=F3,$U3/F3,0)</f>
        <v/>
      </c>
      <c r="AB3" s="6">
        <f>O3-IF(6&lt;=F3,$U3/F3,0)</f>
        <v/>
      </c>
      <c r="AC3" s="11">
        <f>IFERROR(IRR(V3:AB3),IF(V3&gt;=0,"no equity at risk",-1))</f>
        <v/>
      </c>
      <c r="AD3" s="12">
        <f>IFERROR(MATCH(TRUE,INDEX(AL3:AR3&gt;=0,0),0)-2+(-INDEX(AL3:AR3,MATCH(TRUE,INDEX(AL3:AR3&gt;=0,0),0)-1))/INDEX(V3:AB3,MATCH(TRUE,INDEX(AL3:AR3&gt;=0,0),0)),"never")</f>
        <v/>
      </c>
      <c r="AE3">
        <f>SUM($I3:I3)</f>
        <v/>
      </c>
      <c r="AF3">
        <f>SUM($I3:J3)</f>
        <v/>
      </c>
      <c r="AG3">
        <f>SUM($I3:K3)</f>
        <v/>
      </c>
      <c r="AH3">
        <f>SUM($I3:L3)</f>
        <v/>
      </c>
      <c r="AI3">
        <f>SUM($I3:M3)</f>
        <v/>
      </c>
      <c r="AJ3">
        <f>SUM($I3:N3)</f>
        <v/>
      </c>
      <c r="AK3">
        <f>SUM($I3:O3)</f>
        <v/>
      </c>
      <c r="AL3">
        <f>SUM($V3:V3)</f>
        <v/>
      </c>
      <c r="AM3">
        <f>SUM($V3:W3)</f>
        <v/>
      </c>
      <c r="AN3">
        <f>SUM($V3:X3)</f>
        <v/>
      </c>
      <c r="AO3">
        <f>SUM($V3:Y3)</f>
        <v/>
      </c>
      <c r="AP3">
        <f>SUM($V3:Z3)</f>
        <v/>
      </c>
      <c r="AQ3">
        <f>SUM($V3:AA3)</f>
        <v/>
      </c>
      <c r="AR3">
        <f>SUM($V3:AB3)</f>
        <v/>
      </c>
    </row>
    <row r="4">
      <c r="A4" t="n">
        <v>3</v>
      </c>
      <c r="B4" t="inlineStr">
        <is>
          <t>Installed book ($12M, Hopper-era capex)</t>
        </is>
      </c>
      <c r="C4">
        <f>Assumptions!$B$44*(1-0)</f>
        <v/>
      </c>
      <c r="D4" t="n">
        <v>1</v>
      </c>
      <c r="E4">
        <f>Assumptions!$B$5</f>
        <v/>
      </c>
      <c r="F4">
        <f>Assumptions!$B$50</f>
        <v/>
      </c>
      <c r="G4" s="6">
        <f>IF(D4=1,Assumptions!$B$9+Assumptions!$B$10,Assumptions!$B$11)/Assumptions!$B$33</f>
        <v/>
      </c>
      <c r="H4" s="11">
        <f>1-Assumptions!$B$42-(Assumptions!$B$38+(1-D4)*Assumptions!$B$39/Assumptions!$B$33)/C4</f>
        <v/>
      </c>
      <c r="I4" s="6">
        <f>-G4</f>
        <v/>
      </c>
      <c r="J4" s="6">
        <f>IF(1&gt;E4,0,IF(1&lt;=F4,C4,MIN(C4,Assumptions!$B$77)*INDEX(Assumptions!$B$71:$B$76,1)*Assumptions!$B$58))-IF(1&gt;E4,0,IF(1&gt;E4,0,IF(1&lt;=F4,C4,MIN(C4,Assumptions!$B$77)*INDEX(Assumptions!$B$71:$B$76,1)*Assumptions!$B$58))*Assumptions!$B$42+Assumptions!$B$38*IF(1&lt;=F4,1,Assumptions!$B$58)+(1-D4)*Assumptions!$B$39/Assumptions!$B$33)+IF(1=E4,D4*Assumptions!$B$10/Assumptions!$B$33*MAX(0,1-E4/Assumptions!$B$6),0)</f>
        <v/>
      </c>
      <c r="K4" s="6">
        <f>IF(2&gt;E4,0,IF(2&lt;=F4,C4,MIN(C4,Assumptions!$B$77)*INDEX(Assumptions!$B$71:$B$76,2)*Assumptions!$B$58))-IF(2&gt;E4,0,IF(2&gt;E4,0,IF(2&lt;=F4,C4,MIN(C4,Assumptions!$B$77)*INDEX(Assumptions!$B$71:$B$76,2)*Assumptions!$B$58))*Assumptions!$B$42+Assumptions!$B$38*IF(2&lt;=F4,1,Assumptions!$B$58)+(1-D4)*Assumptions!$B$39/Assumptions!$B$33)+IF(2=E4,D4*Assumptions!$B$10/Assumptions!$B$33*MAX(0,1-E4/Assumptions!$B$6),0)</f>
        <v/>
      </c>
      <c r="L4" s="6">
        <f>IF(3&gt;E4,0,IF(3&lt;=F4,C4,MIN(C4,Assumptions!$B$77)*INDEX(Assumptions!$B$71:$B$76,3)*Assumptions!$B$58))-IF(3&gt;E4,0,IF(3&gt;E4,0,IF(3&lt;=F4,C4,MIN(C4,Assumptions!$B$77)*INDEX(Assumptions!$B$71:$B$76,3)*Assumptions!$B$58))*Assumptions!$B$42+Assumptions!$B$38*IF(3&lt;=F4,1,Assumptions!$B$58)+(1-D4)*Assumptions!$B$39/Assumptions!$B$33)+IF(3=E4,D4*Assumptions!$B$10/Assumptions!$B$33*MAX(0,1-E4/Assumptions!$B$6),0)</f>
        <v/>
      </c>
      <c r="M4" s="6">
        <f>IF(4&gt;E4,0,IF(4&lt;=F4,C4,MIN(C4,Assumptions!$B$77)*INDEX(Assumptions!$B$71:$B$76,4)*Assumptions!$B$58))-IF(4&gt;E4,0,IF(4&gt;E4,0,IF(4&lt;=F4,C4,MIN(C4,Assumptions!$B$77)*INDEX(Assumptions!$B$71:$B$76,4)*Assumptions!$B$58))*Assumptions!$B$42+Assumptions!$B$38*IF(4&lt;=F4,1,Assumptions!$B$58)+(1-D4)*Assumptions!$B$39/Assumptions!$B$33)+IF(4=E4,D4*Assumptions!$B$10/Assumptions!$B$33*MAX(0,1-E4/Assumptions!$B$6),0)</f>
        <v/>
      </c>
      <c r="N4" s="6">
        <f>IF(5&gt;E4,0,IF(5&lt;=F4,C4,MIN(C4,Assumptions!$B$77)*INDEX(Assumptions!$B$71:$B$76,5)*Assumptions!$B$58))-IF(5&gt;E4,0,IF(5&gt;E4,0,IF(5&lt;=F4,C4,MIN(C4,Assumptions!$B$77)*INDEX(Assumptions!$B$71:$B$76,5)*Assumptions!$B$58))*Assumptions!$B$42+Assumptions!$B$38*IF(5&lt;=F4,1,Assumptions!$B$58)+(1-D4)*Assumptions!$B$39/Assumptions!$B$33)+IF(5=E4,D4*Assumptions!$B$10/Assumptions!$B$33*MAX(0,1-E4/Assumptions!$B$6),0)</f>
        <v/>
      </c>
      <c r="O4" s="6">
        <f>IF(6&gt;E4,0,IF(6&lt;=F4,C4,MIN(C4,Assumptions!$B$77)*INDEX(Assumptions!$B$71:$B$76,6)*Assumptions!$B$58))-IF(6&gt;E4,0,IF(6&gt;E4,0,IF(6&lt;=F4,C4,MIN(C4,Assumptions!$B$77)*INDEX(Assumptions!$B$71:$B$76,6)*Assumptions!$B$58))*Assumptions!$B$42+Assumptions!$B$38*IF(6&lt;=F4,1,Assumptions!$B$58)+(1-D4)*Assumptions!$B$39/Assumptions!$B$33)+IF(6=E4,D4*Assumptions!$B$10/Assumptions!$B$33*MAX(0,1-E4/Assumptions!$B$6),0)</f>
        <v/>
      </c>
      <c r="P4" s="11">
        <f>IFERROR(IRR(I4:O4),-1)</f>
        <v/>
      </c>
      <c r="Q4" s="12">
        <f>IFERROR(MATCH(TRUE,INDEX(AE4:AK4&gt;=0,0),0)-2+(-INDEX(AE4:AK4,MATCH(TRUE,INDEX(AE4:AK4&gt;=0,0),0)-1))/INDEX(I4:O4,MATCH(TRUE,INDEX(AE4:AK4&gt;=0,0),0)),"never")</f>
        <v/>
      </c>
      <c r="R4" s="6">
        <f>NPV(Assumptions!$B$149,J4:O4)+I4</f>
        <v/>
      </c>
      <c r="S4" s="11">
        <f>(G4-D4*Assumptions!$B$10/Assumptions!$B$33*MAX(0,1-E4/Assumptions!$B$6)/(1+Assumptions!$B$149)^E4)/(IF(1&gt;E4,0,IF(1&lt;=F4,C4,MIN(C4,Assumptions!$B$77)*INDEX(Assumptions!$B$71:$B$76,1)*Assumptions!$B$58))/(1+Assumptions!$B$149)^1+IF(2&gt;E4,0,IF(2&lt;=F4,C4,MIN(C4,Assumptions!$B$77)*INDEX(Assumptions!$B$71:$B$76,2)*Assumptions!$B$58))/(1+Assumptions!$B$149)^2+IF(3&gt;E4,0,IF(3&lt;=F4,C4,MIN(C4,Assumptions!$B$77)*INDEX(Assumptions!$B$71:$B$76,3)*Assumptions!$B$58))/(1+Assumptions!$B$149)^3+IF(4&gt;E4,0,IF(4&lt;=F4,C4,MIN(C4,Assumptions!$B$77)*INDEX(Assumptions!$B$71:$B$76,4)*Assumptions!$B$58))/(1+Assumptions!$B$149)^4+IF(5&gt;E4,0,IF(5&lt;=F4,C4,MIN(C4,Assumptions!$B$77)*INDEX(Assumptions!$B$71:$B$76,5)*Assumptions!$B$58))/(1+Assumptions!$B$149)^5+IF(6&gt;E4,0,IF(6&lt;=F4,C4,MIN(C4,Assumptions!$B$77)*INDEX(Assumptions!$B$71:$B$76,6)*Assumptions!$B$58))/(1+Assumptions!$B$149)^6)</f>
        <v/>
      </c>
      <c r="T4" s="11">
        <f>(IF(D4=1,Assumptions!$B$9/E4+Assumptions!$B$10/Assumptions!$B$6,Assumptions!$B$9/E4+(Assumptions!$B$11-Assumptions!$B$9)/Assumptions!$B$6)/Assumptions!$B$33)/C4</f>
        <v/>
      </c>
      <c r="U4" s="6">
        <f>Assumptions!$B$54*G4</f>
        <v/>
      </c>
      <c r="V4" s="6">
        <f>I4+U4</f>
        <v/>
      </c>
      <c r="W4" s="6">
        <f>J4-IF(1&lt;=F4,$U4/F4,0)</f>
        <v/>
      </c>
      <c r="X4" s="6">
        <f>K4-IF(2&lt;=F4,$U4/F4,0)</f>
        <v/>
      </c>
      <c r="Y4" s="6">
        <f>L4-IF(3&lt;=F4,$U4/F4,0)</f>
        <v/>
      </c>
      <c r="Z4" s="6">
        <f>M4-IF(4&lt;=F4,$U4/F4,0)</f>
        <v/>
      </c>
      <c r="AA4" s="6">
        <f>N4-IF(5&lt;=F4,$U4/F4,0)</f>
        <v/>
      </c>
      <c r="AB4" s="6">
        <f>O4-IF(6&lt;=F4,$U4/F4,0)</f>
        <v/>
      </c>
      <c r="AC4" s="11">
        <f>IFERROR(IRR(V4:AB4),IF(V4&gt;=0,"no equity at risk",-1))</f>
        <v/>
      </c>
      <c r="AD4" s="12">
        <f>IFERROR(MATCH(TRUE,INDEX(AL4:AR4&gt;=0,0),0)-2+(-INDEX(AL4:AR4,MATCH(TRUE,INDEX(AL4:AR4&gt;=0,0),0)-1))/INDEX(V4:AB4,MATCH(TRUE,INDEX(AL4:AR4&gt;=0,0),0)),"never")</f>
        <v/>
      </c>
      <c r="AE4">
        <f>SUM($I4:I4)</f>
        <v/>
      </c>
      <c r="AF4">
        <f>SUM($I4:J4)</f>
        <v/>
      </c>
      <c r="AG4">
        <f>SUM($I4:K4)</f>
        <v/>
      </c>
      <c r="AH4">
        <f>SUM($I4:L4)</f>
        <v/>
      </c>
      <c r="AI4">
        <f>SUM($I4:M4)</f>
        <v/>
      </c>
      <c r="AJ4">
        <f>SUM($I4:N4)</f>
        <v/>
      </c>
      <c r="AK4">
        <f>SUM($I4:O4)</f>
        <v/>
      </c>
      <c r="AL4">
        <f>SUM($V4:V4)</f>
        <v/>
      </c>
      <c r="AM4">
        <f>SUM($V4:W4)</f>
        <v/>
      </c>
      <c r="AN4">
        <f>SUM($V4:X4)</f>
        <v/>
      </c>
      <c r="AO4">
        <f>SUM($V4:Y4)</f>
        <v/>
      </c>
      <c r="AP4">
        <f>SUM($V4:Z4)</f>
        <v/>
      </c>
      <c r="AQ4">
        <f>SUM($V4:AA4)</f>
        <v/>
      </c>
      <c r="AR4">
        <f>SUM($V4:AB4)</f>
        <v/>
      </c>
    </row>
    <row r="5">
      <c r="A5" t="n">
        <v>4</v>
      </c>
      <c r="B5" t="inlineStr">
        <is>
          <t>Installed book ($12M, Hopper-era capex)</t>
        </is>
      </c>
      <c r="C5">
        <f>Assumptions!$B$44*(1-0)</f>
        <v/>
      </c>
      <c r="D5" t="n">
        <v>0</v>
      </c>
      <c r="E5">
        <f>Assumptions!$B$3</f>
        <v/>
      </c>
      <c r="F5">
        <f>Assumptions!$B$50</f>
        <v/>
      </c>
      <c r="G5" s="6">
        <f>IF(D5=1,Assumptions!$B$9+Assumptions!$B$10,Assumptions!$B$11)/Assumptions!$B$33</f>
        <v/>
      </c>
      <c r="H5" s="11">
        <f>1-Assumptions!$B$42-(Assumptions!$B$38+(1-D5)*Assumptions!$B$39/Assumptions!$B$33)/C5</f>
        <v/>
      </c>
      <c r="I5" s="6">
        <f>-G5</f>
        <v/>
      </c>
      <c r="J5" s="6">
        <f>IF(1&gt;E5,0,IF(1&lt;=F5,C5,MIN(C5,Assumptions!$B$77)*INDEX(Assumptions!$B$71:$B$76,1)*Assumptions!$B$58))-IF(1&gt;E5,0,IF(1&gt;E5,0,IF(1&lt;=F5,C5,MIN(C5,Assumptions!$B$77)*INDEX(Assumptions!$B$71:$B$76,1)*Assumptions!$B$58))*Assumptions!$B$42+Assumptions!$B$38*IF(1&lt;=F5,1,Assumptions!$B$58)+(1-D5)*Assumptions!$B$39/Assumptions!$B$33)+IF(1=E5,D5*Assumptions!$B$10/Assumptions!$B$33*MAX(0,1-E5/Assumptions!$B$6),0)</f>
        <v/>
      </c>
      <c r="K5" s="6">
        <f>IF(2&gt;E5,0,IF(2&lt;=F5,C5,MIN(C5,Assumptions!$B$77)*INDEX(Assumptions!$B$71:$B$76,2)*Assumptions!$B$58))-IF(2&gt;E5,0,IF(2&gt;E5,0,IF(2&lt;=F5,C5,MIN(C5,Assumptions!$B$77)*INDEX(Assumptions!$B$71:$B$76,2)*Assumptions!$B$58))*Assumptions!$B$42+Assumptions!$B$38*IF(2&lt;=F5,1,Assumptions!$B$58)+(1-D5)*Assumptions!$B$39/Assumptions!$B$33)+IF(2=E5,D5*Assumptions!$B$10/Assumptions!$B$33*MAX(0,1-E5/Assumptions!$B$6),0)</f>
        <v/>
      </c>
      <c r="L5" s="6">
        <f>IF(3&gt;E5,0,IF(3&lt;=F5,C5,MIN(C5,Assumptions!$B$77)*INDEX(Assumptions!$B$71:$B$76,3)*Assumptions!$B$58))-IF(3&gt;E5,0,IF(3&gt;E5,0,IF(3&lt;=F5,C5,MIN(C5,Assumptions!$B$77)*INDEX(Assumptions!$B$71:$B$76,3)*Assumptions!$B$58))*Assumptions!$B$42+Assumptions!$B$38*IF(3&lt;=F5,1,Assumptions!$B$58)+(1-D5)*Assumptions!$B$39/Assumptions!$B$33)+IF(3=E5,D5*Assumptions!$B$10/Assumptions!$B$33*MAX(0,1-E5/Assumptions!$B$6),0)</f>
        <v/>
      </c>
      <c r="M5" s="6">
        <f>IF(4&gt;E5,0,IF(4&lt;=F5,C5,MIN(C5,Assumptions!$B$77)*INDEX(Assumptions!$B$71:$B$76,4)*Assumptions!$B$58))-IF(4&gt;E5,0,IF(4&gt;E5,0,IF(4&lt;=F5,C5,MIN(C5,Assumptions!$B$77)*INDEX(Assumptions!$B$71:$B$76,4)*Assumptions!$B$58))*Assumptions!$B$42+Assumptions!$B$38*IF(4&lt;=F5,1,Assumptions!$B$58)+(1-D5)*Assumptions!$B$39/Assumptions!$B$33)+IF(4=E5,D5*Assumptions!$B$10/Assumptions!$B$33*MAX(0,1-E5/Assumptions!$B$6),0)</f>
        <v/>
      </c>
      <c r="N5" s="6">
        <f>IF(5&gt;E5,0,IF(5&lt;=F5,C5,MIN(C5,Assumptions!$B$77)*INDEX(Assumptions!$B$71:$B$76,5)*Assumptions!$B$58))-IF(5&gt;E5,0,IF(5&gt;E5,0,IF(5&lt;=F5,C5,MIN(C5,Assumptions!$B$77)*INDEX(Assumptions!$B$71:$B$76,5)*Assumptions!$B$58))*Assumptions!$B$42+Assumptions!$B$38*IF(5&lt;=F5,1,Assumptions!$B$58)+(1-D5)*Assumptions!$B$39/Assumptions!$B$33)+IF(5=E5,D5*Assumptions!$B$10/Assumptions!$B$33*MAX(0,1-E5/Assumptions!$B$6),0)</f>
        <v/>
      </c>
      <c r="O5" s="6">
        <f>IF(6&gt;E5,0,IF(6&lt;=F5,C5,MIN(C5,Assumptions!$B$77)*INDEX(Assumptions!$B$71:$B$76,6)*Assumptions!$B$58))-IF(6&gt;E5,0,IF(6&gt;E5,0,IF(6&lt;=F5,C5,MIN(C5,Assumptions!$B$77)*INDEX(Assumptions!$B$71:$B$76,6)*Assumptions!$B$58))*Assumptions!$B$42+Assumptions!$B$38*IF(6&lt;=F5,1,Assumptions!$B$58)+(1-D5)*Assumptions!$B$39/Assumptions!$B$33)+IF(6=E5,D5*Assumptions!$B$10/Assumptions!$B$33*MAX(0,1-E5/Assumptions!$B$6),0)</f>
        <v/>
      </c>
      <c r="P5" s="11">
        <f>IFERROR(IRR(I5:O5),-1)</f>
        <v/>
      </c>
      <c r="Q5" s="12">
        <f>IFERROR(MATCH(TRUE,INDEX(AE5:AK5&gt;=0,0),0)-2+(-INDEX(AE5:AK5,MATCH(TRUE,INDEX(AE5:AK5&gt;=0,0),0)-1))/INDEX(I5:O5,MATCH(TRUE,INDEX(AE5:AK5&gt;=0,0),0)),"never")</f>
        <v/>
      </c>
      <c r="R5" s="6">
        <f>NPV(Assumptions!$B$149,J5:O5)+I5</f>
        <v/>
      </c>
      <c r="S5" s="11">
        <f>(G5-D5*Assumptions!$B$10/Assumptions!$B$33*MAX(0,1-E5/Assumptions!$B$6)/(1+Assumptions!$B$149)^E5)/(IF(1&gt;E5,0,IF(1&lt;=F5,C5,MIN(C5,Assumptions!$B$77)*INDEX(Assumptions!$B$71:$B$76,1)*Assumptions!$B$58))/(1+Assumptions!$B$149)^1+IF(2&gt;E5,0,IF(2&lt;=F5,C5,MIN(C5,Assumptions!$B$77)*INDEX(Assumptions!$B$71:$B$76,2)*Assumptions!$B$58))/(1+Assumptions!$B$149)^2+IF(3&gt;E5,0,IF(3&lt;=F5,C5,MIN(C5,Assumptions!$B$77)*INDEX(Assumptions!$B$71:$B$76,3)*Assumptions!$B$58))/(1+Assumptions!$B$149)^3+IF(4&gt;E5,0,IF(4&lt;=F5,C5,MIN(C5,Assumptions!$B$77)*INDEX(Assumptions!$B$71:$B$76,4)*Assumptions!$B$58))/(1+Assumptions!$B$149)^4+IF(5&gt;E5,0,IF(5&lt;=F5,C5,MIN(C5,Assumptions!$B$77)*INDEX(Assumptions!$B$71:$B$76,5)*Assumptions!$B$58))/(1+Assumptions!$B$149)^5+IF(6&gt;E5,0,IF(6&lt;=F5,C5,MIN(C5,Assumptions!$B$77)*INDEX(Assumptions!$B$71:$B$76,6)*Assumptions!$B$58))/(1+Assumptions!$B$149)^6)</f>
        <v/>
      </c>
      <c r="T5" s="11">
        <f>(IF(D5=1,Assumptions!$B$9/E5+Assumptions!$B$10/Assumptions!$B$6,Assumptions!$B$9/E5+(Assumptions!$B$11-Assumptions!$B$9)/Assumptions!$B$6)/Assumptions!$B$33)/C5</f>
        <v/>
      </c>
      <c r="U5" s="6">
        <f>Assumptions!$B$54*G5</f>
        <v/>
      </c>
      <c r="V5" s="6">
        <f>I5+U5</f>
        <v/>
      </c>
      <c r="W5" s="6">
        <f>J5-IF(1&lt;=F5,$U5/F5,0)</f>
        <v/>
      </c>
      <c r="X5" s="6">
        <f>K5-IF(2&lt;=F5,$U5/F5,0)</f>
        <v/>
      </c>
      <c r="Y5" s="6">
        <f>L5-IF(3&lt;=F5,$U5/F5,0)</f>
        <v/>
      </c>
      <c r="Z5" s="6">
        <f>M5-IF(4&lt;=F5,$U5/F5,0)</f>
        <v/>
      </c>
      <c r="AA5" s="6">
        <f>N5-IF(5&lt;=F5,$U5/F5,0)</f>
        <v/>
      </c>
      <c r="AB5" s="6">
        <f>O5-IF(6&lt;=F5,$U5/F5,0)</f>
        <v/>
      </c>
      <c r="AC5" s="11">
        <f>IFERROR(IRR(V5:AB5),IF(V5&gt;=0,"no equity at risk",-1))</f>
        <v/>
      </c>
      <c r="AD5" s="12">
        <f>IFERROR(MATCH(TRUE,INDEX(AL5:AR5&gt;=0,0),0)-2+(-INDEX(AL5:AR5,MATCH(TRUE,INDEX(AL5:AR5&gt;=0,0),0)-1))/INDEX(V5:AB5,MATCH(TRUE,INDEX(AL5:AR5&gt;=0,0),0)),"never")</f>
        <v/>
      </c>
      <c r="AE5">
        <f>SUM($I5:I5)</f>
        <v/>
      </c>
      <c r="AF5">
        <f>SUM($I5:J5)</f>
        <v/>
      </c>
      <c r="AG5">
        <f>SUM($I5:K5)</f>
        <v/>
      </c>
      <c r="AH5">
        <f>SUM($I5:L5)</f>
        <v/>
      </c>
      <c r="AI5">
        <f>SUM($I5:M5)</f>
        <v/>
      </c>
      <c r="AJ5">
        <f>SUM($I5:N5)</f>
        <v/>
      </c>
      <c r="AK5">
        <f>SUM($I5:O5)</f>
        <v/>
      </c>
      <c r="AL5">
        <f>SUM($V5:V5)</f>
        <v/>
      </c>
      <c r="AM5">
        <f>SUM($V5:W5)</f>
        <v/>
      </c>
      <c r="AN5">
        <f>SUM($V5:X5)</f>
        <v/>
      </c>
      <c r="AO5">
        <f>SUM($V5:Y5)</f>
        <v/>
      </c>
      <c r="AP5">
        <f>SUM($V5:Z5)</f>
        <v/>
      </c>
      <c r="AQ5">
        <f>SUM($V5:AA5)</f>
        <v/>
      </c>
      <c r="AR5">
        <f>SUM($V5:AB5)</f>
        <v/>
      </c>
    </row>
    <row r="6">
      <c r="A6" t="n">
        <v>5</v>
      </c>
      <c r="B6" t="inlineStr">
        <is>
          <t>Installed book ($12M, Hopper-era capex)</t>
        </is>
      </c>
      <c r="C6">
        <f>Assumptions!$B$44*(1-0)</f>
        <v/>
      </c>
      <c r="D6" t="n">
        <v>0</v>
      </c>
      <c r="E6">
        <f>Assumptions!$B$4</f>
        <v/>
      </c>
      <c r="F6">
        <f>Assumptions!$B$50</f>
        <v/>
      </c>
      <c r="G6" s="6">
        <f>IF(D6=1,Assumptions!$B$9+Assumptions!$B$10,Assumptions!$B$11)/Assumptions!$B$33</f>
        <v/>
      </c>
      <c r="H6" s="11">
        <f>1-Assumptions!$B$42-(Assumptions!$B$38+(1-D6)*Assumptions!$B$39/Assumptions!$B$33)/C6</f>
        <v/>
      </c>
      <c r="I6" s="6">
        <f>-G6</f>
        <v/>
      </c>
      <c r="J6" s="6">
        <f>IF(1&gt;E6,0,IF(1&lt;=F6,C6,MIN(C6,Assumptions!$B$77)*INDEX(Assumptions!$B$71:$B$76,1)*Assumptions!$B$58))-IF(1&gt;E6,0,IF(1&gt;E6,0,IF(1&lt;=F6,C6,MIN(C6,Assumptions!$B$77)*INDEX(Assumptions!$B$71:$B$76,1)*Assumptions!$B$58))*Assumptions!$B$42+Assumptions!$B$38*IF(1&lt;=F6,1,Assumptions!$B$58)+(1-D6)*Assumptions!$B$39/Assumptions!$B$33)+IF(1=E6,D6*Assumptions!$B$10/Assumptions!$B$33*MAX(0,1-E6/Assumptions!$B$6),0)</f>
        <v/>
      </c>
      <c r="K6" s="6">
        <f>IF(2&gt;E6,0,IF(2&lt;=F6,C6,MIN(C6,Assumptions!$B$77)*INDEX(Assumptions!$B$71:$B$76,2)*Assumptions!$B$58))-IF(2&gt;E6,0,IF(2&gt;E6,0,IF(2&lt;=F6,C6,MIN(C6,Assumptions!$B$77)*INDEX(Assumptions!$B$71:$B$76,2)*Assumptions!$B$58))*Assumptions!$B$42+Assumptions!$B$38*IF(2&lt;=F6,1,Assumptions!$B$58)+(1-D6)*Assumptions!$B$39/Assumptions!$B$33)+IF(2=E6,D6*Assumptions!$B$10/Assumptions!$B$33*MAX(0,1-E6/Assumptions!$B$6),0)</f>
        <v/>
      </c>
      <c r="L6" s="6">
        <f>IF(3&gt;E6,0,IF(3&lt;=F6,C6,MIN(C6,Assumptions!$B$77)*INDEX(Assumptions!$B$71:$B$76,3)*Assumptions!$B$58))-IF(3&gt;E6,0,IF(3&gt;E6,0,IF(3&lt;=F6,C6,MIN(C6,Assumptions!$B$77)*INDEX(Assumptions!$B$71:$B$76,3)*Assumptions!$B$58))*Assumptions!$B$42+Assumptions!$B$38*IF(3&lt;=F6,1,Assumptions!$B$58)+(1-D6)*Assumptions!$B$39/Assumptions!$B$33)+IF(3=E6,D6*Assumptions!$B$10/Assumptions!$B$33*MAX(0,1-E6/Assumptions!$B$6),0)</f>
        <v/>
      </c>
      <c r="M6" s="6">
        <f>IF(4&gt;E6,0,IF(4&lt;=F6,C6,MIN(C6,Assumptions!$B$77)*INDEX(Assumptions!$B$71:$B$76,4)*Assumptions!$B$58))-IF(4&gt;E6,0,IF(4&gt;E6,0,IF(4&lt;=F6,C6,MIN(C6,Assumptions!$B$77)*INDEX(Assumptions!$B$71:$B$76,4)*Assumptions!$B$58))*Assumptions!$B$42+Assumptions!$B$38*IF(4&lt;=F6,1,Assumptions!$B$58)+(1-D6)*Assumptions!$B$39/Assumptions!$B$33)+IF(4=E6,D6*Assumptions!$B$10/Assumptions!$B$33*MAX(0,1-E6/Assumptions!$B$6),0)</f>
        <v/>
      </c>
      <c r="N6" s="6">
        <f>IF(5&gt;E6,0,IF(5&lt;=F6,C6,MIN(C6,Assumptions!$B$77)*INDEX(Assumptions!$B$71:$B$76,5)*Assumptions!$B$58))-IF(5&gt;E6,0,IF(5&gt;E6,0,IF(5&lt;=F6,C6,MIN(C6,Assumptions!$B$77)*INDEX(Assumptions!$B$71:$B$76,5)*Assumptions!$B$58))*Assumptions!$B$42+Assumptions!$B$38*IF(5&lt;=F6,1,Assumptions!$B$58)+(1-D6)*Assumptions!$B$39/Assumptions!$B$33)+IF(5=E6,D6*Assumptions!$B$10/Assumptions!$B$33*MAX(0,1-E6/Assumptions!$B$6),0)</f>
        <v/>
      </c>
      <c r="O6" s="6">
        <f>IF(6&gt;E6,0,IF(6&lt;=F6,C6,MIN(C6,Assumptions!$B$77)*INDEX(Assumptions!$B$71:$B$76,6)*Assumptions!$B$58))-IF(6&gt;E6,0,IF(6&gt;E6,0,IF(6&lt;=F6,C6,MIN(C6,Assumptions!$B$77)*INDEX(Assumptions!$B$71:$B$76,6)*Assumptions!$B$58))*Assumptions!$B$42+Assumptions!$B$38*IF(6&lt;=F6,1,Assumptions!$B$58)+(1-D6)*Assumptions!$B$39/Assumptions!$B$33)+IF(6=E6,D6*Assumptions!$B$10/Assumptions!$B$33*MAX(0,1-E6/Assumptions!$B$6),0)</f>
        <v/>
      </c>
      <c r="P6" s="11">
        <f>IFERROR(IRR(I6:O6),-1)</f>
        <v/>
      </c>
      <c r="Q6" s="12">
        <f>IFERROR(MATCH(TRUE,INDEX(AE6:AK6&gt;=0,0),0)-2+(-INDEX(AE6:AK6,MATCH(TRUE,INDEX(AE6:AK6&gt;=0,0),0)-1))/INDEX(I6:O6,MATCH(TRUE,INDEX(AE6:AK6&gt;=0,0),0)),"never")</f>
        <v/>
      </c>
      <c r="R6" s="6">
        <f>NPV(Assumptions!$B$149,J6:O6)+I6</f>
        <v/>
      </c>
      <c r="S6" s="11">
        <f>(G6-D6*Assumptions!$B$10/Assumptions!$B$33*MAX(0,1-E6/Assumptions!$B$6)/(1+Assumptions!$B$149)^E6)/(IF(1&gt;E6,0,IF(1&lt;=F6,C6,MIN(C6,Assumptions!$B$77)*INDEX(Assumptions!$B$71:$B$76,1)*Assumptions!$B$58))/(1+Assumptions!$B$149)^1+IF(2&gt;E6,0,IF(2&lt;=F6,C6,MIN(C6,Assumptions!$B$77)*INDEX(Assumptions!$B$71:$B$76,2)*Assumptions!$B$58))/(1+Assumptions!$B$149)^2+IF(3&gt;E6,0,IF(3&lt;=F6,C6,MIN(C6,Assumptions!$B$77)*INDEX(Assumptions!$B$71:$B$76,3)*Assumptions!$B$58))/(1+Assumptions!$B$149)^3+IF(4&gt;E6,0,IF(4&lt;=F6,C6,MIN(C6,Assumptions!$B$77)*INDEX(Assumptions!$B$71:$B$76,4)*Assumptions!$B$58))/(1+Assumptions!$B$149)^4+IF(5&gt;E6,0,IF(5&lt;=F6,C6,MIN(C6,Assumptions!$B$77)*INDEX(Assumptions!$B$71:$B$76,5)*Assumptions!$B$58))/(1+Assumptions!$B$149)^5+IF(6&gt;E6,0,IF(6&lt;=F6,C6,MIN(C6,Assumptions!$B$77)*INDEX(Assumptions!$B$71:$B$76,6)*Assumptions!$B$58))/(1+Assumptions!$B$149)^6)</f>
        <v/>
      </c>
      <c r="T6" s="11">
        <f>(IF(D6=1,Assumptions!$B$9/E6+Assumptions!$B$10/Assumptions!$B$6,Assumptions!$B$9/E6+(Assumptions!$B$11-Assumptions!$B$9)/Assumptions!$B$6)/Assumptions!$B$33)/C6</f>
        <v/>
      </c>
      <c r="U6" s="6">
        <f>Assumptions!$B$54*G6</f>
        <v/>
      </c>
      <c r="V6" s="6">
        <f>I6+U6</f>
        <v/>
      </c>
      <c r="W6" s="6">
        <f>J6-IF(1&lt;=F6,$U6/F6,0)</f>
        <v/>
      </c>
      <c r="X6" s="6">
        <f>K6-IF(2&lt;=F6,$U6/F6,0)</f>
        <v/>
      </c>
      <c r="Y6" s="6">
        <f>L6-IF(3&lt;=F6,$U6/F6,0)</f>
        <v/>
      </c>
      <c r="Z6" s="6">
        <f>M6-IF(4&lt;=F6,$U6/F6,0)</f>
        <v/>
      </c>
      <c r="AA6" s="6">
        <f>N6-IF(5&lt;=F6,$U6/F6,0)</f>
        <v/>
      </c>
      <c r="AB6" s="6">
        <f>O6-IF(6&lt;=F6,$U6/F6,0)</f>
        <v/>
      </c>
      <c r="AC6" s="11">
        <f>IFERROR(IRR(V6:AB6),IF(V6&gt;=0,"no equity at risk",-1))</f>
        <v/>
      </c>
      <c r="AD6" s="12">
        <f>IFERROR(MATCH(TRUE,INDEX(AL6:AR6&gt;=0,0),0)-2+(-INDEX(AL6:AR6,MATCH(TRUE,INDEX(AL6:AR6&gt;=0,0),0)-1))/INDEX(V6:AB6,MATCH(TRUE,INDEX(AL6:AR6&gt;=0,0),0)),"never")</f>
        <v/>
      </c>
      <c r="AE6">
        <f>SUM($I6:I6)</f>
        <v/>
      </c>
      <c r="AF6">
        <f>SUM($I6:J6)</f>
        <v/>
      </c>
      <c r="AG6">
        <f>SUM($I6:K6)</f>
        <v/>
      </c>
      <c r="AH6">
        <f>SUM($I6:L6)</f>
        <v/>
      </c>
      <c r="AI6">
        <f>SUM($I6:M6)</f>
        <v/>
      </c>
      <c r="AJ6">
        <f>SUM($I6:N6)</f>
        <v/>
      </c>
      <c r="AK6">
        <f>SUM($I6:O6)</f>
        <v/>
      </c>
      <c r="AL6">
        <f>SUM($V6:V6)</f>
        <v/>
      </c>
      <c r="AM6">
        <f>SUM($V6:W6)</f>
        <v/>
      </c>
      <c r="AN6">
        <f>SUM($V6:X6)</f>
        <v/>
      </c>
      <c r="AO6">
        <f>SUM($V6:Y6)</f>
        <v/>
      </c>
      <c r="AP6">
        <f>SUM($V6:Z6)</f>
        <v/>
      </c>
      <c r="AQ6">
        <f>SUM($V6:AA6)</f>
        <v/>
      </c>
      <c r="AR6">
        <f>SUM($V6:AB6)</f>
        <v/>
      </c>
    </row>
    <row r="7">
      <c r="A7" t="n">
        <v>6</v>
      </c>
      <c r="B7" t="inlineStr">
        <is>
          <t>Installed book ($12M, Hopper-era capex)</t>
        </is>
      </c>
      <c r="C7">
        <f>Assumptions!$B$44*(1-0)</f>
        <v/>
      </c>
      <c r="D7" t="n">
        <v>0</v>
      </c>
      <c r="E7">
        <f>Assumptions!$B$5</f>
        <v/>
      </c>
      <c r="F7">
        <f>Assumptions!$B$50</f>
        <v/>
      </c>
      <c r="G7" s="6">
        <f>IF(D7=1,Assumptions!$B$9+Assumptions!$B$10,Assumptions!$B$11)/Assumptions!$B$33</f>
        <v/>
      </c>
      <c r="H7" s="11">
        <f>1-Assumptions!$B$42-(Assumptions!$B$38+(1-D7)*Assumptions!$B$39/Assumptions!$B$33)/C7</f>
        <v/>
      </c>
      <c r="I7" s="6">
        <f>-G7</f>
        <v/>
      </c>
      <c r="J7" s="6">
        <f>IF(1&gt;E7,0,IF(1&lt;=F7,C7,MIN(C7,Assumptions!$B$77)*INDEX(Assumptions!$B$71:$B$76,1)*Assumptions!$B$58))-IF(1&gt;E7,0,IF(1&gt;E7,0,IF(1&lt;=F7,C7,MIN(C7,Assumptions!$B$77)*INDEX(Assumptions!$B$71:$B$76,1)*Assumptions!$B$58))*Assumptions!$B$42+Assumptions!$B$38*IF(1&lt;=F7,1,Assumptions!$B$58)+(1-D7)*Assumptions!$B$39/Assumptions!$B$33)+IF(1=E7,D7*Assumptions!$B$10/Assumptions!$B$33*MAX(0,1-E7/Assumptions!$B$6),0)</f>
        <v/>
      </c>
      <c r="K7" s="6">
        <f>IF(2&gt;E7,0,IF(2&lt;=F7,C7,MIN(C7,Assumptions!$B$77)*INDEX(Assumptions!$B$71:$B$76,2)*Assumptions!$B$58))-IF(2&gt;E7,0,IF(2&gt;E7,0,IF(2&lt;=F7,C7,MIN(C7,Assumptions!$B$77)*INDEX(Assumptions!$B$71:$B$76,2)*Assumptions!$B$58))*Assumptions!$B$42+Assumptions!$B$38*IF(2&lt;=F7,1,Assumptions!$B$58)+(1-D7)*Assumptions!$B$39/Assumptions!$B$33)+IF(2=E7,D7*Assumptions!$B$10/Assumptions!$B$33*MAX(0,1-E7/Assumptions!$B$6),0)</f>
        <v/>
      </c>
      <c r="L7" s="6">
        <f>IF(3&gt;E7,0,IF(3&lt;=F7,C7,MIN(C7,Assumptions!$B$77)*INDEX(Assumptions!$B$71:$B$76,3)*Assumptions!$B$58))-IF(3&gt;E7,0,IF(3&gt;E7,0,IF(3&lt;=F7,C7,MIN(C7,Assumptions!$B$77)*INDEX(Assumptions!$B$71:$B$76,3)*Assumptions!$B$58))*Assumptions!$B$42+Assumptions!$B$38*IF(3&lt;=F7,1,Assumptions!$B$58)+(1-D7)*Assumptions!$B$39/Assumptions!$B$33)+IF(3=E7,D7*Assumptions!$B$10/Assumptions!$B$33*MAX(0,1-E7/Assumptions!$B$6),0)</f>
        <v/>
      </c>
      <c r="M7" s="6">
        <f>IF(4&gt;E7,0,IF(4&lt;=F7,C7,MIN(C7,Assumptions!$B$77)*INDEX(Assumptions!$B$71:$B$76,4)*Assumptions!$B$58))-IF(4&gt;E7,0,IF(4&gt;E7,0,IF(4&lt;=F7,C7,MIN(C7,Assumptions!$B$77)*INDEX(Assumptions!$B$71:$B$76,4)*Assumptions!$B$58))*Assumptions!$B$42+Assumptions!$B$38*IF(4&lt;=F7,1,Assumptions!$B$58)+(1-D7)*Assumptions!$B$39/Assumptions!$B$33)+IF(4=E7,D7*Assumptions!$B$10/Assumptions!$B$33*MAX(0,1-E7/Assumptions!$B$6),0)</f>
        <v/>
      </c>
      <c r="N7" s="6">
        <f>IF(5&gt;E7,0,IF(5&lt;=F7,C7,MIN(C7,Assumptions!$B$77)*INDEX(Assumptions!$B$71:$B$76,5)*Assumptions!$B$58))-IF(5&gt;E7,0,IF(5&gt;E7,0,IF(5&lt;=F7,C7,MIN(C7,Assumptions!$B$77)*INDEX(Assumptions!$B$71:$B$76,5)*Assumptions!$B$58))*Assumptions!$B$42+Assumptions!$B$38*IF(5&lt;=F7,1,Assumptions!$B$58)+(1-D7)*Assumptions!$B$39/Assumptions!$B$33)+IF(5=E7,D7*Assumptions!$B$10/Assumptions!$B$33*MAX(0,1-E7/Assumptions!$B$6),0)</f>
        <v/>
      </c>
      <c r="O7" s="6">
        <f>IF(6&gt;E7,0,IF(6&lt;=F7,C7,MIN(C7,Assumptions!$B$77)*INDEX(Assumptions!$B$71:$B$76,6)*Assumptions!$B$58))-IF(6&gt;E7,0,IF(6&gt;E7,0,IF(6&lt;=F7,C7,MIN(C7,Assumptions!$B$77)*INDEX(Assumptions!$B$71:$B$76,6)*Assumptions!$B$58))*Assumptions!$B$42+Assumptions!$B$38*IF(6&lt;=F7,1,Assumptions!$B$58)+(1-D7)*Assumptions!$B$39/Assumptions!$B$33)+IF(6=E7,D7*Assumptions!$B$10/Assumptions!$B$33*MAX(0,1-E7/Assumptions!$B$6),0)</f>
        <v/>
      </c>
      <c r="P7" s="11">
        <f>IFERROR(IRR(I7:O7),-1)</f>
        <v/>
      </c>
      <c r="Q7" s="12">
        <f>IFERROR(MATCH(TRUE,INDEX(AE7:AK7&gt;=0,0),0)-2+(-INDEX(AE7:AK7,MATCH(TRUE,INDEX(AE7:AK7&gt;=0,0),0)-1))/INDEX(I7:O7,MATCH(TRUE,INDEX(AE7:AK7&gt;=0,0),0)),"never")</f>
        <v/>
      </c>
      <c r="R7" s="6">
        <f>NPV(Assumptions!$B$149,J7:O7)+I7</f>
        <v/>
      </c>
      <c r="S7" s="11">
        <f>(G7-D7*Assumptions!$B$10/Assumptions!$B$33*MAX(0,1-E7/Assumptions!$B$6)/(1+Assumptions!$B$149)^E7)/(IF(1&gt;E7,0,IF(1&lt;=F7,C7,MIN(C7,Assumptions!$B$77)*INDEX(Assumptions!$B$71:$B$76,1)*Assumptions!$B$58))/(1+Assumptions!$B$149)^1+IF(2&gt;E7,0,IF(2&lt;=F7,C7,MIN(C7,Assumptions!$B$77)*INDEX(Assumptions!$B$71:$B$76,2)*Assumptions!$B$58))/(1+Assumptions!$B$149)^2+IF(3&gt;E7,0,IF(3&lt;=F7,C7,MIN(C7,Assumptions!$B$77)*INDEX(Assumptions!$B$71:$B$76,3)*Assumptions!$B$58))/(1+Assumptions!$B$149)^3+IF(4&gt;E7,0,IF(4&lt;=F7,C7,MIN(C7,Assumptions!$B$77)*INDEX(Assumptions!$B$71:$B$76,4)*Assumptions!$B$58))/(1+Assumptions!$B$149)^4+IF(5&gt;E7,0,IF(5&lt;=F7,C7,MIN(C7,Assumptions!$B$77)*INDEX(Assumptions!$B$71:$B$76,5)*Assumptions!$B$58))/(1+Assumptions!$B$149)^5+IF(6&gt;E7,0,IF(6&lt;=F7,C7,MIN(C7,Assumptions!$B$77)*INDEX(Assumptions!$B$71:$B$76,6)*Assumptions!$B$58))/(1+Assumptions!$B$149)^6)</f>
        <v/>
      </c>
      <c r="T7" s="11">
        <f>(IF(D7=1,Assumptions!$B$9/E7+Assumptions!$B$10/Assumptions!$B$6,Assumptions!$B$9/E7+(Assumptions!$B$11-Assumptions!$B$9)/Assumptions!$B$6)/Assumptions!$B$33)/C7</f>
        <v/>
      </c>
      <c r="U7" s="6">
        <f>Assumptions!$B$54*G7</f>
        <v/>
      </c>
      <c r="V7" s="6">
        <f>I7+U7</f>
        <v/>
      </c>
      <c r="W7" s="6">
        <f>J7-IF(1&lt;=F7,$U7/F7,0)</f>
        <v/>
      </c>
      <c r="X7" s="6">
        <f>K7-IF(2&lt;=F7,$U7/F7,0)</f>
        <v/>
      </c>
      <c r="Y7" s="6">
        <f>L7-IF(3&lt;=F7,$U7/F7,0)</f>
        <v/>
      </c>
      <c r="Z7" s="6">
        <f>M7-IF(4&lt;=F7,$U7/F7,0)</f>
        <v/>
      </c>
      <c r="AA7" s="6">
        <f>N7-IF(5&lt;=F7,$U7/F7,0)</f>
        <v/>
      </c>
      <c r="AB7" s="6">
        <f>O7-IF(6&lt;=F7,$U7/F7,0)</f>
        <v/>
      </c>
      <c r="AC7" s="11">
        <f>IFERROR(IRR(V7:AB7),IF(V7&gt;=0,"no equity at risk",-1))</f>
        <v/>
      </c>
      <c r="AD7" s="12">
        <f>IFERROR(MATCH(TRUE,INDEX(AL7:AR7&gt;=0,0),0)-2+(-INDEX(AL7:AR7,MATCH(TRUE,INDEX(AL7:AR7&gt;=0,0),0)-1))/INDEX(V7:AB7,MATCH(TRUE,INDEX(AL7:AR7&gt;=0,0),0)),"never")</f>
        <v/>
      </c>
      <c r="AE7">
        <f>SUM($I7:I7)</f>
        <v/>
      </c>
      <c r="AF7">
        <f>SUM($I7:J7)</f>
        <v/>
      </c>
      <c r="AG7">
        <f>SUM($I7:K7)</f>
        <v/>
      </c>
      <c r="AH7">
        <f>SUM($I7:L7)</f>
        <v/>
      </c>
      <c r="AI7">
        <f>SUM($I7:M7)</f>
        <v/>
      </c>
      <c r="AJ7">
        <f>SUM($I7:N7)</f>
        <v/>
      </c>
      <c r="AK7">
        <f>SUM($I7:O7)</f>
        <v/>
      </c>
      <c r="AL7">
        <f>SUM($V7:V7)</f>
        <v/>
      </c>
      <c r="AM7">
        <f>SUM($V7:W7)</f>
        <v/>
      </c>
      <c r="AN7">
        <f>SUM($V7:X7)</f>
        <v/>
      </c>
      <c r="AO7">
        <f>SUM($V7:Y7)</f>
        <v/>
      </c>
      <c r="AP7">
        <f>SUM($V7:Z7)</f>
        <v/>
      </c>
      <c r="AQ7">
        <f>SUM($V7:AA7)</f>
        <v/>
      </c>
      <c r="AR7">
        <f>SUM($V7:AB7)</f>
        <v/>
      </c>
    </row>
    <row r="8">
      <c r="A8" t="n">
        <v>7</v>
      </c>
      <c r="B8" t="inlineStr">
        <is>
          <t>Q2 deals low ($20M)</t>
        </is>
      </c>
      <c r="C8">
        <f>Assumptions!$B$45*(1-0)</f>
        <v/>
      </c>
      <c r="D8" t="n">
        <v>1</v>
      </c>
      <c r="E8">
        <f>Assumptions!$B$3</f>
        <v/>
      </c>
      <c r="F8">
        <f>Assumptions!$B$50</f>
        <v/>
      </c>
      <c r="G8" s="6">
        <f>IF(D8=1,Assumptions!$B$25+Assumptions!$B$26,Assumptions!$B$27)/Assumptions!$B$33</f>
        <v/>
      </c>
      <c r="H8" s="11">
        <f>1-Assumptions!$B$42-(Assumptions!$B$38+(1-D8)*Assumptions!$B$39/Assumptions!$B$33)/C8</f>
        <v/>
      </c>
      <c r="I8" s="6">
        <f>-G8</f>
        <v/>
      </c>
      <c r="J8" s="6">
        <f>IF(1&gt;E8,0,IF(1&lt;=F8,C8,MIN(C8,Assumptions!$B$77)*INDEX(Assumptions!$B$71:$B$76,1)*Assumptions!$B$58))-IF(1&gt;E8,0,IF(1&gt;E8,0,IF(1&lt;=F8,C8,MIN(C8,Assumptions!$B$77)*INDEX(Assumptions!$B$71:$B$76,1)*Assumptions!$B$58))*Assumptions!$B$42+Assumptions!$B$38*IF(1&lt;=F8,1,Assumptions!$B$58)+(1-D8)*Assumptions!$B$39/Assumptions!$B$33)+IF(1=E8,D8*Assumptions!$B$26/Assumptions!$B$33*MAX(0,1-E8/Assumptions!$B$6),0)</f>
        <v/>
      </c>
      <c r="K8" s="6">
        <f>IF(2&gt;E8,0,IF(2&lt;=F8,C8,MIN(C8,Assumptions!$B$77)*INDEX(Assumptions!$B$71:$B$76,2)*Assumptions!$B$58))-IF(2&gt;E8,0,IF(2&gt;E8,0,IF(2&lt;=F8,C8,MIN(C8,Assumptions!$B$77)*INDEX(Assumptions!$B$71:$B$76,2)*Assumptions!$B$58))*Assumptions!$B$42+Assumptions!$B$38*IF(2&lt;=F8,1,Assumptions!$B$58)+(1-D8)*Assumptions!$B$39/Assumptions!$B$33)+IF(2=E8,D8*Assumptions!$B$26/Assumptions!$B$33*MAX(0,1-E8/Assumptions!$B$6),0)</f>
        <v/>
      </c>
      <c r="L8" s="6">
        <f>IF(3&gt;E8,0,IF(3&lt;=F8,C8,MIN(C8,Assumptions!$B$77)*INDEX(Assumptions!$B$71:$B$76,3)*Assumptions!$B$58))-IF(3&gt;E8,0,IF(3&gt;E8,0,IF(3&lt;=F8,C8,MIN(C8,Assumptions!$B$77)*INDEX(Assumptions!$B$71:$B$76,3)*Assumptions!$B$58))*Assumptions!$B$42+Assumptions!$B$38*IF(3&lt;=F8,1,Assumptions!$B$58)+(1-D8)*Assumptions!$B$39/Assumptions!$B$33)+IF(3=E8,D8*Assumptions!$B$26/Assumptions!$B$33*MAX(0,1-E8/Assumptions!$B$6),0)</f>
        <v/>
      </c>
      <c r="M8" s="6">
        <f>IF(4&gt;E8,0,IF(4&lt;=F8,C8,MIN(C8,Assumptions!$B$77)*INDEX(Assumptions!$B$71:$B$76,4)*Assumptions!$B$58))-IF(4&gt;E8,0,IF(4&gt;E8,0,IF(4&lt;=F8,C8,MIN(C8,Assumptions!$B$77)*INDEX(Assumptions!$B$71:$B$76,4)*Assumptions!$B$58))*Assumptions!$B$42+Assumptions!$B$38*IF(4&lt;=F8,1,Assumptions!$B$58)+(1-D8)*Assumptions!$B$39/Assumptions!$B$33)+IF(4=E8,D8*Assumptions!$B$26/Assumptions!$B$33*MAX(0,1-E8/Assumptions!$B$6),0)</f>
        <v/>
      </c>
      <c r="N8" s="6">
        <f>IF(5&gt;E8,0,IF(5&lt;=F8,C8,MIN(C8,Assumptions!$B$77)*INDEX(Assumptions!$B$71:$B$76,5)*Assumptions!$B$58))-IF(5&gt;E8,0,IF(5&gt;E8,0,IF(5&lt;=F8,C8,MIN(C8,Assumptions!$B$77)*INDEX(Assumptions!$B$71:$B$76,5)*Assumptions!$B$58))*Assumptions!$B$42+Assumptions!$B$38*IF(5&lt;=F8,1,Assumptions!$B$58)+(1-D8)*Assumptions!$B$39/Assumptions!$B$33)+IF(5=E8,D8*Assumptions!$B$26/Assumptions!$B$33*MAX(0,1-E8/Assumptions!$B$6),0)</f>
        <v/>
      </c>
      <c r="O8" s="6">
        <f>IF(6&gt;E8,0,IF(6&lt;=F8,C8,MIN(C8,Assumptions!$B$77)*INDEX(Assumptions!$B$71:$B$76,6)*Assumptions!$B$58))-IF(6&gt;E8,0,IF(6&gt;E8,0,IF(6&lt;=F8,C8,MIN(C8,Assumptions!$B$77)*INDEX(Assumptions!$B$71:$B$76,6)*Assumptions!$B$58))*Assumptions!$B$42+Assumptions!$B$38*IF(6&lt;=F8,1,Assumptions!$B$58)+(1-D8)*Assumptions!$B$39/Assumptions!$B$33)+IF(6=E8,D8*Assumptions!$B$26/Assumptions!$B$33*MAX(0,1-E8/Assumptions!$B$6),0)</f>
        <v/>
      </c>
      <c r="P8" s="11">
        <f>IFERROR(IRR(I8:O8),-1)</f>
        <v/>
      </c>
      <c r="Q8" s="12">
        <f>IFERROR(MATCH(TRUE,INDEX(AE8:AK8&gt;=0,0),0)-2+(-INDEX(AE8:AK8,MATCH(TRUE,INDEX(AE8:AK8&gt;=0,0),0)-1))/INDEX(I8:O8,MATCH(TRUE,INDEX(AE8:AK8&gt;=0,0),0)),"never")</f>
        <v/>
      </c>
      <c r="R8" s="6">
        <f>NPV(Assumptions!$B$149,J8:O8)+I8</f>
        <v/>
      </c>
      <c r="S8" s="11">
        <f>(G8-D8*Assumptions!$B$26/Assumptions!$B$33*MAX(0,1-E8/Assumptions!$B$6)/(1+Assumptions!$B$149)^E8)/(IF(1&gt;E8,0,IF(1&lt;=F8,C8,MIN(C8,Assumptions!$B$77)*INDEX(Assumptions!$B$71:$B$76,1)*Assumptions!$B$58))/(1+Assumptions!$B$149)^1+IF(2&gt;E8,0,IF(2&lt;=F8,C8,MIN(C8,Assumptions!$B$77)*INDEX(Assumptions!$B$71:$B$76,2)*Assumptions!$B$58))/(1+Assumptions!$B$149)^2+IF(3&gt;E8,0,IF(3&lt;=F8,C8,MIN(C8,Assumptions!$B$77)*INDEX(Assumptions!$B$71:$B$76,3)*Assumptions!$B$58))/(1+Assumptions!$B$149)^3+IF(4&gt;E8,0,IF(4&lt;=F8,C8,MIN(C8,Assumptions!$B$77)*INDEX(Assumptions!$B$71:$B$76,4)*Assumptions!$B$58))/(1+Assumptions!$B$149)^4+IF(5&gt;E8,0,IF(5&lt;=F8,C8,MIN(C8,Assumptions!$B$77)*INDEX(Assumptions!$B$71:$B$76,5)*Assumptions!$B$58))/(1+Assumptions!$B$149)^5+IF(6&gt;E8,0,IF(6&lt;=F8,C8,MIN(C8,Assumptions!$B$77)*INDEX(Assumptions!$B$71:$B$76,6)*Assumptions!$B$58))/(1+Assumptions!$B$149)^6)</f>
        <v/>
      </c>
      <c r="T8" s="11">
        <f>(IF(D8=1,Assumptions!$B$25/E8+Assumptions!$B$26/Assumptions!$B$6,Assumptions!$B$25/E8+(Assumptions!$B$27-Assumptions!$B$25)/Assumptions!$B$6)/Assumptions!$B$33)/C8</f>
        <v/>
      </c>
      <c r="U8" s="6">
        <f>Assumptions!$B$54*G8</f>
        <v/>
      </c>
      <c r="V8" s="6">
        <f>I8+U8</f>
        <v/>
      </c>
      <c r="W8" s="6">
        <f>J8-IF(1&lt;=F8,$U8/F8,0)</f>
        <v/>
      </c>
      <c r="X8" s="6">
        <f>K8-IF(2&lt;=F8,$U8/F8,0)</f>
        <v/>
      </c>
      <c r="Y8" s="6">
        <f>L8-IF(3&lt;=F8,$U8/F8,0)</f>
        <v/>
      </c>
      <c r="Z8" s="6">
        <f>M8-IF(4&lt;=F8,$U8/F8,0)</f>
        <v/>
      </c>
      <c r="AA8" s="6">
        <f>N8-IF(5&lt;=F8,$U8/F8,0)</f>
        <v/>
      </c>
      <c r="AB8" s="6">
        <f>O8-IF(6&lt;=F8,$U8/F8,0)</f>
        <v/>
      </c>
      <c r="AC8" s="11">
        <f>IFERROR(IRR(V8:AB8),IF(V8&gt;=0,"no equity at risk",-1))</f>
        <v/>
      </c>
      <c r="AD8" s="12">
        <f>IFERROR(MATCH(TRUE,INDEX(AL8:AR8&gt;=0,0),0)-2+(-INDEX(AL8:AR8,MATCH(TRUE,INDEX(AL8:AR8&gt;=0,0),0)-1))/INDEX(V8:AB8,MATCH(TRUE,INDEX(AL8:AR8&gt;=0,0),0)),"never")</f>
        <v/>
      </c>
      <c r="AE8">
        <f>SUM($I8:I8)</f>
        <v/>
      </c>
      <c r="AF8">
        <f>SUM($I8:J8)</f>
        <v/>
      </c>
      <c r="AG8">
        <f>SUM($I8:K8)</f>
        <v/>
      </c>
      <c r="AH8">
        <f>SUM($I8:L8)</f>
        <v/>
      </c>
      <c r="AI8">
        <f>SUM($I8:M8)</f>
        <v/>
      </c>
      <c r="AJ8">
        <f>SUM($I8:N8)</f>
        <v/>
      </c>
      <c r="AK8">
        <f>SUM($I8:O8)</f>
        <v/>
      </c>
      <c r="AL8">
        <f>SUM($V8:V8)</f>
        <v/>
      </c>
      <c r="AM8">
        <f>SUM($V8:W8)</f>
        <v/>
      </c>
      <c r="AN8">
        <f>SUM($V8:X8)</f>
        <v/>
      </c>
      <c r="AO8">
        <f>SUM($V8:Y8)</f>
        <v/>
      </c>
      <c r="AP8">
        <f>SUM($V8:Z8)</f>
        <v/>
      </c>
      <c r="AQ8">
        <f>SUM($V8:AA8)</f>
        <v/>
      </c>
      <c r="AR8">
        <f>SUM($V8:AB8)</f>
        <v/>
      </c>
    </row>
    <row r="9">
      <c r="A9" t="n">
        <v>8</v>
      </c>
      <c r="B9" t="inlineStr">
        <is>
          <t>Q2 deals low ($20M)</t>
        </is>
      </c>
      <c r="C9">
        <f>Assumptions!$B$45*(1-0)</f>
        <v/>
      </c>
      <c r="D9" t="n">
        <v>1</v>
      </c>
      <c r="E9">
        <f>Assumptions!$B$4</f>
        <v/>
      </c>
      <c r="F9">
        <f>Assumptions!$B$50</f>
        <v/>
      </c>
      <c r="G9" s="6">
        <f>IF(D9=1,Assumptions!$B$25+Assumptions!$B$26,Assumptions!$B$27)/Assumptions!$B$33</f>
        <v/>
      </c>
      <c r="H9" s="11">
        <f>1-Assumptions!$B$42-(Assumptions!$B$38+(1-D9)*Assumptions!$B$39/Assumptions!$B$33)/C9</f>
        <v/>
      </c>
      <c r="I9" s="6">
        <f>-G9</f>
        <v/>
      </c>
      <c r="J9" s="6">
        <f>IF(1&gt;E9,0,IF(1&lt;=F9,C9,MIN(C9,Assumptions!$B$77)*INDEX(Assumptions!$B$71:$B$76,1)*Assumptions!$B$58))-IF(1&gt;E9,0,IF(1&gt;E9,0,IF(1&lt;=F9,C9,MIN(C9,Assumptions!$B$77)*INDEX(Assumptions!$B$71:$B$76,1)*Assumptions!$B$58))*Assumptions!$B$42+Assumptions!$B$38*IF(1&lt;=F9,1,Assumptions!$B$58)+(1-D9)*Assumptions!$B$39/Assumptions!$B$33)+IF(1=E9,D9*Assumptions!$B$26/Assumptions!$B$33*MAX(0,1-E9/Assumptions!$B$6),0)</f>
        <v/>
      </c>
      <c r="K9" s="6">
        <f>IF(2&gt;E9,0,IF(2&lt;=F9,C9,MIN(C9,Assumptions!$B$77)*INDEX(Assumptions!$B$71:$B$76,2)*Assumptions!$B$58))-IF(2&gt;E9,0,IF(2&gt;E9,0,IF(2&lt;=F9,C9,MIN(C9,Assumptions!$B$77)*INDEX(Assumptions!$B$71:$B$76,2)*Assumptions!$B$58))*Assumptions!$B$42+Assumptions!$B$38*IF(2&lt;=F9,1,Assumptions!$B$58)+(1-D9)*Assumptions!$B$39/Assumptions!$B$33)+IF(2=E9,D9*Assumptions!$B$26/Assumptions!$B$33*MAX(0,1-E9/Assumptions!$B$6),0)</f>
        <v/>
      </c>
      <c r="L9" s="6">
        <f>IF(3&gt;E9,0,IF(3&lt;=F9,C9,MIN(C9,Assumptions!$B$77)*INDEX(Assumptions!$B$71:$B$76,3)*Assumptions!$B$58))-IF(3&gt;E9,0,IF(3&gt;E9,0,IF(3&lt;=F9,C9,MIN(C9,Assumptions!$B$77)*INDEX(Assumptions!$B$71:$B$76,3)*Assumptions!$B$58))*Assumptions!$B$42+Assumptions!$B$38*IF(3&lt;=F9,1,Assumptions!$B$58)+(1-D9)*Assumptions!$B$39/Assumptions!$B$33)+IF(3=E9,D9*Assumptions!$B$26/Assumptions!$B$33*MAX(0,1-E9/Assumptions!$B$6),0)</f>
        <v/>
      </c>
      <c r="M9" s="6">
        <f>IF(4&gt;E9,0,IF(4&lt;=F9,C9,MIN(C9,Assumptions!$B$77)*INDEX(Assumptions!$B$71:$B$76,4)*Assumptions!$B$58))-IF(4&gt;E9,0,IF(4&gt;E9,0,IF(4&lt;=F9,C9,MIN(C9,Assumptions!$B$77)*INDEX(Assumptions!$B$71:$B$76,4)*Assumptions!$B$58))*Assumptions!$B$42+Assumptions!$B$38*IF(4&lt;=F9,1,Assumptions!$B$58)+(1-D9)*Assumptions!$B$39/Assumptions!$B$33)+IF(4=E9,D9*Assumptions!$B$26/Assumptions!$B$33*MAX(0,1-E9/Assumptions!$B$6),0)</f>
        <v/>
      </c>
      <c r="N9" s="6">
        <f>IF(5&gt;E9,0,IF(5&lt;=F9,C9,MIN(C9,Assumptions!$B$77)*INDEX(Assumptions!$B$71:$B$76,5)*Assumptions!$B$58))-IF(5&gt;E9,0,IF(5&gt;E9,0,IF(5&lt;=F9,C9,MIN(C9,Assumptions!$B$77)*INDEX(Assumptions!$B$71:$B$76,5)*Assumptions!$B$58))*Assumptions!$B$42+Assumptions!$B$38*IF(5&lt;=F9,1,Assumptions!$B$58)+(1-D9)*Assumptions!$B$39/Assumptions!$B$33)+IF(5=E9,D9*Assumptions!$B$26/Assumptions!$B$33*MAX(0,1-E9/Assumptions!$B$6),0)</f>
        <v/>
      </c>
      <c r="O9" s="6">
        <f>IF(6&gt;E9,0,IF(6&lt;=F9,C9,MIN(C9,Assumptions!$B$77)*INDEX(Assumptions!$B$71:$B$76,6)*Assumptions!$B$58))-IF(6&gt;E9,0,IF(6&gt;E9,0,IF(6&lt;=F9,C9,MIN(C9,Assumptions!$B$77)*INDEX(Assumptions!$B$71:$B$76,6)*Assumptions!$B$58))*Assumptions!$B$42+Assumptions!$B$38*IF(6&lt;=F9,1,Assumptions!$B$58)+(1-D9)*Assumptions!$B$39/Assumptions!$B$33)+IF(6=E9,D9*Assumptions!$B$26/Assumptions!$B$33*MAX(0,1-E9/Assumptions!$B$6),0)</f>
        <v/>
      </c>
      <c r="P9" s="11">
        <f>IFERROR(IRR(I9:O9),-1)</f>
        <v/>
      </c>
      <c r="Q9" s="12">
        <f>IFERROR(MATCH(TRUE,INDEX(AE9:AK9&gt;=0,0),0)-2+(-INDEX(AE9:AK9,MATCH(TRUE,INDEX(AE9:AK9&gt;=0,0),0)-1))/INDEX(I9:O9,MATCH(TRUE,INDEX(AE9:AK9&gt;=0,0),0)),"never")</f>
        <v/>
      </c>
      <c r="R9" s="6">
        <f>NPV(Assumptions!$B$149,J9:O9)+I9</f>
        <v/>
      </c>
      <c r="S9" s="11">
        <f>(G9-D9*Assumptions!$B$26/Assumptions!$B$33*MAX(0,1-E9/Assumptions!$B$6)/(1+Assumptions!$B$149)^E9)/(IF(1&gt;E9,0,IF(1&lt;=F9,C9,MIN(C9,Assumptions!$B$77)*INDEX(Assumptions!$B$71:$B$76,1)*Assumptions!$B$58))/(1+Assumptions!$B$149)^1+IF(2&gt;E9,0,IF(2&lt;=F9,C9,MIN(C9,Assumptions!$B$77)*INDEX(Assumptions!$B$71:$B$76,2)*Assumptions!$B$58))/(1+Assumptions!$B$149)^2+IF(3&gt;E9,0,IF(3&lt;=F9,C9,MIN(C9,Assumptions!$B$77)*INDEX(Assumptions!$B$71:$B$76,3)*Assumptions!$B$58))/(1+Assumptions!$B$149)^3+IF(4&gt;E9,0,IF(4&lt;=F9,C9,MIN(C9,Assumptions!$B$77)*INDEX(Assumptions!$B$71:$B$76,4)*Assumptions!$B$58))/(1+Assumptions!$B$149)^4+IF(5&gt;E9,0,IF(5&lt;=F9,C9,MIN(C9,Assumptions!$B$77)*INDEX(Assumptions!$B$71:$B$76,5)*Assumptions!$B$58))/(1+Assumptions!$B$149)^5+IF(6&gt;E9,0,IF(6&lt;=F9,C9,MIN(C9,Assumptions!$B$77)*INDEX(Assumptions!$B$71:$B$76,6)*Assumptions!$B$58))/(1+Assumptions!$B$149)^6)</f>
        <v/>
      </c>
      <c r="T9" s="11">
        <f>(IF(D9=1,Assumptions!$B$25/E9+Assumptions!$B$26/Assumptions!$B$6,Assumptions!$B$25/E9+(Assumptions!$B$27-Assumptions!$B$25)/Assumptions!$B$6)/Assumptions!$B$33)/C9</f>
        <v/>
      </c>
      <c r="U9" s="6">
        <f>Assumptions!$B$54*G9</f>
        <v/>
      </c>
      <c r="V9" s="6">
        <f>I9+U9</f>
        <v/>
      </c>
      <c r="W9" s="6">
        <f>J9-IF(1&lt;=F9,$U9/F9,0)</f>
        <v/>
      </c>
      <c r="X9" s="6">
        <f>K9-IF(2&lt;=F9,$U9/F9,0)</f>
        <v/>
      </c>
      <c r="Y9" s="6">
        <f>L9-IF(3&lt;=F9,$U9/F9,0)</f>
        <v/>
      </c>
      <c r="Z9" s="6">
        <f>M9-IF(4&lt;=F9,$U9/F9,0)</f>
        <v/>
      </c>
      <c r="AA9" s="6">
        <f>N9-IF(5&lt;=F9,$U9/F9,0)</f>
        <v/>
      </c>
      <c r="AB9" s="6">
        <f>O9-IF(6&lt;=F9,$U9/F9,0)</f>
        <v/>
      </c>
      <c r="AC9" s="11">
        <f>IFERROR(IRR(V9:AB9),IF(V9&gt;=0,"no equity at risk",-1))</f>
        <v/>
      </c>
      <c r="AD9" s="12">
        <f>IFERROR(MATCH(TRUE,INDEX(AL9:AR9&gt;=0,0),0)-2+(-INDEX(AL9:AR9,MATCH(TRUE,INDEX(AL9:AR9&gt;=0,0),0)-1))/INDEX(V9:AB9,MATCH(TRUE,INDEX(AL9:AR9&gt;=0,0),0)),"never")</f>
        <v/>
      </c>
      <c r="AE9">
        <f>SUM($I9:I9)</f>
        <v/>
      </c>
      <c r="AF9">
        <f>SUM($I9:J9)</f>
        <v/>
      </c>
      <c r="AG9">
        <f>SUM($I9:K9)</f>
        <v/>
      </c>
      <c r="AH9">
        <f>SUM($I9:L9)</f>
        <v/>
      </c>
      <c r="AI9">
        <f>SUM($I9:M9)</f>
        <v/>
      </c>
      <c r="AJ9">
        <f>SUM($I9:N9)</f>
        <v/>
      </c>
      <c r="AK9">
        <f>SUM($I9:O9)</f>
        <v/>
      </c>
      <c r="AL9">
        <f>SUM($V9:V9)</f>
        <v/>
      </c>
      <c r="AM9">
        <f>SUM($V9:W9)</f>
        <v/>
      </c>
      <c r="AN9">
        <f>SUM($V9:X9)</f>
        <v/>
      </c>
      <c r="AO9">
        <f>SUM($V9:Y9)</f>
        <v/>
      </c>
      <c r="AP9">
        <f>SUM($V9:Z9)</f>
        <v/>
      </c>
      <c r="AQ9">
        <f>SUM($V9:AA9)</f>
        <v/>
      </c>
      <c r="AR9">
        <f>SUM($V9:AB9)</f>
        <v/>
      </c>
    </row>
    <row r="10">
      <c r="A10" t="n">
        <v>9</v>
      </c>
      <c r="B10" t="inlineStr">
        <is>
          <t>Q2 deals low ($20M)</t>
        </is>
      </c>
      <c r="C10">
        <f>Assumptions!$B$45*(1-0)</f>
        <v/>
      </c>
      <c r="D10" t="n">
        <v>1</v>
      </c>
      <c r="E10">
        <f>Assumptions!$B$5</f>
        <v/>
      </c>
      <c r="F10">
        <f>Assumptions!$B$50</f>
        <v/>
      </c>
      <c r="G10" s="6">
        <f>IF(D10=1,Assumptions!$B$25+Assumptions!$B$26,Assumptions!$B$27)/Assumptions!$B$33</f>
        <v/>
      </c>
      <c r="H10" s="11">
        <f>1-Assumptions!$B$42-(Assumptions!$B$38+(1-D10)*Assumptions!$B$39/Assumptions!$B$33)/C10</f>
        <v/>
      </c>
      <c r="I10" s="6">
        <f>-G10</f>
        <v/>
      </c>
      <c r="J10" s="6">
        <f>IF(1&gt;E10,0,IF(1&lt;=F10,C10,MIN(C10,Assumptions!$B$77)*INDEX(Assumptions!$B$71:$B$76,1)*Assumptions!$B$58))-IF(1&gt;E10,0,IF(1&gt;E10,0,IF(1&lt;=F10,C10,MIN(C10,Assumptions!$B$77)*INDEX(Assumptions!$B$71:$B$76,1)*Assumptions!$B$58))*Assumptions!$B$42+Assumptions!$B$38*IF(1&lt;=F10,1,Assumptions!$B$58)+(1-D10)*Assumptions!$B$39/Assumptions!$B$33)+IF(1=E10,D10*Assumptions!$B$26/Assumptions!$B$33*MAX(0,1-E10/Assumptions!$B$6),0)</f>
        <v/>
      </c>
      <c r="K10" s="6">
        <f>IF(2&gt;E10,0,IF(2&lt;=F10,C10,MIN(C10,Assumptions!$B$77)*INDEX(Assumptions!$B$71:$B$76,2)*Assumptions!$B$58))-IF(2&gt;E10,0,IF(2&gt;E10,0,IF(2&lt;=F10,C10,MIN(C10,Assumptions!$B$77)*INDEX(Assumptions!$B$71:$B$76,2)*Assumptions!$B$58))*Assumptions!$B$42+Assumptions!$B$38*IF(2&lt;=F10,1,Assumptions!$B$58)+(1-D10)*Assumptions!$B$39/Assumptions!$B$33)+IF(2=E10,D10*Assumptions!$B$26/Assumptions!$B$33*MAX(0,1-E10/Assumptions!$B$6),0)</f>
        <v/>
      </c>
      <c r="L10" s="6">
        <f>IF(3&gt;E10,0,IF(3&lt;=F10,C10,MIN(C10,Assumptions!$B$77)*INDEX(Assumptions!$B$71:$B$76,3)*Assumptions!$B$58))-IF(3&gt;E10,0,IF(3&gt;E10,0,IF(3&lt;=F10,C10,MIN(C10,Assumptions!$B$77)*INDEX(Assumptions!$B$71:$B$76,3)*Assumptions!$B$58))*Assumptions!$B$42+Assumptions!$B$38*IF(3&lt;=F10,1,Assumptions!$B$58)+(1-D10)*Assumptions!$B$39/Assumptions!$B$33)+IF(3=E10,D10*Assumptions!$B$26/Assumptions!$B$33*MAX(0,1-E10/Assumptions!$B$6),0)</f>
        <v/>
      </c>
      <c r="M10" s="6">
        <f>IF(4&gt;E10,0,IF(4&lt;=F10,C10,MIN(C10,Assumptions!$B$77)*INDEX(Assumptions!$B$71:$B$76,4)*Assumptions!$B$58))-IF(4&gt;E10,0,IF(4&gt;E10,0,IF(4&lt;=F10,C10,MIN(C10,Assumptions!$B$77)*INDEX(Assumptions!$B$71:$B$76,4)*Assumptions!$B$58))*Assumptions!$B$42+Assumptions!$B$38*IF(4&lt;=F10,1,Assumptions!$B$58)+(1-D10)*Assumptions!$B$39/Assumptions!$B$33)+IF(4=E10,D10*Assumptions!$B$26/Assumptions!$B$33*MAX(0,1-E10/Assumptions!$B$6),0)</f>
        <v/>
      </c>
      <c r="N10" s="6">
        <f>IF(5&gt;E10,0,IF(5&lt;=F10,C10,MIN(C10,Assumptions!$B$77)*INDEX(Assumptions!$B$71:$B$76,5)*Assumptions!$B$58))-IF(5&gt;E10,0,IF(5&gt;E10,0,IF(5&lt;=F10,C10,MIN(C10,Assumptions!$B$77)*INDEX(Assumptions!$B$71:$B$76,5)*Assumptions!$B$58))*Assumptions!$B$42+Assumptions!$B$38*IF(5&lt;=F10,1,Assumptions!$B$58)+(1-D10)*Assumptions!$B$39/Assumptions!$B$33)+IF(5=E10,D10*Assumptions!$B$26/Assumptions!$B$33*MAX(0,1-E10/Assumptions!$B$6),0)</f>
        <v/>
      </c>
      <c r="O10" s="6">
        <f>IF(6&gt;E10,0,IF(6&lt;=F10,C10,MIN(C10,Assumptions!$B$77)*INDEX(Assumptions!$B$71:$B$76,6)*Assumptions!$B$58))-IF(6&gt;E10,0,IF(6&gt;E10,0,IF(6&lt;=F10,C10,MIN(C10,Assumptions!$B$77)*INDEX(Assumptions!$B$71:$B$76,6)*Assumptions!$B$58))*Assumptions!$B$42+Assumptions!$B$38*IF(6&lt;=F10,1,Assumptions!$B$58)+(1-D10)*Assumptions!$B$39/Assumptions!$B$33)+IF(6=E10,D10*Assumptions!$B$26/Assumptions!$B$33*MAX(0,1-E10/Assumptions!$B$6),0)</f>
        <v/>
      </c>
      <c r="P10" s="11">
        <f>IFERROR(IRR(I10:O10),-1)</f>
        <v/>
      </c>
      <c r="Q10" s="12">
        <f>IFERROR(MATCH(TRUE,INDEX(AE10:AK10&gt;=0,0),0)-2+(-INDEX(AE10:AK10,MATCH(TRUE,INDEX(AE10:AK10&gt;=0,0),0)-1))/INDEX(I10:O10,MATCH(TRUE,INDEX(AE10:AK10&gt;=0,0),0)),"never")</f>
        <v/>
      </c>
      <c r="R10" s="6">
        <f>NPV(Assumptions!$B$149,J10:O10)+I10</f>
        <v/>
      </c>
      <c r="S10" s="11">
        <f>(G10-D10*Assumptions!$B$26/Assumptions!$B$33*MAX(0,1-E10/Assumptions!$B$6)/(1+Assumptions!$B$149)^E10)/(IF(1&gt;E10,0,IF(1&lt;=F10,C10,MIN(C10,Assumptions!$B$77)*INDEX(Assumptions!$B$71:$B$76,1)*Assumptions!$B$58))/(1+Assumptions!$B$149)^1+IF(2&gt;E10,0,IF(2&lt;=F10,C10,MIN(C10,Assumptions!$B$77)*INDEX(Assumptions!$B$71:$B$76,2)*Assumptions!$B$58))/(1+Assumptions!$B$149)^2+IF(3&gt;E10,0,IF(3&lt;=F10,C10,MIN(C10,Assumptions!$B$77)*INDEX(Assumptions!$B$71:$B$76,3)*Assumptions!$B$58))/(1+Assumptions!$B$149)^3+IF(4&gt;E10,0,IF(4&lt;=F10,C10,MIN(C10,Assumptions!$B$77)*INDEX(Assumptions!$B$71:$B$76,4)*Assumptions!$B$58))/(1+Assumptions!$B$149)^4+IF(5&gt;E10,0,IF(5&lt;=F10,C10,MIN(C10,Assumptions!$B$77)*INDEX(Assumptions!$B$71:$B$76,5)*Assumptions!$B$58))/(1+Assumptions!$B$149)^5+IF(6&gt;E10,0,IF(6&lt;=F10,C10,MIN(C10,Assumptions!$B$77)*INDEX(Assumptions!$B$71:$B$76,6)*Assumptions!$B$58))/(1+Assumptions!$B$149)^6)</f>
        <v/>
      </c>
      <c r="T10" s="11">
        <f>(IF(D10=1,Assumptions!$B$25/E10+Assumptions!$B$26/Assumptions!$B$6,Assumptions!$B$25/E10+(Assumptions!$B$27-Assumptions!$B$25)/Assumptions!$B$6)/Assumptions!$B$33)/C10</f>
        <v/>
      </c>
      <c r="U10" s="6">
        <f>Assumptions!$B$54*G10</f>
        <v/>
      </c>
      <c r="V10" s="6">
        <f>I10+U10</f>
        <v/>
      </c>
      <c r="W10" s="6">
        <f>J10-IF(1&lt;=F10,$U10/F10,0)</f>
        <v/>
      </c>
      <c r="X10" s="6">
        <f>K10-IF(2&lt;=F10,$U10/F10,0)</f>
        <v/>
      </c>
      <c r="Y10" s="6">
        <f>L10-IF(3&lt;=F10,$U10/F10,0)</f>
        <v/>
      </c>
      <c r="Z10" s="6">
        <f>M10-IF(4&lt;=F10,$U10/F10,0)</f>
        <v/>
      </c>
      <c r="AA10" s="6">
        <f>N10-IF(5&lt;=F10,$U10/F10,0)</f>
        <v/>
      </c>
      <c r="AB10" s="6">
        <f>O10-IF(6&lt;=F10,$U10/F10,0)</f>
        <v/>
      </c>
      <c r="AC10" s="11">
        <f>IFERROR(IRR(V10:AB10),IF(V10&gt;=0,"no equity at risk",-1))</f>
        <v/>
      </c>
      <c r="AD10" s="12">
        <f>IFERROR(MATCH(TRUE,INDEX(AL10:AR10&gt;=0,0),0)-2+(-INDEX(AL10:AR10,MATCH(TRUE,INDEX(AL10:AR10&gt;=0,0),0)-1))/INDEX(V10:AB10,MATCH(TRUE,INDEX(AL10:AR10&gt;=0,0),0)),"never")</f>
        <v/>
      </c>
      <c r="AE10">
        <f>SUM($I10:I10)</f>
        <v/>
      </c>
      <c r="AF10">
        <f>SUM($I10:J10)</f>
        <v/>
      </c>
      <c r="AG10">
        <f>SUM($I10:K10)</f>
        <v/>
      </c>
      <c r="AH10">
        <f>SUM($I10:L10)</f>
        <v/>
      </c>
      <c r="AI10">
        <f>SUM($I10:M10)</f>
        <v/>
      </c>
      <c r="AJ10">
        <f>SUM($I10:N10)</f>
        <v/>
      </c>
      <c r="AK10">
        <f>SUM($I10:O10)</f>
        <v/>
      </c>
      <c r="AL10">
        <f>SUM($V10:V10)</f>
        <v/>
      </c>
      <c r="AM10">
        <f>SUM($V10:W10)</f>
        <v/>
      </c>
      <c r="AN10">
        <f>SUM($V10:X10)</f>
        <v/>
      </c>
      <c r="AO10">
        <f>SUM($V10:Y10)</f>
        <v/>
      </c>
      <c r="AP10">
        <f>SUM($V10:Z10)</f>
        <v/>
      </c>
      <c r="AQ10">
        <f>SUM($V10:AA10)</f>
        <v/>
      </c>
      <c r="AR10">
        <f>SUM($V10:AB10)</f>
        <v/>
      </c>
    </row>
    <row r="11">
      <c r="A11" t="n">
        <v>10</v>
      </c>
      <c r="B11" t="inlineStr">
        <is>
          <t>Q2 deals low ($20M)</t>
        </is>
      </c>
      <c r="C11">
        <f>Assumptions!$B$45*(1-0)</f>
        <v/>
      </c>
      <c r="D11" t="n">
        <v>0</v>
      </c>
      <c r="E11">
        <f>Assumptions!$B$3</f>
        <v/>
      </c>
      <c r="F11">
        <f>Assumptions!$B$50</f>
        <v/>
      </c>
      <c r="G11" s="6">
        <f>IF(D11=1,Assumptions!$B$25+Assumptions!$B$26,Assumptions!$B$27)/Assumptions!$B$33</f>
        <v/>
      </c>
      <c r="H11" s="11">
        <f>1-Assumptions!$B$42-(Assumptions!$B$38+(1-D11)*Assumptions!$B$39/Assumptions!$B$33)/C11</f>
        <v/>
      </c>
      <c r="I11" s="6">
        <f>-G11</f>
        <v/>
      </c>
      <c r="J11" s="6">
        <f>IF(1&gt;E11,0,IF(1&lt;=F11,C11,MIN(C11,Assumptions!$B$77)*INDEX(Assumptions!$B$71:$B$76,1)*Assumptions!$B$58))-IF(1&gt;E11,0,IF(1&gt;E11,0,IF(1&lt;=F11,C11,MIN(C11,Assumptions!$B$77)*INDEX(Assumptions!$B$71:$B$76,1)*Assumptions!$B$58))*Assumptions!$B$42+Assumptions!$B$38*IF(1&lt;=F11,1,Assumptions!$B$58)+(1-D11)*Assumptions!$B$39/Assumptions!$B$33)+IF(1=E11,D11*Assumptions!$B$26/Assumptions!$B$33*MAX(0,1-E11/Assumptions!$B$6),0)</f>
        <v/>
      </c>
      <c r="K11" s="6">
        <f>IF(2&gt;E11,0,IF(2&lt;=F11,C11,MIN(C11,Assumptions!$B$77)*INDEX(Assumptions!$B$71:$B$76,2)*Assumptions!$B$58))-IF(2&gt;E11,0,IF(2&gt;E11,0,IF(2&lt;=F11,C11,MIN(C11,Assumptions!$B$77)*INDEX(Assumptions!$B$71:$B$76,2)*Assumptions!$B$58))*Assumptions!$B$42+Assumptions!$B$38*IF(2&lt;=F11,1,Assumptions!$B$58)+(1-D11)*Assumptions!$B$39/Assumptions!$B$33)+IF(2=E11,D11*Assumptions!$B$26/Assumptions!$B$33*MAX(0,1-E11/Assumptions!$B$6),0)</f>
        <v/>
      </c>
      <c r="L11" s="6">
        <f>IF(3&gt;E11,0,IF(3&lt;=F11,C11,MIN(C11,Assumptions!$B$77)*INDEX(Assumptions!$B$71:$B$76,3)*Assumptions!$B$58))-IF(3&gt;E11,0,IF(3&gt;E11,0,IF(3&lt;=F11,C11,MIN(C11,Assumptions!$B$77)*INDEX(Assumptions!$B$71:$B$76,3)*Assumptions!$B$58))*Assumptions!$B$42+Assumptions!$B$38*IF(3&lt;=F11,1,Assumptions!$B$58)+(1-D11)*Assumptions!$B$39/Assumptions!$B$33)+IF(3=E11,D11*Assumptions!$B$26/Assumptions!$B$33*MAX(0,1-E11/Assumptions!$B$6),0)</f>
        <v/>
      </c>
      <c r="M11" s="6">
        <f>IF(4&gt;E11,0,IF(4&lt;=F11,C11,MIN(C11,Assumptions!$B$77)*INDEX(Assumptions!$B$71:$B$76,4)*Assumptions!$B$58))-IF(4&gt;E11,0,IF(4&gt;E11,0,IF(4&lt;=F11,C11,MIN(C11,Assumptions!$B$77)*INDEX(Assumptions!$B$71:$B$76,4)*Assumptions!$B$58))*Assumptions!$B$42+Assumptions!$B$38*IF(4&lt;=F11,1,Assumptions!$B$58)+(1-D11)*Assumptions!$B$39/Assumptions!$B$33)+IF(4=E11,D11*Assumptions!$B$26/Assumptions!$B$33*MAX(0,1-E11/Assumptions!$B$6),0)</f>
        <v/>
      </c>
      <c r="N11" s="6">
        <f>IF(5&gt;E11,0,IF(5&lt;=F11,C11,MIN(C11,Assumptions!$B$77)*INDEX(Assumptions!$B$71:$B$76,5)*Assumptions!$B$58))-IF(5&gt;E11,0,IF(5&gt;E11,0,IF(5&lt;=F11,C11,MIN(C11,Assumptions!$B$77)*INDEX(Assumptions!$B$71:$B$76,5)*Assumptions!$B$58))*Assumptions!$B$42+Assumptions!$B$38*IF(5&lt;=F11,1,Assumptions!$B$58)+(1-D11)*Assumptions!$B$39/Assumptions!$B$33)+IF(5=E11,D11*Assumptions!$B$26/Assumptions!$B$33*MAX(0,1-E11/Assumptions!$B$6),0)</f>
        <v/>
      </c>
      <c r="O11" s="6">
        <f>IF(6&gt;E11,0,IF(6&lt;=F11,C11,MIN(C11,Assumptions!$B$77)*INDEX(Assumptions!$B$71:$B$76,6)*Assumptions!$B$58))-IF(6&gt;E11,0,IF(6&gt;E11,0,IF(6&lt;=F11,C11,MIN(C11,Assumptions!$B$77)*INDEX(Assumptions!$B$71:$B$76,6)*Assumptions!$B$58))*Assumptions!$B$42+Assumptions!$B$38*IF(6&lt;=F11,1,Assumptions!$B$58)+(1-D11)*Assumptions!$B$39/Assumptions!$B$33)+IF(6=E11,D11*Assumptions!$B$26/Assumptions!$B$33*MAX(0,1-E11/Assumptions!$B$6),0)</f>
        <v/>
      </c>
      <c r="P11" s="11">
        <f>IFERROR(IRR(I11:O11),-1)</f>
        <v/>
      </c>
      <c r="Q11" s="12">
        <f>IFERROR(MATCH(TRUE,INDEX(AE11:AK11&gt;=0,0),0)-2+(-INDEX(AE11:AK11,MATCH(TRUE,INDEX(AE11:AK11&gt;=0,0),0)-1))/INDEX(I11:O11,MATCH(TRUE,INDEX(AE11:AK11&gt;=0,0),0)),"never")</f>
        <v/>
      </c>
      <c r="R11" s="6">
        <f>NPV(Assumptions!$B$149,J11:O11)+I11</f>
        <v/>
      </c>
      <c r="S11" s="11">
        <f>(G11-D11*Assumptions!$B$26/Assumptions!$B$33*MAX(0,1-E11/Assumptions!$B$6)/(1+Assumptions!$B$149)^E11)/(IF(1&gt;E11,0,IF(1&lt;=F11,C11,MIN(C11,Assumptions!$B$77)*INDEX(Assumptions!$B$71:$B$76,1)*Assumptions!$B$58))/(1+Assumptions!$B$149)^1+IF(2&gt;E11,0,IF(2&lt;=F11,C11,MIN(C11,Assumptions!$B$77)*INDEX(Assumptions!$B$71:$B$76,2)*Assumptions!$B$58))/(1+Assumptions!$B$149)^2+IF(3&gt;E11,0,IF(3&lt;=F11,C11,MIN(C11,Assumptions!$B$77)*INDEX(Assumptions!$B$71:$B$76,3)*Assumptions!$B$58))/(1+Assumptions!$B$149)^3+IF(4&gt;E11,0,IF(4&lt;=F11,C11,MIN(C11,Assumptions!$B$77)*INDEX(Assumptions!$B$71:$B$76,4)*Assumptions!$B$58))/(1+Assumptions!$B$149)^4+IF(5&gt;E11,0,IF(5&lt;=F11,C11,MIN(C11,Assumptions!$B$77)*INDEX(Assumptions!$B$71:$B$76,5)*Assumptions!$B$58))/(1+Assumptions!$B$149)^5+IF(6&gt;E11,0,IF(6&lt;=F11,C11,MIN(C11,Assumptions!$B$77)*INDEX(Assumptions!$B$71:$B$76,6)*Assumptions!$B$58))/(1+Assumptions!$B$149)^6)</f>
        <v/>
      </c>
      <c r="T11" s="11">
        <f>(IF(D11=1,Assumptions!$B$25/E11+Assumptions!$B$26/Assumptions!$B$6,Assumptions!$B$25/E11+(Assumptions!$B$27-Assumptions!$B$25)/Assumptions!$B$6)/Assumptions!$B$33)/C11</f>
        <v/>
      </c>
      <c r="U11" s="6">
        <f>Assumptions!$B$54*G11</f>
        <v/>
      </c>
      <c r="V11" s="6">
        <f>I11+U11</f>
        <v/>
      </c>
      <c r="W11" s="6">
        <f>J11-IF(1&lt;=F11,$U11/F11,0)</f>
        <v/>
      </c>
      <c r="X11" s="6">
        <f>K11-IF(2&lt;=F11,$U11/F11,0)</f>
        <v/>
      </c>
      <c r="Y11" s="6">
        <f>L11-IF(3&lt;=F11,$U11/F11,0)</f>
        <v/>
      </c>
      <c r="Z11" s="6">
        <f>M11-IF(4&lt;=F11,$U11/F11,0)</f>
        <v/>
      </c>
      <c r="AA11" s="6">
        <f>N11-IF(5&lt;=F11,$U11/F11,0)</f>
        <v/>
      </c>
      <c r="AB11" s="6">
        <f>O11-IF(6&lt;=F11,$U11/F11,0)</f>
        <v/>
      </c>
      <c r="AC11" s="11">
        <f>IFERROR(IRR(V11:AB11),IF(V11&gt;=0,"no equity at risk",-1))</f>
        <v/>
      </c>
      <c r="AD11" s="12">
        <f>IFERROR(MATCH(TRUE,INDEX(AL11:AR11&gt;=0,0),0)-2+(-INDEX(AL11:AR11,MATCH(TRUE,INDEX(AL11:AR11&gt;=0,0),0)-1))/INDEX(V11:AB11,MATCH(TRUE,INDEX(AL11:AR11&gt;=0,0),0)),"never")</f>
        <v/>
      </c>
      <c r="AE11">
        <f>SUM($I11:I11)</f>
        <v/>
      </c>
      <c r="AF11">
        <f>SUM($I11:J11)</f>
        <v/>
      </c>
      <c r="AG11">
        <f>SUM($I11:K11)</f>
        <v/>
      </c>
      <c r="AH11">
        <f>SUM($I11:L11)</f>
        <v/>
      </c>
      <c r="AI11">
        <f>SUM($I11:M11)</f>
        <v/>
      </c>
      <c r="AJ11">
        <f>SUM($I11:N11)</f>
        <v/>
      </c>
      <c r="AK11">
        <f>SUM($I11:O11)</f>
        <v/>
      </c>
      <c r="AL11">
        <f>SUM($V11:V11)</f>
        <v/>
      </c>
      <c r="AM11">
        <f>SUM($V11:W11)</f>
        <v/>
      </c>
      <c r="AN11">
        <f>SUM($V11:X11)</f>
        <v/>
      </c>
      <c r="AO11">
        <f>SUM($V11:Y11)</f>
        <v/>
      </c>
      <c r="AP11">
        <f>SUM($V11:Z11)</f>
        <v/>
      </c>
      <c r="AQ11">
        <f>SUM($V11:AA11)</f>
        <v/>
      </c>
      <c r="AR11">
        <f>SUM($V11:AB11)</f>
        <v/>
      </c>
    </row>
    <row r="12">
      <c r="A12" t="n">
        <v>11</v>
      </c>
      <c r="B12" t="inlineStr">
        <is>
          <t>Q2 deals low ($20M)</t>
        </is>
      </c>
      <c r="C12">
        <f>Assumptions!$B$45*(1-0)</f>
        <v/>
      </c>
      <c r="D12" t="n">
        <v>0</v>
      </c>
      <c r="E12">
        <f>Assumptions!$B$4</f>
        <v/>
      </c>
      <c r="F12">
        <f>Assumptions!$B$50</f>
        <v/>
      </c>
      <c r="G12" s="6">
        <f>IF(D12=1,Assumptions!$B$25+Assumptions!$B$26,Assumptions!$B$27)/Assumptions!$B$33</f>
        <v/>
      </c>
      <c r="H12" s="11">
        <f>1-Assumptions!$B$42-(Assumptions!$B$38+(1-D12)*Assumptions!$B$39/Assumptions!$B$33)/C12</f>
        <v/>
      </c>
      <c r="I12" s="6">
        <f>-G12</f>
        <v/>
      </c>
      <c r="J12" s="6">
        <f>IF(1&gt;E12,0,IF(1&lt;=F12,C12,MIN(C12,Assumptions!$B$77)*INDEX(Assumptions!$B$71:$B$76,1)*Assumptions!$B$58))-IF(1&gt;E12,0,IF(1&gt;E12,0,IF(1&lt;=F12,C12,MIN(C12,Assumptions!$B$77)*INDEX(Assumptions!$B$71:$B$76,1)*Assumptions!$B$58))*Assumptions!$B$42+Assumptions!$B$38*IF(1&lt;=F12,1,Assumptions!$B$58)+(1-D12)*Assumptions!$B$39/Assumptions!$B$33)+IF(1=E12,D12*Assumptions!$B$26/Assumptions!$B$33*MAX(0,1-E12/Assumptions!$B$6),0)</f>
        <v/>
      </c>
      <c r="K12" s="6">
        <f>IF(2&gt;E12,0,IF(2&lt;=F12,C12,MIN(C12,Assumptions!$B$77)*INDEX(Assumptions!$B$71:$B$76,2)*Assumptions!$B$58))-IF(2&gt;E12,0,IF(2&gt;E12,0,IF(2&lt;=F12,C12,MIN(C12,Assumptions!$B$77)*INDEX(Assumptions!$B$71:$B$76,2)*Assumptions!$B$58))*Assumptions!$B$42+Assumptions!$B$38*IF(2&lt;=F12,1,Assumptions!$B$58)+(1-D12)*Assumptions!$B$39/Assumptions!$B$33)+IF(2=E12,D12*Assumptions!$B$26/Assumptions!$B$33*MAX(0,1-E12/Assumptions!$B$6),0)</f>
        <v/>
      </c>
      <c r="L12" s="6">
        <f>IF(3&gt;E12,0,IF(3&lt;=F12,C12,MIN(C12,Assumptions!$B$77)*INDEX(Assumptions!$B$71:$B$76,3)*Assumptions!$B$58))-IF(3&gt;E12,0,IF(3&gt;E12,0,IF(3&lt;=F12,C12,MIN(C12,Assumptions!$B$77)*INDEX(Assumptions!$B$71:$B$76,3)*Assumptions!$B$58))*Assumptions!$B$42+Assumptions!$B$38*IF(3&lt;=F12,1,Assumptions!$B$58)+(1-D12)*Assumptions!$B$39/Assumptions!$B$33)+IF(3=E12,D12*Assumptions!$B$26/Assumptions!$B$33*MAX(0,1-E12/Assumptions!$B$6),0)</f>
        <v/>
      </c>
      <c r="M12" s="6">
        <f>IF(4&gt;E12,0,IF(4&lt;=F12,C12,MIN(C12,Assumptions!$B$77)*INDEX(Assumptions!$B$71:$B$76,4)*Assumptions!$B$58))-IF(4&gt;E12,0,IF(4&gt;E12,0,IF(4&lt;=F12,C12,MIN(C12,Assumptions!$B$77)*INDEX(Assumptions!$B$71:$B$76,4)*Assumptions!$B$58))*Assumptions!$B$42+Assumptions!$B$38*IF(4&lt;=F12,1,Assumptions!$B$58)+(1-D12)*Assumptions!$B$39/Assumptions!$B$33)+IF(4=E12,D12*Assumptions!$B$26/Assumptions!$B$33*MAX(0,1-E12/Assumptions!$B$6),0)</f>
        <v/>
      </c>
      <c r="N12" s="6">
        <f>IF(5&gt;E12,0,IF(5&lt;=F12,C12,MIN(C12,Assumptions!$B$77)*INDEX(Assumptions!$B$71:$B$76,5)*Assumptions!$B$58))-IF(5&gt;E12,0,IF(5&gt;E12,0,IF(5&lt;=F12,C12,MIN(C12,Assumptions!$B$77)*INDEX(Assumptions!$B$71:$B$76,5)*Assumptions!$B$58))*Assumptions!$B$42+Assumptions!$B$38*IF(5&lt;=F12,1,Assumptions!$B$58)+(1-D12)*Assumptions!$B$39/Assumptions!$B$33)+IF(5=E12,D12*Assumptions!$B$26/Assumptions!$B$33*MAX(0,1-E12/Assumptions!$B$6),0)</f>
        <v/>
      </c>
      <c r="O12" s="6">
        <f>IF(6&gt;E12,0,IF(6&lt;=F12,C12,MIN(C12,Assumptions!$B$77)*INDEX(Assumptions!$B$71:$B$76,6)*Assumptions!$B$58))-IF(6&gt;E12,0,IF(6&gt;E12,0,IF(6&lt;=F12,C12,MIN(C12,Assumptions!$B$77)*INDEX(Assumptions!$B$71:$B$76,6)*Assumptions!$B$58))*Assumptions!$B$42+Assumptions!$B$38*IF(6&lt;=F12,1,Assumptions!$B$58)+(1-D12)*Assumptions!$B$39/Assumptions!$B$33)+IF(6=E12,D12*Assumptions!$B$26/Assumptions!$B$33*MAX(0,1-E12/Assumptions!$B$6),0)</f>
        <v/>
      </c>
      <c r="P12" s="11">
        <f>IFERROR(IRR(I12:O12),-1)</f>
        <v/>
      </c>
      <c r="Q12" s="12">
        <f>IFERROR(MATCH(TRUE,INDEX(AE12:AK12&gt;=0,0),0)-2+(-INDEX(AE12:AK12,MATCH(TRUE,INDEX(AE12:AK12&gt;=0,0),0)-1))/INDEX(I12:O12,MATCH(TRUE,INDEX(AE12:AK12&gt;=0,0),0)),"never")</f>
        <v/>
      </c>
      <c r="R12" s="6">
        <f>NPV(Assumptions!$B$149,J12:O12)+I12</f>
        <v/>
      </c>
      <c r="S12" s="11">
        <f>(G12-D12*Assumptions!$B$26/Assumptions!$B$33*MAX(0,1-E12/Assumptions!$B$6)/(1+Assumptions!$B$149)^E12)/(IF(1&gt;E12,0,IF(1&lt;=F12,C12,MIN(C12,Assumptions!$B$77)*INDEX(Assumptions!$B$71:$B$76,1)*Assumptions!$B$58))/(1+Assumptions!$B$149)^1+IF(2&gt;E12,0,IF(2&lt;=F12,C12,MIN(C12,Assumptions!$B$77)*INDEX(Assumptions!$B$71:$B$76,2)*Assumptions!$B$58))/(1+Assumptions!$B$149)^2+IF(3&gt;E12,0,IF(3&lt;=F12,C12,MIN(C12,Assumptions!$B$77)*INDEX(Assumptions!$B$71:$B$76,3)*Assumptions!$B$58))/(1+Assumptions!$B$149)^3+IF(4&gt;E12,0,IF(4&lt;=F12,C12,MIN(C12,Assumptions!$B$77)*INDEX(Assumptions!$B$71:$B$76,4)*Assumptions!$B$58))/(1+Assumptions!$B$149)^4+IF(5&gt;E12,0,IF(5&lt;=F12,C12,MIN(C12,Assumptions!$B$77)*INDEX(Assumptions!$B$71:$B$76,5)*Assumptions!$B$58))/(1+Assumptions!$B$149)^5+IF(6&gt;E12,0,IF(6&lt;=F12,C12,MIN(C12,Assumptions!$B$77)*INDEX(Assumptions!$B$71:$B$76,6)*Assumptions!$B$58))/(1+Assumptions!$B$149)^6)</f>
        <v/>
      </c>
      <c r="T12" s="11">
        <f>(IF(D12=1,Assumptions!$B$25/E12+Assumptions!$B$26/Assumptions!$B$6,Assumptions!$B$25/E12+(Assumptions!$B$27-Assumptions!$B$25)/Assumptions!$B$6)/Assumptions!$B$33)/C12</f>
        <v/>
      </c>
      <c r="U12" s="6">
        <f>Assumptions!$B$54*G12</f>
        <v/>
      </c>
      <c r="V12" s="6">
        <f>I12+U12</f>
        <v/>
      </c>
      <c r="W12" s="6">
        <f>J12-IF(1&lt;=F12,$U12/F12,0)</f>
        <v/>
      </c>
      <c r="X12" s="6">
        <f>K12-IF(2&lt;=F12,$U12/F12,0)</f>
        <v/>
      </c>
      <c r="Y12" s="6">
        <f>L12-IF(3&lt;=F12,$U12/F12,0)</f>
        <v/>
      </c>
      <c r="Z12" s="6">
        <f>M12-IF(4&lt;=F12,$U12/F12,0)</f>
        <v/>
      </c>
      <c r="AA12" s="6">
        <f>N12-IF(5&lt;=F12,$U12/F12,0)</f>
        <v/>
      </c>
      <c r="AB12" s="6">
        <f>O12-IF(6&lt;=F12,$U12/F12,0)</f>
        <v/>
      </c>
      <c r="AC12" s="11">
        <f>IFERROR(IRR(V12:AB12),IF(V12&gt;=0,"no equity at risk",-1))</f>
        <v/>
      </c>
      <c r="AD12" s="12">
        <f>IFERROR(MATCH(TRUE,INDEX(AL12:AR12&gt;=0,0),0)-2+(-INDEX(AL12:AR12,MATCH(TRUE,INDEX(AL12:AR12&gt;=0,0),0)-1))/INDEX(V12:AB12,MATCH(TRUE,INDEX(AL12:AR12&gt;=0,0),0)),"never")</f>
        <v/>
      </c>
      <c r="AE12">
        <f>SUM($I12:I12)</f>
        <v/>
      </c>
      <c r="AF12">
        <f>SUM($I12:J12)</f>
        <v/>
      </c>
      <c r="AG12">
        <f>SUM($I12:K12)</f>
        <v/>
      </c>
      <c r="AH12">
        <f>SUM($I12:L12)</f>
        <v/>
      </c>
      <c r="AI12">
        <f>SUM($I12:M12)</f>
        <v/>
      </c>
      <c r="AJ12">
        <f>SUM($I12:N12)</f>
        <v/>
      </c>
      <c r="AK12">
        <f>SUM($I12:O12)</f>
        <v/>
      </c>
      <c r="AL12">
        <f>SUM($V12:V12)</f>
        <v/>
      </c>
      <c r="AM12">
        <f>SUM($V12:W12)</f>
        <v/>
      </c>
      <c r="AN12">
        <f>SUM($V12:X12)</f>
        <v/>
      </c>
      <c r="AO12">
        <f>SUM($V12:Y12)</f>
        <v/>
      </c>
      <c r="AP12">
        <f>SUM($V12:Z12)</f>
        <v/>
      </c>
      <c r="AQ12">
        <f>SUM($V12:AA12)</f>
        <v/>
      </c>
      <c r="AR12">
        <f>SUM($V12:AB12)</f>
        <v/>
      </c>
    </row>
    <row r="13">
      <c r="A13" t="n">
        <v>12</v>
      </c>
      <c r="B13" t="inlineStr">
        <is>
          <t>Q2 deals low ($20M)</t>
        </is>
      </c>
      <c r="C13">
        <f>Assumptions!$B$45*(1-0)</f>
        <v/>
      </c>
      <c r="D13" t="n">
        <v>0</v>
      </c>
      <c r="E13">
        <f>Assumptions!$B$5</f>
        <v/>
      </c>
      <c r="F13">
        <f>Assumptions!$B$50</f>
        <v/>
      </c>
      <c r="G13" s="6">
        <f>IF(D13=1,Assumptions!$B$25+Assumptions!$B$26,Assumptions!$B$27)/Assumptions!$B$33</f>
        <v/>
      </c>
      <c r="H13" s="11">
        <f>1-Assumptions!$B$42-(Assumptions!$B$38+(1-D13)*Assumptions!$B$39/Assumptions!$B$33)/C13</f>
        <v/>
      </c>
      <c r="I13" s="6">
        <f>-G13</f>
        <v/>
      </c>
      <c r="J13" s="6">
        <f>IF(1&gt;E13,0,IF(1&lt;=F13,C13,MIN(C13,Assumptions!$B$77)*INDEX(Assumptions!$B$71:$B$76,1)*Assumptions!$B$58))-IF(1&gt;E13,0,IF(1&gt;E13,0,IF(1&lt;=F13,C13,MIN(C13,Assumptions!$B$77)*INDEX(Assumptions!$B$71:$B$76,1)*Assumptions!$B$58))*Assumptions!$B$42+Assumptions!$B$38*IF(1&lt;=F13,1,Assumptions!$B$58)+(1-D13)*Assumptions!$B$39/Assumptions!$B$33)+IF(1=E13,D13*Assumptions!$B$26/Assumptions!$B$33*MAX(0,1-E13/Assumptions!$B$6),0)</f>
        <v/>
      </c>
      <c r="K13" s="6">
        <f>IF(2&gt;E13,0,IF(2&lt;=F13,C13,MIN(C13,Assumptions!$B$77)*INDEX(Assumptions!$B$71:$B$76,2)*Assumptions!$B$58))-IF(2&gt;E13,0,IF(2&gt;E13,0,IF(2&lt;=F13,C13,MIN(C13,Assumptions!$B$77)*INDEX(Assumptions!$B$71:$B$76,2)*Assumptions!$B$58))*Assumptions!$B$42+Assumptions!$B$38*IF(2&lt;=F13,1,Assumptions!$B$58)+(1-D13)*Assumptions!$B$39/Assumptions!$B$33)+IF(2=E13,D13*Assumptions!$B$26/Assumptions!$B$33*MAX(0,1-E13/Assumptions!$B$6),0)</f>
        <v/>
      </c>
      <c r="L13" s="6">
        <f>IF(3&gt;E13,0,IF(3&lt;=F13,C13,MIN(C13,Assumptions!$B$77)*INDEX(Assumptions!$B$71:$B$76,3)*Assumptions!$B$58))-IF(3&gt;E13,0,IF(3&gt;E13,0,IF(3&lt;=F13,C13,MIN(C13,Assumptions!$B$77)*INDEX(Assumptions!$B$71:$B$76,3)*Assumptions!$B$58))*Assumptions!$B$42+Assumptions!$B$38*IF(3&lt;=F13,1,Assumptions!$B$58)+(1-D13)*Assumptions!$B$39/Assumptions!$B$33)+IF(3=E13,D13*Assumptions!$B$26/Assumptions!$B$33*MAX(0,1-E13/Assumptions!$B$6),0)</f>
        <v/>
      </c>
      <c r="M13" s="6">
        <f>IF(4&gt;E13,0,IF(4&lt;=F13,C13,MIN(C13,Assumptions!$B$77)*INDEX(Assumptions!$B$71:$B$76,4)*Assumptions!$B$58))-IF(4&gt;E13,0,IF(4&gt;E13,0,IF(4&lt;=F13,C13,MIN(C13,Assumptions!$B$77)*INDEX(Assumptions!$B$71:$B$76,4)*Assumptions!$B$58))*Assumptions!$B$42+Assumptions!$B$38*IF(4&lt;=F13,1,Assumptions!$B$58)+(1-D13)*Assumptions!$B$39/Assumptions!$B$33)+IF(4=E13,D13*Assumptions!$B$26/Assumptions!$B$33*MAX(0,1-E13/Assumptions!$B$6),0)</f>
        <v/>
      </c>
      <c r="N13" s="6">
        <f>IF(5&gt;E13,0,IF(5&lt;=F13,C13,MIN(C13,Assumptions!$B$77)*INDEX(Assumptions!$B$71:$B$76,5)*Assumptions!$B$58))-IF(5&gt;E13,0,IF(5&gt;E13,0,IF(5&lt;=F13,C13,MIN(C13,Assumptions!$B$77)*INDEX(Assumptions!$B$71:$B$76,5)*Assumptions!$B$58))*Assumptions!$B$42+Assumptions!$B$38*IF(5&lt;=F13,1,Assumptions!$B$58)+(1-D13)*Assumptions!$B$39/Assumptions!$B$33)+IF(5=E13,D13*Assumptions!$B$26/Assumptions!$B$33*MAX(0,1-E13/Assumptions!$B$6),0)</f>
        <v/>
      </c>
      <c r="O13" s="6">
        <f>IF(6&gt;E13,0,IF(6&lt;=F13,C13,MIN(C13,Assumptions!$B$77)*INDEX(Assumptions!$B$71:$B$76,6)*Assumptions!$B$58))-IF(6&gt;E13,0,IF(6&gt;E13,0,IF(6&lt;=F13,C13,MIN(C13,Assumptions!$B$77)*INDEX(Assumptions!$B$71:$B$76,6)*Assumptions!$B$58))*Assumptions!$B$42+Assumptions!$B$38*IF(6&lt;=F13,1,Assumptions!$B$58)+(1-D13)*Assumptions!$B$39/Assumptions!$B$33)+IF(6=E13,D13*Assumptions!$B$26/Assumptions!$B$33*MAX(0,1-E13/Assumptions!$B$6),0)</f>
        <v/>
      </c>
      <c r="P13" s="11">
        <f>IFERROR(IRR(I13:O13),-1)</f>
        <v/>
      </c>
      <c r="Q13" s="12">
        <f>IFERROR(MATCH(TRUE,INDEX(AE13:AK13&gt;=0,0),0)-2+(-INDEX(AE13:AK13,MATCH(TRUE,INDEX(AE13:AK13&gt;=0,0),0)-1))/INDEX(I13:O13,MATCH(TRUE,INDEX(AE13:AK13&gt;=0,0),0)),"never")</f>
        <v/>
      </c>
      <c r="R13" s="6">
        <f>NPV(Assumptions!$B$149,J13:O13)+I13</f>
        <v/>
      </c>
      <c r="S13" s="11">
        <f>(G13-D13*Assumptions!$B$26/Assumptions!$B$33*MAX(0,1-E13/Assumptions!$B$6)/(1+Assumptions!$B$149)^E13)/(IF(1&gt;E13,0,IF(1&lt;=F13,C13,MIN(C13,Assumptions!$B$77)*INDEX(Assumptions!$B$71:$B$76,1)*Assumptions!$B$58))/(1+Assumptions!$B$149)^1+IF(2&gt;E13,0,IF(2&lt;=F13,C13,MIN(C13,Assumptions!$B$77)*INDEX(Assumptions!$B$71:$B$76,2)*Assumptions!$B$58))/(1+Assumptions!$B$149)^2+IF(3&gt;E13,0,IF(3&lt;=F13,C13,MIN(C13,Assumptions!$B$77)*INDEX(Assumptions!$B$71:$B$76,3)*Assumptions!$B$58))/(1+Assumptions!$B$149)^3+IF(4&gt;E13,0,IF(4&lt;=F13,C13,MIN(C13,Assumptions!$B$77)*INDEX(Assumptions!$B$71:$B$76,4)*Assumptions!$B$58))/(1+Assumptions!$B$149)^4+IF(5&gt;E13,0,IF(5&lt;=F13,C13,MIN(C13,Assumptions!$B$77)*INDEX(Assumptions!$B$71:$B$76,5)*Assumptions!$B$58))/(1+Assumptions!$B$149)^5+IF(6&gt;E13,0,IF(6&lt;=F13,C13,MIN(C13,Assumptions!$B$77)*INDEX(Assumptions!$B$71:$B$76,6)*Assumptions!$B$58))/(1+Assumptions!$B$149)^6)</f>
        <v/>
      </c>
      <c r="T13" s="11">
        <f>(IF(D13=1,Assumptions!$B$25/E13+Assumptions!$B$26/Assumptions!$B$6,Assumptions!$B$25/E13+(Assumptions!$B$27-Assumptions!$B$25)/Assumptions!$B$6)/Assumptions!$B$33)/C13</f>
        <v/>
      </c>
      <c r="U13" s="6">
        <f>Assumptions!$B$54*G13</f>
        <v/>
      </c>
      <c r="V13" s="6">
        <f>I13+U13</f>
        <v/>
      </c>
      <c r="W13" s="6">
        <f>J13-IF(1&lt;=F13,$U13/F13,0)</f>
        <v/>
      </c>
      <c r="X13" s="6">
        <f>K13-IF(2&lt;=F13,$U13/F13,0)</f>
        <v/>
      </c>
      <c r="Y13" s="6">
        <f>L13-IF(3&lt;=F13,$U13/F13,0)</f>
        <v/>
      </c>
      <c r="Z13" s="6">
        <f>M13-IF(4&lt;=F13,$U13/F13,0)</f>
        <v/>
      </c>
      <c r="AA13" s="6">
        <f>N13-IF(5&lt;=F13,$U13/F13,0)</f>
        <v/>
      </c>
      <c r="AB13" s="6">
        <f>O13-IF(6&lt;=F13,$U13/F13,0)</f>
        <v/>
      </c>
      <c r="AC13" s="11">
        <f>IFERROR(IRR(V13:AB13),IF(V13&gt;=0,"no equity at risk",-1))</f>
        <v/>
      </c>
      <c r="AD13" s="12">
        <f>IFERROR(MATCH(TRUE,INDEX(AL13:AR13&gt;=0,0),0)-2+(-INDEX(AL13:AR13,MATCH(TRUE,INDEX(AL13:AR13&gt;=0,0),0)-1))/INDEX(V13:AB13,MATCH(TRUE,INDEX(AL13:AR13&gt;=0,0),0)),"never")</f>
        <v/>
      </c>
      <c r="AE13">
        <f>SUM($I13:I13)</f>
        <v/>
      </c>
      <c r="AF13">
        <f>SUM($I13:J13)</f>
        <v/>
      </c>
      <c r="AG13">
        <f>SUM($I13:K13)</f>
        <v/>
      </c>
      <c r="AH13">
        <f>SUM($I13:L13)</f>
        <v/>
      </c>
      <c r="AI13">
        <f>SUM($I13:M13)</f>
        <v/>
      </c>
      <c r="AJ13">
        <f>SUM($I13:N13)</f>
        <v/>
      </c>
      <c r="AK13">
        <f>SUM($I13:O13)</f>
        <v/>
      </c>
      <c r="AL13">
        <f>SUM($V13:V13)</f>
        <v/>
      </c>
      <c r="AM13">
        <f>SUM($V13:W13)</f>
        <v/>
      </c>
      <c r="AN13">
        <f>SUM($V13:X13)</f>
        <v/>
      </c>
      <c r="AO13">
        <f>SUM($V13:Y13)</f>
        <v/>
      </c>
      <c r="AP13">
        <f>SUM($V13:Z13)</f>
        <v/>
      </c>
      <c r="AQ13">
        <f>SUM($V13:AA13)</f>
        <v/>
      </c>
      <c r="AR13">
        <f>SUM($V13:AB13)</f>
        <v/>
      </c>
    </row>
    <row r="14">
      <c r="A14" t="n">
        <v>13</v>
      </c>
      <c r="B14" t="inlineStr">
        <is>
          <t>Q2 deals high ($25M)</t>
        </is>
      </c>
      <c r="C14">
        <f>Assumptions!$B$46*(1-0)</f>
        <v/>
      </c>
      <c r="D14" t="n">
        <v>1</v>
      </c>
      <c r="E14">
        <f>Assumptions!$B$3</f>
        <v/>
      </c>
      <c r="F14">
        <f>Assumptions!$B$50</f>
        <v/>
      </c>
      <c r="G14" s="6">
        <f>IF(D14=1,Assumptions!$B$25+Assumptions!$B$26,Assumptions!$B$27)/Assumptions!$B$33</f>
        <v/>
      </c>
      <c r="H14" s="11">
        <f>1-Assumptions!$B$42-(Assumptions!$B$38+(1-D14)*Assumptions!$B$39/Assumptions!$B$33)/C14</f>
        <v/>
      </c>
      <c r="I14" s="6">
        <f>-G14</f>
        <v/>
      </c>
      <c r="J14" s="6">
        <f>IF(1&gt;E14,0,IF(1&lt;=F14,C14,MIN(C14,Assumptions!$B$77)*INDEX(Assumptions!$B$71:$B$76,1)*Assumptions!$B$58))-IF(1&gt;E14,0,IF(1&gt;E14,0,IF(1&lt;=F14,C14,MIN(C14,Assumptions!$B$77)*INDEX(Assumptions!$B$71:$B$76,1)*Assumptions!$B$58))*Assumptions!$B$42+Assumptions!$B$38*IF(1&lt;=F14,1,Assumptions!$B$58)+(1-D14)*Assumptions!$B$39/Assumptions!$B$33)+IF(1=E14,D14*Assumptions!$B$26/Assumptions!$B$33*MAX(0,1-E14/Assumptions!$B$6),0)</f>
        <v/>
      </c>
      <c r="K14" s="6">
        <f>IF(2&gt;E14,0,IF(2&lt;=F14,C14,MIN(C14,Assumptions!$B$77)*INDEX(Assumptions!$B$71:$B$76,2)*Assumptions!$B$58))-IF(2&gt;E14,0,IF(2&gt;E14,0,IF(2&lt;=F14,C14,MIN(C14,Assumptions!$B$77)*INDEX(Assumptions!$B$71:$B$76,2)*Assumptions!$B$58))*Assumptions!$B$42+Assumptions!$B$38*IF(2&lt;=F14,1,Assumptions!$B$58)+(1-D14)*Assumptions!$B$39/Assumptions!$B$33)+IF(2=E14,D14*Assumptions!$B$26/Assumptions!$B$33*MAX(0,1-E14/Assumptions!$B$6),0)</f>
        <v/>
      </c>
      <c r="L14" s="6">
        <f>IF(3&gt;E14,0,IF(3&lt;=F14,C14,MIN(C14,Assumptions!$B$77)*INDEX(Assumptions!$B$71:$B$76,3)*Assumptions!$B$58))-IF(3&gt;E14,0,IF(3&gt;E14,0,IF(3&lt;=F14,C14,MIN(C14,Assumptions!$B$77)*INDEX(Assumptions!$B$71:$B$76,3)*Assumptions!$B$58))*Assumptions!$B$42+Assumptions!$B$38*IF(3&lt;=F14,1,Assumptions!$B$58)+(1-D14)*Assumptions!$B$39/Assumptions!$B$33)+IF(3=E14,D14*Assumptions!$B$26/Assumptions!$B$33*MAX(0,1-E14/Assumptions!$B$6),0)</f>
        <v/>
      </c>
      <c r="M14" s="6">
        <f>IF(4&gt;E14,0,IF(4&lt;=F14,C14,MIN(C14,Assumptions!$B$77)*INDEX(Assumptions!$B$71:$B$76,4)*Assumptions!$B$58))-IF(4&gt;E14,0,IF(4&gt;E14,0,IF(4&lt;=F14,C14,MIN(C14,Assumptions!$B$77)*INDEX(Assumptions!$B$71:$B$76,4)*Assumptions!$B$58))*Assumptions!$B$42+Assumptions!$B$38*IF(4&lt;=F14,1,Assumptions!$B$58)+(1-D14)*Assumptions!$B$39/Assumptions!$B$33)+IF(4=E14,D14*Assumptions!$B$26/Assumptions!$B$33*MAX(0,1-E14/Assumptions!$B$6),0)</f>
        <v/>
      </c>
      <c r="N14" s="6">
        <f>IF(5&gt;E14,0,IF(5&lt;=F14,C14,MIN(C14,Assumptions!$B$77)*INDEX(Assumptions!$B$71:$B$76,5)*Assumptions!$B$58))-IF(5&gt;E14,0,IF(5&gt;E14,0,IF(5&lt;=F14,C14,MIN(C14,Assumptions!$B$77)*INDEX(Assumptions!$B$71:$B$76,5)*Assumptions!$B$58))*Assumptions!$B$42+Assumptions!$B$38*IF(5&lt;=F14,1,Assumptions!$B$58)+(1-D14)*Assumptions!$B$39/Assumptions!$B$33)+IF(5=E14,D14*Assumptions!$B$26/Assumptions!$B$33*MAX(0,1-E14/Assumptions!$B$6),0)</f>
        <v/>
      </c>
      <c r="O14" s="6">
        <f>IF(6&gt;E14,0,IF(6&lt;=F14,C14,MIN(C14,Assumptions!$B$77)*INDEX(Assumptions!$B$71:$B$76,6)*Assumptions!$B$58))-IF(6&gt;E14,0,IF(6&gt;E14,0,IF(6&lt;=F14,C14,MIN(C14,Assumptions!$B$77)*INDEX(Assumptions!$B$71:$B$76,6)*Assumptions!$B$58))*Assumptions!$B$42+Assumptions!$B$38*IF(6&lt;=F14,1,Assumptions!$B$58)+(1-D14)*Assumptions!$B$39/Assumptions!$B$33)+IF(6=E14,D14*Assumptions!$B$26/Assumptions!$B$33*MAX(0,1-E14/Assumptions!$B$6),0)</f>
        <v/>
      </c>
      <c r="P14" s="11">
        <f>IFERROR(IRR(I14:O14),-1)</f>
        <v/>
      </c>
      <c r="Q14" s="12">
        <f>IFERROR(MATCH(TRUE,INDEX(AE14:AK14&gt;=0,0),0)-2+(-INDEX(AE14:AK14,MATCH(TRUE,INDEX(AE14:AK14&gt;=0,0),0)-1))/INDEX(I14:O14,MATCH(TRUE,INDEX(AE14:AK14&gt;=0,0),0)),"never")</f>
        <v/>
      </c>
      <c r="R14" s="6">
        <f>NPV(Assumptions!$B$149,J14:O14)+I14</f>
        <v/>
      </c>
      <c r="S14" s="11">
        <f>(G14-D14*Assumptions!$B$26/Assumptions!$B$33*MAX(0,1-E14/Assumptions!$B$6)/(1+Assumptions!$B$149)^E14)/(IF(1&gt;E14,0,IF(1&lt;=F14,C14,MIN(C14,Assumptions!$B$77)*INDEX(Assumptions!$B$71:$B$76,1)*Assumptions!$B$58))/(1+Assumptions!$B$149)^1+IF(2&gt;E14,0,IF(2&lt;=F14,C14,MIN(C14,Assumptions!$B$77)*INDEX(Assumptions!$B$71:$B$76,2)*Assumptions!$B$58))/(1+Assumptions!$B$149)^2+IF(3&gt;E14,0,IF(3&lt;=F14,C14,MIN(C14,Assumptions!$B$77)*INDEX(Assumptions!$B$71:$B$76,3)*Assumptions!$B$58))/(1+Assumptions!$B$149)^3+IF(4&gt;E14,0,IF(4&lt;=F14,C14,MIN(C14,Assumptions!$B$77)*INDEX(Assumptions!$B$71:$B$76,4)*Assumptions!$B$58))/(1+Assumptions!$B$149)^4+IF(5&gt;E14,0,IF(5&lt;=F14,C14,MIN(C14,Assumptions!$B$77)*INDEX(Assumptions!$B$71:$B$76,5)*Assumptions!$B$58))/(1+Assumptions!$B$149)^5+IF(6&gt;E14,0,IF(6&lt;=F14,C14,MIN(C14,Assumptions!$B$77)*INDEX(Assumptions!$B$71:$B$76,6)*Assumptions!$B$58))/(1+Assumptions!$B$149)^6)</f>
        <v/>
      </c>
      <c r="T14" s="11">
        <f>(IF(D14=1,Assumptions!$B$25/E14+Assumptions!$B$26/Assumptions!$B$6,Assumptions!$B$25/E14+(Assumptions!$B$27-Assumptions!$B$25)/Assumptions!$B$6)/Assumptions!$B$33)/C14</f>
        <v/>
      </c>
      <c r="U14" s="6">
        <f>Assumptions!$B$54*G14</f>
        <v/>
      </c>
      <c r="V14" s="6">
        <f>I14+U14</f>
        <v/>
      </c>
      <c r="W14" s="6">
        <f>J14-IF(1&lt;=F14,$U14/F14,0)</f>
        <v/>
      </c>
      <c r="X14" s="6">
        <f>K14-IF(2&lt;=F14,$U14/F14,0)</f>
        <v/>
      </c>
      <c r="Y14" s="6">
        <f>L14-IF(3&lt;=F14,$U14/F14,0)</f>
        <v/>
      </c>
      <c r="Z14" s="6">
        <f>M14-IF(4&lt;=F14,$U14/F14,0)</f>
        <v/>
      </c>
      <c r="AA14" s="6">
        <f>N14-IF(5&lt;=F14,$U14/F14,0)</f>
        <v/>
      </c>
      <c r="AB14" s="6">
        <f>O14-IF(6&lt;=F14,$U14/F14,0)</f>
        <v/>
      </c>
      <c r="AC14" s="11">
        <f>IFERROR(IRR(V14:AB14),IF(V14&gt;=0,"no equity at risk",-1))</f>
        <v/>
      </c>
      <c r="AD14" s="12">
        <f>IFERROR(MATCH(TRUE,INDEX(AL14:AR14&gt;=0,0),0)-2+(-INDEX(AL14:AR14,MATCH(TRUE,INDEX(AL14:AR14&gt;=0,0),0)-1))/INDEX(V14:AB14,MATCH(TRUE,INDEX(AL14:AR14&gt;=0,0),0)),"never")</f>
        <v/>
      </c>
      <c r="AE14">
        <f>SUM($I14:I14)</f>
        <v/>
      </c>
      <c r="AF14">
        <f>SUM($I14:J14)</f>
        <v/>
      </c>
      <c r="AG14">
        <f>SUM($I14:K14)</f>
        <v/>
      </c>
      <c r="AH14">
        <f>SUM($I14:L14)</f>
        <v/>
      </c>
      <c r="AI14">
        <f>SUM($I14:M14)</f>
        <v/>
      </c>
      <c r="AJ14">
        <f>SUM($I14:N14)</f>
        <v/>
      </c>
      <c r="AK14">
        <f>SUM($I14:O14)</f>
        <v/>
      </c>
      <c r="AL14">
        <f>SUM($V14:V14)</f>
        <v/>
      </c>
      <c r="AM14">
        <f>SUM($V14:W14)</f>
        <v/>
      </c>
      <c r="AN14">
        <f>SUM($V14:X14)</f>
        <v/>
      </c>
      <c r="AO14">
        <f>SUM($V14:Y14)</f>
        <v/>
      </c>
      <c r="AP14">
        <f>SUM($V14:Z14)</f>
        <v/>
      </c>
      <c r="AQ14">
        <f>SUM($V14:AA14)</f>
        <v/>
      </c>
      <c r="AR14">
        <f>SUM($V14:AB14)</f>
        <v/>
      </c>
    </row>
    <row r="15">
      <c r="A15" t="n">
        <v>14</v>
      </c>
      <c r="B15" t="inlineStr">
        <is>
          <t>Q2 deals high ($25M)</t>
        </is>
      </c>
      <c r="C15">
        <f>Assumptions!$B$46*(1-0)</f>
        <v/>
      </c>
      <c r="D15" t="n">
        <v>1</v>
      </c>
      <c r="E15">
        <f>Assumptions!$B$4</f>
        <v/>
      </c>
      <c r="F15">
        <f>Assumptions!$B$50</f>
        <v/>
      </c>
      <c r="G15" s="6">
        <f>IF(D15=1,Assumptions!$B$25+Assumptions!$B$26,Assumptions!$B$27)/Assumptions!$B$33</f>
        <v/>
      </c>
      <c r="H15" s="11">
        <f>1-Assumptions!$B$42-(Assumptions!$B$38+(1-D15)*Assumptions!$B$39/Assumptions!$B$33)/C15</f>
        <v/>
      </c>
      <c r="I15" s="6">
        <f>-G15</f>
        <v/>
      </c>
      <c r="J15" s="6">
        <f>IF(1&gt;E15,0,IF(1&lt;=F15,C15,MIN(C15,Assumptions!$B$77)*INDEX(Assumptions!$B$71:$B$76,1)*Assumptions!$B$58))-IF(1&gt;E15,0,IF(1&gt;E15,0,IF(1&lt;=F15,C15,MIN(C15,Assumptions!$B$77)*INDEX(Assumptions!$B$71:$B$76,1)*Assumptions!$B$58))*Assumptions!$B$42+Assumptions!$B$38*IF(1&lt;=F15,1,Assumptions!$B$58)+(1-D15)*Assumptions!$B$39/Assumptions!$B$33)+IF(1=E15,D15*Assumptions!$B$26/Assumptions!$B$33*MAX(0,1-E15/Assumptions!$B$6),0)</f>
        <v/>
      </c>
      <c r="K15" s="6">
        <f>IF(2&gt;E15,0,IF(2&lt;=F15,C15,MIN(C15,Assumptions!$B$77)*INDEX(Assumptions!$B$71:$B$76,2)*Assumptions!$B$58))-IF(2&gt;E15,0,IF(2&gt;E15,0,IF(2&lt;=F15,C15,MIN(C15,Assumptions!$B$77)*INDEX(Assumptions!$B$71:$B$76,2)*Assumptions!$B$58))*Assumptions!$B$42+Assumptions!$B$38*IF(2&lt;=F15,1,Assumptions!$B$58)+(1-D15)*Assumptions!$B$39/Assumptions!$B$33)+IF(2=E15,D15*Assumptions!$B$26/Assumptions!$B$33*MAX(0,1-E15/Assumptions!$B$6),0)</f>
        <v/>
      </c>
      <c r="L15" s="6">
        <f>IF(3&gt;E15,0,IF(3&lt;=F15,C15,MIN(C15,Assumptions!$B$77)*INDEX(Assumptions!$B$71:$B$76,3)*Assumptions!$B$58))-IF(3&gt;E15,0,IF(3&gt;E15,0,IF(3&lt;=F15,C15,MIN(C15,Assumptions!$B$77)*INDEX(Assumptions!$B$71:$B$76,3)*Assumptions!$B$58))*Assumptions!$B$42+Assumptions!$B$38*IF(3&lt;=F15,1,Assumptions!$B$58)+(1-D15)*Assumptions!$B$39/Assumptions!$B$33)+IF(3=E15,D15*Assumptions!$B$26/Assumptions!$B$33*MAX(0,1-E15/Assumptions!$B$6),0)</f>
        <v/>
      </c>
      <c r="M15" s="6">
        <f>IF(4&gt;E15,0,IF(4&lt;=F15,C15,MIN(C15,Assumptions!$B$77)*INDEX(Assumptions!$B$71:$B$76,4)*Assumptions!$B$58))-IF(4&gt;E15,0,IF(4&gt;E15,0,IF(4&lt;=F15,C15,MIN(C15,Assumptions!$B$77)*INDEX(Assumptions!$B$71:$B$76,4)*Assumptions!$B$58))*Assumptions!$B$42+Assumptions!$B$38*IF(4&lt;=F15,1,Assumptions!$B$58)+(1-D15)*Assumptions!$B$39/Assumptions!$B$33)+IF(4=E15,D15*Assumptions!$B$26/Assumptions!$B$33*MAX(0,1-E15/Assumptions!$B$6),0)</f>
        <v/>
      </c>
      <c r="N15" s="6">
        <f>IF(5&gt;E15,0,IF(5&lt;=F15,C15,MIN(C15,Assumptions!$B$77)*INDEX(Assumptions!$B$71:$B$76,5)*Assumptions!$B$58))-IF(5&gt;E15,0,IF(5&gt;E15,0,IF(5&lt;=F15,C15,MIN(C15,Assumptions!$B$77)*INDEX(Assumptions!$B$71:$B$76,5)*Assumptions!$B$58))*Assumptions!$B$42+Assumptions!$B$38*IF(5&lt;=F15,1,Assumptions!$B$58)+(1-D15)*Assumptions!$B$39/Assumptions!$B$33)+IF(5=E15,D15*Assumptions!$B$26/Assumptions!$B$33*MAX(0,1-E15/Assumptions!$B$6),0)</f>
        <v/>
      </c>
      <c r="O15" s="6">
        <f>IF(6&gt;E15,0,IF(6&lt;=F15,C15,MIN(C15,Assumptions!$B$77)*INDEX(Assumptions!$B$71:$B$76,6)*Assumptions!$B$58))-IF(6&gt;E15,0,IF(6&gt;E15,0,IF(6&lt;=F15,C15,MIN(C15,Assumptions!$B$77)*INDEX(Assumptions!$B$71:$B$76,6)*Assumptions!$B$58))*Assumptions!$B$42+Assumptions!$B$38*IF(6&lt;=F15,1,Assumptions!$B$58)+(1-D15)*Assumptions!$B$39/Assumptions!$B$33)+IF(6=E15,D15*Assumptions!$B$26/Assumptions!$B$33*MAX(0,1-E15/Assumptions!$B$6),0)</f>
        <v/>
      </c>
      <c r="P15" s="11">
        <f>IFERROR(IRR(I15:O15),-1)</f>
        <v/>
      </c>
      <c r="Q15" s="12">
        <f>IFERROR(MATCH(TRUE,INDEX(AE15:AK15&gt;=0,0),0)-2+(-INDEX(AE15:AK15,MATCH(TRUE,INDEX(AE15:AK15&gt;=0,0),0)-1))/INDEX(I15:O15,MATCH(TRUE,INDEX(AE15:AK15&gt;=0,0),0)),"never")</f>
        <v/>
      </c>
      <c r="R15" s="6">
        <f>NPV(Assumptions!$B$149,J15:O15)+I15</f>
        <v/>
      </c>
      <c r="S15" s="11">
        <f>(G15-D15*Assumptions!$B$26/Assumptions!$B$33*MAX(0,1-E15/Assumptions!$B$6)/(1+Assumptions!$B$149)^E15)/(IF(1&gt;E15,0,IF(1&lt;=F15,C15,MIN(C15,Assumptions!$B$77)*INDEX(Assumptions!$B$71:$B$76,1)*Assumptions!$B$58))/(1+Assumptions!$B$149)^1+IF(2&gt;E15,0,IF(2&lt;=F15,C15,MIN(C15,Assumptions!$B$77)*INDEX(Assumptions!$B$71:$B$76,2)*Assumptions!$B$58))/(1+Assumptions!$B$149)^2+IF(3&gt;E15,0,IF(3&lt;=F15,C15,MIN(C15,Assumptions!$B$77)*INDEX(Assumptions!$B$71:$B$76,3)*Assumptions!$B$58))/(1+Assumptions!$B$149)^3+IF(4&gt;E15,0,IF(4&lt;=F15,C15,MIN(C15,Assumptions!$B$77)*INDEX(Assumptions!$B$71:$B$76,4)*Assumptions!$B$58))/(1+Assumptions!$B$149)^4+IF(5&gt;E15,0,IF(5&lt;=F15,C15,MIN(C15,Assumptions!$B$77)*INDEX(Assumptions!$B$71:$B$76,5)*Assumptions!$B$58))/(1+Assumptions!$B$149)^5+IF(6&gt;E15,0,IF(6&lt;=F15,C15,MIN(C15,Assumptions!$B$77)*INDEX(Assumptions!$B$71:$B$76,6)*Assumptions!$B$58))/(1+Assumptions!$B$149)^6)</f>
        <v/>
      </c>
      <c r="T15" s="11">
        <f>(IF(D15=1,Assumptions!$B$25/E15+Assumptions!$B$26/Assumptions!$B$6,Assumptions!$B$25/E15+(Assumptions!$B$27-Assumptions!$B$25)/Assumptions!$B$6)/Assumptions!$B$33)/C15</f>
        <v/>
      </c>
      <c r="U15" s="6">
        <f>Assumptions!$B$54*G15</f>
        <v/>
      </c>
      <c r="V15" s="6">
        <f>I15+U15</f>
        <v/>
      </c>
      <c r="W15" s="6">
        <f>J15-IF(1&lt;=F15,$U15/F15,0)</f>
        <v/>
      </c>
      <c r="X15" s="6">
        <f>K15-IF(2&lt;=F15,$U15/F15,0)</f>
        <v/>
      </c>
      <c r="Y15" s="6">
        <f>L15-IF(3&lt;=F15,$U15/F15,0)</f>
        <v/>
      </c>
      <c r="Z15" s="6">
        <f>M15-IF(4&lt;=F15,$U15/F15,0)</f>
        <v/>
      </c>
      <c r="AA15" s="6">
        <f>N15-IF(5&lt;=F15,$U15/F15,0)</f>
        <v/>
      </c>
      <c r="AB15" s="6">
        <f>O15-IF(6&lt;=F15,$U15/F15,0)</f>
        <v/>
      </c>
      <c r="AC15" s="11">
        <f>IFERROR(IRR(V15:AB15),IF(V15&gt;=0,"no equity at risk",-1))</f>
        <v/>
      </c>
      <c r="AD15" s="12">
        <f>IFERROR(MATCH(TRUE,INDEX(AL15:AR15&gt;=0,0),0)-2+(-INDEX(AL15:AR15,MATCH(TRUE,INDEX(AL15:AR15&gt;=0,0),0)-1))/INDEX(V15:AB15,MATCH(TRUE,INDEX(AL15:AR15&gt;=0,0),0)),"never")</f>
        <v/>
      </c>
      <c r="AE15">
        <f>SUM($I15:I15)</f>
        <v/>
      </c>
      <c r="AF15">
        <f>SUM($I15:J15)</f>
        <v/>
      </c>
      <c r="AG15">
        <f>SUM($I15:K15)</f>
        <v/>
      </c>
      <c r="AH15">
        <f>SUM($I15:L15)</f>
        <v/>
      </c>
      <c r="AI15">
        <f>SUM($I15:M15)</f>
        <v/>
      </c>
      <c r="AJ15">
        <f>SUM($I15:N15)</f>
        <v/>
      </c>
      <c r="AK15">
        <f>SUM($I15:O15)</f>
        <v/>
      </c>
      <c r="AL15">
        <f>SUM($V15:V15)</f>
        <v/>
      </c>
      <c r="AM15">
        <f>SUM($V15:W15)</f>
        <v/>
      </c>
      <c r="AN15">
        <f>SUM($V15:X15)</f>
        <v/>
      </c>
      <c r="AO15">
        <f>SUM($V15:Y15)</f>
        <v/>
      </c>
      <c r="AP15">
        <f>SUM($V15:Z15)</f>
        <v/>
      </c>
      <c r="AQ15">
        <f>SUM($V15:AA15)</f>
        <v/>
      </c>
      <c r="AR15">
        <f>SUM($V15:AB15)</f>
        <v/>
      </c>
    </row>
    <row r="16">
      <c r="A16" t="n">
        <v>15</v>
      </c>
      <c r="B16" t="inlineStr">
        <is>
          <t>Q2 deals high ($25M)</t>
        </is>
      </c>
      <c r="C16">
        <f>Assumptions!$B$46*(1-0)</f>
        <v/>
      </c>
      <c r="D16" t="n">
        <v>1</v>
      </c>
      <c r="E16">
        <f>Assumptions!$B$5</f>
        <v/>
      </c>
      <c r="F16">
        <f>Assumptions!$B$50</f>
        <v/>
      </c>
      <c r="G16" s="6">
        <f>IF(D16=1,Assumptions!$B$25+Assumptions!$B$26,Assumptions!$B$27)/Assumptions!$B$33</f>
        <v/>
      </c>
      <c r="H16" s="11">
        <f>1-Assumptions!$B$42-(Assumptions!$B$38+(1-D16)*Assumptions!$B$39/Assumptions!$B$33)/C16</f>
        <v/>
      </c>
      <c r="I16" s="6">
        <f>-G16</f>
        <v/>
      </c>
      <c r="J16" s="6">
        <f>IF(1&gt;E16,0,IF(1&lt;=F16,C16,MIN(C16,Assumptions!$B$77)*INDEX(Assumptions!$B$71:$B$76,1)*Assumptions!$B$58))-IF(1&gt;E16,0,IF(1&gt;E16,0,IF(1&lt;=F16,C16,MIN(C16,Assumptions!$B$77)*INDEX(Assumptions!$B$71:$B$76,1)*Assumptions!$B$58))*Assumptions!$B$42+Assumptions!$B$38*IF(1&lt;=F16,1,Assumptions!$B$58)+(1-D16)*Assumptions!$B$39/Assumptions!$B$33)+IF(1=E16,D16*Assumptions!$B$26/Assumptions!$B$33*MAX(0,1-E16/Assumptions!$B$6),0)</f>
        <v/>
      </c>
      <c r="K16" s="6">
        <f>IF(2&gt;E16,0,IF(2&lt;=F16,C16,MIN(C16,Assumptions!$B$77)*INDEX(Assumptions!$B$71:$B$76,2)*Assumptions!$B$58))-IF(2&gt;E16,0,IF(2&gt;E16,0,IF(2&lt;=F16,C16,MIN(C16,Assumptions!$B$77)*INDEX(Assumptions!$B$71:$B$76,2)*Assumptions!$B$58))*Assumptions!$B$42+Assumptions!$B$38*IF(2&lt;=F16,1,Assumptions!$B$58)+(1-D16)*Assumptions!$B$39/Assumptions!$B$33)+IF(2=E16,D16*Assumptions!$B$26/Assumptions!$B$33*MAX(0,1-E16/Assumptions!$B$6),0)</f>
        <v/>
      </c>
      <c r="L16" s="6">
        <f>IF(3&gt;E16,0,IF(3&lt;=F16,C16,MIN(C16,Assumptions!$B$77)*INDEX(Assumptions!$B$71:$B$76,3)*Assumptions!$B$58))-IF(3&gt;E16,0,IF(3&gt;E16,0,IF(3&lt;=F16,C16,MIN(C16,Assumptions!$B$77)*INDEX(Assumptions!$B$71:$B$76,3)*Assumptions!$B$58))*Assumptions!$B$42+Assumptions!$B$38*IF(3&lt;=F16,1,Assumptions!$B$58)+(1-D16)*Assumptions!$B$39/Assumptions!$B$33)+IF(3=E16,D16*Assumptions!$B$26/Assumptions!$B$33*MAX(0,1-E16/Assumptions!$B$6),0)</f>
        <v/>
      </c>
      <c r="M16" s="6">
        <f>IF(4&gt;E16,0,IF(4&lt;=F16,C16,MIN(C16,Assumptions!$B$77)*INDEX(Assumptions!$B$71:$B$76,4)*Assumptions!$B$58))-IF(4&gt;E16,0,IF(4&gt;E16,0,IF(4&lt;=F16,C16,MIN(C16,Assumptions!$B$77)*INDEX(Assumptions!$B$71:$B$76,4)*Assumptions!$B$58))*Assumptions!$B$42+Assumptions!$B$38*IF(4&lt;=F16,1,Assumptions!$B$58)+(1-D16)*Assumptions!$B$39/Assumptions!$B$33)+IF(4=E16,D16*Assumptions!$B$26/Assumptions!$B$33*MAX(0,1-E16/Assumptions!$B$6),0)</f>
        <v/>
      </c>
      <c r="N16" s="6">
        <f>IF(5&gt;E16,0,IF(5&lt;=F16,C16,MIN(C16,Assumptions!$B$77)*INDEX(Assumptions!$B$71:$B$76,5)*Assumptions!$B$58))-IF(5&gt;E16,0,IF(5&gt;E16,0,IF(5&lt;=F16,C16,MIN(C16,Assumptions!$B$77)*INDEX(Assumptions!$B$71:$B$76,5)*Assumptions!$B$58))*Assumptions!$B$42+Assumptions!$B$38*IF(5&lt;=F16,1,Assumptions!$B$58)+(1-D16)*Assumptions!$B$39/Assumptions!$B$33)+IF(5=E16,D16*Assumptions!$B$26/Assumptions!$B$33*MAX(0,1-E16/Assumptions!$B$6),0)</f>
        <v/>
      </c>
      <c r="O16" s="6">
        <f>IF(6&gt;E16,0,IF(6&lt;=F16,C16,MIN(C16,Assumptions!$B$77)*INDEX(Assumptions!$B$71:$B$76,6)*Assumptions!$B$58))-IF(6&gt;E16,0,IF(6&gt;E16,0,IF(6&lt;=F16,C16,MIN(C16,Assumptions!$B$77)*INDEX(Assumptions!$B$71:$B$76,6)*Assumptions!$B$58))*Assumptions!$B$42+Assumptions!$B$38*IF(6&lt;=F16,1,Assumptions!$B$58)+(1-D16)*Assumptions!$B$39/Assumptions!$B$33)+IF(6=E16,D16*Assumptions!$B$26/Assumptions!$B$33*MAX(0,1-E16/Assumptions!$B$6),0)</f>
        <v/>
      </c>
      <c r="P16" s="11">
        <f>IFERROR(IRR(I16:O16),-1)</f>
        <v/>
      </c>
      <c r="Q16" s="12">
        <f>IFERROR(MATCH(TRUE,INDEX(AE16:AK16&gt;=0,0),0)-2+(-INDEX(AE16:AK16,MATCH(TRUE,INDEX(AE16:AK16&gt;=0,0),0)-1))/INDEX(I16:O16,MATCH(TRUE,INDEX(AE16:AK16&gt;=0,0),0)),"never")</f>
        <v/>
      </c>
      <c r="R16" s="6">
        <f>NPV(Assumptions!$B$149,J16:O16)+I16</f>
        <v/>
      </c>
      <c r="S16" s="11">
        <f>(G16-D16*Assumptions!$B$26/Assumptions!$B$33*MAX(0,1-E16/Assumptions!$B$6)/(1+Assumptions!$B$149)^E16)/(IF(1&gt;E16,0,IF(1&lt;=F16,C16,MIN(C16,Assumptions!$B$77)*INDEX(Assumptions!$B$71:$B$76,1)*Assumptions!$B$58))/(1+Assumptions!$B$149)^1+IF(2&gt;E16,0,IF(2&lt;=F16,C16,MIN(C16,Assumptions!$B$77)*INDEX(Assumptions!$B$71:$B$76,2)*Assumptions!$B$58))/(1+Assumptions!$B$149)^2+IF(3&gt;E16,0,IF(3&lt;=F16,C16,MIN(C16,Assumptions!$B$77)*INDEX(Assumptions!$B$71:$B$76,3)*Assumptions!$B$58))/(1+Assumptions!$B$149)^3+IF(4&gt;E16,0,IF(4&lt;=F16,C16,MIN(C16,Assumptions!$B$77)*INDEX(Assumptions!$B$71:$B$76,4)*Assumptions!$B$58))/(1+Assumptions!$B$149)^4+IF(5&gt;E16,0,IF(5&lt;=F16,C16,MIN(C16,Assumptions!$B$77)*INDEX(Assumptions!$B$71:$B$76,5)*Assumptions!$B$58))/(1+Assumptions!$B$149)^5+IF(6&gt;E16,0,IF(6&lt;=F16,C16,MIN(C16,Assumptions!$B$77)*INDEX(Assumptions!$B$71:$B$76,6)*Assumptions!$B$58))/(1+Assumptions!$B$149)^6)</f>
        <v/>
      </c>
      <c r="T16" s="11">
        <f>(IF(D16=1,Assumptions!$B$25/E16+Assumptions!$B$26/Assumptions!$B$6,Assumptions!$B$25/E16+(Assumptions!$B$27-Assumptions!$B$25)/Assumptions!$B$6)/Assumptions!$B$33)/C16</f>
        <v/>
      </c>
      <c r="U16" s="6">
        <f>Assumptions!$B$54*G16</f>
        <v/>
      </c>
      <c r="V16" s="6">
        <f>I16+U16</f>
        <v/>
      </c>
      <c r="W16" s="6">
        <f>J16-IF(1&lt;=F16,$U16/F16,0)</f>
        <v/>
      </c>
      <c r="X16" s="6">
        <f>K16-IF(2&lt;=F16,$U16/F16,0)</f>
        <v/>
      </c>
      <c r="Y16" s="6">
        <f>L16-IF(3&lt;=F16,$U16/F16,0)</f>
        <v/>
      </c>
      <c r="Z16" s="6">
        <f>M16-IF(4&lt;=F16,$U16/F16,0)</f>
        <v/>
      </c>
      <c r="AA16" s="6">
        <f>N16-IF(5&lt;=F16,$U16/F16,0)</f>
        <v/>
      </c>
      <c r="AB16" s="6">
        <f>O16-IF(6&lt;=F16,$U16/F16,0)</f>
        <v/>
      </c>
      <c r="AC16" s="11">
        <f>IFERROR(IRR(V16:AB16),IF(V16&gt;=0,"no equity at risk",-1))</f>
        <v/>
      </c>
      <c r="AD16" s="12">
        <f>IFERROR(MATCH(TRUE,INDEX(AL16:AR16&gt;=0,0),0)-2+(-INDEX(AL16:AR16,MATCH(TRUE,INDEX(AL16:AR16&gt;=0,0),0)-1))/INDEX(V16:AB16,MATCH(TRUE,INDEX(AL16:AR16&gt;=0,0),0)),"never")</f>
        <v/>
      </c>
      <c r="AE16">
        <f>SUM($I16:I16)</f>
        <v/>
      </c>
      <c r="AF16">
        <f>SUM($I16:J16)</f>
        <v/>
      </c>
      <c r="AG16">
        <f>SUM($I16:K16)</f>
        <v/>
      </c>
      <c r="AH16">
        <f>SUM($I16:L16)</f>
        <v/>
      </c>
      <c r="AI16">
        <f>SUM($I16:M16)</f>
        <v/>
      </c>
      <c r="AJ16">
        <f>SUM($I16:N16)</f>
        <v/>
      </c>
      <c r="AK16">
        <f>SUM($I16:O16)</f>
        <v/>
      </c>
      <c r="AL16">
        <f>SUM($V16:V16)</f>
        <v/>
      </c>
      <c r="AM16">
        <f>SUM($V16:W16)</f>
        <v/>
      </c>
      <c r="AN16">
        <f>SUM($V16:X16)</f>
        <v/>
      </c>
      <c r="AO16">
        <f>SUM($V16:Y16)</f>
        <v/>
      </c>
      <c r="AP16">
        <f>SUM($V16:Z16)</f>
        <v/>
      </c>
      <c r="AQ16">
        <f>SUM($V16:AA16)</f>
        <v/>
      </c>
      <c r="AR16">
        <f>SUM($V16:AB16)</f>
        <v/>
      </c>
    </row>
    <row r="17">
      <c r="A17" t="n">
        <v>16</v>
      </c>
      <c r="B17" t="inlineStr">
        <is>
          <t>Q2 deals high ($25M)</t>
        </is>
      </c>
      <c r="C17">
        <f>Assumptions!$B$46*(1-0)</f>
        <v/>
      </c>
      <c r="D17" t="n">
        <v>0</v>
      </c>
      <c r="E17">
        <f>Assumptions!$B$3</f>
        <v/>
      </c>
      <c r="F17">
        <f>Assumptions!$B$50</f>
        <v/>
      </c>
      <c r="G17" s="6">
        <f>IF(D17=1,Assumptions!$B$25+Assumptions!$B$26,Assumptions!$B$27)/Assumptions!$B$33</f>
        <v/>
      </c>
      <c r="H17" s="11">
        <f>1-Assumptions!$B$42-(Assumptions!$B$38+(1-D17)*Assumptions!$B$39/Assumptions!$B$33)/C17</f>
        <v/>
      </c>
      <c r="I17" s="6">
        <f>-G17</f>
        <v/>
      </c>
      <c r="J17" s="6">
        <f>IF(1&gt;E17,0,IF(1&lt;=F17,C17,MIN(C17,Assumptions!$B$77)*INDEX(Assumptions!$B$71:$B$76,1)*Assumptions!$B$58))-IF(1&gt;E17,0,IF(1&gt;E17,0,IF(1&lt;=F17,C17,MIN(C17,Assumptions!$B$77)*INDEX(Assumptions!$B$71:$B$76,1)*Assumptions!$B$58))*Assumptions!$B$42+Assumptions!$B$38*IF(1&lt;=F17,1,Assumptions!$B$58)+(1-D17)*Assumptions!$B$39/Assumptions!$B$33)+IF(1=E17,D17*Assumptions!$B$26/Assumptions!$B$33*MAX(0,1-E17/Assumptions!$B$6),0)</f>
        <v/>
      </c>
      <c r="K17" s="6">
        <f>IF(2&gt;E17,0,IF(2&lt;=F17,C17,MIN(C17,Assumptions!$B$77)*INDEX(Assumptions!$B$71:$B$76,2)*Assumptions!$B$58))-IF(2&gt;E17,0,IF(2&gt;E17,0,IF(2&lt;=F17,C17,MIN(C17,Assumptions!$B$77)*INDEX(Assumptions!$B$71:$B$76,2)*Assumptions!$B$58))*Assumptions!$B$42+Assumptions!$B$38*IF(2&lt;=F17,1,Assumptions!$B$58)+(1-D17)*Assumptions!$B$39/Assumptions!$B$33)+IF(2=E17,D17*Assumptions!$B$26/Assumptions!$B$33*MAX(0,1-E17/Assumptions!$B$6),0)</f>
        <v/>
      </c>
      <c r="L17" s="6">
        <f>IF(3&gt;E17,0,IF(3&lt;=F17,C17,MIN(C17,Assumptions!$B$77)*INDEX(Assumptions!$B$71:$B$76,3)*Assumptions!$B$58))-IF(3&gt;E17,0,IF(3&gt;E17,0,IF(3&lt;=F17,C17,MIN(C17,Assumptions!$B$77)*INDEX(Assumptions!$B$71:$B$76,3)*Assumptions!$B$58))*Assumptions!$B$42+Assumptions!$B$38*IF(3&lt;=F17,1,Assumptions!$B$58)+(1-D17)*Assumptions!$B$39/Assumptions!$B$33)+IF(3=E17,D17*Assumptions!$B$26/Assumptions!$B$33*MAX(0,1-E17/Assumptions!$B$6),0)</f>
        <v/>
      </c>
      <c r="M17" s="6">
        <f>IF(4&gt;E17,0,IF(4&lt;=F17,C17,MIN(C17,Assumptions!$B$77)*INDEX(Assumptions!$B$71:$B$76,4)*Assumptions!$B$58))-IF(4&gt;E17,0,IF(4&gt;E17,0,IF(4&lt;=F17,C17,MIN(C17,Assumptions!$B$77)*INDEX(Assumptions!$B$71:$B$76,4)*Assumptions!$B$58))*Assumptions!$B$42+Assumptions!$B$38*IF(4&lt;=F17,1,Assumptions!$B$58)+(1-D17)*Assumptions!$B$39/Assumptions!$B$33)+IF(4=E17,D17*Assumptions!$B$26/Assumptions!$B$33*MAX(0,1-E17/Assumptions!$B$6),0)</f>
        <v/>
      </c>
      <c r="N17" s="6">
        <f>IF(5&gt;E17,0,IF(5&lt;=F17,C17,MIN(C17,Assumptions!$B$77)*INDEX(Assumptions!$B$71:$B$76,5)*Assumptions!$B$58))-IF(5&gt;E17,0,IF(5&gt;E17,0,IF(5&lt;=F17,C17,MIN(C17,Assumptions!$B$77)*INDEX(Assumptions!$B$71:$B$76,5)*Assumptions!$B$58))*Assumptions!$B$42+Assumptions!$B$38*IF(5&lt;=F17,1,Assumptions!$B$58)+(1-D17)*Assumptions!$B$39/Assumptions!$B$33)+IF(5=E17,D17*Assumptions!$B$26/Assumptions!$B$33*MAX(0,1-E17/Assumptions!$B$6),0)</f>
        <v/>
      </c>
      <c r="O17" s="6">
        <f>IF(6&gt;E17,0,IF(6&lt;=F17,C17,MIN(C17,Assumptions!$B$77)*INDEX(Assumptions!$B$71:$B$76,6)*Assumptions!$B$58))-IF(6&gt;E17,0,IF(6&gt;E17,0,IF(6&lt;=F17,C17,MIN(C17,Assumptions!$B$77)*INDEX(Assumptions!$B$71:$B$76,6)*Assumptions!$B$58))*Assumptions!$B$42+Assumptions!$B$38*IF(6&lt;=F17,1,Assumptions!$B$58)+(1-D17)*Assumptions!$B$39/Assumptions!$B$33)+IF(6=E17,D17*Assumptions!$B$26/Assumptions!$B$33*MAX(0,1-E17/Assumptions!$B$6),0)</f>
        <v/>
      </c>
      <c r="P17" s="11">
        <f>IFERROR(IRR(I17:O17),-1)</f>
        <v/>
      </c>
      <c r="Q17" s="12">
        <f>IFERROR(MATCH(TRUE,INDEX(AE17:AK17&gt;=0,0),0)-2+(-INDEX(AE17:AK17,MATCH(TRUE,INDEX(AE17:AK17&gt;=0,0),0)-1))/INDEX(I17:O17,MATCH(TRUE,INDEX(AE17:AK17&gt;=0,0),0)),"never")</f>
        <v/>
      </c>
      <c r="R17" s="6">
        <f>NPV(Assumptions!$B$149,J17:O17)+I17</f>
        <v/>
      </c>
      <c r="S17" s="11">
        <f>(G17-D17*Assumptions!$B$26/Assumptions!$B$33*MAX(0,1-E17/Assumptions!$B$6)/(1+Assumptions!$B$149)^E17)/(IF(1&gt;E17,0,IF(1&lt;=F17,C17,MIN(C17,Assumptions!$B$77)*INDEX(Assumptions!$B$71:$B$76,1)*Assumptions!$B$58))/(1+Assumptions!$B$149)^1+IF(2&gt;E17,0,IF(2&lt;=F17,C17,MIN(C17,Assumptions!$B$77)*INDEX(Assumptions!$B$71:$B$76,2)*Assumptions!$B$58))/(1+Assumptions!$B$149)^2+IF(3&gt;E17,0,IF(3&lt;=F17,C17,MIN(C17,Assumptions!$B$77)*INDEX(Assumptions!$B$71:$B$76,3)*Assumptions!$B$58))/(1+Assumptions!$B$149)^3+IF(4&gt;E17,0,IF(4&lt;=F17,C17,MIN(C17,Assumptions!$B$77)*INDEX(Assumptions!$B$71:$B$76,4)*Assumptions!$B$58))/(1+Assumptions!$B$149)^4+IF(5&gt;E17,0,IF(5&lt;=F17,C17,MIN(C17,Assumptions!$B$77)*INDEX(Assumptions!$B$71:$B$76,5)*Assumptions!$B$58))/(1+Assumptions!$B$149)^5+IF(6&gt;E17,0,IF(6&lt;=F17,C17,MIN(C17,Assumptions!$B$77)*INDEX(Assumptions!$B$71:$B$76,6)*Assumptions!$B$58))/(1+Assumptions!$B$149)^6)</f>
        <v/>
      </c>
      <c r="T17" s="11">
        <f>(IF(D17=1,Assumptions!$B$25/E17+Assumptions!$B$26/Assumptions!$B$6,Assumptions!$B$25/E17+(Assumptions!$B$27-Assumptions!$B$25)/Assumptions!$B$6)/Assumptions!$B$33)/C17</f>
        <v/>
      </c>
      <c r="U17" s="6">
        <f>Assumptions!$B$54*G17</f>
        <v/>
      </c>
      <c r="V17" s="6">
        <f>I17+U17</f>
        <v/>
      </c>
      <c r="W17" s="6">
        <f>J17-IF(1&lt;=F17,$U17/F17,0)</f>
        <v/>
      </c>
      <c r="X17" s="6">
        <f>K17-IF(2&lt;=F17,$U17/F17,0)</f>
        <v/>
      </c>
      <c r="Y17" s="6">
        <f>L17-IF(3&lt;=F17,$U17/F17,0)</f>
        <v/>
      </c>
      <c r="Z17" s="6">
        <f>M17-IF(4&lt;=F17,$U17/F17,0)</f>
        <v/>
      </c>
      <c r="AA17" s="6">
        <f>N17-IF(5&lt;=F17,$U17/F17,0)</f>
        <v/>
      </c>
      <c r="AB17" s="6">
        <f>O17-IF(6&lt;=F17,$U17/F17,0)</f>
        <v/>
      </c>
      <c r="AC17" s="11">
        <f>IFERROR(IRR(V17:AB17),IF(V17&gt;=0,"no equity at risk",-1))</f>
        <v/>
      </c>
      <c r="AD17" s="12">
        <f>IFERROR(MATCH(TRUE,INDEX(AL17:AR17&gt;=0,0),0)-2+(-INDEX(AL17:AR17,MATCH(TRUE,INDEX(AL17:AR17&gt;=0,0),0)-1))/INDEX(V17:AB17,MATCH(TRUE,INDEX(AL17:AR17&gt;=0,0),0)),"never")</f>
        <v/>
      </c>
      <c r="AE17">
        <f>SUM($I17:I17)</f>
        <v/>
      </c>
      <c r="AF17">
        <f>SUM($I17:J17)</f>
        <v/>
      </c>
      <c r="AG17">
        <f>SUM($I17:K17)</f>
        <v/>
      </c>
      <c r="AH17">
        <f>SUM($I17:L17)</f>
        <v/>
      </c>
      <c r="AI17">
        <f>SUM($I17:M17)</f>
        <v/>
      </c>
      <c r="AJ17">
        <f>SUM($I17:N17)</f>
        <v/>
      </c>
      <c r="AK17">
        <f>SUM($I17:O17)</f>
        <v/>
      </c>
      <c r="AL17">
        <f>SUM($V17:V17)</f>
        <v/>
      </c>
      <c r="AM17">
        <f>SUM($V17:W17)</f>
        <v/>
      </c>
      <c r="AN17">
        <f>SUM($V17:X17)</f>
        <v/>
      </c>
      <c r="AO17">
        <f>SUM($V17:Y17)</f>
        <v/>
      </c>
      <c r="AP17">
        <f>SUM($V17:Z17)</f>
        <v/>
      </c>
      <c r="AQ17">
        <f>SUM($V17:AA17)</f>
        <v/>
      </c>
      <c r="AR17">
        <f>SUM($V17:AB17)</f>
        <v/>
      </c>
    </row>
    <row r="18">
      <c r="A18" t="n">
        <v>17</v>
      </c>
      <c r="B18" t="inlineStr">
        <is>
          <t>Q2 deals high ($25M)</t>
        </is>
      </c>
      <c r="C18">
        <f>Assumptions!$B$46*(1-0)</f>
        <v/>
      </c>
      <c r="D18" t="n">
        <v>0</v>
      </c>
      <c r="E18">
        <f>Assumptions!$B$4</f>
        <v/>
      </c>
      <c r="F18">
        <f>Assumptions!$B$50</f>
        <v/>
      </c>
      <c r="G18" s="6">
        <f>IF(D18=1,Assumptions!$B$25+Assumptions!$B$26,Assumptions!$B$27)/Assumptions!$B$33</f>
        <v/>
      </c>
      <c r="H18" s="11">
        <f>1-Assumptions!$B$42-(Assumptions!$B$38+(1-D18)*Assumptions!$B$39/Assumptions!$B$33)/C18</f>
        <v/>
      </c>
      <c r="I18" s="6">
        <f>-G18</f>
        <v/>
      </c>
      <c r="J18" s="6">
        <f>IF(1&gt;E18,0,IF(1&lt;=F18,C18,MIN(C18,Assumptions!$B$77)*INDEX(Assumptions!$B$71:$B$76,1)*Assumptions!$B$58))-IF(1&gt;E18,0,IF(1&gt;E18,0,IF(1&lt;=F18,C18,MIN(C18,Assumptions!$B$77)*INDEX(Assumptions!$B$71:$B$76,1)*Assumptions!$B$58))*Assumptions!$B$42+Assumptions!$B$38*IF(1&lt;=F18,1,Assumptions!$B$58)+(1-D18)*Assumptions!$B$39/Assumptions!$B$33)+IF(1=E18,D18*Assumptions!$B$26/Assumptions!$B$33*MAX(0,1-E18/Assumptions!$B$6),0)</f>
        <v/>
      </c>
      <c r="K18" s="6">
        <f>IF(2&gt;E18,0,IF(2&lt;=F18,C18,MIN(C18,Assumptions!$B$77)*INDEX(Assumptions!$B$71:$B$76,2)*Assumptions!$B$58))-IF(2&gt;E18,0,IF(2&gt;E18,0,IF(2&lt;=F18,C18,MIN(C18,Assumptions!$B$77)*INDEX(Assumptions!$B$71:$B$76,2)*Assumptions!$B$58))*Assumptions!$B$42+Assumptions!$B$38*IF(2&lt;=F18,1,Assumptions!$B$58)+(1-D18)*Assumptions!$B$39/Assumptions!$B$33)+IF(2=E18,D18*Assumptions!$B$26/Assumptions!$B$33*MAX(0,1-E18/Assumptions!$B$6),0)</f>
        <v/>
      </c>
      <c r="L18" s="6">
        <f>IF(3&gt;E18,0,IF(3&lt;=F18,C18,MIN(C18,Assumptions!$B$77)*INDEX(Assumptions!$B$71:$B$76,3)*Assumptions!$B$58))-IF(3&gt;E18,0,IF(3&gt;E18,0,IF(3&lt;=F18,C18,MIN(C18,Assumptions!$B$77)*INDEX(Assumptions!$B$71:$B$76,3)*Assumptions!$B$58))*Assumptions!$B$42+Assumptions!$B$38*IF(3&lt;=F18,1,Assumptions!$B$58)+(1-D18)*Assumptions!$B$39/Assumptions!$B$33)+IF(3=E18,D18*Assumptions!$B$26/Assumptions!$B$33*MAX(0,1-E18/Assumptions!$B$6),0)</f>
        <v/>
      </c>
      <c r="M18" s="6">
        <f>IF(4&gt;E18,0,IF(4&lt;=F18,C18,MIN(C18,Assumptions!$B$77)*INDEX(Assumptions!$B$71:$B$76,4)*Assumptions!$B$58))-IF(4&gt;E18,0,IF(4&gt;E18,0,IF(4&lt;=F18,C18,MIN(C18,Assumptions!$B$77)*INDEX(Assumptions!$B$71:$B$76,4)*Assumptions!$B$58))*Assumptions!$B$42+Assumptions!$B$38*IF(4&lt;=F18,1,Assumptions!$B$58)+(1-D18)*Assumptions!$B$39/Assumptions!$B$33)+IF(4=E18,D18*Assumptions!$B$26/Assumptions!$B$33*MAX(0,1-E18/Assumptions!$B$6),0)</f>
        <v/>
      </c>
      <c r="N18" s="6">
        <f>IF(5&gt;E18,0,IF(5&lt;=F18,C18,MIN(C18,Assumptions!$B$77)*INDEX(Assumptions!$B$71:$B$76,5)*Assumptions!$B$58))-IF(5&gt;E18,0,IF(5&gt;E18,0,IF(5&lt;=F18,C18,MIN(C18,Assumptions!$B$77)*INDEX(Assumptions!$B$71:$B$76,5)*Assumptions!$B$58))*Assumptions!$B$42+Assumptions!$B$38*IF(5&lt;=F18,1,Assumptions!$B$58)+(1-D18)*Assumptions!$B$39/Assumptions!$B$33)+IF(5=E18,D18*Assumptions!$B$26/Assumptions!$B$33*MAX(0,1-E18/Assumptions!$B$6),0)</f>
        <v/>
      </c>
      <c r="O18" s="6">
        <f>IF(6&gt;E18,0,IF(6&lt;=F18,C18,MIN(C18,Assumptions!$B$77)*INDEX(Assumptions!$B$71:$B$76,6)*Assumptions!$B$58))-IF(6&gt;E18,0,IF(6&gt;E18,0,IF(6&lt;=F18,C18,MIN(C18,Assumptions!$B$77)*INDEX(Assumptions!$B$71:$B$76,6)*Assumptions!$B$58))*Assumptions!$B$42+Assumptions!$B$38*IF(6&lt;=F18,1,Assumptions!$B$58)+(1-D18)*Assumptions!$B$39/Assumptions!$B$33)+IF(6=E18,D18*Assumptions!$B$26/Assumptions!$B$33*MAX(0,1-E18/Assumptions!$B$6),0)</f>
        <v/>
      </c>
      <c r="P18" s="11">
        <f>IFERROR(IRR(I18:O18),-1)</f>
        <v/>
      </c>
      <c r="Q18" s="12">
        <f>IFERROR(MATCH(TRUE,INDEX(AE18:AK18&gt;=0,0),0)-2+(-INDEX(AE18:AK18,MATCH(TRUE,INDEX(AE18:AK18&gt;=0,0),0)-1))/INDEX(I18:O18,MATCH(TRUE,INDEX(AE18:AK18&gt;=0,0),0)),"never")</f>
        <v/>
      </c>
      <c r="R18" s="6">
        <f>NPV(Assumptions!$B$149,J18:O18)+I18</f>
        <v/>
      </c>
      <c r="S18" s="11">
        <f>(G18-D18*Assumptions!$B$26/Assumptions!$B$33*MAX(0,1-E18/Assumptions!$B$6)/(1+Assumptions!$B$149)^E18)/(IF(1&gt;E18,0,IF(1&lt;=F18,C18,MIN(C18,Assumptions!$B$77)*INDEX(Assumptions!$B$71:$B$76,1)*Assumptions!$B$58))/(1+Assumptions!$B$149)^1+IF(2&gt;E18,0,IF(2&lt;=F18,C18,MIN(C18,Assumptions!$B$77)*INDEX(Assumptions!$B$71:$B$76,2)*Assumptions!$B$58))/(1+Assumptions!$B$149)^2+IF(3&gt;E18,0,IF(3&lt;=F18,C18,MIN(C18,Assumptions!$B$77)*INDEX(Assumptions!$B$71:$B$76,3)*Assumptions!$B$58))/(1+Assumptions!$B$149)^3+IF(4&gt;E18,0,IF(4&lt;=F18,C18,MIN(C18,Assumptions!$B$77)*INDEX(Assumptions!$B$71:$B$76,4)*Assumptions!$B$58))/(1+Assumptions!$B$149)^4+IF(5&gt;E18,0,IF(5&lt;=F18,C18,MIN(C18,Assumptions!$B$77)*INDEX(Assumptions!$B$71:$B$76,5)*Assumptions!$B$58))/(1+Assumptions!$B$149)^5+IF(6&gt;E18,0,IF(6&lt;=F18,C18,MIN(C18,Assumptions!$B$77)*INDEX(Assumptions!$B$71:$B$76,6)*Assumptions!$B$58))/(1+Assumptions!$B$149)^6)</f>
        <v/>
      </c>
      <c r="T18" s="11">
        <f>(IF(D18=1,Assumptions!$B$25/E18+Assumptions!$B$26/Assumptions!$B$6,Assumptions!$B$25/E18+(Assumptions!$B$27-Assumptions!$B$25)/Assumptions!$B$6)/Assumptions!$B$33)/C18</f>
        <v/>
      </c>
      <c r="U18" s="6">
        <f>Assumptions!$B$54*G18</f>
        <v/>
      </c>
      <c r="V18" s="6">
        <f>I18+U18</f>
        <v/>
      </c>
      <c r="W18" s="6">
        <f>J18-IF(1&lt;=F18,$U18/F18,0)</f>
        <v/>
      </c>
      <c r="X18" s="6">
        <f>K18-IF(2&lt;=F18,$U18/F18,0)</f>
        <v/>
      </c>
      <c r="Y18" s="6">
        <f>L18-IF(3&lt;=F18,$U18/F18,0)</f>
        <v/>
      </c>
      <c r="Z18" s="6">
        <f>M18-IF(4&lt;=F18,$U18/F18,0)</f>
        <v/>
      </c>
      <c r="AA18" s="6">
        <f>N18-IF(5&lt;=F18,$U18/F18,0)</f>
        <v/>
      </c>
      <c r="AB18" s="6">
        <f>O18-IF(6&lt;=F18,$U18/F18,0)</f>
        <v/>
      </c>
      <c r="AC18" s="11">
        <f>IFERROR(IRR(V18:AB18),IF(V18&gt;=0,"no equity at risk",-1))</f>
        <v/>
      </c>
      <c r="AD18" s="12">
        <f>IFERROR(MATCH(TRUE,INDEX(AL18:AR18&gt;=0,0),0)-2+(-INDEX(AL18:AR18,MATCH(TRUE,INDEX(AL18:AR18&gt;=0,0),0)-1))/INDEX(V18:AB18,MATCH(TRUE,INDEX(AL18:AR18&gt;=0,0),0)),"never")</f>
        <v/>
      </c>
      <c r="AE18">
        <f>SUM($I18:I18)</f>
        <v/>
      </c>
      <c r="AF18">
        <f>SUM($I18:J18)</f>
        <v/>
      </c>
      <c r="AG18">
        <f>SUM($I18:K18)</f>
        <v/>
      </c>
      <c r="AH18">
        <f>SUM($I18:L18)</f>
        <v/>
      </c>
      <c r="AI18">
        <f>SUM($I18:M18)</f>
        <v/>
      </c>
      <c r="AJ18">
        <f>SUM($I18:N18)</f>
        <v/>
      </c>
      <c r="AK18">
        <f>SUM($I18:O18)</f>
        <v/>
      </c>
      <c r="AL18">
        <f>SUM($V18:V18)</f>
        <v/>
      </c>
      <c r="AM18">
        <f>SUM($V18:W18)</f>
        <v/>
      </c>
      <c r="AN18">
        <f>SUM($V18:X18)</f>
        <v/>
      </c>
      <c r="AO18">
        <f>SUM($V18:Y18)</f>
        <v/>
      </c>
      <c r="AP18">
        <f>SUM($V18:Z18)</f>
        <v/>
      </c>
      <c r="AQ18">
        <f>SUM($V18:AA18)</f>
        <v/>
      </c>
      <c r="AR18">
        <f>SUM($V18:AB18)</f>
        <v/>
      </c>
    </row>
    <row r="19">
      <c r="A19" t="n">
        <v>18</v>
      </c>
      <c r="B19" t="inlineStr">
        <is>
          <t>Q2 deals high ($25M)</t>
        </is>
      </c>
      <c r="C19">
        <f>Assumptions!$B$46*(1-0)</f>
        <v/>
      </c>
      <c r="D19" t="n">
        <v>0</v>
      </c>
      <c r="E19">
        <f>Assumptions!$B$5</f>
        <v/>
      </c>
      <c r="F19">
        <f>Assumptions!$B$50</f>
        <v/>
      </c>
      <c r="G19" s="6">
        <f>IF(D19=1,Assumptions!$B$25+Assumptions!$B$26,Assumptions!$B$27)/Assumptions!$B$33</f>
        <v/>
      </c>
      <c r="H19" s="11">
        <f>1-Assumptions!$B$42-(Assumptions!$B$38+(1-D19)*Assumptions!$B$39/Assumptions!$B$33)/C19</f>
        <v/>
      </c>
      <c r="I19" s="6">
        <f>-G19</f>
        <v/>
      </c>
      <c r="J19" s="6">
        <f>IF(1&gt;E19,0,IF(1&lt;=F19,C19,MIN(C19,Assumptions!$B$77)*INDEX(Assumptions!$B$71:$B$76,1)*Assumptions!$B$58))-IF(1&gt;E19,0,IF(1&gt;E19,0,IF(1&lt;=F19,C19,MIN(C19,Assumptions!$B$77)*INDEX(Assumptions!$B$71:$B$76,1)*Assumptions!$B$58))*Assumptions!$B$42+Assumptions!$B$38*IF(1&lt;=F19,1,Assumptions!$B$58)+(1-D19)*Assumptions!$B$39/Assumptions!$B$33)+IF(1=E19,D19*Assumptions!$B$26/Assumptions!$B$33*MAX(0,1-E19/Assumptions!$B$6),0)</f>
        <v/>
      </c>
      <c r="K19" s="6">
        <f>IF(2&gt;E19,0,IF(2&lt;=F19,C19,MIN(C19,Assumptions!$B$77)*INDEX(Assumptions!$B$71:$B$76,2)*Assumptions!$B$58))-IF(2&gt;E19,0,IF(2&gt;E19,0,IF(2&lt;=F19,C19,MIN(C19,Assumptions!$B$77)*INDEX(Assumptions!$B$71:$B$76,2)*Assumptions!$B$58))*Assumptions!$B$42+Assumptions!$B$38*IF(2&lt;=F19,1,Assumptions!$B$58)+(1-D19)*Assumptions!$B$39/Assumptions!$B$33)+IF(2=E19,D19*Assumptions!$B$26/Assumptions!$B$33*MAX(0,1-E19/Assumptions!$B$6),0)</f>
        <v/>
      </c>
      <c r="L19" s="6">
        <f>IF(3&gt;E19,0,IF(3&lt;=F19,C19,MIN(C19,Assumptions!$B$77)*INDEX(Assumptions!$B$71:$B$76,3)*Assumptions!$B$58))-IF(3&gt;E19,0,IF(3&gt;E19,0,IF(3&lt;=F19,C19,MIN(C19,Assumptions!$B$77)*INDEX(Assumptions!$B$71:$B$76,3)*Assumptions!$B$58))*Assumptions!$B$42+Assumptions!$B$38*IF(3&lt;=F19,1,Assumptions!$B$58)+(1-D19)*Assumptions!$B$39/Assumptions!$B$33)+IF(3=E19,D19*Assumptions!$B$26/Assumptions!$B$33*MAX(0,1-E19/Assumptions!$B$6),0)</f>
        <v/>
      </c>
      <c r="M19" s="6">
        <f>IF(4&gt;E19,0,IF(4&lt;=F19,C19,MIN(C19,Assumptions!$B$77)*INDEX(Assumptions!$B$71:$B$76,4)*Assumptions!$B$58))-IF(4&gt;E19,0,IF(4&gt;E19,0,IF(4&lt;=F19,C19,MIN(C19,Assumptions!$B$77)*INDEX(Assumptions!$B$71:$B$76,4)*Assumptions!$B$58))*Assumptions!$B$42+Assumptions!$B$38*IF(4&lt;=F19,1,Assumptions!$B$58)+(1-D19)*Assumptions!$B$39/Assumptions!$B$33)+IF(4=E19,D19*Assumptions!$B$26/Assumptions!$B$33*MAX(0,1-E19/Assumptions!$B$6),0)</f>
        <v/>
      </c>
      <c r="N19" s="6">
        <f>IF(5&gt;E19,0,IF(5&lt;=F19,C19,MIN(C19,Assumptions!$B$77)*INDEX(Assumptions!$B$71:$B$76,5)*Assumptions!$B$58))-IF(5&gt;E19,0,IF(5&gt;E19,0,IF(5&lt;=F19,C19,MIN(C19,Assumptions!$B$77)*INDEX(Assumptions!$B$71:$B$76,5)*Assumptions!$B$58))*Assumptions!$B$42+Assumptions!$B$38*IF(5&lt;=F19,1,Assumptions!$B$58)+(1-D19)*Assumptions!$B$39/Assumptions!$B$33)+IF(5=E19,D19*Assumptions!$B$26/Assumptions!$B$33*MAX(0,1-E19/Assumptions!$B$6),0)</f>
        <v/>
      </c>
      <c r="O19" s="6">
        <f>IF(6&gt;E19,0,IF(6&lt;=F19,C19,MIN(C19,Assumptions!$B$77)*INDEX(Assumptions!$B$71:$B$76,6)*Assumptions!$B$58))-IF(6&gt;E19,0,IF(6&gt;E19,0,IF(6&lt;=F19,C19,MIN(C19,Assumptions!$B$77)*INDEX(Assumptions!$B$71:$B$76,6)*Assumptions!$B$58))*Assumptions!$B$42+Assumptions!$B$38*IF(6&lt;=F19,1,Assumptions!$B$58)+(1-D19)*Assumptions!$B$39/Assumptions!$B$33)+IF(6=E19,D19*Assumptions!$B$26/Assumptions!$B$33*MAX(0,1-E19/Assumptions!$B$6),0)</f>
        <v/>
      </c>
      <c r="P19" s="11">
        <f>IFERROR(IRR(I19:O19),-1)</f>
        <v/>
      </c>
      <c r="Q19" s="12">
        <f>IFERROR(MATCH(TRUE,INDEX(AE19:AK19&gt;=0,0),0)-2+(-INDEX(AE19:AK19,MATCH(TRUE,INDEX(AE19:AK19&gt;=0,0),0)-1))/INDEX(I19:O19,MATCH(TRUE,INDEX(AE19:AK19&gt;=0,0),0)),"never")</f>
        <v/>
      </c>
      <c r="R19" s="6">
        <f>NPV(Assumptions!$B$149,J19:O19)+I19</f>
        <v/>
      </c>
      <c r="S19" s="11">
        <f>(G19-D19*Assumptions!$B$26/Assumptions!$B$33*MAX(0,1-E19/Assumptions!$B$6)/(1+Assumptions!$B$149)^E19)/(IF(1&gt;E19,0,IF(1&lt;=F19,C19,MIN(C19,Assumptions!$B$77)*INDEX(Assumptions!$B$71:$B$76,1)*Assumptions!$B$58))/(1+Assumptions!$B$149)^1+IF(2&gt;E19,0,IF(2&lt;=F19,C19,MIN(C19,Assumptions!$B$77)*INDEX(Assumptions!$B$71:$B$76,2)*Assumptions!$B$58))/(1+Assumptions!$B$149)^2+IF(3&gt;E19,0,IF(3&lt;=F19,C19,MIN(C19,Assumptions!$B$77)*INDEX(Assumptions!$B$71:$B$76,3)*Assumptions!$B$58))/(1+Assumptions!$B$149)^3+IF(4&gt;E19,0,IF(4&lt;=F19,C19,MIN(C19,Assumptions!$B$77)*INDEX(Assumptions!$B$71:$B$76,4)*Assumptions!$B$58))/(1+Assumptions!$B$149)^4+IF(5&gt;E19,0,IF(5&lt;=F19,C19,MIN(C19,Assumptions!$B$77)*INDEX(Assumptions!$B$71:$B$76,5)*Assumptions!$B$58))/(1+Assumptions!$B$149)^5+IF(6&gt;E19,0,IF(6&lt;=F19,C19,MIN(C19,Assumptions!$B$77)*INDEX(Assumptions!$B$71:$B$76,6)*Assumptions!$B$58))/(1+Assumptions!$B$149)^6)</f>
        <v/>
      </c>
      <c r="T19" s="11">
        <f>(IF(D19=1,Assumptions!$B$25/E19+Assumptions!$B$26/Assumptions!$B$6,Assumptions!$B$25/E19+(Assumptions!$B$27-Assumptions!$B$25)/Assumptions!$B$6)/Assumptions!$B$33)/C19</f>
        <v/>
      </c>
      <c r="U19" s="6">
        <f>Assumptions!$B$54*G19</f>
        <v/>
      </c>
      <c r="V19" s="6">
        <f>I19+U19</f>
        <v/>
      </c>
      <c r="W19" s="6">
        <f>J19-IF(1&lt;=F19,$U19/F19,0)</f>
        <v/>
      </c>
      <c r="X19" s="6">
        <f>K19-IF(2&lt;=F19,$U19/F19,0)</f>
        <v/>
      </c>
      <c r="Y19" s="6">
        <f>L19-IF(3&lt;=F19,$U19/F19,0)</f>
        <v/>
      </c>
      <c r="Z19" s="6">
        <f>M19-IF(4&lt;=F19,$U19/F19,0)</f>
        <v/>
      </c>
      <c r="AA19" s="6">
        <f>N19-IF(5&lt;=F19,$U19/F19,0)</f>
        <v/>
      </c>
      <c r="AB19" s="6">
        <f>O19-IF(6&lt;=F19,$U19/F19,0)</f>
        <v/>
      </c>
      <c r="AC19" s="11">
        <f>IFERROR(IRR(V19:AB19),IF(V19&gt;=0,"no equity at risk",-1))</f>
        <v/>
      </c>
      <c r="AD19" s="12">
        <f>IFERROR(MATCH(TRUE,INDEX(AL19:AR19&gt;=0,0),0)-2+(-INDEX(AL19:AR19,MATCH(TRUE,INDEX(AL19:AR19&gt;=0,0),0)-1))/INDEX(V19:AB19,MATCH(TRUE,INDEX(AL19:AR19&gt;=0,0),0)),"never")</f>
        <v/>
      </c>
      <c r="AE19">
        <f>SUM($I19:I19)</f>
        <v/>
      </c>
      <c r="AF19">
        <f>SUM($I19:J19)</f>
        <v/>
      </c>
      <c r="AG19">
        <f>SUM($I19:K19)</f>
        <v/>
      </c>
      <c r="AH19">
        <f>SUM($I19:L19)</f>
        <v/>
      </c>
      <c r="AI19">
        <f>SUM($I19:M19)</f>
        <v/>
      </c>
      <c r="AJ19">
        <f>SUM($I19:N19)</f>
        <v/>
      </c>
      <c r="AK19">
        <f>SUM($I19:O19)</f>
        <v/>
      </c>
      <c r="AL19">
        <f>SUM($V19:V19)</f>
        <v/>
      </c>
      <c r="AM19">
        <f>SUM($V19:W19)</f>
        <v/>
      </c>
      <c r="AN19">
        <f>SUM($V19:X19)</f>
        <v/>
      </c>
      <c r="AO19">
        <f>SUM($V19:Y19)</f>
        <v/>
      </c>
      <c r="AP19">
        <f>SUM($V19:Z19)</f>
        <v/>
      </c>
      <c r="AQ19">
        <f>SUM($V19:AA19)</f>
        <v/>
      </c>
      <c r="AR19">
        <f>SUM($V19:AB19)</f>
        <v/>
      </c>
    </row>
    <row r="20">
      <c r="A20" t="n">
        <v>19</v>
      </c>
      <c r="B20" t="inlineStr">
        <is>
          <t>Short-term (&gt;$40M, 1-yr)</t>
        </is>
      </c>
      <c r="C20">
        <f>Assumptions!$B$47*(1-0)</f>
        <v/>
      </c>
      <c r="D20" t="n">
        <v>1</v>
      </c>
      <c r="E20">
        <f>Assumptions!$B$3</f>
        <v/>
      </c>
      <c r="F20">
        <f>Assumptions!$B$51</f>
        <v/>
      </c>
      <c r="G20" s="6">
        <f>IF(D20=1,Assumptions!$B$25+Assumptions!$B$26,Assumptions!$B$27)/Assumptions!$B$33</f>
        <v/>
      </c>
      <c r="H20" s="11">
        <f>1-Assumptions!$B$42-(Assumptions!$B$38+(1-D20)*Assumptions!$B$39/Assumptions!$B$33)/C20</f>
        <v/>
      </c>
      <c r="I20" s="6">
        <f>-G20</f>
        <v/>
      </c>
      <c r="J20" s="6">
        <f>IF(1&gt;E20,0,IF(1&lt;=F20,C20,MIN(C20,Assumptions!$B$77)*INDEX(Assumptions!$B$71:$B$76,1)*Assumptions!$B$58))-IF(1&gt;E20,0,IF(1&gt;E20,0,IF(1&lt;=F20,C20,MIN(C20,Assumptions!$B$77)*INDEX(Assumptions!$B$71:$B$76,1)*Assumptions!$B$58))*Assumptions!$B$42+Assumptions!$B$38*IF(1&lt;=F20,1,Assumptions!$B$58)+(1-D20)*Assumptions!$B$39/Assumptions!$B$33)+IF(1=E20,D20*Assumptions!$B$26/Assumptions!$B$33*MAX(0,1-E20/Assumptions!$B$6),0)</f>
        <v/>
      </c>
      <c r="K20" s="6">
        <f>IF(2&gt;E20,0,IF(2&lt;=F20,C20,MIN(C20,Assumptions!$B$77)*INDEX(Assumptions!$B$71:$B$76,2)*Assumptions!$B$58))-IF(2&gt;E20,0,IF(2&gt;E20,0,IF(2&lt;=F20,C20,MIN(C20,Assumptions!$B$77)*INDEX(Assumptions!$B$71:$B$76,2)*Assumptions!$B$58))*Assumptions!$B$42+Assumptions!$B$38*IF(2&lt;=F20,1,Assumptions!$B$58)+(1-D20)*Assumptions!$B$39/Assumptions!$B$33)+IF(2=E20,D20*Assumptions!$B$26/Assumptions!$B$33*MAX(0,1-E20/Assumptions!$B$6),0)</f>
        <v/>
      </c>
      <c r="L20" s="6">
        <f>IF(3&gt;E20,0,IF(3&lt;=F20,C20,MIN(C20,Assumptions!$B$77)*INDEX(Assumptions!$B$71:$B$76,3)*Assumptions!$B$58))-IF(3&gt;E20,0,IF(3&gt;E20,0,IF(3&lt;=F20,C20,MIN(C20,Assumptions!$B$77)*INDEX(Assumptions!$B$71:$B$76,3)*Assumptions!$B$58))*Assumptions!$B$42+Assumptions!$B$38*IF(3&lt;=F20,1,Assumptions!$B$58)+(1-D20)*Assumptions!$B$39/Assumptions!$B$33)+IF(3=E20,D20*Assumptions!$B$26/Assumptions!$B$33*MAX(0,1-E20/Assumptions!$B$6),0)</f>
        <v/>
      </c>
      <c r="M20" s="6">
        <f>IF(4&gt;E20,0,IF(4&lt;=F20,C20,MIN(C20,Assumptions!$B$77)*INDEX(Assumptions!$B$71:$B$76,4)*Assumptions!$B$58))-IF(4&gt;E20,0,IF(4&gt;E20,0,IF(4&lt;=F20,C20,MIN(C20,Assumptions!$B$77)*INDEX(Assumptions!$B$71:$B$76,4)*Assumptions!$B$58))*Assumptions!$B$42+Assumptions!$B$38*IF(4&lt;=F20,1,Assumptions!$B$58)+(1-D20)*Assumptions!$B$39/Assumptions!$B$33)+IF(4=E20,D20*Assumptions!$B$26/Assumptions!$B$33*MAX(0,1-E20/Assumptions!$B$6),0)</f>
        <v/>
      </c>
      <c r="N20" s="6">
        <f>IF(5&gt;E20,0,IF(5&lt;=F20,C20,MIN(C20,Assumptions!$B$77)*INDEX(Assumptions!$B$71:$B$76,5)*Assumptions!$B$58))-IF(5&gt;E20,0,IF(5&gt;E20,0,IF(5&lt;=F20,C20,MIN(C20,Assumptions!$B$77)*INDEX(Assumptions!$B$71:$B$76,5)*Assumptions!$B$58))*Assumptions!$B$42+Assumptions!$B$38*IF(5&lt;=F20,1,Assumptions!$B$58)+(1-D20)*Assumptions!$B$39/Assumptions!$B$33)+IF(5=E20,D20*Assumptions!$B$26/Assumptions!$B$33*MAX(0,1-E20/Assumptions!$B$6),0)</f>
        <v/>
      </c>
      <c r="O20" s="6">
        <f>IF(6&gt;E20,0,IF(6&lt;=F20,C20,MIN(C20,Assumptions!$B$77)*INDEX(Assumptions!$B$71:$B$76,6)*Assumptions!$B$58))-IF(6&gt;E20,0,IF(6&gt;E20,0,IF(6&lt;=F20,C20,MIN(C20,Assumptions!$B$77)*INDEX(Assumptions!$B$71:$B$76,6)*Assumptions!$B$58))*Assumptions!$B$42+Assumptions!$B$38*IF(6&lt;=F20,1,Assumptions!$B$58)+(1-D20)*Assumptions!$B$39/Assumptions!$B$33)+IF(6=E20,D20*Assumptions!$B$26/Assumptions!$B$33*MAX(0,1-E20/Assumptions!$B$6),0)</f>
        <v/>
      </c>
      <c r="P20" s="11">
        <f>IFERROR(IRR(I20:O20),-1)</f>
        <v/>
      </c>
      <c r="Q20" s="12">
        <f>IFERROR(MATCH(TRUE,INDEX(AE20:AK20&gt;=0,0),0)-2+(-INDEX(AE20:AK20,MATCH(TRUE,INDEX(AE20:AK20&gt;=0,0),0)-1))/INDEX(I20:O20,MATCH(TRUE,INDEX(AE20:AK20&gt;=0,0),0)),"never")</f>
        <v/>
      </c>
      <c r="R20" s="6">
        <f>NPV(Assumptions!$B$149,J20:O20)+I20</f>
        <v/>
      </c>
      <c r="S20" s="11">
        <f>(G20-D20*Assumptions!$B$26/Assumptions!$B$33*MAX(0,1-E20/Assumptions!$B$6)/(1+Assumptions!$B$149)^E20)/(IF(1&gt;E20,0,IF(1&lt;=F20,C20,MIN(C20,Assumptions!$B$77)*INDEX(Assumptions!$B$71:$B$76,1)*Assumptions!$B$58))/(1+Assumptions!$B$149)^1+IF(2&gt;E20,0,IF(2&lt;=F20,C20,MIN(C20,Assumptions!$B$77)*INDEX(Assumptions!$B$71:$B$76,2)*Assumptions!$B$58))/(1+Assumptions!$B$149)^2+IF(3&gt;E20,0,IF(3&lt;=F20,C20,MIN(C20,Assumptions!$B$77)*INDEX(Assumptions!$B$71:$B$76,3)*Assumptions!$B$58))/(1+Assumptions!$B$149)^3+IF(4&gt;E20,0,IF(4&lt;=F20,C20,MIN(C20,Assumptions!$B$77)*INDEX(Assumptions!$B$71:$B$76,4)*Assumptions!$B$58))/(1+Assumptions!$B$149)^4+IF(5&gt;E20,0,IF(5&lt;=F20,C20,MIN(C20,Assumptions!$B$77)*INDEX(Assumptions!$B$71:$B$76,5)*Assumptions!$B$58))/(1+Assumptions!$B$149)^5+IF(6&gt;E20,0,IF(6&lt;=F20,C20,MIN(C20,Assumptions!$B$77)*INDEX(Assumptions!$B$71:$B$76,6)*Assumptions!$B$58))/(1+Assumptions!$B$149)^6)</f>
        <v/>
      </c>
      <c r="T20" s="11">
        <f>(IF(D20=1,Assumptions!$B$25/E20+Assumptions!$B$26/Assumptions!$B$6,Assumptions!$B$25/E20+(Assumptions!$B$27-Assumptions!$B$25)/Assumptions!$B$6)/Assumptions!$B$33)/C20</f>
        <v/>
      </c>
      <c r="U20" s="6">
        <f>Assumptions!$B$54*G20</f>
        <v/>
      </c>
      <c r="V20" s="6">
        <f>I20+U20</f>
        <v/>
      </c>
      <c r="W20" s="6">
        <f>J20-IF(1&lt;=F20,$U20/F20,0)</f>
        <v/>
      </c>
      <c r="X20" s="6">
        <f>K20-IF(2&lt;=F20,$U20/F20,0)</f>
        <v/>
      </c>
      <c r="Y20" s="6">
        <f>L20-IF(3&lt;=F20,$U20/F20,0)</f>
        <v/>
      </c>
      <c r="Z20" s="6">
        <f>M20-IF(4&lt;=F20,$U20/F20,0)</f>
        <v/>
      </c>
      <c r="AA20" s="6">
        <f>N20-IF(5&lt;=F20,$U20/F20,0)</f>
        <v/>
      </c>
      <c r="AB20" s="6">
        <f>O20-IF(6&lt;=F20,$U20/F20,0)</f>
        <v/>
      </c>
      <c r="AC20" s="11">
        <f>IFERROR(IRR(V20:AB20),IF(V20&gt;=0,"no equity at risk",-1))</f>
        <v/>
      </c>
      <c r="AD20" s="12">
        <f>IFERROR(MATCH(TRUE,INDEX(AL20:AR20&gt;=0,0),0)-2+(-INDEX(AL20:AR20,MATCH(TRUE,INDEX(AL20:AR20&gt;=0,0),0)-1))/INDEX(V20:AB20,MATCH(TRUE,INDEX(AL20:AR20&gt;=0,0),0)),"never")</f>
        <v/>
      </c>
      <c r="AE20">
        <f>SUM($I20:I20)</f>
        <v/>
      </c>
      <c r="AF20">
        <f>SUM($I20:J20)</f>
        <v/>
      </c>
      <c r="AG20">
        <f>SUM($I20:K20)</f>
        <v/>
      </c>
      <c r="AH20">
        <f>SUM($I20:L20)</f>
        <v/>
      </c>
      <c r="AI20">
        <f>SUM($I20:M20)</f>
        <v/>
      </c>
      <c r="AJ20">
        <f>SUM($I20:N20)</f>
        <v/>
      </c>
      <c r="AK20">
        <f>SUM($I20:O20)</f>
        <v/>
      </c>
      <c r="AL20">
        <f>SUM($V20:V20)</f>
        <v/>
      </c>
      <c r="AM20">
        <f>SUM($V20:W20)</f>
        <v/>
      </c>
      <c r="AN20">
        <f>SUM($V20:X20)</f>
        <v/>
      </c>
      <c r="AO20">
        <f>SUM($V20:Y20)</f>
        <v/>
      </c>
      <c r="AP20">
        <f>SUM($V20:Z20)</f>
        <v/>
      </c>
      <c r="AQ20">
        <f>SUM($V20:AA20)</f>
        <v/>
      </c>
      <c r="AR20">
        <f>SUM($V20:AB20)</f>
        <v/>
      </c>
    </row>
    <row r="21">
      <c r="A21" t="n">
        <v>20</v>
      </c>
      <c r="B21" t="inlineStr">
        <is>
          <t>Short-term (&gt;$40M, 1-yr)</t>
        </is>
      </c>
      <c r="C21">
        <f>Assumptions!$B$47*(1-0)</f>
        <v/>
      </c>
      <c r="D21" t="n">
        <v>1</v>
      </c>
      <c r="E21">
        <f>Assumptions!$B$4</f>
        <v/>
      </c>
      <c r="F21">
        <f>Assumptions!$B$51</f>
        <v/>
      </c>
      <c r="G21" s="6">
        <f>IF(D21=1,Assumptions!$B$25+Assumptions!$B$26,Assumptions!$B$27)/Assumptions!$B$33</f>
        <v/>
      </c>
      <c r="H21" s="11">
        <f>1-Assumptions!$B$42-(Assumptions!$B$38+(1-D21)*Assumptions!$B$39/Assumptions!$B$33)/C21</f>
        <v/>
      </c>
      <c r="I21" s="6">
        <f>-G21</f>
        <v/>
      </c>
      <c r="J21" s="6">
        <f>IF(1&gt;E21,0,IF(1&lt;=F21,C21,MIN(C21,Assumptions!$B$77)*INDEX(Assumptions!$B$71:$B$76,1)*Assumptions!$B$58))-IF(1&gt;E21,0,IF(1&gt;E21,0,IF(1&lt;=F21,C21,MIN(C21,Assumptions!$B$77)*INDEX(Assumptions!$B$71:$B$76,1)*Assumptions!$B$58))*Assumptions!$B$42+Assumptions!$B$38*IF(1&lt;=F21,1,Assumptions!$B$58)+(1-D21)*Assumptions!$B$39/Assumptions!$B$33)+IF(1=E21,D21*Assumptions!$B$26/Assumptions!$B$33*MAX(0,1-E21/Assumptions!$B$6),0)</f>
        <v/>
      </c>
      <c r="K21" s="6">
        <f>IF(2&gt;E21,0,IF(2&lt;=F21,C21,MIN(C21,Assumptions!$B$77)*INDEX(Assumptions!$B$71:$B$76,2)*Assumptions!$B$58))-IF(2&gt;E21,0,IF(2&gt;E21,0,IF(2&lt;=F21,C21,MIN(C21,Assumptions!$B$77)*INDEX(Assumptions!$B$71:$B$76,2)*Assumptions!$B$58))*Assumptions!$B$42+Assumptions!$B$38*IF(2&lt;=F21,1,Assumptions!$B$58)+(1-D21)*Assumptions!$B$39/Assumptions!$B$33)+IF(2=E21,D21*Assumptions!$B$26/Assumptions!$B$33*MAX(0,1-E21/Assumptions!$B$6),0)</f>
        <v/>
      </c>
      <c r="L21" s="6">
        <f>IF(3&gt;E21,0,IF(3&lt;=F21,C21,MIN(C21,Assumptions!$B$77)*INDEX(Assumptions!$B$71:$B$76,3)*Assumptions!$B$58))-IF(3&gt;E21,0,IF(3&gt;E21,0,IF(3&lt;=F21,C21,MIN(C21,Assumptions!$B$77)*INDEX(Assumptions!$B$71:$B$76,3)*Assumptions!$B$58))*Assumptions!$B$42+Assumptions!$B$38*IF(3&lt;=F21,1,Assumptions!$B$58)+(1-D21)*Assumptions!$B$39/Assumptions!$B$33)+IF(3=E21,D21*Assumptions!$B$26/Assumptions!$B$33*MAX(0,1-E21/Assumptions!$B$6),0)</f>
        <v/>
      </c>
      <c r="M21" s="6">
        <f>IF(4&gt;E21,0,IF(4&lt;=F21,C21,MIN(C21,Assumptions!$B$77)*INDEX(Assumptions!$B$71:$B$76,4)*Assumptions!$B$58))-IF(4&gt;E21,0,IF(4&gt;E21,0,IF(4&lt;=F21,C21,MIN(C21,Assumptions!$B$77)*INDEX(Assumptions!$B$71:$B$76,4)*Assumptions!$B$58))*Assumptions!$B$42+Assumptions!$B$38*IF(4&lt;=F21,1,Assumptions!$B$58)+(1-D21)*Assumptions!$B$39/Assumptions!$B$33)+IF(4=E21,D21*Assumptions!$B$26/Assumptions!$B$33*MAX(0,1-E21/Assumptions!$B$6),0)</f>
        <v/>
      </c>
      <c r="N21" s="6">
        <f>IF(5&gt;E21,0,IF(5&lt;=F21,C21,MIN(C21,Assumptions!$B$77)*INDEX(Assumptions!$B$71:$B$76,5)*Assumptions!$B$58))-IF(5&gt;E21,0,IF(5&gt;E21,0,IF(5&lt;=F21,C21,MIN(C21,Assumptions!$B$77)*INDEX(Assumptions!$B$71:$B$76,5)*Assumptions!$B$58))*Assumptions!$B$42+Assumptions!$B$38*IF(5&lt;=F21,1,Assumptions!$B$58)+(1-D21)*Assumptions!$B$39/Assumptions!$B$33)+IF(5=E21,D21*Assumptions!$B$26/Assumptions!$B$33*MAX(0,1-E21/Assumptions!$B$6),0)</f>
        <v/>
      </c>
      <c r="O21" s="6">
        <f>IF(6&gt;E21,0,IF(6&lt;=F21,C21,MIN(C21,Assumptions!$B$77)*INDEX(Assumptions!$B$71:$B$76,6)*Assumptions!$B$58))-IF(6&gt;E21,0,IF(6&gt;E21,0,IF(6&lt;=F21,C21,MIN(C21,Assumptions!$B$77)*INDEX(Assumptions!$B$71:$B$76,6)*Assumptions!$B$58))*Assumptions!$B$42+Assumptions!$B$38*IF(6&lt;=F21,1,Assumptions!$B$58)+(1-D21)*Assumptions!$B$39/Assumptions!$B$33)+IF(6=E21,D21*Assumptions!$B$26/Assumptions!$B$33*MAX(0,1-E21/Assumptions!$B$6),0)</f>
        <v/>
      </c>
      <c r="P21" s="11">
        <f>IFERROR(IRR(I21:O21),-1)</f>
        <v/>
      </c>
      <c r="Q21" s="12">
        <f>IFERROR(MATCH(TRUE,INDEX(AE21:AK21&gt;=0,0),0)-2+(-INDEX(AE21:AK21,MATCH(TRUE,INDEX(AE21:AK21&gt;=0,0),0)-1))/INDEX(I21:O21,MATCH(TRUE,INDEX(AE21:AK21&gt;=0,0),0)),"never")</f>
        <v/>
      </c>
      <c r="R21" s="6">
        <f>NPV(Assumptions!$B$149,J21:O21)+I21</f>
        <v/>
      </c>
      <c r="S21" s="11">
        <f>(G21-D21*Assumptions!$B$26/Assumptions!$B$33*MAX(0,1-E21/Assumptions!$B$6)/(1+Assumptions!$B$149)^E21)/(IF(1&gt;E21,0,IF(1&lt;=F21,C21,MIN(C21,Assumptions!$B$77)*INDEX(Assumptions!$B$71:$B$76,1)*Assumptions!$B$58))/(1+Assumptions!$B$149)^1+IF(2&gt;E21,0,IF(2&lt;=F21,C21,MIN(C21,Assumptions!$B$77)*INDEX(Assumptions!$B$71:$B$76,2)*Assumptions!$B$58))/(1+Assumptions!$B$149)^2+IF(3&gt;E21,0,IF(3&lt;=F21,C21,MIN(C21,Assumptions!$B$77)*INDEX(Assumptions!$B$71:$B$76,3)*Assumptions!$B$58))/(1+Assumptions!$B$149)^3+IF(4&gt;E21,0,IF(4&lt;=F21,C21,MIN(C21,Assumptions!$B$77)*INDEX(Assumptions!$B$71:$B$76,4)*Assumptions!$B$58))/(1+Assumptions!$B$149)^4+IF(5&gt;E21,0,IF(5&lt;=F21,C21,MIN(C21,Assumptions!$B$77)*INDEX(Assumptions!$B$71:$B$76,5)*Assumptions!$B$58))/(1+Assumptions!$B$149)^5+IF(6&gt;E21,0,IF(6&lt;=F21,C21,MIN(C21,Assumptions!$B$77)*INDEX(Assumptions!$B$71:$B$76,6)*Assumptions!$B$58))/(1+Assumptions!$B$149)^6)</f>
        <v/>
      </c>
      <c r="T21" s="11">
        <f>(IF(D21=1,Assumptions!$B$25/E21+Assumptions!$B$26/Assumptions!$B$6,Assumptions!$B$25/E21+(Assumptions!$B$27-Assumptions!$B$25)/Assumptions!$B$6)/Assumptions!$B$33)/C21</f>
        <v/>
      </c>
      <c r="U21" s="6">
        <f>Assumptions!$B$54*G21</f>
        <v/>
      </c>
      <c r="V21" s="6">
        <f>I21+U21</f>
        <v/>
      </c>
      <c r="W21" s="6">
        <f>J21-IF(1&lt;=F21,$U21/F21,0)</f>
        <v/>
      </c>
      <c r="X21" s="6">
        <f>K21-IF(2&lt;=F21,$U21/F21,0)</f>
        <v/>
      </c>
      <c r="Y21" s="6">
        <f>L21-IF(3&lt;=F21,$U21/F21,0)</f>
        <v/>
      </c>
      <c r="Z21" s="6">
        <f>M21-IF(4&lt;=F21,$U21/F21,0)</f>
        <v/>
      </c>
      <c r="AA21" s="6">
        <f>N21-IF(5&lt;=F21,$U21/F21,0)</f>
        <v/>
      </c>
      <c r="AB21" s="6">
        <f>O21-IF(6&lt;=F21,$U21/F21,0)</f>
        <v/>
      </c>
      <c r="AC21" s="11">
        <f>IFERROR(IRR(V21:AB21),IF(V21&gt;=0,"no equity at risk",-1))</f>
        <v/>
      </c>
      <c r="AD21" s="12">
        <f>IFERROR(MATCH(TRUE,INDEX(AL21:AR21&gt;=0,0),0)-2+(-INDEX(AL21:AR21,MATCH(TRUE,INDEX(AL21:AR21&gt;=0,0),0)-1))/INDEX(V21:AB21,MATCH(TRUE,INDEX(AL21:AR21&gt;=0,0),0)),"never")</f>
        <v/>
      </c>
      <c r="AE21">
        <f>SUM($I21:I21)</f>
        <v/>
      </c>
      <c r="AF21">
        <f>SUM($I21:J21)</f>
        <v/>
      </c>
      <c r="AG21">
        <f>SUM($I21:K21)</f>
        <v/>
      </c>
      <c r="AH21">
        <f>SUM($I21:L21)</f>
        <v/>
      </c>
      <c r="AI21">
        <f>SUM($I21:M21)</f>
        <v/>
      </c>
      <c r="AJ21">
        <f>SUM($I21:N21)</f>
        <v/>
      </c>
      <c r="AK21">
        <f>SUM($I21:O21)</f>
        <v/>
      </c>
      <c r="AL21">
        <f>SUM($V21:V21)</f>
        <v/>
      </c>
      <c r="AM21">
        <f>SUM($V21:W21)</f>
        <v/>
      </c>
      <c r="AN21">
        <f>SUM($V21:X21)</f>
        <v/>
      </c>
      <c r="AO21">
        <f>SUM($V21:Y21)</f>
        <v/>
      </c>
      <c r="AP21">
        <f>SUM($V21:Z21)</f>
        <v/>
      </c>
      <c r="AQ21">
        <f>SUM($V21:AA21)</f>
        <v/>
      </c>
      <c r="AR21">
        <f>SUM($V21:AB21)</f>
        <v/>
      </c>
    </row>
    <row r="22">
      <c r="A22" t="n">
        <v>21</v>
      </c>
      <c r="B22" t="inlineStr">
        <is>
          <t>Short-term (&gt;$40M, 1-yr)</t>
        </is>
      </c>
      <c r="C22">
        <f>Assumptions!$B$47*(1-0)</f>
        <v/>
      </c>
      <c r="D22" t="n">
        <v>1</v>
      </c>
      <c r="E22">
        <f>Assumptions!$B$5</f>
        <v/>
      </c>
      <c r="F22">
        <f>Assumptions!$B$51</f>
        <v/>
      </c>
      <c r="G22" s="6">
        <f>IF(D22=1,Assumptions!$B$25+Assumptions!$B$26,Assumptions!$B$27)/Assumptions!$B$33</f>
        <v/>
      </c>
      <c r="H22" s="11">
        <f>1-Assumptions!$B$42-(Assumptions!$B$38+(1-D22)*Assumptions!$B$39/Assumptions!$B$33)/C22</f>
        <v/>
      </c>
      <c r="I22" s="6">
        <f>-G22</f>
        <v/>
      </c>
      <c r="J22" s="6">
        <f>IF(1&gt;E22,0,IF(1&lt;=F22,C22,MIN(C22,Assumptions!$B$77)*INDEX(Assumptions!$B$71:$B$76,1)*Assumptions!$B$58))-IF(1&gt;E22,0,IF(1&gt;E22,0,IF(1&lt;=F22,C22,MIN(C22,Assumptions!$B$77)*INDEX(Assumptions!$B$71:$B$76,1)*Assumptions!$B$58))*Assumptions!$B$42+Assumptions!$B$38*IF(1&lt;=F22,1,Assumptions!$B$58)+(1-D22)*Assumptions!$B$39/Assumptions!$B$33)+IF(1=E22,D22*Assumptions!$B$26/Assumptions!$B$33*MAX(0,1-E22/Assumptions!$B$6),0)</f>
        <v/>
      </c>
      <c r="K22" s="6">
        <f>IF(2&gt;E22,0,IF(2&lt;=F22,C22,MIN(C22,Assumptions!$B$77)*INDEX(Assumptions!$B$71:$B$76,2)*Assumptions!$B$58))-IF(2&gt;E22,0,IF(2&gt;E22,0,IF(2&lt;=F22,C22,MIN(C22,Assumptions!$B$77)*INDEX(Assumptions!$B$71:$B$76,2)*Assumptions!$B$58))*Assumptions!$B$42+Assumptions!$B$38*IF(2&lt;=F22,1,Assumptions!$B$58)+(1-D22)*Assumptions!$B$39/Assumptions!$B$33)+IF(2=E22,D22*Assumptions!$B$26/Assumptions!$B$33*MAX(0,1-E22/Assumptions!$B$6),0)</f>
        <v/>
      </c>
      <c r="L22" s="6">
        <f>IF(3&gt;E22,0,IF(3&lt;=F22,C22,MIN(C22,Assumptions!$B$77)*INDEX(Assumptions!$B$71:$B$76,3)*Assumptions!$B$58))-IF(3&gt;E22,0,IF(3&gt;E22,0,IF(3&lt;=F22,C22,MIN(C22,Assumptions!$B$77)*INDEX(Assumptions!$B$71:$B$76,3)*Assumptions!$B$58))*Assumptions!$B$42+Assumptions!$B$38*IF(3&lt;=F22,1,Assumptions!$B$58)+(1-D22)*Assumptions!$B$39/Assumptions!$B$33)+IF(3=E22,D22*Assumptions!$B$26/Assumptions!$B$33*MAX(0,1-E22/Assumptions!$B$6),0)</f>
        <v/>
      </c>
      <c r="M22" s="6">
        <f>IF(4&gt;E22,0,IF(4&lt;=F22,C22,MIN(C22,Assumptions!$B$77)*INDEX(Assumptions!$B$71:$B$76,4)*Assumptions!$B$58))-IF(4&gt;E22,0,IF(4&gt;E22,0,IF(4&lt;=F22,C22,MIN(C22,Assumptions!$B$77)*INDEX(Assumptions!$B$71:$B$76,4)*Assumptions!$B$58))*Assumptions!$B$42+Assumptions!$B$38*IF(4&lt;=F22,1,Assumptions!$B$58)+(1-D22)*Assumptions!$B$39/Assumptions!$B$33)+IF(4=E22,D22*Assumptions!$B$26/Assumptions!$B$33*MAX(0,1-E22/Assumptions!$B$6),0)</f>
        <v/>
      </c>
      <c r="N22" s="6">
        <f>IF(5&gt;E22,0,IF(5&lt;=F22,C22,MIN(C22,Assumptions!$B$77)*INDEX(Assumptions!$B$71:$B$76,5)*Assumptions!$B$58))-IF(5&gt;E22,0,IF(5&gt;E22,0,IF(5&lt;=F22,C22,MIN(C22,Assumptions!$B$77)*INDEX(Assumptions!$B$71:$B$76,5)*Assumptions!$B$58))*Assumptions!$B$42+Assumptions!$B$38*IF(5&lt;=F22,1,Assumptions!$B$58)+(1-D22)*Assumptions!$B$39/Assumptions!$B$33)+IF(5=E22,D22*Assumptions!$B$26/Assumptions!$B$33*MAX(0,1-E22/Assumptions!$B$6),0)</f>
        <v/>
      </c>
      <c r="O22" s="6">
        <f>IF(6&gt;E22,0,IF(6&lt;=F22,C22,MIN(C22,Assumptions!$B$77)*INDEX(Assumptions!$B$71:$B$76,6)*Assumptions!$B$58))-IF(6&gt;E22,0,IF(6&gt;E22,0,IF(6&lt;=F22,C22,MIN(C22,Assumptions!$B$77)*INDEX(Assumptions!$B$71:$B$76,6)*Assumptions!$B$58))*Assumptions!$B$42+Assumptions!$B$38*IF(6&lt;=F22,1,Assumptions!$B$58)+(1-D22)*Assumptions!$B$39/Assumptions!$B$33)+IF(6=E22,D22*Assumptions!$B$26/Assumptions!$B$33*MAX(0,1-E22/Assumptions!$B$6),0)</f>
        <v/>
      </c>
      <c r="P22" s="11">
        <f>IFERROR(IRR(I22:O22),-1)</f>
        <v/>
      </c>
      <c r="Q22" s="12">
        <f>IFERROR(MATCH(TRUE,INDEX(AE22:AK22&gt;=0,0),0)-2+(-INDEX(AE22:AK22,MATCH(TRUE,INDEX(AE22:AK22&gt;=0,0),0)-1))/INDEX(I22:O22,MATCH(TRUE,INDEX(AE22:AK22&gt;=0,0),0)),"never")</f>
        <v/>
      </c>
      <c r="R22" s="6">
        <f>NPV(Assumptions!$B$149,J22:O22)+I22</f>
        <v/>
      </c>
      <c r="S22" s="11">
        <f>(G22-D22*Assumptions!$B$26/Assumptions!$B$33*MAX(0,1-E22/Assumptions!$B$6)/(1+Assumptions!$B$149)^E22)/(IF(1&gt;E22,0,IF(1&lt;=F22,C22,MIN(C22,Assumptions!$B$77)*INDEX(Assumptions!$B$71:$B$76,1)*Assumptions!$B$58))/(1+Assumptions!$B$149)^1+IF(2&gt;E22,0,IF(2&lt;=F22,C22,MIN(C22,Assumptions!$B$77)*INDEX(Assumptions!$B$71:$B$76,2)*Assumptions!$B$58))/(1+Assumptions!$B$149)^2+IF(3&gt;E22,0,IF(3&lt;=F22,C22,MIN(C22,Assumptions!$B$77)*INDEX(Assumptions!$B$71:$B$76,3)*Assumptions!$B$58))/(1+Assumptions!$B$149)^3+IF(4&gt;E22,0,IF(4&lt;=F22,C22,MIN(C22,Assumptions!$B$77)*INDEX(Assumptions!$B$71:$B$76,4)*Assumptions!$B$58))/(1+Assumptions!$B$149)^4+IF(5&gt;E22,0,IF(5&lt;=F22,C22,MIN(C22,Assumptions!$B$77)*INDEX(Assumptions!$B$71:$B$76,5)*Assumptions!$B$58))/(1+Assumptions!$B$149)^5+IF(6&gt;E22,0,IF(6&lt;=F22,C22,MIN(C22,Assumptions!$B$77)*INDEX(Assumptions!$B$71:$B$76,6)*Assumptions!$B$58))/(1+Assumptions!$B$149)^6)</f>
        <v/>
      </c>
      <c r="T22" s="11">
        <f>(IF(D22=1,Assumptions!$B$25/E22+Assumptions!$B$26/Assumptions!$B$6,Assumptions!$B$25/E22+(Assumptions!$B$27-Assumptions!$B$25)/Assumptions!$B$6)/Assumptions!$B$33)/C22</f>
        <v/>
      </c>
      <c r="U22" s="6">
        <f>Assumptions!$B$54*G22</f>
        <v/>
      </c>
      <c r="V22" s="6">
        <f>I22+U22</f>
        <v/>
      </c>
      <c r="W22" s="6">
        <f>J22-IF(1&lt;=F22,$U22/F22,0)</f>
        <v/>
      </c>
      <c r="X22" s="6">
        <f>K22-IF(2&lt;=F22,$U22/F22,0)</f>
        <v/>
      </c>
      <c r="Y22" s="6">
        <f>L22-IF(3&lt;=F22,$U22/F22,0)</f>
        <v/>
      </c>
      <c r="Z22" s="6">
        <f>M22-IF(4&lt;=F22,$U22/F22,0)</f>
        <v/>
      </c>
      <c r="AA22" s="6">
        <f>N22-IF(5&lt;=F22,$U22/F22,0)</f>
        <v/>
      </c>
      <c r="AB22" s="6">
        <f>O22-IF(6&lt;=F22,$U22/F22,0)</f>
        <v/>
      </c>
      <c r="AC22" s="11">
        <f>IFERROR(IRR(V22:AB22),IF(V22&gt;=0,"no equity at risk",-1))</f>
        <v/>
      </c>
      <c r="AD22" s="12">
        <f>IFERROR(MATCH(TRUE,INDEX(AL22:AR22&gt;=0,0),0)-2+(-INDEX(AL22:AR22,MATCH(TRUE,INDEX(AL22:AR22&gt;=0,0),0)-1))/INDEX(V22:AB22,MATCH(TRUE,INDEX(AL22:AR22&gt;=0,0),0)),"never")</f>
        <v/>
      </c>
      <c r="AE22">
        <f>SUM($I22:I22)</f>
        <v/>
      </c>
      <c r="AF22">
        <f>SUM($I22:J22)</f>
        <v/>
      </c>
      <c r="AG22">
        <f>SUM($I22:K22)</f>
        <v/>
      </c>
      <c r="AH22">
        <f>SUM($I22:L22)</f>
        <v/>
      </c>
      <c r="AI22">
        <f>SUM($I22:M22)</f>
        <v/>
      </c>
      <c r="AJ22">
        <f>SUM($I22:N22)</f>
        <v/>
      </c>
      <c r="AK22">
        <f>SUM($I22:O22)</f>
        <v/>
      </c>
      <c r="AL22">
        <f>SUM($V22:V22)</f>
        <v/>
      </c>
      <c r="AM22">
        <f>SUM($V22:W22)</f>
        <v/>
      </c>
      <c r="AN22">
        <f>SUM($V22:X22)</f>
        <v/>
      </c>
      <c r="AO22">
        <f>SUM($V22:Y22)</f>
        <v/>
      </c>
      <c r="AP22">
        <f>SUM($V22:Z22)</f>
        <v/>
      </c>
      <c r="AQ22">
        <f>SUM($V22:AA22)</f>
        <v/>
      </c>
      <c r="AR22">
        <f>SUM($V22:AB22)</f>
        <v/>
      </c>
    </row>
    <row r="23">
      <c r="A23" t="n">
        <v>22</v>
      </c>
      <c r="B23" t="inlineStr">
        <is>
          <t>Short-term (&gt;$40M, 1-yr)</t>
        </is>
      </c>
      <c r="C23">
        <f>Assumptions!$B$47*(1-0)</f>
        <v/>
      </c>
      <c r="D23" t="n">
        <v>0</v>
      </c>
      <c r="E23">
        <f>Assumptions!$B$3</f>
        <v/>
      </c>
      <c r="F23">
        <f>Assumptions!$B$51</f>
        <v/>
      </c>
      <c r="G23" s="6">
        <f>IF(D23=1,Assumptions!$B$25+Assumptions!$B$26,Assumptions!$B$27)/Assumptions!$B$33</f>
        <v/>
      </c>
      <c r="H23" s="11">
        <f>1-Assumptions!$B$42-(Assumptions!$B$38+(1-D23)*Assumptions!$B$39/Assumptions!$B$33)/C23</f>
        <v/>
      </c>
      <c r="I23" s="6">
        <f>-G23</f>
        <v/>
      </c>
      <c r="J23" s="6">
        <f>IF(1&gt;E23,0,IF(1&lt;=F23,C23,MIN(C23,Assumptions!$B$77)*INDEX(Assumptions!$B$71:$B$76,1)*Assumptions!$B$58))-IF(1&gt;E23,0,IF(1&gt;E23,0,IF(1&lt;=F23,C23,MIN(C23,Assumptions!$B$77)*INDEX(Assumptions!$B$71:$B$76,1)*Assumptions!$B$58))*Assumptions!$B$42+Assumptions!$B$38*IF(1&lt;=F23,1,Assumptions!$B$58)+(1-D23)*Assumptions!$B$39/Assumptions!$B$33)+IF(1=E23,D23*Assumptions!$B$26/Assumptions!$B$33*MAX(0,1-E23/Assumptions!$B$6),0)</f>
        <v/>
      </c>
      <c r="K23" s="6">
        <f>IF(2&gt;E23,0,IF(2&lt;=F23,C23,MIN(C23,Assumptions!$B$77)*INDEX(Assumptions!$B$71:$B$76,2)*Assumptions!$B$58))-IF(2&gt;E23,0,IF(2&gt;E23,0,IF(2&lt;=F23,C23,MIN(C23,Assumptions!$B$77)*INDEX(Assumptions!$B$71:$B$76,2)*Assumptions!$B$58))*Assumptions!$B$42+Assumptions!$B$38*IF(2&lt;=F23,1,Assumptions!$B$58)+(1-D23)*Assumptions!$B$39/Assumptions!$B$33)+IF(2=E23,D23*Assumptions!$B$26/Assumptions!$B$33*MAX(0,1-E23/Assumptions!$B$6),0)</f>
        <v/>
      </c>
      <c r="L23" s="6">
        <f>IF(3&gt;E23,0,IF(3&lt;=F23,C23,MIN(C23,Assumptions!$B$77)*INDEX(Assumptions!$B$71:$B$76,3)*Assumptions!$B$58))-IF(3&gt;E23,0,IF(3&gt;E23,0,IF(3&lt;=F23,C23,MIN(C23,Assumptions!$B$77)*INDEX(Assumptions!$B$71:$B$76,3)*Assumptions!$B$58))*Assumptions!$B$42+Assumptions!$B$38*IF(3&lt;=F23,1,Assumptions!$B$58)+(1-D23)*Assumptions!$B$39/Assumptions!$B$33)+IF(3=E23,D23*Assumptions!$B$26/Assumptions!$B$33*MAX(0,1-E23/Assumptions!$B$6),0)</f>
        <v/>
      </c>
      <c r="M23" s="6">
        <f>IF(4&gt;E23,0,IF(4&lt;=F23,C23,MIN(C23,Assumptions!$B$77)*INDEX(Assumptions!$B$71:$B$76,4)*Assumptions!$B$58))-IF(4&gt;E23,0,IF(4&gt;E23,0,IF(4&lt;=F23,C23,MIN(C23,Assumptions!$B$77)*INDEX(Assumptions!$B$71:$B$76,4)*Assumptions!$B$58))*Assumptions!$B$42+Assumptions!$B$38*IF(4&lt;=F23,1,Assumptions!$B$58)+(1-D23)*Assumptions!$B$39/Assumptions!$B$33)+IF(4=E23,D23*Assumptions!$B$26/Assumptions!$B$33*MAX(0,1-E23/Assumptions!$B$6),0)</f>
        <v/>
      </c>
      <c r="N23" s="6">
        <f>IF(5&gt;E23,0,IF(5&lt;=F23,C23,MIN(C23,Assumptions!$B$77)*INDEX(Assumptions!$B$71:$B$76,5)*Assumptions!$B$58))-IF(5&gt;E23,0,IF(5&gt;E23,0,IF(5&lt;=F23,C23,MIN(C23,Assumptions!$B$77)*INDEX(Assumptions!$B$71:$B$76,5)*Assumptions!$B$58))*Assumptions!$B$42+Assumptions!$B$38*IF(5&lt;=F23,1,Assumptions!$B$58)+(1-D23)*Assumptions!$B$39/Assumptions!$B$33)+IF(5=E23,D23*Assumptions!$B$26/Assumptions!$B$33*MAX(0,1-E23/Assumptions!$B$6),0)</f>
        <v/>
      </c>
      <c r="O23" s="6">
        <f>IF(6&gt;E23,0,IF(6&lt;=F23,C23,MIN(C23,Assumptions!$B$77)*INDEX(Assumptions!$B$71:$B$76,6)*Assumptions!$B$58))-IF(6&gt;E23,0,IF(6&gt;E23,0,IF(6&lt;=F23,C23,MIN(C23,Assumptions!$B$77)*INDEX(Assumptions!$B$71:$B$76,6)*Assumptions!$B$58))*Assumptions!$B$42+Assumptions!$B$38*IF(6&lt;=F23,1,Assumptions!$B$58)+(1-D23)*Assumptions!$B$39/Assumptions!$B$33)+IF(6=E23,D23*Assumptions!$B$26/Assumptions!$B$33*MAX(0,1-E23/Assumptions!$B$6),0)</f>
        <v/>
      </c>
      <c r="P23" s="11">
        <f>IFERROR(IRR(I23:O23),-1)</f>
        <v/>
      </c>
      <c r="Q23" s="12">
        <f>IFERROR(MATCH(TRUE,INDEX(AE23:AK23&gt;=0,0),0)-2+(-INDEX(AE23:AK23,MATCH(TRUE,INDEX(AE23:AK23&gt;=0,0),0)-1))/INDEX(I23:O23,MATCH(TRUE,INDEX(AE23:AK23&gt;=0,0),0)),"never")</f>
        <v/>
      </c>
      <c r="R23" s="6">
        <f>NPV(Assumptions!$B$149,J23:O23)+I23</f>
        <v/>
      </c>
      <c r="S23" s="11">
        <f>(G23-D23*Assumptions!$B$26/Assumptions!$B$33*MAX(0,1-E23/Assumptions!$B$6)/(1+Assumptions!$B$149)^E23)/(IF(1&gt;E23,0,IF(1&lt;=F23,C23,MIN(C23,Assumptions!$B$77)*INDEX(Assumptions!$B$71:$B$76,1)*Assumptions!$B$58))/(1+Assumptions!$B$149)^1+IF(2&gt;E23,0,IF(2&lt;=F23,C23,MIN(C23,Assumptions!$B$77)*INDEX(Assumptions!$B$71:$B$76,2)*Assumptions!$B$58))/(1+Assumptions!$B$149)^2+IF(3&gt;E23,0,IF(3&lt;=F23,C23,MIN(C23,Assumptions!$B$77)*INDEX(Assumptions!$B$71:$B$76,3)*Assumptions!$B$58))/(1+Assumptions!$B$149)^3+IF(4&gt;E23,0,IF(4&lt;=F23,C23,MIN(C23,Assumptions!$B$77)*INDEX(Assumptions!$B$71:$B$76,4)*Assumptions!$B$58))/(1+Assumptions!$B$149)^4+IF(5&gt;E23,0,IF(5&lt;=F23,C23,MIN(C23,Assumptions!$B$77)*INDEX(Assumptions!$B$71:$B$76,5)*Assumptions!$B$58))/(1+Assumptions!$B$149)^5+IF(6&gt;E23,0,IF(6&lt;=F23,C23,MIN(C23,Assumptions!$B$77)*INDEX(Assumptions!$B$71:$B$76,6)*Assumptions!$B$58))/(1+Assumptions!$B$149)^6)</f>
        <v/>
      </c>
      <c r="T23" s="11">
        <f>(IF(D23=1,Assumptions!$B$25/E23+Assumptions!$B$26/Assumptions!$B$6,Assumptions!$B$25/E23+(Assumptions!$B$27-Assumptions!$B$25)/Assumptions!$B$6)/Assumptions!$B$33)/C23</f>
        <v/>
      </c>
      <c r="U23" s="6">
        <f>Assumptions!$B$54*G23</f>
        <v/>
      </c>
      <c r="V23" s="6">
        <f>I23+U23</f>
        <v/>
      </c>
      <c r="W23" s="6">
        <f>J23-IF(1&lt;=F23,$U23/F23,0)</f>
        <v/>
      </c>
      <c r="X23" s="6">
        <f>K23-IF(2&lt;=F23,$U23/F23,0)</f>
        <v/>
      </c>
      <c r="Y23" s="6">
        <f>L23-IF(3&lt;=F23,$U23/F23,0)</f>
        <v/>
      </c>
      <c r="Z23" s="6">
        <f>M23-IF(4&lt;=F23,$U23/F23,0)</f>
        <v/>
      </c>
      <c r="AA23" s="6">
        <f>N23-IF(5&lt;=F23,$U23/F23,0)</f>
        <v/>
      </c>
      <c r="AB23" s="6">
        <f>O23-IF(6&lt;=F23,$U23/F23,0)</f>
        <v/>
      </c>
      <c r="AC23" s="11">
        <f>IFERROR(IRR(V23:AB23),IF(V23&gt;=0,"no equity at risk",-1))</f>
        <v/>
      </c>
      <c r="AD23" s="12">
        <f>IFERROR(MATCH(TRUE,INDEX(AL23:AR23&gt;=0,0),0)-2+(-INDEX(AL23:AR23,MATCH(TRUE,INDEX(AL23:AR23&gt;=0,0),0)-1))/INDEX(V23:AB23,MATCH(TRUE,INDEX(AL23:AR23&gt;=0,0),0)),"never")</f>
        <v/>
      </c>
      <c r="AE23">
        <f>SUM($I23:I23)</f>
        <v/>
      </c>
      <c r="AF23">
        <f>SUM($I23:J23)</f>
        <v/>
      </c>
      <c r="AG23">
        <f>SUM($I23:K23)</f>
        <v/>
      </c>
      <c r="AH23">
        <f>SUM($I23:L23)</f>
        <v/>
      </c>
      <c r="AI23">
        <f>SUM($I23:M23)</f>
        <v/>
      </c>
      <c r="AJ23">
        <f>SUM($I23:N23)</f>
        <v/>
      </c>
      <c r="AK23">
        <f>SUM($I23:O23)</f>
        <v/>
      </c>
      <c r="AL23">
        <f>SUM($V23:V23)</f>
        <v/>
      </c>
      <c r="AM23">
        <f>SUM($V23:W23)</f>
        <v/>
      </c>
      <c r="AN23">
        <f>SUM($V23:X23)</f>
        <v/>
      </c>
      <c r="AO23">
        <f>SUM($V23:Y23)</f>
        <v/>
      </c>
      <c r="AP23">
        <f>SUM($V23:Z23)</f>
        <v/>
      </c>
      <c r="AQ23">
        <f>SUM($V23:AA23)</f>
        <v/>
      </c>
      <c r="AR23">
        <f>SUM($V23:AB23)</f>
        <v/>
      </c>
    </row>
    <row r="24">
      <c r="A24" t="n">
        <v>23</v>
      </c>
      <c r="B24" t="inlineStr">
        <is>
          <t>Short-term (&gt;$40M, 1-yr)</t>
        </is>
      </c>
      <c r="C24">
        <f>Assumptions!$B$47*(1-0)</f>
        <v/>
      </c>
      <c r="D24" t="n">
        <v>0</v>
      </c>
      <c r="E24">
        <f>Assumptions!$B$4</f>
        <v/>
      </c>
      <c r="F24">
        <f>Assumptions!$B$51</f>
        <v/>
      </c>
      <c r="G24" s="6">
        <f>IF(D24=1,Assumptions!$B$25+Assumptions!$B$26,Assumptions!$B$27)/Assumptions!$B$33</f>
        <v/>
      </c>
      <c r="H24" s="11">
        <f>1-Assumptions!$B$42-(Assumptions!$B$38+(1-D24)*Assumptions!$B$39/Assumptions!$B$33)/C24</f>
        <v/>
      </c>
      <c r="I24" s="6">
        <f>-G24</f>
        <v/>
      </c>
      <c r="J24" s="6">
        <f>IF(1&gt;E24,0,IF(1&lt;=F24,C24,MIN(C24,Assumptions!$B$77)*INDEX(Assumptions!$B$71:$B$76,1)*Assumptions!$B$58))-IF(1&gt;E24,0,IF(1&gt;E24,0,IF(1&lt;=F24,C24,MIN(C24,Assumptions!$B$77)*INDEX(Assumptions!$B$71:$B$76,1)*Assumptions!$B$58))*Assumptions!$B$42+Assumptions!$B$38*IF(1&lt;=F24,1,Assumptions!$B$58)+(1-D24)*Assumptions!$B$39/Assumptions!$B$33)+IF(1=E24,D24*Assumptions!$B$26/Assumptions!$B$33*MAX(0,1-E24/Assumptions!$B$6),0)</f>
        <v/>
      </c>
      <c r="K24" s="6">
        <f>IF(2&gt;E24,0,IF(2&lt;=F24,C24,MIN(C24,Assumptions!$B$77)*INDEX(Assumptions!$B$71:$B$76,2)*Assumptions!$B$58))-IF(2&gt;E24,0,IF(2&gt;E24,0,IF(2&lt;=F24,C24,MIN(C24,Assumptions!$B$77)*INDEX(Assumptions!$B$71:$B$76,2)*Assumptions!$B$58))*Assumptions!$B$42+Assumptions!$B$38*IF(2&lt;=F24,1,Assumptions!$B$58)+(1-D24)*Assumptions!$B$39/Assumptions!$B$33)+IF(2=E24,D24*Assumptions!$B$26/Assumptions!$B$33*MAX(0,1-E24/Assumptions!$B$6),0)</f>
        <v/>
      </c>
      <c r="L24" s="6">
        <f>IF(3&gt;E24,0,IF(3&lt;=F24,C24,MIN(C24,Assumptions!$B$77)*INDEX(Assumptions!$B$71:$B$76,3)*Assumptions!$B$58))-IF(3&gt;E24,0,IF(3&gt;E24,0,IF(3&lt;=F24,C24,MIN(C24,Assumptions!$B$77)*INDEX(Assumptions!$B$71:$B$76,3)*Assumptions!$B$58))*Assumptions!$B$42+Assumptions!$B$38*IF(3&lt;=F24,1,Assumptions!$B$58)+(1-D24)*Assumptions!$B$39/Assumptions!$B$33)+IF(3=E24,D24*Assumptions!$B$26/Assumptions!$B$33*MAX(0,1-E24/Assumptions!$B$6),0)</f>
        <v/>
      </c>
      <c r="M24" s="6">
        <f>IF(4&gt;E24,0,IF(4&lt;=F24,C24,MIN(C24,Assumptions!$B$77)*INDEX(Assumptions!$B$71:$B$76,4)*Assumptions!$B$58))-IF(4&gt;E24,0,IF(4&gt;E24,0,IF(4&lt;=F24,C24,MIN(C24,Assumptions!$B$77)*INDEX(Assumptions!$B$71:$B$76,4)*Assumptions!$B$58))*Assumptions!$B$42+Assumptions!$B$38*IF(4&lt;=F24,1,Assumptions!$B$58)+(1-D24)*Assumptions!$B$39/Assumptions!$B$33)+IF(4=E24,D24*Assumptions!$B$26/Assumptions!$B$33*MAX(0,1-E24/Assumptions!$B$6),0)</f>
        <v/>
      </c>
      <c r="N24" s="6">
        <f>IF(5&gt;E24,0,IF(5&lt;=F24,C24,MIN(C24,Assumptions!$B$77)*INDEX(Assumptions!$B$71:$B$76,5)*Assumptions!$B$58))-IF(5&gt;E24,0,IF(5&gt;E24,0,IF(5&lt;=F24,C24,MIN(C24,Assumptions!$B$77)*INDEX(Assumptions!$B$71:$B$76,5)*Assumptions!$B$58))*Assumptions!$B$42+Assumptions!$B$38*IF(5&lt;=F24,1,Assumptions!$B$58)+(1-D24)*Assumptions!$B$39/Assumptions!$B$33)+IF(5=E24,D24*Assumptions!$B$26/Assumptions!$B$33*MAX(0,1-E24/Assumptions!$B$6),0)</f>
        <v/>
      </c>
      <c r="O24" s="6">
        <f>IF(6&gt;E24,0,IF(6&lt;=F24,C24,MIN(C24,Assumptions!$B$77)*INDEX(Assumptions!$B$71:$B$76,6)*Assumptions!$B$58))-IF(6&gt;E24,0,IF(6&gt;E24,0,IF(6&lt;=F24,C24,MIN(C24,Assumptions!$B$77)*INDEX(Assumptions!$B$71:$B$76,6)*Assumptions!$B$58))*Assumptions!$B$42+Assumptions!$B$38*IF(6&lt;=F24,1,Assumptions!$B$58)+(1-D24)*Assumptions!$B$39/Assumptions!$B$33)+IF(6=E24,D24*Assumptions!$B$26/Assumptions!$B$33*MAX(0,1-E24/Assumptions!$B$6),0)</f>
        <v/>
      </c>
      <c r="P24" s="11">
        <f>IFERROR(IRR(I24:O24),-1)</f>
        <v/>
      </c>
      <c r="Q24" s="12">
        <f>IFERROR(MATCH(TRUE,INDEX(AE24:AK24&gt;=0,0),0)-2+(-INDEX(AE24:AK24,MATCH(TRUE,INDEX(AE24:AK24&gt;=0,0),0)-1))/INDEX(I24:O24,MATCH(TRUE,INDEX(AE24:AK24&gt;=0,0),0)),"never")</f>
        <v/>
      </c>
      <c r="R24" s="6">
        <f>NPV(Assumptions!$B$149,J24:O24)+I24</f>
        <v/>
      </c>
      <c r="S24" s="11">
        <f>(G24-D24*Assumptions!$B$26/Assumptions!$B$33*MAX(0,1-E24/Assumptions!$B$6)/(1+Assumptions!$B$149)^E24)/(IF(1&gt;E24,0,IF(1&lt;=F24,C24,MIN(C24,Assumptions!$B$77)*INDEX(Assumptions!$B$71:$B$76,1)*Assumptions!$B$58))/(1+Assumptions!$B$149)^1+IF(2&gt;E24,0,IF(2&lt;=F24,C24,MIN(C24,Assumptions!$B$77)*INDEX(Assumptions!$B$71:$B$76,2)*Assumptions!$B$58))/(1+Assumptions!$B$149)^2+IF(3&gt;E24,0,IF(3&lt;=F24,C24,MIN(C24,Assumptions!$B$77)*INDEX(Assumptions!$B$71:$B$76,3)*Assumptions!$B$58))/(1+Assumptions!$B$149)^3+IF(4&gt;E24,0,IF(4&lt;=F24,C24,MIN(C24,Assumptions!$B$77)*INDEX(Assumptions!$B$71:$B$76,4)*Assumptions!$B$58))/(1+Assumptions!$B$149)^4+IF(5&gt;E24,0,IF(5&lt;=F24,C24,MIN(C24,Assumptions!$B$77)*INDEX(Assumptions!$B$71:$B$76,5)*Assumptions!$B$58))/(1+Assumptions!$B$149)^5+IF(6&gt;E24,0,IF(6&lt;=F24,C24,MIN(C24,Assumptions!$B$77)*INDEX(Assumptions!$B$71:$B$76,6)*Assumptions!$B$58))/(1+Assumptions!$B$149)^6)</f>
        <v/>
      </c>
      <c r="T24" s="11">
        <f>(IF(D24=1,Assumptions!$B$25/E24+Assumptions!$B$26/Assumptions!$B$6,Assumptions!$B$25/E24+(Assumptions!$B$27-Assumptions!$B$25)/Assumptions!$B$6)/Assumptions!$B$33)/C24</f>
        <v/>
      </c>
      <c r="U24" s="6">
        <f>Assumptions!$B$54*G24</f>
        <v/>
      </c>
      <c r="V24" s="6">
        <f>I24+U24</f>
        <v/>
      </c>
      <c r="W24" s="6">
        <f>J24-IF(1&lt;=F24,$U24/F24,0)</f>
        <v/>
      </c>
      <c r="X24" s="6">
        <f>K24-IF(2&lt;=F24,$U24/F24,0)</f>
        <v/>
      </c>
      <c r="Y24" s="6">
        <f>L24-IF(3&lt;=F24,$U24/F24,0)</f>
        <v/>
      </c>
      <c r="Z24" s="6">
        <f>M24-IF(4&lt;=F24,$U24/F24,0)</f>
        <v/>
      </c>
      <c r="AA24" s="6">
        <f>N24-IF(5&lt;=F24,$U24/F24,0)</f>
        <v/>
      </c>
      <c r="AB24" s="6">
        <f>O24-IF(6&lt;=F24,$U24/F24,0)</f>
        <v/>
      </c>
      <c r="AC24" s="11">
        <f>IFERROR(IRR(V24:AB24),IF(V24&gt;=0,"no equity at risk",-1))</f>
        <v/>
      </c>
      <c r="AD24" s="12">
        <f>IFERROR(MATCH(TRUE,INDEX(AL24:AR24&gt;=0,0),0)-2+(-INDEX(AL24:AR24,MATCH(TRUE,INDEX(AL24:AR24&gt;=0,0),0)-1))/INDEX(V24:AB24,MATCH(TRUE,INDEX(AL24:AR24&gt;=0,0),0)),"never")</f>
        <v/>
      </c>
      <c r="AE24">
        <f>SUM($I24:I24)</f>
        <v/>
      </c>
      <c r="AF24">
        <f>SUM($I24:J24)</f>
        <v/>
      </c>
      <c r="AG24">
        <f>SUM($I24:K24)</f>
        <v/>
      </c>
      <c r="AH24">
        <f>SUM($I24:L24)</f>
        <v/>
      </c>
      <c r="AI24">
        <f>SUM($I24:M24)</f>
        <v/>
      </c>
      <c r="AJ24">
        <f>SUM($I24:N24)</f>
        <v/>
      </c>
      <c r="AK24">
        <f>SUM($I24:O24)</f>
        <v/>
      </c>
      <c r="AL24">
        <f>SUM($V24:V24)</f>
        <v/>
      </c>
      <c r="AM24">
        <f>SUM($V24:W24)</f>
        <v/>
      </c>
      <c r="AN24">
        <f>SUM($V24:X24)</f>
        <v/>
      </c>
      <c r="AO24">
        <f>SUM($V24:Y24)</f>
        <v/>
      </c>
      <c r="AP24">
        <f>SUM($V24:Z24)</f>
        <v/>
      </c>
      <c r="AQ24">
        <f>SUM($V24:AA24)</f>
        <v/>
      </c>
      <c r="AR24">
        <f>SUM($V24:AB24)</f>
        <v/>
      </c>
    </row>
    <row r="25">
      <c r="A25" t="n">
        <v>24</v>
      </c>
      <c r="B25" t="inlineStr">
        <is>
          <t>Short-term (&gt;$40M, 1-yr)</t>
        </is>
      </c>
      <c r="C25">
        <f>Assumptions!$B$47*(1-0)</f>
        <v/>
      </c>
      <c r="D25" t="n">
        <v>0</v>
      </c>
      <c r="E25">
        <f>Assumptions!$B$5</f>
        <v/>
      </c>
      <c r="F25">
        <f>Assumptions!$B$51</f>
        <v/>
      </c>
      <c r="G25" s="6">
        <f>IF(D25=1,Assumptions!$B$25+Assumptions!$B$26,Assumptions!$B$27)/Assumptions!$B$33</f>
        <v/>
      </c>
      <c r="H25" s="11">
        <f>1-Assumptions!$B$42-(Assumptions!$B$38+(1-D25)*Assumptions!$B$39/Assumptions!$B$33)/C25</f>
        <v/>
      </c>
      <c r="I25" s="6">
        <f>-G25</f>
        <v/>
      </c>
      <c r="J25" s="6">
        <f>IF(1&gt;E25,0,IF(1&lt;=F25,C25,MIN(C25,Assumptions!$B$77)*INDEX(Assumptions!$B$71:$B$76,1)*Assumptions!$B$58))-IF(1&gt;E25,0,IF(1&gt;E25,0,IF(1&lt;=F25,C25,MIN(C25,Assumptions!$B$77)*INDEX(Assumptions!$B$71:$B$76,1)*Assumptions!$B$58))*Assumptions!$B$42+Assumptions!$B$38*IF(1&lt;=F25,1,Assumptions!$B$58)+(1-D25)*Assumptions!$B$39/Assumptions!$B$33)+IF(1=E25,D25*Assumptions!$B$26/Assumptions!$B$33*MAX(0,1-E25/Assumptions!$B$6),0)</f>
        <v/>
      </c>
      <c r="K25" s="6">
        <f>IF(2&gt;E25,0,IF(2&lt;=F25,C25,MIN(C25,Assumptions!$B$77)*INDEX(Assumptions!$B$71:$B$76,2)*Assumptions!$B$58))-IF(2&gt;E25,0,IF(2&gt;E25,0,IF(2&lt;=F25,C25,MIN(C25,Assumptions!$B$77)*INDEX(Assumptions!$B$71:$B$76,2)*Assumptions!$B$58))*Assumptions!$B$42+Assumptions!$B$38*IF(2&lt;=F25,1,Assumptions!$B$58)+(1-D25)*Assumptions!$B$39/Assumptions!$B$33)+IF(2=E25,D25*Assumptions!$B$26/Assumptions!$B$33*MAX(0,1-E25/Assumptions!$B$6),0)</f>
        <v/>
      </c>
      <c r="L25" s="6">
        <f>IF(3&gt;E25,0,IF(3&lt;=F25,C25,MIN(C25,Assumptions!$B$77)*INDEX(Assumptions!$B$71:$B$76,3)*Assumptions!$B$58))-IF(3&gt;E25,0,IF(3&gt;E25,0,IF(3&lt;=F25,C25,MIN(C25,Assumptions!$B$77)*INDEX(Assumptions!$B$71:$B$76,3)*Assumptions!$B$58))*Assumptions!$B$42+Assumptions!$B$38*IF(3&lt;=F25,1,Assumptions!$B$58)+(1-D25)*Assumptions!$B$39/Assumptions!$B$33)+IF(3=E25,D25*Assumptions!$B$26/Assumptions!$B$33*MAX(0,1-E25/Assumptions!$B$6),0)</f>
        <v/>
      </c>
      <c r="M25" s="6">
        <f>IF(4&gt;E25,0,IF(4&lt;=F25,C25,MIN(C25,Assumptions!$B$77)*INDEX(Assumptions!$B$71:$B$76,4)*Assumptions!$B$58))-IF(4&gt;E25,0,IF(4&gt;E25,0,IF(4&lt;=F25,C25,MIN(C25,Assumptions!$B$77)*INDEX(Assumptions!$B$71:$B$76,4)*Assumptions!$B$58))*Assumptions!$B$42+Assumptions!$B$38*IF(4&lt;=F25,1,Assumptions!$B$58)+(1-D25)*Assumptions!$B$39/Assumptions!$B$33)+IF(4=E25,D25*Assumptions!$B$26/Assumptions!$B$33*MAX(0,1-E25/Assumptions!$B$6),0)</f>
        <v/>
      </c>
      <c r="N25" s="6">
        <f>IF(5&gt;E25,0,IF(5&lt;=F25,C25,MIN(C25,Assumptions!$B$77)*INDEX(Assumptions!$B$71:$B$76,5)*Assumptions!$B$58))-IF(5&gt;E25,0,IF(5&gt;E25,0,IF(5&lt;=F25,C25,MIN(C25,Assumptions!$B$77)*INDEX(Assumptions!$B$71:$B$76,5)*Assumptions!$B$58))*Assumptions!$B$42+Assumptions!$B$38*IF(5&lt;=F25,1,Assumptions!$B$58)+(1-D25)*Assumptions!$B$39/Assumptions!$B$33)+IF(5=E25,D25*Assumptions!$B$26/Assumptions!$B$33*MAX(0,1-E25/Assumptions!$B$6),0)</f>
        <v/>
      </c>
      <c r="O25" s="6">
        <f>IF(6&gt;E25,0,IF(6&lt;=F25,C25,MIN(C25,Assumptions!$B$77)*INDEX(Assumptions!$B$71:$B$76,6)*Assumptions!$B$58))-IF(6&gt;E25,0,IF(6&gt;E25,0,IF(6&lt;=F25,C25,MIN(C25,Assumptions!$B$77)*INDEX(Assumptions!$B$71:$B$76,6)*Assumptions!$B$58))*Assumptions!$B$42+Assumptions!$B$38*IF(6&lt;=F25,1,Assumptions!$B$58)+(1-D25)*Assumptions!$B$39/Assumptions!$B$33)+IF(6=E25,D25*Assumptions!$B$26/Assumptions!$B$33*MAX(0,1-E25/Assumptions!$B$6),0)</f>
        <v/>
      </c>
      <c r="P25" s="11">
        <f>IFERROR(IRR(I25:O25),-1)</f>
        <v/>
      </c>
      <c r="Q25" s="12">
        <f>IFERROR(MATCH(TRUE,INDEX(AE25:AK25&gt;=0,0),0)-2+(-INDEX(AE25:AK25,MATCH(TRUE,INDEX(AE25:AK25&gt;=0,0),0)-1))/INDEX(I25:O25,MATCH(TRUE,INDEX(AE25:AK25&gt;=0,0),0)),"never")</f>
        <v/>
      </c>
      <c r="R25" s="6">
        <f>NPV(Assumptions!$B$149,J25:O25)+I25</f>
        <v/>
      </c>
      <c r="S25" s="11">
        <f>(G25-D25*Assumptions!$B$26/Assumptions!$B$33*MAX(0,1-E25/Assumptions!$B$6)/(1+Assumptions!$B$149)^E25)/(IF(1&gt;E25,0,IF(1&lt;=F25,C25,MIN(C25,Assumptions!$B$77)*INDEX(Assumptions!$B$71:$B$76,1)*Assumptions!$B$58))/(1+Assumptions!$B$149)^1+IF(2&gt;E25,0,IF(2&lt;=F25,C25,MIN(C25,Assumptions!$B$77)*INDEX(Assumptions!$B$71:$B$76,2)*Assumptions!$B$58))/(1+Assumptions!$B$149)^2+IF(3&gt;E25,0,IF(3&lt;=F25,C25,MIN(C25,Assumptions!$B$77)*INDEX(Assumptions!$B$71:$B$76,3)*Assumptions!$B$58))/(1+Assumptions!$B$149)^3+IF(4&gt;E25,0,IF(4&lt;=F25,C25,MIN(C25,Assumptions!$B$77)*INDEX(Assumptions!$B$71:$B$76,4)*Assumptions!$B$58))/(1+Assumptions!$B$149)^4+IF(5&gt;E25,0,IF(5&lt;=F25,C25,MIN(C25,Assumptions!$B$77)*INDEX(Assumptions!$B$71:$B$76,5)*Assumptions!$B$58))/(1+Assumptions!$B$149)^5+IF(6&gt;E25,0,IF(6&lt;=F25,C25,MIN(C25,Assumptions!$B$77)*INDEX(Assumptions!$B$71:$B$76,6)*Assumptions!$B$58))/(1+Assumptions!$B$149)^6)</f>
        <v/>
      </c>
      <c r="T25" s="11">
        <f>(IF(D25=1,Assumptions!$B$25/E25+Assumptions!$B$26/Assumptions!$B$6,Assumptions!$B$25/E25+(Assumptions!$B$27-Assumptions!$B$25)/Assumptions!$B$6)/Assumptions!$B$33)/C25</f>
        <v/>
      </c>
      <c r="U25" s="6">
        <f>Assumptions!$B$54*G25</f>
        <v/>
      </c>
      <c r="V25" s="6">
        <f>I25+U25</f>
        <v/>
      </c>
      <c r="W25" s="6">
        <f>J25-IF(1&lt;=F25,$U25/F25,0)</f>
        <v/>
      </c>
      <c r="X25" s="6">
        <f>K25-IF(2&lt;=F25,$U25/F25,0)</f>
        <v/>
      </c>
      <c r="Y25" s="6">
        <f>L25-IF(3&lt;=F25,$U25/F25,0)</f>
        <v/>
      </c>
      <c r="Z25" s="6">
        <f>M25-IF(4&lt;=F25,$U25/F25,0)</f>
        <v/>
      </c>
      <c r="AA25" s="6">
        <f>N25-IF(5&lt;=F25,$U25/F25,0)</f>
        <v/>
      </c>
      <c r="AB25" s="6">
        <f>O25-IF(6&lt;=F25,$U25/F25,0)</f>
        <v/>
      </c>
      <c r="AC25" s="11">
        <f>IFERROR(IRR(V25:AB25),IF(V25&gt;=0,"no equity at risk",-1))</f>
        <v/>
      </c>
      <c r="AD25" s="12">
        <f>IFERROR(MATCH(TRUE,INDEX(AL25:AR25&gt;=0,0),0)-2+(-INDEX(AL25:AR25,MATCH(TRUE,INDEX(AL25:AR25&gt;=0,0),0)-1))/INDEX(V25:AB25,MATCH(TRUE,INDEX(AL25:AR25&gt;=0,0),0)),"never")</f>
        <v/>
      </c>
      <c r="AE25">
        <f>SUM($I25:I25)</f>
        <v/>
      </c>
      <c r="AF25">
        <f>SUM($I25:J25)</f>
        <v/>
      </c>
      <c r="AG25">
        <f>SUM($I25:K25)</f>
        <v/>
      </c>
      <c r="AH25">
        <f>SUM($I25:L25)</f>
        <v/>
      </c>
      <c r="AI25">
        <f>SUM($I25:M25)</f>
        <v/>
      </c>
      <c r="AJ25">
        <f>SUM($I25:N25)</f>
        <v/>
      </c>
      <c r="AK25">
        <f>SUM($I25:O25)</f>
        <v/>
      </c>
      <c r="AL25">
        <f>SUM($V25:V25)</f>
        <v/>
      </c>
      <c r="AM25">
        <f>SUM($V25:W25)</f>
        <v/>
      </c>
      <c r="AN25">
        <f>SUM($V25:X25)</f>
        <v/>
      </c>
      <c r="AO25">
        <f>SUM($V25:Y25)</f>
        <v/>
      </c>
      <c r="AP25">
        <f>SUM($V25:Z25)</f>
        <v/>
      </c>
      <c r="AQ25">
        <f>SUM($V25:AA25)</f>
        <v/>
      </c>
      <c r="AR25">
        <f>SUM($V25:AB25)</f>
        <v/>
      </c>
    </row>
    <row r="26">
      <c r="A26" t="n">
        <v>25</v>
      </c>
      <c r="B26" t="inlineStr">
        <is>
          <t>Microsoft ($11.6M = 300 MW gross basis, leased)</t>
        </is>
      </c>
      <c r="C26">
        <f>Assumptions!$B$48*(1-Assumptions!$B$53)</f>
        <v/>
      </c>
      <c r="D26" t="n">
        <v>0</v>
      </c>
      <c r="E26">
        <f>Assumptions!$B$3</f>
        <v/>
      </c>
      <c r="F26">
        <f>Assumptions!$B$52</f>
        <v/>
      </c>
      <c r="G26" s="6">
        <f>IF(D26=1,Assumptions!$B$25+Assumptions!$B$26,Assumptions!$B$27)/Assumptions!$B$33</f>
        <v/>
      </c>
      <c r="H26" s="11">
        <f>1-Assumptions!$B$42-(Assumptions!$B$38+(1-D26)*Assumptions!$B$39/Assumptions!$B$33)/C26</f>
        <v/>
      </c>
      <c r="I26" s="6">
        <f>-G26</f>
        <v/>
      </c>
      <c r="J26" s="6">
        <f>IF(1&gt;E26,0,IF(1&lt;=F26,C26,MIN(C26,Assumptions!$B$77)*INDEX(Assumptions!$B$71:$B$76,1)*Assumptions!$B$58))-IF(1&gt;E26,0,IF(1&gt;E26,0,IF(1&lt;=F26,C26,MIN(C26,Assumptions!$B$77)*INDEX(Assumptions!$B$71:$B$76,1)*Assumptions!$B$58))*Assumptions!$B$42+Assumptions!$B$38*IF(1&lt;=F26,1,Assumptions!$B$58)+(1-D26)*Assumptions!$B$39/Assumptions!$B$33)+IF(1=E26,D26*Assumptions!$B$26/Assumptions!$B$33*MAX(0,1-E26/Assumptions!$B$6),0)</f>
        <v/>
      </c>
      <c r="K26" s="6">
        <f>IF(2&gt;E26,0,IF(2&lt;=F26,C26,MIN(C26,Assumptions!$B$77)*INDEX(Assumptions!$B$71:$B$76,2)*Assumptions!$B$58))-IF(2&gt;E26,0,IF(2&gt;E26,0,IF(2&lt;=F26,C26,MIN(C26,Assumptions!$B$77)*INDEX(Assumptions!$B$71:$B$76,2)*Assumptions!$B$58))*Assumptions!$B$42+Assumptions!$B$38*IF(2&lt;=F26,1,Assumptions!$B$58)+(1-D26)*Assumptions!$B$39/Assumptions!$B$33)+IF(2=E26,D26*Assumptions!$B$26/Assumptions!$B$33*MAX(0,1-E26/Assumptions!$B$6),0)</f>
        <v/>
      </c>
      <c r="L26" s="6">
        <f>IF(3&gt;E26,0,IF(3&lt;=F26,C26,MIN(C26,Assumptions!$B$77)*INDEX(Assumptions!$B$71:$B$76,3)*Assumptions!$B$58))-IF(3&gt;E26,0,IF(3&gt;E26,0,IF(3&lt;=F26,C26,MIN(C26,Assumptions!$B$77)*INDEX(Assumptions!$B$71:$B$76,3)*Assumptions!$B$58))*Assumptions!$B$42+Assumptions!$B$38*IF(3&lt;=F26,1,Assumptions!$B$58)+(1-D26)*Assumptions!$B$39/Assumptions!$B$33)+IF(3=E26,D26*Assumptions!$B$26/Assumptions!$B$33*MAX(0,1-E26/Assumptions!$B$6),0)</f>
        <v/>
      </c>
      <c r="M26" s="6">
        <f>IF(4&gt;E26,0,IF(4&lt;=F26,C26,MIN(C26,Assumptions!$B$77)*INDEX(Assumptions!$B$71:$B$76,4)*Assumptions!$B$58))-IF(4&gt;E26,0,IF(4&gt;E26,0,IF(4&lt;=F26,C26,MIN(C26,Assumptions!$B$77)*INDEX(Assumptions!$B$71:$B$76,4)*Assumptions!$B$58))*Assumptions!$B$42+Assumptions!$B$38*IF(4&lt;=F26,1,Assumptions!$B$58)+(1-D26)*Assumptions!$B$39/Assumptions!$B$33)+IF(4=E26,D26*Assumptions!$B$26/Assumptions!$B$33*MAX(0,1-E26/Assumptions!$B$6),0)</f>
        <v/>
      </c>
      <c r="N26" s="6">
        <f>IF(5&gt;E26,0,IF(5&lt;=F26,C26,MIN(C26,Assumptions!$B$77)*INDEX(Assumptions!$B$71:$B$76,5)*Assumptions!$B$58))-IF(5&gt;E26,0,IF(5&gt;E26,0,IF(5&lt;=F26,C26,MIN(C26,Assumptions!$B$77)*INDEX(Assumptions!$B$71:$B$76,5)*Assumptions!$B$58))*Assumptions!$B$42+Assumptions!$B$38*IF(5&lt;=F26,1,Assumptions!$B$58)+(1-D26)*Assumptions!$B$39/Assumptions!$B$33)+IF(5=E26,D26*Assumptions!$B$26/Assumptions!$B$33*MAX(0,1-E26/Assumptions!$B$6),0)</f>
        <v/>
      </c>
      <c r="O26" s="6">
        <f>IF(6&gt;E26,0,IF(6&lt;=F26,C26,MIN(C26,Assumptions!$B$77)*INDEX(Assumptions!$B$71:$B$76,6)*Assumptions!$B$58))-IF(6&gt;E26,0,IF(6&gt;E26,0,IF(6&lt;=F26,C26,MIN(C26,Assumptions!$B$77)*INDEX(Assumptions!$B$71:$B$76,6)*Assumptions!$B$58))*Assumptions!$B$42+Assumptions!$B$38*IF(6&lt;=F26,1,Assumptions!$B$58)+(1-D26)*Assumptions!$B$39/Assumptions!$B$33)+IF(6=E26,D26*Assumptions!$B$26/Assumptions!$B$33*MAX(0,1-E26/Assumptions!$B$6),0)</f>
        <v/>
      </c>
      <c r="P26" s="11">
        <f>IFERROR(IRR(I26:O26),-1)</f>
        <v/>
      </c>
      <c r="Q26" s="12">
        <f>IFERROR(MATCH(TRUE,INDEX(AE26:AK26&gt;=0,0),0)-2+(-INDEX(AE26:AK26,MATCH(TRUE,INDEX(AE26:AK26&gt;=0,0),0)-1))/INDEX(I26:O26,MATCH(TRUE,INDEX(AE26:AK26&gt;=0,0),0)),"never")</f>
        <v/>
      </c>
      <c r="R26" s="6">
        <f>NPV(Assumptions!$B$149,J26:O26)+I26</f>
        <v/>
      </c>
      <c r="S26" s="11">
        <f>(G26-D26*Assumptions!$B$26/Assumptions!$B$33*MAX(0,1-E26/Assumptions!$B$6)/(1+Assumptions!$B$149)^E26)/(IF(1&gt;E26,0,IF(1&lt;=F26,C26,MIN(C26,Assumptions!$B$77)*INDEX(Assumptions!$B$71:$B$76,1)*Assumptions!$B$58))/(1+Assumptions!$B$149)^1+IF(2&gt;E26,0,IF(2&lt;=F26,C26,MIN(C26,Assumptions!$B$77)*INDEX(Assumptions!$B$71:$B$76,2)*Assumptions!$B$58))/(1+Assumptions!$B$149)^2+IF(3&gt;E26,0,IF(3&lt;=F26,C26,MIN(C26,Assumptions!$B$77)*INDEX(Assumptions!$B$71:$B$76,3)*Assumptions!$B$58))/(1+Assumptions!$B$149)^3+IF(4&gt;E26,0,IF(4&lt;=F26,C26,MIN(C26,Assumptions!$B$77)*INDEX(Assumptions!$B$71:$B$76,4)*Assumptions!$B$58))/(1+Assumptions!$B$149)^4+IF(5&gt;E26,0,IF(5&lt;=F26,C26,MIN(C26,Assumptions!$B$77)*INDEX(Assumptions!$B$71:$B$76,5)*Assumptions!$B$58))/(1+Assumptions!$B$149)^5+IF(6&gt;E26,0,IF(6&lt;=F26,C26,MIN(C26,Assumptions!$B$77)*INDEX(Assumptions!$B$71:$B$76,6)*Assumptions!$B$58))/(1+Assumptions!$B$149)^6)</f>
        <v/>
      </c>
      <c r="T26" s="11">
        <f>(IF(D26=1,Assumptions!$B$25/E26+Assumptions!$B$26/Assumptions!$B$6,Assumptions!$B$25/E26+(Assumptions!$B$27-Assumptions!$B$25)/Assumptions!$B$6)/Assumptions!$B$33)/C26</f>
        <v/>
      </c>
      <c r="U26" s="6">
        <f>Assumptions!$B$56*C26*F26</f>
        <v/>
      </c>
      <c r="V26" s="6">
        <f>I26+U26</f>
        <v/>
      </c>
      <c r="W26" s="6">
        <f>J26-IF(1&lt;=F26,$U26/F26,0)</f>
        <v/>
      </c>
      <c r="X26" s="6">
        <f>K26-IF(2&lt;=F26,$U26/F26,0)</f>
        <v/>
      </c>
      <c r="Y26" s="6">
        <f>L26-IF(3&lt;=F26,$U26/F26,0)</f>
        <v/>
      </c>
      <c r="Z26" s="6">
        <f>M26-IF(4&lt;=F26,$U26/F26,0)</f>
        <v/>
      </c>
      <c r="AA26" s="6">
        <f>N26-IF(5&lt;=F26,$U26/F26,0)</f>
        <v/>
      </c>
      <c r="AB26" s="6">
        <f>O26-IF(6&lt;=F26,$U26/F26,0)</f>
        <v/>
      </c>
      <c r="AC26" s="11">
        <f>IFERROR(IRR(V26:AB26),IF(V26&gt;=0,"no equity at risk",-1))</f>
        <v/>
      </c>
      <c r="AD26" s="12">
        <f>IFERROR(MATCH(TRUE,INDEX(AL26:AR26&gt;=0,0),0)-2+(-INDEX(AL26:AR26,MATCH(TRUE,INDEX(AL26:AR26&gt;=0,0),0)-1))/INDEX(V26:AB26,MATCH(TRUE,INDEX(AL26:AR26&gt;=0,0),0)),"never")</f>
        <v/>
      </c>
      <c r="AE26">
        <f>SUM($I26:I26)</f>
        <v/>
      </c>
      <c r="AF26">
        <f>SUM($I26:J26)</f>
        <v/>
      </c>
      <c r="AG26">
        <f>SUM($I26:K26)</f>
        <v/>
      </c>
      <c r="AH26">
        <f>SUM($I26:L26)</f>
        <v/>
      </c>
      <c r="AI26">
        <f>SUM($I26:M26)</f>
        <v/>
      </c>
      <c r="AJ26">
        <f>SUM($I26:N26)</f>
        <v/>
      </c>
      <c r="AK26">
        <f>SUM($I26:O26)</f>
        <v/>
      </c>
      <c r="AL26">
        <f>SUM($V26:V26)</f>
        <v/>
      </c>
      <c r="AM26">
        <f>SUM($V26:W26)</f>
        <v/>
      </c>
      <c r="AN26">
        <f>SUM($V26:X26)</f>
        <v/>
      </c>
      <c r="AO26">
        <f>SUM($V26:Y26)</f>
        <v/>
      </c>
      <c r="AP26">
        <f>SUM($V26:Z26)</f>
        <v/>
      </c>
      <c r="AQ26">
        <f>SUM($V26:AA26)</f>
        <v/>
      </c>
      <c r="AR26">
        <f>SUM($V26:AB26)</f>
        <v/>
      </c>
    </row>
    <row r="27">
      <c r="A27" t="n">
        <v>26</v>
      </c>
      <c r="B27" t="inlineStr">
        <is>
          <t>Microsoft ($11.6M = 300 MW gross basis, leased)</t>
        </is>
      </c>
      <c r="C27">
        <f>Assumptions!$B$48*(1-Assumptions!$B$53)</f>
        <v/>
      </c>
      <c r="D27" t="n">
        <v>0</v>
      </c>
      <c r="E27">
        <f>Assumptions!$B$4</f>
        <v/>
      </c>
      <c r="F27">
        <f>Assumptions!$B$52</f>
        <v/>
      </c>
      <c r="G27" s="6">
        <f>IF(D27=1,Assumptions!$B$25+Assumptions!$B$26,Assumptions!$B$27)/Assumptions!$B$33</f>
        <v/>
      </c>
      <c r="H27" s="11">
        <f>1-Assumptions!$B$42-(Assumptions!$B$38+(1-D27)*Assumptions!$B$39/Assumptions!$B$33)/C27</f>
        <v/>
      </c>
      <c r="I27" s="6">
        <f>-G27</f>
        <v/>
      </c>
      <c r="J27" s="6">
        <f>IF(1&gt;E27,0,IF(1&lt;=F27,C27,MIN(C27,Assumptions!$B$77)*INDEX(Assumptions!$B$71:$B$76,1)*Assumptions!$B$58))-IF(1&gt;E27,0,IF(1&gt;E27,0,IF(1&lt;=F27,C27,MIN(C27,Assumptions!$B$77)*INDEX(Assumptions!$B$71:$B$76,1)*Assumptions!$B$58))*Assumptions!$B$42+Assumptions!$B$38*IF(1&lt;=F27,1,Assumptions!$B$58)+(1-D27)*Assumptions!$B$39/Assumptions!$B$33)+IF(1=E27,D27*Assumptions!$B$26/Assumptions!$B$33*MAX(0,1-E27/Assumptions!$B$6),0)</f>
        <v/>
      </c>
      <c r="K27" s="6">
        <f>IF(2&gt;E27,0,IF(2&lt;=F27,C27,MIN(C27,Assumptions!$B$77)*INDEX(Assumptions!$B$71:$B$76,2)*Assumptions!$B$58))-IF(2&gt;E27,0,IF(2&gt;E27,0,IF(2&lt;=F27,C27,MIN(C27,Assumptions!$B$77)*INDEX(Assumptions!$B$71:$B$76,2)*Assumptions!$B$58))*Assumptions!$B$42+Assumptions!$B$38*IF(2&lt;=F27,1,Assumptions!$B$58)+(1-D27)*Assumptions!$B$39/Assumptions!$B$33)+IF(2=E27,D27*Assumptions!$B$26/Assumptions!$B$33*MAX(0,1-E27/Assumptions!$B$6),0)</f>
        <v/>
      </c>
      <c r="L27" s="6">
        <f>IF(3&gt;E27,0,IF(3&lt;=F27,C27,MIN(C27,Assumptions!$B$77)*INDEX(Assumptions!$B$71:$B$76,3)*Assumptions!$B$58))-IF(3&gt;E27,0,IF(3&gt;E27,0,IF(3&lt;=F27,C27,MIN(C27,Assumptions!$B$77)*INDEX(Assumptions!$B$71:$B$76,3)*Assumptions!$B$58))*Assumptions!$B$42+Assumptions!$B$38*IF(3&lt;=F27,1,Assumptions!$B$58)+(1-D27)*Assumptions!$B$39/Assumptions!$B$33)+IF(3=E27,D27*Assumptions!$B$26/Assumptions!$B$33*MAX(0,1-E27/Assumptions!$B$6),0)</f>
        <v/>
      </c>
      <c r="M27" s="6">
        <f>IF(4&gt;E27,0,IF(4&lt;=F27,C27,MIN(C27,Assumptions!$B$77)*INDEX(Assumptions!$B$71:$B$76,4)*Assumptions!$B$58))-IF(4&gt;E27,0,IF(4&gt;E27,0,IF(4&lt;=F27,C27,MIN(C27,Assumptions!$B$77)*INDEX(Assumptions!$B$71:$B$76,4)*Assumptions!$B$58))*Assumptions!$B$42+Assumptions!$B$38*IF(4&lt;=F27,1,Assumptions!$B$58)+(1-D27)*Assumptions!$B$39/Assumptions!$B$33)+IF(4=E27,D27*Assumptions!$B$26/Assumptions!$B$33*MAX(0,1-E27/Assumptions!$B$6),0)</f>
        <v/>
      </c>
      <c r="N27" s="6">
        <f>IF(5&gt;E27,0,IF(5&lt;=F27,C27,MIN(C27,Assumptions!$B$77)*INDEX(Assumptions!$B$71:$B$76,5)*Assumptions!$B$58))-IF(5&gt;E27,0,IF(5&gt;E27,0,IF(5&lt;=F27,C27,MIN(C27,Assumptions!$B$77)*INDEX(Assumptions!$B$71:$B$76,5)*Assumptions!$B$58))*Assumptions!$B$42+Assumptions!$B$38*IF(5&lt;=F27,1,Assumptions!$B$58)+(1-D27)*Assumptions!$B$39/Assumptions!$B$33)+IF(5=E27,D27*Assumptions!$B$26/Assumptions!$B$33*MAX(0,1-E27/Assumptions!$B$6),0)</f>
        <v/>
      </c>
      <c r="O27" s="6">
        <f>IF(6&gt;E27,0,IF(6&lt;=F27,C27,MIN(C27,Assumptions!$B$77)*INDEX(Assumptions!$B$71:$B$76,6)*Assumptions!$B$58))-IF(6&gt;E27,0,IF(6&gt;E27,0,IF(6&lt;=F27,C27,MIN(C27,Assumptions!$B$77)*INDEX(Assumptions!$B$71:$B$76,6)*Assumptions!$B$58))*Assumptions!$B$42+Assumptions!$B$38*IF(6&lt;=F27,1,Assumptions!$B$58)+(1-D27)*Assumptions!$B$39/Assumptions!$B$33)+IF(6=E27,D27*Assumptions!$B$26/Assumptions!$B$33*MAX(0,1-E27/Assumptions!$B$6),0)</f>
        <v/>
      </c>
      <c r="P27" s="11">
        <f>IFERROR(IRR(I27:O27),-1)</f>
        <v/>
      </c>
      <c r="Q27" s="12">
        <f>IFERROR(MATCH(TRUE,INDEX(AE27:AK27&gt;=0,0),0)-2+(-INDEX(AE27:AK27,MATCH(TRUE,INDEX(AE27:AK27&gt;=0,0),0)-1))/INDEX(I27:O27,MATCH(TRUE,INDEX(AE27:AK27&gt;=0,0),0)),"never")</f>
        <v/>
      </c>
      <c r="R27" s="6">
        <f>NPV(Assumptions!$B$149,J27:O27)+I27</f>
        <v/>
      </c>
      <c r="S27" s="11">
        <f>(G27-D27*Assumptions!$B$26/Assumptions!$B$33*MAX(0,1-E27/Assumptions!$B$6)/(1+Assumptions!$B$149)^E27)/(IF(1&gt;E27,0,IF(1&lt;=F27,C27,MIN(C27,Assumptions!$B$77)*INDEX(Assumptions!$B$71:$B$76,1)*Assumptions!$B$58))/(1+Assumptions!$B$149)^1+IF(2&gt;E27,0,IF(2&lt;=F27,C27,MIN(C27,Assumptions!$B$77)*INDEX(Assumptions!$B$71:$B$76,2)*Assumptions!$B$58))/(1+Assumptions!$B$149)^2+IF(3&gt;E27,0,IF(3&lt;=F27,C27,MIN(C27,Assumptions!$B$77)*INDEX(Assumptions!$B$71:$B$76,3)*Assumptions!$B$58))/(1+Assumptions!$B$149)^3+IF(4&gt;E27,0,IF(4&lt;=F27,C27,MIN(C27,Assumptions!$B$77)*INDEX(Assumptions!$B$71:$B$76,4)*Assumptions!$B$58))/(1+Assumptions!$B$149)^4+IF(5&gt;E27,0,IF(5&lt;=F27,C27,MIN(C27,Assumptions!$B$77)*INDEX(Assumptions!$B$71:$B$76,5)*Assumptions!$B$58))/(1+Assumptions!$B$149)^5+IF(6&gt;E27,0,IF(6&lt;=F27,C27,MIN(C27,Assumptions!$B$77)*INDEX(Assumptions!$B$71:$B$76,6)*Assumptions!$B$58))/(1+Assumptions!$B$149)^6)</f>
        <v/>
      </c>
      <c r="T27" s="11">
        <f>(IF(D27=1,Assumptions!$B$25/E27+Assumptions!$B$26/Assumptions!$B$6,Assumptions!$B$25/E27+(Assumptions!$B$27-Assumptions!$B$25)/Assumptions!$B$6)/Assumptions!$B$33)/C27</f>
        <v/>
      </c>
      <c r="U27" s="6">
        <f>Assumptions!$B$56*C27*F27</f>
        <v/>
      </c>
      <c r="V27" s="6">
        <f>I27+U27</f>
        <v/>
      </c>
      <c r="W27" s="6">
        <f>J27-IF(1&lt;=F27,$U27/F27,0)</f>
        <v/>
      </c>
      <c r="X27" s="6">
        <f>K27-IF(2&lt;=F27,$U27/F27,0)</f>
        <v/>
      </c>
      <c r="Y27" s="6">
        <f>L27-IF(3&lt;=F27,$U27/F27,0)</f>
        <v/>
      </c>
      <c r="Z27" s="6">
        <f>M27-IF(4&lt;=F27,$U27/F27,0)</f>
        <v/>
      </c>
      <c r="AA27" s="6">
        <f>N27-IF(5&lt;=F27,$U27/F27,0)</f>
        <v/>
      </c>
      <c r="AB27" s="6">
        <f>O27-IF(6&lt;=F27,$U27/F27,0)</f>
        <v/>
      </c>
      <c r="AC27" s="11">
        <f>IFERROR(IRR(V27:AB27),IF(V27&gt;=0,"no equity at risk",-1))</f>
        <v/>
      </c>
      <c r="AD27" s="12">
        <f>IFERROR(MATCH(TRUE,INDEX(AL27:AR27&gt;=0,0),0)-2+(-INDEX(AL27:AR27,MATCH(TRUE,INDEX(AL27:AR27&gt;=0,0),0)-1))/INDEX(V27:AB27,MATCH(TRUE,INDEX(AL27:AR27&gt;=0,0),0)),"never")</f>
        <v/>
      </c>
      <c r="AE27">
        <f>SUM($I27:I27)</f>
        <v/>
      </c>
      <c r="AF27">
        <f>SUM($I27:J27)</f>
        <v/>
      </c>
      <c r="AG27">
        <f>SUM($I27:K27)</f>
        <v/>
      </c>
      <c r="AH27">
        <f>SUM($I27:L27)</f>
        <v/>
      </c>
      <c r="AI27">
        <f>SUM($I27:M27)</f>
        <v/>
      </c>
      <c r="AJ27">
        <f>SUM($I27:N27)</f>
        <v/>
      </c>
      <c r="AK27">
        <f>SUM($I27:O27)</f>
        <v/>
      </c>
      <c r="AL27">
        <f>SUM($V27:V27)</f>
        <v/>
      </c>
      <c r="AM27">
        <f>SUM($V27:W27)</f>
        <v/>
      </c>
      <c r="AN27">
        <f>SUM($V27:X27)</f>
        <v/>
      </c>
      <c r="AO27">
        <f>SUM($V27:Y27)</f>
        <v/>
      </c>
      <c r="AP27">
        <f>SUM($V27:Z27)</f>
        <v/>
      </c>
      <c r="AQ27">
        <f>SUM($V27:AA27)</f>
        <v/>
      </c>
      <c r="AR27">
        <f>SUM($V27:AB27)</f>
        <v/>
      </c>
    </row>
    <row r="28">
      <c r="A28" t="n">
        <v>27</v>
      </c>
      <c r="B28" t="inlineStr">
        <is>
          <t>Microsoft ($11.6M = 300 MW gross basis, leased)</t>
        </is>
      </c>
      <c r="C28">
        <f>Assumptions!$B$48*(1-Assumptions!$B$53)</f>
        <v/>
      </c>
      <c r="D28" t="n">
        <v>0</v>
      </c>
      <c r="E28">
        <f>Assumptions!$B$5</f>
        <v/>
      </c>
      <c r="F28">
        <f>Assumptions!$B$52</f>
        <v/>
      </c>
      <c r="G28" s="6">
        <f>IF(D28=1,Assumptions!$B$25+Assumptions!$B$26,Assumptions!$B$27)/Assumptions!$B$33</f>
        <v/>
      </c>
      <c r="H28" s="11">
        <f>1-Assumptions!$B$42-(Assumptions!$B$38+(1-D28)*Assumptions!$B$39/Assumptions!$B$33)/C28</f>
        <v/>
      </c>
      <c r="I28" s="6">
        <f>-G28</f>
        <v/>
      </c>
      <c r="J28" s="6">
        <f>IF(1&gt;E28,0,IF(1&lt;=F28,C28,MIN(C28,Assumptions!$B$77)*INDEX(Assumptions!$B$71:$B$76,1)*Assumptions!$B$58))-IF(1&gt;E28,0,IF(1&gt;E28,0,IF(1&lt;=F28,C28,MIN(C28,Assumptions!$B$77)*INDEX(Assumptions!$B$71:$B$76,1)*Assumptions!$B$58))*Assumptions!$B$42+Assumptions!$B$38*IF(1&lt;=F28,1,Assumptions!$B$58)+(1-D28)*Assumptions!$B$39/Assumptions!$B$33)+IF(1=E28,D28*Assumptions!$B$26/Assumptions!$B$33*MAX(0,1-E28/Assumptions!$B$6),0)</f>
        <v/>
      </c>
      <c r="K28" s="6">
        <f>IF(2&gt;E28,0,IF(2&lt;=F28,C28,MIN(C28,Assumptions!$B$77)*INDEX(Assumptions!$B$71:$B$76,2)*Assumptions!$B$58))-IF(2&gt;E28,0,IF(2&gt;E28,0,IF(2&lt;=F28,C28,MIN(C28,Assumptions!$B$77)*INDEX(Assumptions!$B$71:$B$76,2)*Assumptions!$B$58))*Assumptions!$B$42+Assumptions!$B$38*IF(2&lt;=F28,1,Assumptions!$B$58)+(1-D28)*Assumptions!$B$39/Assumptions!$B$33)+IF(2=E28,D28*Assumptions!$B$26/Assumptions!$B$33*MAX(0,1-E28/Assumptions!$B$6),0)</f>
        <v/>
      </c>
      <c r="L28" s="6">
        <f>IF(3&gt;E28,0,IF(3&lt;=F28,C28,MIN(C28,Assumptions!$B$77)*INDEX(Assumptions!$B$71:$B$76,3)*Assumptions!$B$58))-IF(3&gt;E28,0,IF(3&gt;E28,0,IF(3&lt;=F28,C28,MIN(C28,Assumptions!$B$77)*INDEX(Assumptions!$B$71:$B$76,3)*Assumptions!$B$58))*Assumptions!$B$42+Assumptions!$B$38*IF(3&lt;=F28,1,Assumptions!$B$58)+(1-D28)*Assumptions!$B$39/Assumptions!$B$33)+IF(3=E28,D28*Assumptions!$B$26/Assumptions!$B$33*MAX(0,1-E28/Assumptions!$B$6),0)</f>
        <v/>
      </c>
      <c r="M28" s="6">
        <f>IF(4&gt;E28,0,IF(4&lt;=F28,C28,MIN(C28,Assumptions!$B$77)*INDEX(Assumptions!$B$71:$B$76,4)*Assumptions!$B$58))-IF(4&gt;E28,0,IF(4&gt;E28,0,IF(4&lt;=F28,C28,MIN(C28,Assumptions!$B$77)*INDEX(Assumptions!$B$71:$B$76,4)*Assumptions!$B$58))*Assumptions!$B$42+Assumptions!$B$38*IF(4&lt;=F28,1,Assumptions!$B$58)+(1-D28)*Assumptions!$B$39/Assumptions!$B$33)+IF(4=E28,D28*Assumptions!$B$26/Assumptions!$B$33*MAX(0,1-E28/Assumptions!$B$6),0)</f>
        <v/>
      </c>
      <c r="N28" s="6">
        <f>IF(5&gt;E28,0,IF(5&lt;=F28,C28,MIN(C28,Assumptions!$B$77)*INDEX(Assumptions!$B$71:$B$76,5)*Assumptions!$B$58))-IF(5&gt;E28,0,IF(5&gt;E28,0,IF(5&lt;=F28,C28,MIN(C28,Assumptions!$B$77)*INDEX(Assumptions!$B$71:$B$76,5)*Assumptions!$B$58))*Assumptions!$B$42+Assumptions!$B$38*IF(5&lt;=F28,1,Assumptions!$B$58)+(1-D28)*Assumptions!$B$39/Assumptions!$B$33)+IF(5=E28,D28*Assumptions!$B$26/Assumptions!$B$33*MAX(0,1-E28/Assumptions!$B$6),0)</f>
        <v/>
      </c>
      <c r="O28" s="6">
        <f>IF(6&gt;E28,0,IF(6&lt;=F28,C28,MIN(C28,Assumptions!$B$77)*INDEX(Assumptions!$B$71:$B$76,6)*Assumptions!$B$58))-IF(6&gt;E28,0,IF(6&gt;E28,0,IF(6&lt;=F28,C28,MIN(C28,Assumptions!$B$77)*INDEX(Assumptions!$B$71:$B$76,6)*Assumptions!$B$58))*Assumptions!$B$42+Assumptions!$B$38*IF(6&lt;=F28,1,Assumptions!$B$58)+(1-D28)*Assumptions!$B$39/Assumptions!$B$33)+IF(6=E28,D28*Assumptions!$B$26/Assumptions!$B$33*MAX(0,1-E28/Assumptions!$B$6),0)</f>
        <v/>
      </c>
      <c r="P28" s="11">
        <f>IFERROR(IRR(I28:O28),-1)</f>
        <v/>
      </c>
      <c r="Q28" s="12">
        <f>IFERROR(MATCH(TRUE,INDEX(AE28:AK28&gt;=0,0),0)-2+(-INDEX(AE28:AK28,MATCH(TRUE,INDEX(AE28:AK28&gt;=0,0),0)-1))/INDEX(I28:O28,MATCH(TRUE,INDEX(AE28:AK28&gt;=0,0),0)),"never")</f>
        <v/>
      </c>
      <c r="R28" s="6">
        <f>NPV(Assumptions!$B$149,J28:O28)+I28</f>
        <v/>
      </c>
      <c r="S28" s="11">
        <f>(G28-D28*Assumptions!$B$26/Assumptions!$B$33*MAX(0,1-E28/Assumptions!$B$6)/(1+Assumptions!$B$149)^E28)/(IF(1&gt;E28,0,IF(1&lt;=F28,C28,MIN(C28,Assumptions!$B$77)*INDEX(Assumptions!$B$71:$B$76,1)*Assumptions!$B$58))/(1+Assumptions!$B$149)^1+IF(2&gt;E28,0,IF(2&lt;=F28,C28,MIN(C28,Assumptions!$B$77)*INDEX(Assumptions!$B$71:$B$76,2)*Assumptions!$B$58))/(1+Assumptions!$B$149)^2+IF(3&gt;E28,0,IF(3&lt;=F28,C28,MIN(C28,Assumptions!$B$77)*INDEX(Assumptions!$B$71:$B$76,3)*Assumptions!$B$58))/(1+Assumptions!$B$149)^3+IF(4&gt;E28,0,IF(4&lt;=F28,C28,MIN(C28,Assumptions!$B$77)*INDEX(Assumptions!$B$71:$B$76,4)*Assumptions!$B$58))/(1+Assumptions!$B$149)^4+IF(5&gt;E28,0,IF(5&lt;=F28,C28,MIN(C28,Assumptions!$B$77)*INDEX(Assumptions!$B$71:$B$76,5)*Assumptions!$B$58))/(1+Assumptions!$B$149)^5+IF(6&gt;E28,0,IF(6&lt;=F28,C28,MIN(C28,Assumptions!$B$77)*INDEX(Assumptions!$B$71:$B$76,6)*Assumptions!$B$58))/(1+Assumptions!$B$149)^6)</f>
        <v/>
      </c>
      <c r="T28" s="11">
        <f>(IF(D28=1,Assumptions!$B$25/E28+Assumptions!$B$26/Assumptions!$B$6,Assumptions!$B$25/E28+(Assumptions!$B$27-Assumptions!$B$25)/Assumptions!$B$6)/Assumptions!$B$33)/C28</f>
        <v/>
      </c>
      <c r="U28" s="6">
        <f>Assumptions!$B$56*C28*F28</f>
        <v/>
      </c>
      <c r="V28" s="6">
        <f>I28+U28</f>
        <v/>
      </c>
      <c r="W28" s="6">
        <f>J28-IF(1&lt;=F28,$U28/F28,0)</f>
        <v/>
      </c>
      <c r="X28" s="6">
        <f>K28-IF(2&lt;=F28,$U28/F28,0)</f>
        <v/>
      </c>
      <c r="Y28" s="6">
        <f>L28-IF(3&lt;=F28,$U28/F28,0)</f>
        <v/>
      </c>
      <c r="Z28" s="6">
        <f>M28-IF(4&lt;=F28,$U28/F28,0)</f>
        <v/>
      </c>
      <c r="AA28" s="6">
        <f>N28-IF(5&lt;=F28,$U28/F28,0)</f>
        <v/>
      </c>
      <c r="AB28" s="6">
        <f>O28-IF(6&lt;=F28,$U28/F28,0)</f>
        <v/>
      </c>
      <c r="AC28" s="11">
        <f>IFERROR(IRR(V28:AB28),IF(V28&gt;=0,"no equity at risk",-1))</f>
        <v/>
      </c>
      <c r="AD28" s="12">
        <f>IFERROR(MATCH(TRUE,INDEX(AL28:AR28&gt;=0,0),0)-2+(-INDEX(AL28:AR28,MATCH(TRUE,INDEX(AL28:AR28&gt;=0,0),0)-1))/INDEX(V28:AB28,MATCH(TRUE,INDEX(AL28:AR28&gt;=0,0),0)),"never")</f>
        <v/>
      </c>
      <c r="AE28">
        <f>SUM($I28:I28)</f>
        <v/>
      </c>
      <c r="AF28">
        <f>SUM($I28:J28)</f>
        <v/>
      </c>
      <c r="AG28">
        <f>SUM($I28:K28)</f>
        <v/>
      </c>
      <c r="AH28">
        <f>SUM($I28:L28)</f>
        <v/>
      </c>
      <c r="AI28">
        <f>SUM($I28:M28)</f>
        <v/>
      </c>
      <c r="AJ28">
        <f>SUM($I28:N28)</f>
        <v/>
      </c>
      <c r="AK28">
        <f>SUM($I28:O28)</f>
        <v/>
      </c>
      <c r="AL28">
        <f>SUM($V28:V28)</f>
        <v/>
      </c>
      <c r="AM28">
        <f>SUM($V28:W28)</f>
        <v/>
      </c>
      <c r="AN28">
        <f>SUM($V28:X28)</f>
        <v/>
      </c>
      <c r="AO28">
        <f>SUM($V28:Y28)</f>
        <v/>
      </c>
      <c r="AP28">
        <f>SUM($V28:Z28)</f>
        <v/>
      </c>
      <c r="AQ28">
        <f>SUM($V28:AA28)</f>
        <v/>
      </c>
      <c r="AR28">
        <f>SUM($V28:AB28)</f>
        <v/>
      </c>
    </row>
    <row r="29">
      <c r="A29" t="n">
        <v>28</v>
      </c>
      <c r="B29" t="inlineStr">
        <is>
          <t>Microsoft ($17.4M = 200 MW basis, leased)</t>
        </is>
      </c>
      <c r="C29">
        <f>Assumptions!$B$49*(1-Assumptions!$B$53)</f>
        <v/>
      </c>
      <c r="D29" t="n">
        <v>0</v>
      </c>
      <c r="E29">
        <f>Assumptions!$B$3</f>
        <v/>
      </c>
      <c r="F29">
        <f>Assumptions!$B$52</f>
        <v/>
      </c>
      <c r="G29" s="6">
        <f>IF(D29=1,Assumptions!$B$25+Assumptions!$B$26,Assumptions!$B$27)/Assumptions!$B$33</f>
        <v/>
      </c>
      <c r="H29" s="11">
        <f>1-Assumptions!$B$42-(Assumptions!$B$38+(1-D29)*Assumptions!$B$39/Assumptions!$B$33)/C29</f>
        <v/>
      </c>
      <c r="I29" s="6">
        <f>-G29</f>
        <v/>
      </c>
      <c r="J29" s="6">
        <f>IF(1&gt;E29,0,IF(1&lt;=F29,C29,MIN(C29,Assumptions!$B$77)*INDEX(Assumptions!$B$71:$B$76,1)*Assumptions!$B$58))-IF(1&gt;E29,0,IF(1&gt;E29,0,IF(1&lt;=F29,C29,MIN(C29,Assumptions!$B$77)*INDEX(Assumptions!$B$71:$B$76,1)*Assumptions!$B$58))*Assumptions!$B$42+Assumptions!$B$38*IF(1&lt;=F29,1,Assumptions!$B$58)+(1-D29)*Assumptions!$B$39/Assumptions!$B$33)+IF(1=E29,D29*Assumptions!$B$26/Assumptions!$B$33*MAX(0,1-E29/Assumptions!$B$6),0)</f>
        <v/>
      </c>
      <c r="K29" s="6">
        <f>IF(2&gt;E29,0,IF(2&lt;=F29,C29,MIN(C29,Assumptions!$B$77)*INDEX(Assumptions!$B$71:$B$76,2)*Assumptions!$B$58))-IF(2&gt;E29,0,IF(2&gt;E29,0,IF(2&lt;=F29,C29,MIN(C29,Assumptions!$B$77)*INDEX(Assumptions!$B$71:$B$76,2)*Assumptions!$B$58))*Assumptions!$B$42+Assumptions!$B$38*IF(2&lt;=F29,1,Assumptions!$B$58)+(1-D29)*Assumptions!$B$39/Assumptions!$B$33)+IF(2=E29,D29*Assumptions!$B$26/Assumptions!$B$33*MAX(0,1-E29/Assumptions!$B$6),0)</f>
        <v/>
      </c>
      <c r="L29" s="6">
        <f>IF(3&gt;E29,0,IF(3&lt;=F29,C29,MIN(C29,Assumptions!$B$77)*INDEX(Assumptions!$B$71:$B$76,3)*Assumptions!$B$58))-IF(3&gt;E29,0,IF(3&gt;E29,0,IF(3&lt;=F29,C29,MIN(C29,Assumptions!$B$77)*INDEX(Assumptions!$B$71:$B$76,3)*Assumptions!$B$58))*Assumptions!$B$42+Assumptions!$B$38*IF(3&lt;=F29,1,Assumptions!$B$58)+(1-D29)*Assumptions!$B$39/Assumptions!$B$33)+IF(3=E29,D29*Assumptions!$B$26/Assumptions!$B$33*MAX(0,1-E29/Assumptions!$B$6),0)</f>
        <v/>
      </c>
      <c r="M29" s="6">
        <f>IF(4&gt;E29,0,IF(4&lt;=F29,C29,MIN(C29,Assumptions!$B$77)*INDEX(Assumptions!$B$71:$B$76,4)*Assumptions!$B$58))-IF(4&gt;E29,0,IF(4&gt;E29,0,IF(4&lt;=F29,C29,MIN(C29,Assumptions!$B$77)*INDEX(Assumptions!$B$71:$B$76,4)*Assumptions!$B$58))*Assumptions!$B$42+Assumptions!$B$38*IF(4&lt;=F29,1,Assumptions!$B$58)+(1-D29)*Assumptions!$B$39/Assumptions!$B$33)+IF(4=E29,D29*Assumptions!$B$26/Assumptions!$B$33*MAX(0,1-E29/Assumptions!$B$6),0)</f>
        <v/>
      </c>
      <c r="N29" s="6">
        <f>IF(5&gt;E29,0,IF(5&lt;=F29,C29,MIN(C29,Assumptions!$B$77)*INDEX(Assumptions!$B$71:$B$76,5)*Assumptions!$B$58))-IF(5&gt;E29,0,IF(5&gt;E29,0,IF(5&lt;=F29,C29,MIN(C29,Assumptions!$B$77)*INDEX(Assumptions!$B$71:$B$76,5)*Assumptions!$B$58))*Assumptions!$B$42+Assumptions!$B$38*IF(5&lt;=F29,1,Assumptions!$B$58)+(1-D29)*Assumptions!$B$39/Assumptions!$B$33)+IF(5=E29,D29*Assumptions!$B$26/Assumptions!$B$33*MAX(0,1-E29/Assumptions!$B$6),0)</f>
        <v/>
      </c>
      <c r="O29" s="6">
        <f>IF(6&gt;E29,0,IF(6&lt;=F29,C29,MIN(C29,Assumptions!$B$77)*INDEX(Assumptions!$B$71:$B$76,6)*Assumptions!$B$58))-IF(6&gt;E29,0,IF(6&gt;E29,0,IF(6&lt;=F29,C29,MIN(C29,Assumptions!$B$77)*INDEX(Assumptions!$B$71:$B$76,6)*Assumptions!$B$58))*Assumptions!$B$42+Assumptions!$B$38*IF(6&lt;=F29,1,Assumptions!$B$58)+(1-D29)*Assumptions!$B$39/Assumptions!$B$33)+IF(6=E29,D29*Assumptions!$B$26/Assumptions!$B$33*MAX(0,1-E29/Assumptions!$B$6),0)</f>
        <v/>
      </c>
      <c r="P29" s="11">
        <f>IFERROR(IRR(I29:O29),-1)</f>
        <v/>
      </c>
      <c r="Q29" s="12">
        <f>IFERROR(MATCH(TRUE,INDEX(AE29:AK29&gt;=0,0),0)-2+(-INDEX(AE29:AK29,MATCH(TRUE,INDEX(AE29:AK29&gt;=0,0),0)-1))/INDEX(I29:O29,MATCH(TRUE,INDEX(AE29:AK29&gt;=0,0),0)),"never")</f>
        <v/>
      </c>
      <c r="R29" s="6">
        <f>NPV(Assumptions!$B$149,J29:O29)+I29</f>
        <v/>
      </c>
      <c r="S29" s="11">
        <f>(G29-D29*Assumptions!$B$26/Assumptions!$B$33*MAX(0,1-E29/Assumptions!$B$6)/(1+Assumptions!$B$149)^E29)/(IF(1&gt;E29,0,IF(1&lt;=F29,C29,MIN(C29,Assumptions!$B$77)*INDEX(Assumptions!$B$71:$B$76,1)*Assumptions!$B$58))/(1+Assumptions!$B$149)^1+IF(2&gt;E29,0,IF(2&lt;=F29,C29,MIN(C29,Assumptions!$B$77)*INDEX(Assumptions!$B$71:$B$76,2)*Assumptions!$B$58))/(1+Assumptions!$B$149)^2+IF(3&gt;E29,0,IF(3&lt;=F29,C29,MIN(C29,Assumptions!$B$77)*INDEX(Assumptions!$B$71:$B$76,3)*Assumptions!$B$58))/(1+Assumptions!$B$149)^3+IF(4&gt;E29,0,IF(4&lt;=F29,C29,MIN(C29,Assumptions!$B$77)*INDEX(Assumptions!$B$71:$B$76,4)*Assumptions!$B$58))/(1+Assumptions!$B$149)^4+IF(5&gt;E29,0,IF(5&lt;=F29,C29,MIN(C29,Assumptions!$B$77)*INDEX(Assumptions!$B$71:$B$76,5)*Assumptions!$B$58))/(1+Assumptions!$B$149)^5+IF(6&gt;E29,0,IF(6&lt;=F29,C29,MIN(C29,Assumptions!$B$77)*INDEX(Assumptions!$B$71:$B$76,6)*Assumptions!$B$58))/(1+Assumptions!$B$149)^6)</f>
        <v/>
      </c>
      <c r="T29" s="11">
        <f>(IF(D29=1,Assumptions!$B$25/E29+Assumptions!$B$26/Assumptions!$B$6,Assumptions!$B$25/E29+(Assumptions!$B$27-Assumptions!$B$25)/Assumptions!$B$6)/Assumptions!$B$33)/C29</f>
        <v/>
      </c>
      <c r="U29" s="6">
        <f>Assumptions!$B$56*C29*F29</f>
        <v/>
      </c>
      <c r="V29" s="6">
        <f>I29+U29</f>
        <v/>
      </c>
      <c r="W29" s="6">
        <f>J29-IF(1&lt;=F29,$U29/F29,0)</f>
        <v/>
      </c>
      <c r="X29" s="6">
        <f>K29-IF(2&lt;=F29,$U29/F29,0)</f>
        <v/>
      </c>
      <c r="Y29" s="6">
        <f>L29-IF(3&lt;=F29,$U29/F29,0)</f>
        <v/>
      </c>
      <c r="Z29" s="6">
        <f>M29-IF(4&lt;=F29,$U29/F29,0)</f>
        <v/>
      </c>
      <c r="AA29" s="6">
        <f>N29-IF(5&lt;=F29,$U29/F29,0)</f>
        <v/>
      </c>
      <c r="AB29" s="6">
        <f>O29-IF(6&lt;=F29,$U29/F29,0)</f>
        <v/>
      </c>
      <c r="AC29" s="11">
        <f>IFERROR(IRR(V29:AB29),IF(V29&gt;=0,"no equity at risk",-1))</f>
        <v/>
      </c>
      <c r="AD29" s="12">
        <f>IFERROR(MATCH(TRUE,INDEX(AL29:AR29&gt;=0,0),0)-2+(-INDEX(AL29:AR29,MATCH(TRUE,INDEX(AL29:AR29&gt;=0,0),0)-1))/INDEX(V29:AB29,MATCH(TRUE,INDEX(AL29:AR29&gt;=0,0),0)),"never")</f>
        <v/>
      </c>
      <c r="AE29">
        <f>SUM($I29:I29)</f>
        <v/>
      </c>
      <c r="AF29">
        <f>SUM($I29:J29)</f>
        <v/>
      </c>
      <c r="AG29">
        <f>SUM($I29:K29)</f>
        <v/>
      </c>
      <c r="AH29">
        <f>SUM($I29:L29)</f>
        <v/>
      </c>
      <c r="AI29">
        <f>SUM($I29:M29)</f>
        <v/>
      </c>
      <c r="AJ29">
        <f>SUM($I29:N29)</f>
        <v/>
      </c>
      <c r="AK29">
        <f>SUM($I29:O29)</f>
        <v/>
      </c>
      <c r="AL29">
        <f>SUM($V29:V29)</f>
        <v/>
      </c>
      <c r="AM29">
        <f>SUM($V29:W29)</f>
        <v/>
      </c>
      <c r="AN29">
        <f>SUM($V29:X29)</f>
        <v/>
      </c>
      <c r="AO29">
        <f>SUM($V29:Y29)</f>
        <v/>
      </c>
      <c r="AP29">
        <f>SUM($V29:Z29)</f>
        <v/>
      </c>
      <c r="AQ29">
        <f>SUM($V29:AA29)</f>
        <v/>
      </c>
      <c r="AR29">
        <f>SUM($V29:AB29)</f>
        <v/>
      </c>
    </row>
    <row r="30">
      <c r="A30" t="n">
        <v>29</v>
      </c>
      <c r="B30" t="inlineStr">
        <is>
          <t>Microsoft ($17.4M = 200 MW basis, leased)</t>
        </is>
      </c>
      <c r="C30">
        <f>Assumptions!$B$49*(1-Assumptions!$B$53)</f>
        <v/>
      </c>
      <c r="D30" t="n">
        <v>0</v>
      </c>
      <c r="E30">
        <f>Assumptions!$B$4</f>
        <v/>
      </c>
      <c r="F30">
        <f>Assumptions!$B$52</f>
        <v/>
      </c>
      <c r="G30" s="6">
        <f>IF(D30=1,Assumptions!$B$25+Assumptions!$B$26,Assumptions!$B$27)/Assumptions!$B$33</f>
        <v/>
      </c>
      <c r="H30" s="11">
        <f>1-Assumptions!$B$42-(Assumptions!$B$38+(1-D30)*Assumptions!$B$39/Assumptions!$B$33)/C30</f>
        <v/>
      </c>
      <c r="I30" s="6">
        <f>-G30</f>
        <v/>
      </c>
      <c r="J30" s="6">
        <f>IF(1&gt;E30,0,IF(1&lt;=F30,C30,MIN(C30,Assumptions!$B$77)*INDEX(Assumptions!$B$71:$B$76,1)*Assumptions!$B$58))-IF(1&gt;E30,0,IF(1&gt;E30,0,IF(1&lt;=F30,C30,MIN(C30,Assumptions!$B$77)*INDEX(Assumptions!$B$71:$B$76,1)*Assumptions!$B$58))*Assumptions!$B$42+Assumptions!$B$38*IF(1&lt;=F30,1,Assumptions!$B$58)+(1-D30)*Assumptions!$B$39/Assumptions!$B$33)+IF(1=E30,D30*Assumptions!$B$26/Assumptions!$B$33*MAX(0,1-E30/Assumptions!$B$6),0)</f>
        <v/>
      </c>
      <c r="K30" s="6">
        <f>IF(2&gt;E30,0,IF(2&lt;=F30,C30,MIN(C30,Assumptions!$B$77)*INDEX(Assumptions!$B$71:$B$76,2)*Assumptions!$B$58))-IF(2&gt;E30,0,IF(2&gt;E30,0,IF(2&lt;=F30,C30,MIN(C30,Assumptions!$B$77)*INDEX(Assumptions!$B$71:$B$76,2)*Assumptions!$B$58))*Assumptions!$B$42+Assumptions!$B$38*IF(2&lt;=F30,1,Assumptions!$B$58)+(1-D30)*Assumptions!$B$39/Assumptions!$B$33)+IF(2=E30,D30*Assumptions!$B$26/Assumptions!$B$33*MAX(0,1-E30/Assumptions!$B$6),0)</f>
        <v/>
      </c>
      <c r="L30" s="6">
        <f>IF(3&gt;E30,0,IF(3&lt;=F30,C30,MIN(C30,Assumptions!$B$77)*INDEX(Assumptions!$B$71:$B$76,3)*Assumptions!$B$58))-IF(3&gt;E30,0,IF(3&gt;E30,0,IF(3&lt;=F30,C30,MIN(C30,Assumptions!$B$77)*INDEX(Assumptions!$B$71:$B$76,3)*Assumptions!$B$58))*Assumptions!$B$42+Assumptions!$B$38*IF(3&lt;=F30,1,Assumptions!$B$58)+(1-D30)*Assumptions!$B$39/Assumptions!$B$33)+IF(3=E30,D30*Assumptions!$B$26/Assumptions!$B$33*MAX(0,1-E30/Assumptions!$B$6),0)</f>
        <v/>
      </c>
      <c r="M30" s="6">
        <f>IF(4&gt;E30,0,IF(4&lt;=F30,C30,MIN(C30,Assumptions!$B$77)*INDEX(Assumptions!$B$71:$B$76,4)*Assumptions!$B$58))-IF(4&gt;E30,0,IF(4&gt;E30,0,IF(4&lt;=F30,C30,MIN(C30,Assumptions!$B$77)*INDEX(Assumptions!$B$71:$B$76,4)*Assumptions!$B$58))*Assumptions!$B$42+Assumptions!$B$38*IF(4&lt;=F30,1,Assumptions!$B$58)+(1-D30)*Assumptions!$B$39/Assumptions!$B$33)+IF(4=E30,D30*Assumptions!$B$26/Assumptions!$B$33*MAX(0,1-E30/Assumptions!$B$6),0)</f>
        <v/>
      </c>
      <c r="N30" s="6">
        <f>IF(5&gt;E30,0,IF(5&lt;=F30,C30,MIN(C30,Assumptions!$B$77)*INDEX(Assumptions!$B$71:$B$76,5)*Assumptions!$B$58))-IF(5&gt;E30,0,IF(5&gt;E30,0,IF(5&lt;=F30,C30,MIN(C30,Assumptions!$B$77)*INDEX(Assumptions!$B$71:$B$76,5)*Assumptions!$B$58))*Assumptions!$B$42+Assumptions!$B$38*IF(5&lt;=F30,1,Assumptions!$B$58)+(1-D30)*Assumptions!$B$39/Assumptions!$B$33)+IF(5=E30,D30*Assumptions!$B$26/Assumptions!$B$33*MAX(0,1-E30/Assumptions!$B$6),0)</f>
        <v/>
      </c>
      <c r="O30" s="6">
        <f>IF(6&gt;E30,0,IF(6&lt;=F30,C30,MIN(C30,Assumptions!$B$77)*INDEX(Assumptions!$B$71:$B$76,6)*Assumptions!$B$58))-IF(6&gt;E30,0,IF(6&gt;E30,0,IF(6&lt;=F30,C30,MIN(C30,Assumptions!$B$77)*INDEX(Assumptions!$B$71:$B$76,6)*Assumptions!$B$58))*Assumptions!$B$42+Assumptions!$B$38*IF(6&lt;=F30,1,Assumptions!$B$58)+(1-D30)*Assumptions!$B$39/Assumptions!$B$33)+IF(6=E30,D30*Assumptions!$B$26/Assumptions!$B$33*MAX(0,1-E30/Assumptions!$B$6),0)</f>
        <v/>
      </c>
      <c r="P30" s="11">
        <f>IFERROR(IRR(I30:O30),-1)</f>
        <v/>
      </c>
      <c r="Q30" s="12">
        <f>IFERROR(MATCH(TRUE,INDEX(AE30:AK30&gt;=0,0),0)-2+(-INDEX(AE30:AK30,MATCH(TRUE,INDEX(AE30:AK30&gt;=0,0),0)-1))/INDEX(I30:O30,MATCH(TRUE,INDEX(AE30:AK30&gt;=0,0),0)),"never")</f>
        <v/>
      </c>
      <c r="R30" s="6">
        <f>NPV(Assumptions!$B$149,J30:O30)+I30</f>
        <v/>
      </c>
      <c r="S30" s="11">
        <f>(G30-D30*Assumptions!$B$26/Assumptions!$B$33*MAX(0,1-E30/Assumptions!$B$6)/(1+Assumptions!$B$149)^E30)/(IF(1&gt;E30,0,IF(1&lt;=F30,C30,MIN(C30,Assumptions!$B$77)*INDEX(Assumptions!$B$71:$B$76,1)*Assumptions!$B$58))/(1+Assumptions!$B$149)^1+IF(2&gt;E30,0,IF(2&lt;=F30,C30,MIN(C30,Assumptions!$B$77)*INDEX(Assumptions!$B$71:$B$76,2)*Assumptions!$B$58))/(1+Assumptions!$B$149)^2+IF(3&gt;E30,0,IF(3&lt;=F30,C30,MIN(C30,Assumptions!$B$77)*INDEX(Assumptions!$B$71:$B$76,3)*Assumptions!$B$58))/(1+Assumptions!$B$149)^3+IF(4&gt;E30,0,IF(4&lt;=F30,C30,MIN(C30,Assumptions!$B$77)*INDEX(Assumptions!$B$71:$B$76,4)*Assumptions!$B$58))/(1+Assumptions!$B$149)^4+IF(5&gt;E30,0,IF(5&lt;=F30,C30,MIN(C30,Assumptions!$B$77)*INDEX(Assumptions!$B$71:$B$76,5)*Assumptions!$B$58))/(1+Assumptions!$B$149)^5+IF(6&gt;E30,0,IF(6&lt;=F30,C30,MIN(C30,Assumptions!$B$77)*INDEX(Assumptions!$B$71:$B$76,6)*Assumptions!$B$58))/(1+Assumptions!$B$149)^6)</f>
        <v/>
      </c>
      <c r="T30" s="11">
        <f>(IF(D30=1,Assumptions!$B$25/E30+Assumptions!$B$26/Assumptions!$B$6,Assumptions!$B$25/E30+(Assumptions!$B$27-Assumptions!$B$25)/Assumptions!$B$6)/Assumptions!$B$33)/C30</f>
        <v/>
      </c>
      <c r="U30" s="6">
        <f>Assumptions!$B$56*C30*F30</f>
        <v/>
      </c>
      <c r="V30" s="6">
        <f>I30+U30</f>
        <v/>
      </c>
      <c r="W30" s="6">
        <f>J30-IF(1&lt;=F30,$U30/F30,0)</f>
        <v/>
      </c>
      <c r="X30" s="6">
        <f>K30-IF(2&lt;=F30,$U30/F30,0)</f>
        <v/>
      </c>
      <c r="Y30" s="6">
        <f>L30-IF(3&lt;=F30,$U30/F30,0)</f>
        <v/>
      </c>
      <c r="Z30" s="6">
        <f>M30-IF(4&lt;=F30,$U30/F30,0)</f>
        <v/>
      </c>
      <c r="AA30" s="6">
        <f>N30-IF(5&lt;=F30,$U30/F30,0)</f>
        <v/>
      </c>
      <c r="AB30" s="6">
        <f>O30-IF(6&lt;=F30,$U30/F30,0)</f>
        <v/>
      </c>
      <c r="AC30" s="11">
        <f>IFERROR(IRR(V30:AB30),IF(V30&gt;=0,"no equity at risk",-1))</f>
        <v/>
      </c>
      <c r="AD30" s="12">
        <f>IFERROR(MATCH(TRUE,INDEX(AL30:AR30&gt;=0,0),0)-2+(-INDEX(AL30:AR30,MATCH(TRUE,INDEX(AL30:AR30&gt;=0,0),0)-1))/INDEX(V30:AB30,MATCH(TRUE,INDEX(AL30:AR30&gt;=0,0),0)),"never")</f>
        <v/>
      </c>
      <c r="AE30">
        <f>SUM($I30:I30)</f>
        <v/>
      </c>
      <c r="AF30">
        <f>SUM($I30:J30)</f>
        <v/>
      </c>
      <c r="AG30">
        <f>SUM($I30:K30)</f>
        <v/>
      </c>
      <c r="AH30">
        <f>SUM($I30:L30)</f>
        <v/>
      </c>
      <c r="AI30">
        <f>SUM($I30:M30)</f>
        <v/>
      </c>
      <c r="AJ30">
        <f>SUM($I30:N30)</f>
        <v/>
      </c>
      <c r="AK30">
        <f>SUM($I30:O30)</f>
        <v/>
      </c>
      <c r="AL30">
        <f>SUM($V30:V30)</f>
        <v/>
      </c>
      <c r="AM30">
        <f>SUM($V30:W30)</f>
        <v/>
      </c>
      <c r="AN30">
        <f>SUM($V30:X30)</f>
        <v/>
      </c>
      <c r="AO30">
        <f>SUM($V30:Y30)</f>
        <v/>
      </c>
      <c r="AP30">
        <f>SUM($V30:Z30)</f>
        <v/>
      </c>
      <c r="AQ30">
        <f>SUM($V30:AA30)</f>
        <v/>
      </c>
      <c r="AR30">
        <f>SUM($V30:AB30)</f>
        <v/>
      </c>
    </row>
    <row r="31">
      <c r="A31" t="n">
        <v>30</v>
      </c>
      <c r="B31" t="inlineStr">
        <is>
          <t>Microsoft ($17.4M = 200 MW basis, leased)</t>
        </is>
      </c>
      <c r="C31">
        <f>Assumptions!$B$49*(1-Assumptions!$B$53)</f>
        <v/>
      </c>
      <c r="D31" t="n">
        <v>0</v>
      </c>
      <c r="E31">
        <f>Assumptions!$B$5</f>
        <v/>
      </c>
      <c r="F31">
        <f>Assumptions!$B$52</f>
        <v/>
      </c>
      <c r="G31" s="6">
        <f>IF(D31=1,Assumptions!$B$25+Assumptions!$B$26,Assumptions!$B$27)/Assumptions!$B$33</f>
        <v/>
      </c>
      <c r="H31" s="11">
        <f>1-Assumptions!$B$42-(Assumptions!$B$38+(1-D31)*Assumptions!$B$39/Assumptions!$B$33)/C31</f>
        <v/>
      </c>
      <c r="I31" s="6">
        <f>-G31</f>
        <v/>
      </c>
      <c r="J31" s="6">
        <f>IF(1&gt;E31,0,IF(1&lt;=F31,C31,MIN(C31,Assumptions!$B$77)*INDEX(Assumptions!$B$71:$B$76,1)*Assumptions!$B$58))-IF(1&gt;E31,0,IF(1&gt;E31,0,IF(1&lt;=F31,C31,MIN(C31,Assumptions!$B$77)*INDEX(Assumptions!$B$71:$B$76,1)*Assumptions!$B$58))*Assumptions!$B$42+Assumptions!$B$38*IF(1&lt;=F31,1,Assumptions!$B$58)+(1-D31)*Assumptions!$B$39/Assumptions!$B$33)+IF(1=E31,D31*Assumptions!$B$26/Assumptions!$B$33*MAX(0,1-E31/Assumptions!$B$6),0)</f>
        <v/>
      </c>
      <c r="K31" s="6">
        <f>IF(2&gt;E31,0,IF(2&lt;=F31,C31,MIN(C31,Assumptions!$B$77)*INDEX(Assumptions!$B$71:$B$76,2)*Assumptions!$B$58))-IF(2&gt;E31,0,IF(2&gt;E31,0,IF(2&lt;=F31,C31,MIN(C31,Assumptions!$B$77)*INDEX(Assumptions!$B$71:$B$76,2)*Assumptions!$B$58))*Assumptions!$B$42+Assumptions!$B$38*IF(2&lt;=F31,1,Assumptions!$B$58)+(1-D31)*Assumptions!$B$39/Assumptions!$B$33)+IF(2=E31,D31*Assumptions!$B$26/Assumptions!$B$33*MAX(0,1-E31/Assumptions!$B$6),0)</f>
        <v/>
      </c>
      <c r="L31" s="6">
        <f>IF(3&gt;E31,0,IF(3&lt;=F31,C31,MIN(C31,Assumptions!$B$77)*INDEX(Assumptions!$B$71:$B$76,3)*Assumptions!$B$58))-IF(3&gt;E31,0,IF(3&gt;E31,0,IF(3&lt;=F31,C31,MIN(C31,Assumptions!$B$77)*INDEX(Assumptions!$B$71:$B$76,3)*Assumptions!$B$58))*Assumptions!$B$42+Assumptions!$B$38*IF(3&lt;=F31,1,Assumptions!$B$58)+(1-D31)*Assumptions!$B$39/Assumptions!$B$33)+IF(3=E31,D31*Assumptions!$B$26/Assumptions!$B$33*MAX(0,1-E31/Assumptions!$B$6),0)</f>
        <v/>
      </c>
      <c r="M31" s="6">
        <f>IF(4&gt;E31,0,IF(4&lt;=F31,C31,MIN(C31,Assumptions!$B$77)*INDEX(Assumptions!$B$71:$B$76,4)*Assumptions!$B$58))-IF(4&gt;E31,0,IF(4&gt;E31,0,IF(4&lt;=F31,C31,MIN(C31,Assumptions!$B$77)*INDEX(Assumptions!$B$71:$B$76,4)*Assumptions!$B$58))*Assumptions!$B$42+Assumptions!$B$38*IF(4&lt;=F31,1,Assumptions!$B$58)+(1-D31)*Assumptions!$B$39/Assumptions!$B$33)+IF(4=E31,D31*Assumptions!$B$26/Assumptions!$B$33*MAX(0,1-E31/Assumptions!$B$6),0)</f>
        <v/>
      </c>
      <c r="N31" s="6">
        <f>IF(5&gt;E31,0,IF(5&lt;=F31,C31,MIN(C31,Assumptions!$B$77)*INDEX(Assumptions!$B$71:$B$76,5)*Assumptions!$B$58))-IF(5&gt;E31,0,IF(5&gt;E31,0,IF(5&lt;=F31,C31,MIN(C31,Assumptions!$B$77)*INDEX(Assumptions!$B$71:$B$76,5)*Assumptions!$B$58))*Assumptions!$B$42+Assumptions!$B$38*IF(5&lt;=F31,1,Assumptions!$B$58)+(1-D31)*Assumptions!$B$39/Assumptions!$B$33)+IF(5=E31,D31*Assumptions!$B$26/Assumptions!$B$33*MAX(0,1-E31/Assumptions!$B$6),0)</f>
        <v/>
      </c>
      <c r="O31" s="6">
        <f>IF(6&gt;E31,0,IF(6&lt;=F31,C31,MIN(C31,Assumptions!$B$77)*INDEX(Assumptions!$B$71:$B$76,6)*Assumptions!$B$58))-IF(6&gt;E31,0,IF(6&gt;E31,0,IF(6&lt;=F31,C31,MIN(C31,Assumptions!$B$77)*INDEX(Assumptions!$B$71:$B$76,6)*Assumptions!$B$58))*Assumptions!$B$42+Assumptions!$B$38*IF(6&lt;=F31,1,Assumptions!$B$58)+(1-D31)*Assumptions!$B$39/Assumptions!$B$33)+IF(6=E31,D31*Assumptions!$B$26/Assumptions!$B$33*MAX(0,1-E31/Assumptions!$B$6),0)</f>
        <v/>
      </c>
      <c r="P31" s="11">
        <f>IFERROR(IRR(I31:O31),-1)</f>
        <v/>
      </c>
      <c r="Q31" s="12">
        <f>IFERROR(MATCH(TRUE,INDEX(AE31:AK31&gt;=0,0),0)-2+(-INDEX(AE31:AK31,MATCH(TRUE,INDEX(AE31:AK31&gt;=0,0),0)-1))/INDEX(I31:O31,MATCH(TRUE,INDEX(AE31:AK31&gt;=0,0),0)),"never")</f>
        <v/>
      </c>
      <c r="R31" s="6">
        <f>NPV(Assumptions!$B$149,J31:O31)+I31</f>
        <v/>
      </c>
      <c r="S31" s="11">
        <f>(G31-D31*Assumptions!$B$26/Assumptions!$B$33*MAX(0,1-E31/Assumptions!$B$6)/(1+Assumptions!$B$149)^E31)/(IF(1&gt;E31,0,IF(1&lt;=F31,C31,MIN(C31,Assumptions!$B$77)*INDEX(Assumptions!$B$71:$B$76,1)*Assumptions!$B$58))/(1+Assumptions!$B$149)^1+IF(2&gt;E31,0,IF(2&lt;=F31,C31,MIN(C31,Assumptions!$B$77)*INDEX(Assumptions!$B$71:$B$76,2)*Assumptions!$B$58))/(1+Assumptions!$B$149)^2+IF(3&gt;E31,0,IF(3&lt;=F31,C31,MIN(C31,Assumptions!$B$77)*INDEX(Assumptions!$B$71:$B$76,3)*Assumptions!$B$58))/(1+Assumptions!$B$149)^3+IF(4&gt;E31,0,IF(4&lt;=F31,C31,MIN(C31,Assumptions!$B$77)*INDEX(Assumptions!$B$71:$B$76,4)*Assumptions!$B$58))/(1+Assumptions!$B$149)^4+IF(5&gt;E31,0,IF(5&lt;=F31,C31,MIN(C31,Assumptions!$B$77)*INDEX(Assumptions!$B$71:$B$76,5)*Assumptions!$B$58))/(1+Assumptions!$B$149)^5+IF(6&gt;E31,0,IF(6&lt;=F31,C31,MIN(C31,Assumptions!$B$77)*INDEX(Assumptions!$B$71:$B$76,6)*Assumptions!$B$58))/(1+Assumptions!$B$149)^6)</f>
        <v/>
      </c>
      <c r="T31" s="11">
        <f>(IF(D31=1,Assumptions!$B$25/E31+Assumptions!$B$26/Assumptions!$B$6,Assumptions!$B$25/E31+(Assumptions!$B$27-Assumptions!$B$25)/Assumptions!$B$6)/Assumptions!$B$33)/C31</f>
        <v/>
      </c>
      <c r="U31" s="6">
        <f>Assumptions!$B$56*C31*F31</f>
        <v/>
      </c>
      <c r="V31" s="6">
        <f>I31+U31</f>
        <v/>
      </c>
      <c r="W31" s="6">
        <f>J31-IF(1&lt;=F31,$U31/F31,0)</f>
        <v/>
      </c>
      <c r="X31" s="6">
        <f>K31-IF(2&lt;=F31,$U31/F31,0)</f>
        <v/>
      </c>
      <c r="Y31" s="6">
        <f>L31-IF(3&lt;=F31,$U31/F31,0)</f>
        <v/>
      </c>
      <c r="Z31" s="6">
        <f>M31-IF(4&lt;=F31,$U31/F31,0)</f>
        <v/>
      </c>
      <c r="AA31" s="6">
        <f>N31-IF(5&lt;=F31,$U31/F31,0)</f>
        <v/>
      </c>
      <c r="AB31" s="6">
        <f>O31-IF(6&lt;=F31,$U31/F31,0)</f>
        <v/>
      </c>
      <c r="AC31" s="11">
        <f>IFERROR(IRR(V31:AB31),IF(V31&gt;=0,"no equity at risk",-1))</f>
        <v/>
      </c>
      <c r="AD31" s="12">
        <f>IFERROR(MATCH(TRUE,INDEX(AL31:AR31&gt;=0,0),0)-2+(-INDEX(AL31:AR31,MATCH(TRUE,INDEX(AL31:AR31&gt;=0,0),0)-1))/INDEX(V31:AB31,MATCH(TRUE,INDEX(AL31:AR31&gt;=0,0),0)),"never")</f>
        <v/>
      </c>
      <c r="AE31">
        <f>SUM($I31:I31)</f>
        <v/>
      </c>
      <c r="AF31">
        <f>SUM($I31:J31)</f>
        <v/>
      </c>
      <c r="AG31">
        <f>SUM($I31:K31)</f>
        <v/>
      </c>
      <c r="AH31">
        <f>SUM($I31:L31)</f>
        <v/>
      </c>
      <c r="AI31">
        <f>SUM($I31:M31)</f>
        <v/>
      </c>
      <c r="AJ31">
        <f>SUM($I31:N31)</f>
        <v/>
      </c>
      <c r="AK31">
        <f>SUM($I31:O31)</f>
        <v/>
      </c>
      <c r="AL31">
        <f>SUM($V31:V31)</f>
        <v/>
      </c>
      <c r="AM31">
        <f>SUM($V31:W31)</f>
        <v/>
      </c>
      <c r="AN31">
        <f>SUM($V31:X31)</f>
        <v/>
      </c>
      <c r="AO31">
        <f>SUM($V31:Y31)</f>
        <v/>
      </c>
      <c r="AP31">
        <f>SUM($V31:Z31)</f>
        <v/>
      </c>
      <c r="AQ31">
        <f>SUM($V31:AA31)</f>
        <v/>
      </c>
      <c r="AR31">
        <f>SUM($V31:AB31)</f>
        <v/>
      </c>
    </row>
    <row r="33">
      <c r="A33" t="inlineStr">
        <is>
          <t>Notes: per gross MW. Capex from Capacity base (owned = GPU/net + shell; leased = colo capex incl. fit-out, no shell). Opex = power (Capacity $93-185/MWh midpoint) + colo rent (leased) + other cash opex calibrated to Q2 segment margin. After term: re-rent at MIN(ACV, Q2-low ref) x PROVISIONAL residual index x 60% utilization. Owned shell salvage = NBV at end of GPU life. Equity = prepaid deal (prepayment = 55% of capex; Microsoft = 40% of TCV upfront), repaid via lower cash revenue over the term; blended book = 70% prepaid. Short-term deal capex is a full new build - optimistic if it re-uses installed GPUs.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2026-10-04T23:02:25Z</dcterms:created>
  <dcterms:modified xmlns:dcterms="http://purl.org/dc/terms/" xmlns:xsi="http://www.w3.org/2001/XMLSchema-instance" xsi:type="dcterms:W3CDTF">2026-10-04T23:03:10Z</dcterms:modified>
</cp:coreProperties>
</file>