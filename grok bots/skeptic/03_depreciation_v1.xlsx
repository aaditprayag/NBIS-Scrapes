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end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Model" sheetId="3" state="visible" r:id="rId3"/>
    <sheet xmlns:r="http://schemas.openxmlformats.org/officeDocument/2006/relationships" name="Annual" sheetId="4" state="visible" r:id="rId4"/>
    <sheet xmlns:r="http://schemas.openxmlformats.org/officeDocument/2006/relationships" name="Horizons" sheetId="5" state="visible" r:id="rId5"/>
    <sheet xmlns:r="http://schemas.openxmlformats.org/officeDocument/2006/relationships" name="Reverse_DCF" sheetId="6" state="visible" r:id="rId6"/>
    <sheet xmlns:r="http://schemas.openxmlformats.org/officeDocument/2006/relationships" name="Peers" sheetId="7" state="visible" r:id="rId7"/>
    <sheet xmlns:r="http://schemas.openxmlformats.org/officeDocument/2006/relationships" name="Char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#,##0;(#,##0)"/>
    <numFmt numFmtId="165" formatCode="0.0%"/>
    <numFmt numFmtId="166" formatCode="0.000"/>
    <numFmt numFmtId="167" formatCode="$#,##0;($#,##0)"/>
    <numFmt numFmtId="168" formatCode="$0.0&quot;M&quot;"/>
    <numFmt numFmtId="169" formatCode="0.0x"/>
  </numFmts>
  <fonts count="5">
    <font>
      <name val="Calibri"/>
      <family val="2"/>
      <color theme="1"/>
      <sz val="11"/>
      <scheme val="minor"/>
    </font>
    <font>
      <b val="1"/>
    </font>
    <font>
      <color rgb="000000FF"/>
    </font>
    <font>
      <color rgb="0000000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4" fillId="3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1" fontId="0" fillId="0" borderId="0" pivotButton="0" quotePrefix="0" xfId="0"/>
    <xf numFmtId="49" fontId="0" fillId="0" borderId="0" pivotButton="0" quotePrefix="0" xfId="0"/>
    <xf numFmtId="164" fontId="2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4" fontId="2" fillId="0" borderId="0" pivotButton="0" quotePrefix="0" xfId="0"/>
    <xf numFmtId="0" fontId="2" fillId="0" borderId="0" pivotButton="0" quotePrefix="0" xfId="0"/>
    <xf numFmtId="167" fontId="0" fillId="0" borderId="0" pivotButton="0" quotePrefix="0" xfId="0"/>
    <xf numFmtId="9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8382000" cy="4000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</row>
      <rowOff>0</rowOff>
    </from>
    <ext cx="8382000" cy="4000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</row>
      <rowOff>0</rowOff>
    </from>
    <ext cx="8382000" cy="4000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71</row>
      <rowOff>0</rowOff>
    </from>
    <ext cx="8382000" cy="4000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t="inlineStr">
        <is>
          <t>03_depreciation.xlsx - Nebius Skeptic (Red Team). Built 2026-10-04 ET.</t>
        </is>
      </c>
    </row>
    <row r="2">
      <c r="A2" t="inlineStr">
        <is>
          <t>Blue font/shaded = hard-coded input (sourced or assumption, see Assumptions col D/E). Black = formula.</t>
        </is>
      </c>
    </row>
    <row r="3">
      <c r="A3" t="inlineStr">
        <is>
          <t>Cohort/vintage method: each quarter's GPU placed-in-service amount is a cohort depreciated straight-line over 4/5/6 yrs (half-quarter convention). 6/30/26 in-service base depreciated over remaining life (life - avg age).</t>
        </is>
      </c>
    </row>
    <row r="4">
      <c r="A4" t="inlineStr">
        <is>
          <t>EBITDA is consensus through FY28 (MarketScreener), then extrapolated as FY28-implied EBITDA yield x gross GPU in service. Capex FY26-28 consensus, flat thereafter (input).</t>
        </is>
      </c>
    </row>
    <row r="5">
      <c r="A5" t="inlineStr">
        <is>
          <t>FCF ignores working capital/prepayments (Q2'26 OCF +$2.25B was prepayment-driven), taxes (NOLs), SBC and lease payments. Book life changes EBIT, not cash; it matters for value through the replacement capex needed at the true economic life (Reverse_DCF).</t>
        </is>
      </c>
    </row>
    <row r="6">
      <c r="A6" t="inlineStr">
        <is>
          <t>Sheets: Assumptions, Model (quarterly Q3'26-Q4'30), Annual, Horizons (6m/1y/3y), Reverse_DCF, Peers, Charts.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cols>
    <col width="62" customWidth="1" min="1" max="1"/>
    <col width="14" customWidth="1" min="2" max="2"/>
    <col width="9" customWidth="1" min="3" max="3"/>
    <col width="22" customWidth="1" min="4" max="4"/>
    <col width="110" customWidth="1" min="5" max="5"/>
  </cols>
  <sheetData>
    <row r="1">
      <c r="A1" s="1" t="inlineStr">
        <is>
          <t>Input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Tag</t>
        </is>
      </c>
      <c r="E1" s="1" t="inlineStr">
        <is>
          <t>Source / note</t>
        </is>
      </c>
    </row>
    <row r="2">
      <c r="A2" s="2" t="inlineStr">
        <is>
          <t>Useful lives (scenario columns on Model sheet)</t>
        </is>
      </c>
    </row>
    <row r="3">
      <c r="A3" t="inlineStr">
        <is>
          <t>Life scenario A (yrs) - Nebius pre-2026 policy</t>
        </is>
      </c>
      <c r="B3" s="3" t="n">
        <v>4</v>
      </c>
      <c r="C3" t="inlineStr">
        <is>
          <t>yrs</t>
        </is>
      </c>
      <c r="D3" t="inlineStr">
        <is>
          <t>Reported (policy)</t>
        </is>
      </c>
      <c r="E3" t="inlineStr">
        <is>
          <t>https://www.sec.gov/Archives/edgar/data/1513845/000110465926052948/nbis-20251231x20f.htm Note 2: server &amp; network 4.0 yrs (FY2025)</t>
        </is>
      </c>
    </row>
    <row r="4">
      <c r="A4" t="inlineStr">
        <is>
          <t>Life scenario B (yrs) - Nebius stated policy from 1/1/26</t>
        </is>
      </c>
      <c r="B4" s="3" t="n">
        <v>5</v>
      </c>
      <c r="C4" t="inlineStr">
        <is>
          <t>yrs</t>
        </is>
      </c>
      <c r="D4" t="inlineStr">
        <is>
          <t>Reported (policy)</t>
        </is>
      </c>
      <c r="E4" t="inlineStr">
        <is>
          <t>https://www.sec.gov/Archives/edgar/data/1513845/000110465926094844/nbis-20260812xex99d2.htm Note 1 p.F-10; /workspace/nebius/filings/nebius_fact_base.md</t>
        </is>
      </c>
    </row>
    <row r="5">
      <c r="A5" t="inlineStr">
        <is>
          <t>Life scenario C (yrs) - CoreWeave/Alphabet/Oracle-style</t>
        </is>
      </c>
      <c r="B5" s="3" t="n">
        <v>6</v>
      </c>
      <c r="C5" t="inlineStr">
        <is>
          <t>yrs</t>
        </is>
      </c>
      <c r="D5" t="inlineStr">
        <is>
          <t>Reported (peer policy)</t>
        </is>
      </c>
      <c r="E5" t="inlineStr">
        <is>
          <t>See Peers sheet</t>
        </is>
      </c>
    </row>
    <row r="6">
      <c r="A6" t="inlineStr">
        <is>
          <t>Non-GPU (DC/infra) blended life</t>
        </is>
      </c>
      <c r="B6" s="3" t="n">
        <v>12</v>
      </c>
      <c r="C6" t="inlineStr">
        <is>
          <t>yrs</t>
        </is>
      </c>
      <c r="D6" t="inlineStr">
        <is>
          <t>Estimated</t>
        </is>
      </c>
      <c r="E6" t="inlineStr">
        <is>
          <t>Nebius: buildings 20y, infrastructure 3-10y, other 2-10y (20-F Note 2); 12y blended is an assumption</t>
        </is>
      </c>
    </row>
    <row r="7">
      <c r="A7" s="2" t="inlineStr">
        <is>
          <t>Asset base at 30-Jun-2026 (Reported)</t>
        </is>
      </c>
    </row>
    <row r="8">
      <c r="A8" t="inlineStr">
        <is>
          <t>Server &amp; network equipment, gross, in service</t>
        </is>
      </c>
      <c r="B8" s="3" t="n">
        <v>5197.7</v>
      </c>
      <c r="C8" t="inlineStr">
        <is>
          <t>$M</t>
        </is>
      </c>
      <c r="D8" t="inlineStr">
        <is>
          <t>Reported</t>
        </is>
      </c>
      <c r="E8" t="inlineStr">
        <is>
          <t>https://www.sec.gov/Archives/edgar/data/1513845/000110465926094844/nbis-20260812xex99d2.htm Note 7</t>
        </is>
      </c>
    </row>
    <row r="9">
      <c r="A9" t="inlineStr">
        <is>
          <t>Avg age of in-service server base at 6/30/26</t>
        </is>
      </c>
      <c r="B9" s="3" t="n">
        <v>4</v>
      </c>
      <c r="C9" t="inlineStr">
        <is>
          <t>quarters</t>
        </is>
      </c>
      <c r="D9" t="inlineStr">
        <is>
          <t>Estimated</t>
        </is>
      </c>
      <c r="E9" t="inlineStr">
        <is>
          <t>60% of gross added in 2025, 40% in 1H26 (Note 7 gross 3,123.6 YE25 -&gt; 5,197.7) =&gt; ~4 qtrs</t>
        </is>
      </c>
    </row>
    <row r="10">
      <c r="A10" t="inlineStr">
        <is>
          <t>Other in-service PP&amp;E gross (infra 332.5 + other 189.5 + land/bldg 593.4)</t>
        </is>
      </c>
      <c r="B10" s="3" t="n">
        <v>1115.4</v>
      </c>
      <c r="C10" t="inlineStr">
        <is>
          <t>$M</t>
        </is>
      </c>
      <c r="D10" t="inlineStr">
        <is>
          <t>Reported (sum)</t>
        </is>
      </c>
      <c r="E10" t="inlineStr">
        <is>
          <t>https://www.sec.gov/Archives/edgar/data/1513845/000110465926094844/nbis-20260812xex99d2.htm Note 7; land not separately split - depreciated anyway (slightly overstates D&amp;A)</t>
        </is>
      </c>
    </row>
    <row r="11">
      <c r="A11" t="inlineStr">
        <is>
          <t>Assets not yet in use</t>
        </is>
      </c>
      <c r="B11" s="3" t="n">
        <v>7836.4</v>
      </c>
      <c r="C11" t="inlineStr">
        <is>
          <t>$M</t>
        </is>
      </c>
      <c r="D11" t="inlineStr">
        <is>
          <t>Reported</t>
        </is>
      </c>
      <c r="E11" t="inlineStr">
        <is>
          <t>https://www.sec.gov/Archives/edgar/data/1513845/000110465926094844/nbis-20260812xex99d2.htm Note 7</t>
        </is>
      </c>
    </row>
    <row r="12">
      <c r="A12" t="inlineStr">
        <is>
          <t>Share of not-yet-in-use placed in service in Q3'26 (rest Q4'26)</t>
        </is>
      </c>
      <c r="B12" s="3" t="n">
        <v>0.5</v>
      </c>
      <c r="C12" t="inlineStr">
        <is>
          <t>%</t>
        </is>
      </c>
      <c r="D12" t="inlineStr">
        <is>
          <t>Estimated</t>
        </is>
      </c>
      <c r="E12" t="inlineStr">
        <is>
          <t>Q1 letter: 'significantly increase our capacity in place in 3Q'</t>
        </is>
      </c>
    </row>
    <row r="13">
      <c r="A13" t="inlineStr">
        <is>
          <t>GPU/server share of capex and of not-yet-in-use</t>
        </is>
      </c>
      <c r="B13" s="3" t="n">
        <v>0.79</v>
      </c>
      <c r="C13" t="inlineStr">
        <is>
          <t>%</t>
        </is>
      </c>
      <c r="D13" t="inlineStr">
        <is>
          <t>Estimated (mgmt via secondary)</t>
        </is>
      </c>
      <c r="E13" t="inlineStr">
        <is>
          <t>Mgmt on Q4'25 call: ~79% GPUs, ~20% data center, &lt;1% power (secondary transcript summary: https://www.youtube.com/watch?v=JDCUSh2okgc) - verify vs transcript</t>
        </is>
      </c>
    </row>
    <row r="14">
      <c r="A14" t="inlineStr">
        <is>
          <t>Capex-to-in-service lag</t>
        </is>
      </c>
      <c r="B14" s="3" t="n">
        <v>2</v>
      </c>
      <c r="C14" t="inlineStr">
        <is>
          <t>quarters</t>
        </is>
      </c>
      <c r="D14" t="inlineStr">
        <is>
          <t>Estimated</t>
        </is>
      </c>
      <c r="E14" t="inlineStr">
        <is>
          <t>Assumption; Q2 not-yet-in-use 7.8B vs Q2 capex 5.7B suggests &gt;1 quarter</t>
        </is>
      </c>
    </row>
    <row r="15">
      <c r="A15" s="2" t="inlineStr">
        <is>
          <t>Capex (consensus / guidance / extrapolation)</t>
        </is>
      </c>
    </row>
    <row r="16">
      <c r="A16" t="inlineStr">
        <is>
          <t>FY2026 capex</t>
        </is>
      </c>
      <c r="B16" s="3" t="n">
        <v>23207</v>
      </c>
      <c r="C16" t="inlineStr">
        <is>
          <t>$M</t>
        </is>
      </c>
      <c r="D16" t="inlineStr">
        <is>
          <t>Estimated (consensus)</t>
        </is>
      </c>
      <c r="E16" t="inlineStr">
        <is>
          <t>https://www.marketscreener.com/quote/stock/NEBIUS-GROUP-8037501/finances/ ; guide $20-25B (https://assets.nebius.com/assets/a6ecfd85-a6cb-4967-8ef7-9a25bd261f9c/SHLQ226.pdf)</t>
        </is>
      </c>
    </row>
    <row r="17">
      <c r="A17" t="inlineStr">
        <is>
          <t>1H2026 capex actual</t>
        </is>
      </c>
      <c r="B17" s="3" t="n">
        <v>8130.3</v>
      </c>
      <c r="C17" t="inlineStr">
        <is>
          <t>$M</t>
        </is>
      </c>
      <c r="D17" t="inlineStr">
        <is>
          <t>Reported</t>
        </is>
      </c>
      <c r="E17" t="inlineStr">
        <is>
          <t>/workspace/nebius/filings/nebius_fact_base.md</t>
        </is>
      </c>
    </row>
    <row r="18">
      <c r="A18" t="inlineStr">
        <is>
          <t>FY2027 capex</t>
        </is>
      </c>
      <c r="B18" s="3" t="n">
        <v>29135</v>
      </c>
      <c r="C18" t="inlineStr">
        <is>
          <t>$M</t>
        </is>
      </c>
      <c r="D18" t="inlineStr">
        <is>
          <t>Estimated (consensus)</t>
        </is>
      </c>
      <c r="E18" t="inlineStr">
        <is>
          <t>https://www.marketscreener.com/quote/stock/NEBIUS-GROUP-8037501/finances/</t>
        </is>
      </c>
    </row>
    <row r="19">
      <c r="A19" t="inlineStr">
        <is>
          <t>FY2028 capex</t>
        </is>
      </c>
      <c r="B19" s="3" t="n">
        <v>38885</v>
      </c>
      <c r="C19" t="inlineStr">
        <is>
          <t>$M</t>
        </is>
      </c>
      <c r="D19" t="inlineStr">
        <is>
          <t>Estimated (consensus)</t>
        </is>
      </c>
      <c r="E19" t="inlineStr">
        <is>
          <t>https://www.marketscreener.com/quote/stock/NEBIUS-GROUP-8037501/finances/</t>
        </is>
      </c>
    </row>
    <row r="20">
      <c r="A20" t="inlineStr">
        <is>
          <t>FY2029 capex growth vs FY28</t>
        </is>
      </c>
      <c r="B20" s="3" t="n">
        <v>0</v>
      </c>
      <c r="C20" t="inlineStr">
        <is>
          <t>%</t>
        </is>
      </c>
      <c r="D20" t="inlineStr">
        <is>
          <t>Estimated (extrapolation)</t>
        </is>
      </c>
      <c r="E20" t="inlineStr">
        <is>
          <t>No consensus beyond FY28; flat ~$38.9B ~ 1.3GW/yr at ~$30M/MW, consistent with '&gt;1GW/yr from 2027' guide</t>
        </is>
      </c>
    </row>
    <row r="21">
      <c r="A21" t="inlineStr">
        <is>
          <t>FY2030 capex growth vs FY29</t>
        </is>
      </c>
      <c r="B21" s="3" t="n">
        <v>0</v>
      </c>
      <c r="C21" t="inlineStr">
        <is>
          <t>%</t>
        </is>
      </c>
      <c r="D21" t="inlineStr">
        <is>
          <t>Estimated (extrapolation)</t>
        </is>
      </c>
      <c r="E21" t="inlineStr">
        <is>
          <t>as above</t>
        </is>
      </c>
    </row>
    <row r="22">
      <c r="A22" t="inlineStr">
        <is>
          <t>All-in capex per MW</t>
        </is>
      </c>
      <c r="B22" s="3" t="n">
        <v>30</v>
      </c>
      <c r="C22" t="inlineStr">
        <is>
          <t>$M/MW</t>
        </is>
      </c>
      <c r="D22" t="inlineStr">
        <is>
          <t>Estimated (third party)</t>
        </is>
      </c>
      <c r="E22" t="inlineStr">
        <is>
          <t>~$30M/MW sell-side/SA estimate; only used to translate yields into $/MW</t>
        </is>
      </c>
    </row>
    <row r="23">
      <c r="A23" s="2" t="inlineStr">
        <is>
          <t>EBITDA / revenue (FY26-FY28 consensus; FY29+ extrapolated) - quarterly FY26-27 consensus is entered on Model sheet (blue)</t>
        </is>
      </c>
    </row>
    <row r="24">
      <c r="A24" t="inlineStr">
        <is>
          <t>FY2028 adj. EBITDA consensus</t>
        </is>
      </c>
      <c r="B24" s="3" t="n">
        <v>13978</v>
      </c>
      <c r="C24" t="inlineStr">
        <is>
          <t>$M</t>
        </is>
      </c>
      <c r="D24" t="inlineStr">
        <is>
          <t>Estimated (consensus)</t>
        </is>
      </c>
      <c r="E24" t="inlineStr">
        <is>
          <t>https://www.marketscreener.com/quote/stock/NEBIUS-GROUP-8037501/finances/</t>
        </is>
      </c>
    </row>
    <row r="25">
      <c r="A25" t="inlineStr">
        <is>
          <t>FY2028 revenue consensus</t>
        </is>
      </c>
      <c r="B25" s="3" t="n">
        <v>22983</v>
      </c>
      <c r="C25" t="inlineStr">
        <is>
          <t>$M</t>
        </is>
      </c>
      <c r="D25" t="inlineStr">
        <is>
          <t>Estimated (consensus)</t>
        </is>
      </c>
      <c r="E25" t="inlineStr">
        <is>
          <t>https://www.marketscreener.com/quote/stock/NEBIUS-GROUP-8037501/finances/</t>
        </is>
      </c>
    </row>
    <row r="26">
      <c r="A26" t="inlineStr">
        <is>
          <t>FY28 quarterly weight Q1</t>
        </is>
      </c>
      <c r="B26" s="3" t="n">
        <v>0.22</v>
      </c>
      <c r="C26" t="inlineStr">
        <is>
          <t>%</t>
        </is>
      </c>
      <c r="D26" t="inlineStr">
        <is>
          <t>Estimated</t>
        </is>
      </c>
      <c r="E26" t="inlineStr">
        <is>
          <t>Assumed ramp (sums to 100%)</t>
        </is>
      </c>
    </row>
    <row r="27">
      <c r="A27" t="inlineStr">
        <is>
          <t>FY28 quarterly weight Q2</t>
        </is>
      </c>
      <c r="B27" s="3" t="n">
        <v>0.24</v>
      </c>
      <c r="C27" t="inlineStr">
        <is>
          <t>%</t>
        </is>
      </c>
      <c r="D27" t="inlineStr">
        <is>
          <t>Estimated</t>
        </is>
      </c>
      <c r="E27" t="inlineStr">
        <is>
          <t>Assumed ramp (sums to 100%)</t>
        </is>
      </c>
    </row>
    <row r="28">
      <c r="A28" t="inlineStr">
        <is>
          <t>FY28 quarterly weight Q3</t>
        </is>
      </c>
      <c r="B28" s="3" t="n">
        <v>0.26</v>
      </c>
      <c r="C28" t="inlineStr">
        <is>
          <t>%</t>
        </is>
      </c>
      <c r="D28" t="inlineStr">
        <is>
          <t>Estimated</t>
        </is>
      </c>
      <c r="E28" t="inlineStr">
        <is>
          <t>Assumed ramp (sums to 100%)</t>
        </is>
      </c>
    </row>
    <row r="29">
      <c r="A29" t="inlineStr">
        <is>
          <t>FY28 quarterly weight Q4</t>
        </is>
      </c>
      <c r="B29" s="3" t="n">
        <v>0.28</v>
      </c>
      <c r="C29" t="inlineStr">
        <is>
          <t>%</t>
        </is>
      </c>
      <c r="D29" t="inlineStr">
        <is>
          <t>Estimated</t>
        </is>
      </c>
      <c r="E29" t="inlineStr">
        <is>
          <t>Assumed ramp (sums to 100%)</t>
        </is>
      </c>
    </row>
    <row r="30">
      <c r="A30" t="inlineStr">
        <is>
          <t>FY29+ EBITDA yield override (annual EBITDA / gross GPU in service); blank = consensus-implied</t>
        </is>
      </c>
      <c r="B30" s="3" t="n"/>
      <c r="C30" t="inlineStr">
        <is>
          <t>%</t>
        </is>
      </c>
      <c r="D30" t="inlineStr">
        <is>
          <t>Scenario input</t>
        </is>
      </c>
      <c r="E30" t="inlineStr">
        <is>
          <t>Blank uses FY28 consensus-implied yield (Model!C52). Reference points: installed base $12M/MW ~30%; Q2 deals $20M/MW ~51% (see Reverse_DCF notes)</t>
        </is>
      </c>
    </row>
    <row r="31">
      <c r="A31" s="2" t="inlineStr">
        <is>
          <t>1H2026 actuals (for FY2026 roll-up)</t>
        </is>
      </c>
    </row>
    <row r="32">
      <c r="A32" t="inlineStr">
        <is>
          <t>1H26 revenue</t>
        </is>
      </c>
      <c r="B32" s="3" t="n">
        <v>981.3</v>
      </c>
      <c r="C32" t="inlineStr">
        <is>
          <t>$M</t>
        </is>
      </c>
      <c r="D32" t="inlineStr">
        <is>
          <t>Reported</t>
        </is>
      </c>
      <c r="E32" t="inlineStr">
        <is>
          <t>/workspace/nebius/filings/nebius_fact_base.md</t>
        </is>
      </c>
    </row>
    <row r="33">
      <c r="A33" t="inlineStr">
        <is>
          <t>1H26 adj. EBITDA</t>
        </is>
      </c>
      <c r="B33" s="3" t="n">
        <v>365.7</v>
      </c>
      <c r="C33" t="inlineStr">
        <is>
          <t>$M</t>
        </is>
      </c>
      <c r="D33" t="inlineStr">
        <is>
          <t>Reported</t>
        </is>
      </c>
      <c r="E33" t="inlineStr">
        <is>
          <t>/workspace/nebius/filings/nebius_fact_base.md</t>
        </is>
      </c>
    </row>
    <row r="34">
      <c r="A34" t="inlineStr">
        <is>
          <t>1H26 D&amp;A (at 5-yr policy)</t>
        </is>
      </c>
      <c r="B34" s="3" t="n">
        <v>471.7</v>
      </c>
      <c r="C34" t="inlineStr">
        <is>
          <t>$M</t>
        </is>
      </c>
      <c r="D34" t="inlineStr">
        <is>
          <t>Reported</t>
        </is>
      </c>
      <c r="E34" t="inlineStr">
        <is>
          <t>/workspace/nebius/filings/nebius_fact_base.md</t>
        </is>
      </c>
    </row>
    <row r="35">
      <c r="A35" t="inlineStr">
        <is>
          <t>1H26 D&amp;A reduction from 4-&gt;5 yr change</t>
        </is>
      </c>
      <c r="B35" s="3" t="n">
        <v>86.09999999999999</v>
      </c>
      <c r="C35" t="inlineStr">
        <is>
          <t>$M</t>
        </is>
      </c>
      <c r="D35" t="inlineStr">
        <is>
          <t>Reported</t>
        </is>
      </c>
      <c r="E35" t="inlineStr">
        <is>
          <t>/workspace/nebius/filings/nebius_fact_base.md (Q2 -$43.0M; FY26 est. -$167.6M)</t>
        </is>
      </c>
    </row>
    <row r="36">
      <c r="A36" s="2" t="inlineStr">
        <is>
          <t>Financing / cash interest</t>
        </is>
      </c>
    </row>
    <row r="37">
      <c r="A37" t="inlineStr">
        <is>
          <t>Convert 2.00% 2029 (remaining): principal / coupon</t>
        </is>
      </c>
      <c r="B37" s="3" t="n">
        <v>87.5</v>
      </c>
      <c r="C37" t="inlineStr">
        <is>
          <t>$M</t>
        </is>
      </c>
      <c r="D37" s="3" t="n">
        <v>0.02</v>
      </c>
      <c r="E37" t="inlineStr">
        <is>
          <t>Reported (/workspace/nebius/filings/nebius_fact_base.md Converts)</t>
        </is>
      </c>
    </row>
    <row r="38">
      <c r="A38" t="inlineStr">
        <is>
          <t>Convert 3.00% 2031 (remaining): principal / coupon</t>
        </is>
      </c>
      <c r="B38" s="3" t="n">
        <v>87.5</v>
      </c>
      <c r="C38" t="inlineStr">
        <is>
          <t>$M</t>
        </is>
      </c>
      <c r="D38" s="3" t="n">
        <v>0.03</v>
      </c>
      <c r="E38" t="inlineStr">
        <is>
          <t>Reported (/workspace/nebius/filings/nebius_fact_base.md Converts)</t>
        </is>
      </c>
    </row>
    <row r="39">
      <c r="A39" t="inlineStr">
        <is>
          <t>Convert 1.00% 9/2030: principal / coupon</t>
        </is>
      </c>
      <c r="B39" s="3" t="n">
        <v>1581.25</v>
      </c>
      <c r="C39" t="inlineStr">
        <is>
          <t>$M</t>
        </is>
      </c>
      <c r="D39" s="3" t="n">
        <v>0.01</v>
      </c>
      <c r="E39" t="inlineStr">
        <is>
          <t>Reported (/workspace/nebius/filings/nebius_fact_base.md Converts)</t>
        </is>
      </c>
    </row>
    <row r="40">
      <c r="A40" t="inlineStr">
        <is>
          <t>Convert 2.75% 9/2032: principal / coupon</t>
        </is>
      </c>
      <c r="B40" s="3" t="n">
        <v>1581.25</v>
      </c>
      <c r="C40" t="inlineStr">
        <is>
          <t>$M</t>
        </is>
      </c>
      <c r="D40" s="3" t="n">
        <v>0.0275</v>
      </c>
      <c r="E40" t="inlineStr">
        <is>
          <t>Reported (/workspace/nebius/filings/nebius_fact_base.md Converts)</t>
        </is>
      </c>
    </row>
    <row r="41">
      <c r="A41" t="inlineStr">
        <is>
          <t>Convert 1.25% 3/2031: principal / coupon</t>
        </is>
      </c>
      <c r="B41" s="3" t="n">
        <v>2587.5</v>
      </c>
      <c r="C41" t="inlineStr">
        <is>
          <t>$M</t>
        </is>
      </c>
      <c r="D41" s="3" t="n">
        <v>0.0125</v>
      </c>
      <c r="E41" t="inlineStr">
        <is>
          <t>Reported (/workspace/nebius/filings/nebius_fact_base.md Converts)</t>
        </is>
      </c>
    </row>
    <row r="42">
      <c r="A42" t="inlineStr">
        <is>
          <t>Convert 2.625% 3/2033: principal / coupon</t>
        </is>
      </c>
      <c r="B42" s="3" t="n">
        <v>1750</v>
      </c>
      <c r="C42" t="inlineStr">
        <is>
          <t>$M</t>
        </is>
      </c>
      <c r="D42" s="3" t="n">
        <v>0.02625</v>
      </c>
      <c r="E42" t="inlineStr">
        <is>
          <t>Reported (/workspace/nebius/filings/nebius_fact_base.md Converts)</t>
        </is>
      </c>
    </row>
    <row r="43">
      <c r="A43" t="inlineStr">
        <is>
          <t>Convert 0.50% 2/2030: principal / coupon</t>
        </is>
      </c>
      <c r="B43" s="3" t="n">
        <v>3450</v>
      </c>
      <c r="C43" t="inlineStr">
        <is>
          <t>$M</t>
        </is>
      </c>
      <c r="D43" s="3" t="n">
        <v>0.005</v>
      </c>
      <c r="E43" t="inlineStr">
        <is>
          <t>Reported (/workspace/nebius/filings/nebius_fact_base.md Converts)</t>
        </is>
      </c>
    </row>
    <row r="44">
      <c r="A44" t="inlineStr">
        <is>
          <t>Convert 4.50% 2/2034: principal / coupon</t>
        </is>
      </c>
      <c r="B44" s="3" t="n">
        <v>2300</v>
      </c>
      <c r="C44" t="inlineStr">
        <is>
          <t>$M</t>
        </is>
      </c>
      <c r="D44" s="3" t="n">
        <v>0.045</v>
      </c>
      <c r="E44" t="inlineStr">
        <is>
          <t>Reported (/workspace/nebius/filings/nebius_fact_base.md Converts)</t>
        </is>
      </c>
    </row>
    <row r="45">
      <c r="A45" t="inlineStr">
        <is>
          <t>Term SOFR assumption for $775M secured loan (SOFR+2.50%)</t>
        </is>
      </c>
      <c r="B45" s="3" t="n">
        <v>0.04</v>
      </c>
      <c r="C45" t="inlineStr">
        <is>
          <t>%</t>
        </is>
      </c>
      <c r="D45" t="inlineStr">
        <is>
          <t>Estimated</t>
        </is>
      </c>
      <c r="E45" t="inlineStr">
        <is>
          <t>Assumption - verify; loan assumed fully drawn (drawn amount not disclosed)</t>
        </is>
      </c>
    </row>
    <row r="46">
      <c r="A46" t="inlineStr">
        <is>
          <t>Secured loan principal</t>
        </is>
      </c>
      <c r="B46" s="3" t="n">
        <v>775</v>
      </c>
      <c r="C46" t="inlineStr">
        <is>
          <t>$M</t>
        </is>
      </c>
      <c r="D46" t="inlineStr">
        <is>
          <t>Reported</t>
        </is>
      </c>
      <c r="E46" t="inlineStr">
        <is>
          <t>/workspace/nebius/filings/nebius_fact_base.md</t>
        </is>
      </c>
    </row>
    <row r="47">
      <c r="A47" t="inlineStr">
        <is>
          <t>Cash interest per quarter (coupons + loan)</t>
        </is>
      </c>
      <c r="B47" s="4">
        <f>(B37*D37+B38*D38+B39*D39+B40*D40+B41*D41+B42*D42+B43*D43+B44*D44+$B$46*($B$45+0.025))/4</f>
        <v/>
      </c>
      <c r="C47" t="inlineStr">
        <is>
          <t>$M</t>
        </is>
      </c>
      <c r="D47" t="inlineStr">
        <is>
          <t>Derived</t>
        </is>
      </c>
      <c r="E47" t="inlineStr">
        <is>
          <t>sum(principal x coupon)/4; excludes accretion (non-cash) and capitalized-interest split</t>
        </is>
      </c>
    </row>
    <row r="48">
      <c r="A48" t="inlineStr">
        <is>
          <t>Cost of incremental funding beyond pro forma cash</t>
        </is>
      </c>
      <c r="B48" s="3" t="n">
        <v>0.07000000000000001</v>
      </c>
      <c r="C48" t="inlineStr">
        <is>
          <t>%</t>
        </is>
      </c>
      <c r="D48" t="inlineStr">
        <is>
          <t>Estimated</t>
        </is>
      </c>
      <c r="E48" t="inlineStr">
        <is>
          <t>Between NBIS 5.1% wtd effective and CRWV 8.4% (team comps.xlsx)</t>
        </is>
      </c>
    </row>
    <row r="49">
      <c r="A49" t="inlineStr">
        <is>
          <t>Pro forma cash (start)</t>
        </is>
      </c>
      <c r="B49" s="3" t="n">
        <v>14497.1</v>
      </c>
      <c r="C49" t="inlineStr">
        <is>
          <t>$M</t>
        </is>
      </c>
      <c r="D49" t="inlineStr">
        <is>
          <t>Estimated</t>
        </is>
      </c>
      <c r="E49" t="inlineStr">
        <is>
          <t>01_priced_in: 8,042.1 + 775 + ~5,680; EXCLUDES Q3 burn - the model charges Q3'26 FCF against it</t>
        </is>
      </c>
    </row>
    <row r="50">
      <c r="A50" s="2" t="inlineStr">
        <is>
          <t>Impairment toggle</t>
        </is>
      </c>
    </row>
    <row r="51">
      <c r="A51" t="inlineStr">
        <is>
          <t>Impairment of 6/30/26 in-service server base (% of NBV)</t>
        </is>
      </c>
      <c r="B51" s="3" t="n">
        <v>0</v>
      </c>
      <c r="C51" t="inlineStr">
        <is>
          <t>%</t>
        </is>
      </c>
      <c r="D51" t="inlineStr">
        <is>
          <t>Scenario input</t>
        </is>
      </c>
      <c r="E51" t="inlineStr">
        <is>
          <t>0% default; e.g. 30% tests a Hopper write-down</t>
        </is>
      </c>
    </row>
    <row r="52">
      <c r="A52" t="inlineStr">
        <is>
          <t>Impairment quarter</t>
        </is>
      </c>
      <c r="B52" s="3" t="inlineStr">
        <is>
          <t>Q4 2027</t>
        </is>
      </c>
      <c r="C52" t="inlineStr">
        <is>
          <t>label</t>
        </is>
      </c>
      <c r="D52" t="inlineStr">
        <is>
          <t>Scenario input</t>
        </is>
      </c>
      <c r="E52" t="inlineStr">
        <is>
          <t>Must match a Model quarter label</t>
        </is>
      </c>
    </row>
    <row r="53">
      <c r="A53" t="inlineStr">
        <is>
          <t>Impairment quarter index</t>
        </is>
      </c>
      <c r="B53" s="4">
        <f>MATCH($B$52,Model!$C$1:$T$1,0)-1</f>
        <v/>
      </c>
      <c r="C53" t="inlineStr">
        <is>
          <t>idx</t>
        </is>
      </c>
      <c r="D53" t="inlineStr">
        <is>
          <t>Derived</t>
        </is>
      </c>
      <c r="E53" t="inlineStr"/>
    </row>
    <row r="54">
      <c r="A54" s="2" t="inlineStr">
        <is>
          <t>Reverse DCF</t>
        </is>
      </c>
    </row>
    <row r="55">
      <c r="A55" t="inlineStr">
        <is>
          <t>WACC</t>
        </is>
      </c>
      <c r="B55" s="3" t="n">
        <v>0.11</v>
      </c>
      <c r="C55" t="inlineStr">
        <is>
          <t>%</t>
        </is>
      </c>
      <c r="D55" t="inlineStr">
        <is>
          <t>Estimated</t>
        </is>
      </c>
      <c r="E55" t="inlineStr">
        <is>
          <t>Assumption (sensitivity in md); not a sourced figure</t>
        </is>
      </c>
    </row>
    <row r="56">
      <c r="A56" t="inlineStr">
        <is>
          <t>Terminal growth</t>
        </is>
      </c>
      <c r="B56" s="3" t="n">
        <v>0.03</v>
      </c>
      <c r="C56" t="inlineStr">
        <is>
          <t>%</t>
        </is>
      </c>
      <c r="D56" t="inlineStr">
        <is>
          <t>Estimated</t>
        </is>
      </c>
      <c r="E56" t="inlineStr">
        <is>
          <t>Assumption</t>
        </is>
      </c>
    </row>
    <row r="57">
      <c r="A57" t="inlineStr">
        <is>
          <t>Tax rate (terminal only; NOLs assumed shield interim)</t>
        </is>
      </c>
      <c r="B57" s="3" t="n">
        <v>0.258</v>
      </c>
      <c r="C57" t="inlineStr">
        <is>
          <t>%</t>
        </is>
      </c>
      <c r="D57" t="inlineStr">
        <is>
          <t>Reported (statutory)</t>
        </is>
      </c>
      <c r="E57" t="inlineStr">
        <is>
          <t>Netherlands headline CIT 25.8%</t>
        </is>
      </c>
    </row>
    <row r="58">
      <c r="A58" t="inlineStr">
        <is>
          <t>Market EV (base, pro forma ex-leases)</t>
        </is>
      </c>
      <c r="B58" s="3" t="n">
        <v>69620</v>
      </c>
      <c r="C58" t="inlineStr">
        <is>
          <t>$M</t>
        </is>
      </c>
      <c r="D58" t="inlineStr">
        <is>
          <t>Derived</t>
        </is>
      </c>
      <c r="E58" t="inlineStr">
        <is>
          <t>01_priced_in.xlsx (corrected 2026-10-04)</t>
        </is>
      </c>
    </row>
    <row r="59">
      <c r="A59" t="inlineStr">
        <is>
          <t>Pro forma net cash</t>
        </is>
      </c>
      <c r="B59" s="3" t="n">
        <v>226.4</v>
      </c>
      <c r="C59" t="inlineStr">
        <is>
          <t>$M</t>
        </is>
      </c>
      <c r="D59" t="inlineStr">
        <is>
          <t>Derived</t>
        </is>
      </c>
      <c r="E59" t="inlineStr">
        <is>
          <t>14,497.1 - 14,270.7</t>
        </is>
      </c>
    </row>
    <row r="60">
      <c r="A60" t="inlineStr">
        <is>
          <t>Pro forma basic shares</t>
        </is>
      </c>
      <c r="B60" s="3" t="n">
        <v>287.66</v>
      </c>
      <c r="C60" t="inlineStr">
        <is>
          <t>M</t>
        </is>
      </c>
      <c r="D60" t="inlineStr">
        <is>
          <t>Derived</t>
        </is>
      </c>
      <c r="E60" t="inlineStr">
        <is>
          <t>271.86 + 15.8 (01_priced_in)</t>
        </is>
      </c>
    </row>
    <row r="61">
      <c r="A61" t="inlineStr">
        <is>
          <t>Share price 10/2/26</t>
        </is>
      </c>
      <c r="B61" s="3" t="n">
        <v>242.81</v>
      </c>
      <c r="C61" t="inlineStr">
        <is>
          <t>$</t>
        </is>
      </c>
      <c r="D61" t="inlineStr">
        <is>
          <t>Reported</t>
        </is>
      </c>
      <c r="E61" t="inlineStr">
        <is>
          <t>https://stockanalysis.com/stocks/nbis/history/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0" customWidth="1" min="1" max="1"/>
    <col width="8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</cols>
  <sheetData>
    <row r="1">
      <c r="A1" s="1" t="inlineStr">
        <is>
          <t>Quarter</t>
        </is>
      </c>
      <c r="B1" s="1" t="n"/>
      <c r="C1" s="1" t="inlineStr">
        <is>
          <t>Q3 2026</t>
        </is>
      </c>
      <c r="D1" s="1" t="inlineStr">
        <is>
          <t>Q4 2026</t>
        </is>
      </c>
      <c r="E1" s="1" t="inlineStr">
        <is>
          <t>Q1 2027</t>
        </is>
      </c>
      <c r="F1" s="1" t="inlineStr">
        <is>
          <t>Q2 2027</t>
        </is>
      </c>
      <c r="G1" s="1" t="inlineStr">
        <is>
          <t>Q3 2027</t>
        </is>
      </c>
      <c r="H1" s="1" t="inlineStr">
        <is>
          <t>Q4 2027</t>
        </is>
      </c>
      <c r="I1" s="1" t="inlineStr">
        <is>
          <t>Q1 2028</t>
        </is>
      </c>
      <c r="J1" s="1" t="inlineStr">
        <is>
          <t>Q2 2028</t>
        </is>
      </c>
      <c r="K1" s="1" t="inlineStr">
        <is>
          <t>Q3 2028</t>
        </is>
      </c>
      <c r="L1" s="1" t="inlineStr">
        <is>
          <t>Q4 2028</t>
        </is>
      </c>
      <c r="M1" s="1" t="inlineStr">
        <is>
          <t>Q1 2029</t>
        </is>
      </c>
      <c r="N1" s="1" t="inlineStr">
        <is>
          <t>Q2 2029</t>
        </is>
      </c>
      <c r="O1" s="1" t="inlineStr">
        <is>
          <t>Q3 2029</t>
        </is>
      </c>
      <c r="P1" s="1" t="inlineStr">
        <is>
          <t>Q4 2029</t>
        </is>
      </c>
      <c r="Q1" s="1" t="inlineStr">
        <is>
          <t>Q1 2030</t>
        </is>
      </c>
      <c r="R1" s="1" t="inlineStr">
        <is>
          <t>Q2 2030</t>
        </is>
      </c>
      <c r="S1" s="1" t="inlineStr">
        <is>
          <t>Q3 2030</t>
        </is>
      </c>
      <c r="T1" s="1" t="inlineStr">
        <is>
          <t>Q4 2030</t>
        </is>
      </c>
    </row>
    <row r="2">
      <c r="A2" s="4" t="inlineStr">
        <is>
          <t>Index</t>
        </is>
      </c>
      <c r="B2" t="inlineStr"/>
      <c r="C2" s="5" t="n">
        <v>0</v>
      </c>
      <c r="D2" s="5" t="n">
        <v>1</v>
      </c>
      <c r="E2" s="5" t="n">
        <v>2</v>
      </c>
      <c r="F2" s="5" t="n">
        <v>3</v>
      </c>
      <c r="G2" s="5" t="n">
        <v>4</v>
      </c>
      <c r="H2" s="5" t="n">
        <v>5</v>
      </c>
      <c r="I2" s="5" t="n">
        <v>6</v>
      </c>
      <c r="J2" s="5" t="n">
        <v>7</v>
      </c>
      <c r="K2" s="5" t="n">
        <v>8</v>
      </c>
      <c r="L2" s="5" t="n">
        <v>9</v>
      </c>
      <c r="M2" s="5" t="n">
        <v>10</v>
      </c>
      <c r="N2" s="5" t="n">
        <v>11</v>
      </c>
      <c r="O2" s="5" t="n">
        <v>12</v>
      </c>
      <c r="P2" s="5" t="n">
        <v>13</v>
      </c>
      <c r="Q2" s="5" t="n">
        <v>14</v>
      </c>
      <c r="R2" s="5" t="n">
        <v>15</v>
      </c>
      <c r="S2" s="5" t="n">
        <v>16</v>
      </c>
      <c r="T2" s="5" t="n">
        <v>17</v>
      </c>
    </row>
    <row r="3">
      <c r="A3" s="4" t="inlineStr">
        <is>
          <t>Fiscal year</t>
        </is>
      </c>
      <c r="B3" t="inlineStr"/>
      <c r="C3" s="5" t="n">
        <v>2026</v>
      </c>
      <c r="D3" s="5" t="n">
        <v>2026</v>
      </c>
      <c r="E3" s="5" t="n">
        <v>2027</v>
      </c>
      <c r="F3" s="5" t="n">
        <v>2027</v>
      </c>
      <c r="G3" s="5" t="n">
        <v>2027</v>
      </c>
      <c r="H3" s="5" t="n">
        <v>2027</v>
      </c>
      <c r="I3" s="5" t="n">
        <v>2028</v>
      </c>
      <c r="J3" s="5" t="n">
        <v>2028</v>
      </c>
      <c r="K3" s="5" t="n">
        <v>2028</v>
      </c>
      <c r="L3" s="5" t="n">
        <v>2028</v>
      </c>
      <c r="M3" s="5" t="n">
        <v>2029</v>
      </c>
      <c r="N3" s="5" t="n">
        <v>2029</v>
      </c>
      <c r="O3" s="5" t="n">
        <v>2029</v>
      </c>
      <c r="P3" s="5" t="n">
        <v>2029</v>
      </c>
      <c r="Q3" s="5" t="n">
        <v>2030</v>
      </c>
      <c r="R3" s="5" t="n">
        <v>2030</v>
      </c>
      <c r="S3" s="5" t="n">
        <v>2030</v>
      </c>
      <c r="T3" s="5" t="n">
        <v>2030</v>
      </c>
    </row>
    <row r="4">
      <c r="A4" s="4" t="inlineStr">
        <is>
          <t>GPU generation placed in service (label)</t>
        </is>
      </c>
      <c r="B4" t="inlineStr"/>
      <c r="C4" s="6">
        <f>IF(C2&lt;2,"Blackwell (B200/B300/GB300)",IF(C2&lt;12,"Vera Rubin","Rubin Ultra / next"))</f>
        <v/>
      </c>
      <c r="D4" s="6">
        <f>IF(D2&lt;2,"Blackwell (B200/B300/GB300)",IF(D2&lt;12,"Vera Rubin","Rubin Ultra / next"))</f>
        <v/>
      </c>
      <c r="E4" s="6">
        <f>IF(E2&lt;2,"Blackwell (B200/B300/GB300)",IF(E2&lt;12,"Vera Rubin","Rubin Ultra / next"))</f>
        <v/>
      </c>
      <c r="F4" s="6">
        <f>IF(F2&lt;2,"Blackwell (B200/B300/GB300)",IF(F2&lt;12,"Vera Rubin","Rubin Ultra / next"))</f>
        <v/>
      </c>
      <c r="G4" s="6">
        <f>IF(G2&lt;2,"Blackwell (B200/B300/GB300)",IF(G2&lt;12,"Vera Rubin","Rubin Ultra / next"))</f>
        <v/>
      </c>
      <c r="H4" s="6">
        <f>IF(H2&lt;2,"Blackwell (B200/B300/GB300)",IF(H2&lt;12,"Vera Rubin","Rubin Ultra / next"))</f>
        <v/>
      </c>
      <c r="I4" s="6">
        <f>IF(I2&lt;2,"Blackwell (B200/B300/GB300)",IF(I2&lt;12,"Vera Rubin","Rubin Ultra / next"))</f>
        <v/>
      </c>
      <c r="J4" s="6">
        <f>IF(J2&lt;2,"Blackwell (B200/B300/GB300)",IF(J2&lt;12,"Vera Rubin","Rubin Ultra / next"))</f>
        <v/>
      </c>
      <c r="K4" s="6">
        <f>IF(K2&lt;2,"Blackwell (B200/B300/GB300)",IF(K2&lt;12,"Vera Rubin","Rubin Ultra / next"))</f>
        <v/>
      </c>
      <c r="L4" s="6">
        <f>IF(L2&lt;2,"Blackwell (B200/B300/GB300)",IF(L2&lt;12,"Vera Rubin","Rubin Ultra / next"))</f>
        <v/>
      </c>
      <c r="M4" s="6">
        <f>IF(M2&lt;2,"Blackwell (B200/B300/GB300)",IF(M2&lt;12,"Vera Rubin","Rubin Ultra / next"))</f>
        <v/>
      </c>
      <c r="N4" s="6">
        <f>IF(N2&lt;2,"Blackwell (B200/B300/GB300)",IF(N2&lt;12,"Vera Rubin","Rubin Ultra / next"))</f>
        <v/>
      </c>
      <c r="O4" s="6">
        <f>IF(O2&lt;2,"Blackwell (B200/B300/GB300)",IF(O2&lt;12,"Vera Rubin","Rubin Ultra / next"))</f>
        <v/>
      </c>
      <c r="P4" s="6">
        <f>IF(P2&lt;2,"Blackwell (B200/B300/GB300)",IF(P2&lt;12,"Vera Rubin","Rubin Ultra / next"))</f>
        <v/>
      </c>
      <c r="Q4" s="6">
        <f>IF(Q2&lt;2,"Blackwell (B200/B300/GB300)",IF(Q2&lt;12,"Vera Rubin","Rubin Ultra / next"))</f>
        <v/>
      </c>
      <c r="R4" s="6">
        <f>IF(R2&lt;2,"Blackwell (B200/B300/GB300)",IF(R2&lt;12,"Vera Rubin","Rubin Ultra / next"))</f>
        <v/>
      </c>
      <c r="S4" s="6">
        <f>IF(S2&lt;2,"Blackwell (B200/B300/GB300)",IF(S2&lt;12,"Vera Rubin","Rubin Ultra / next"))</f>
        <v/>
      </c>
      <c r="T4" s="6">
        <f>IF(T2&lt;2,"Blackwell (B200/B300/GB300)",IF(T2&lt;12,"Vera Rubin","Rubin Ultra / next"))</f>
        <v/>
      </c>
    </row>
    <row r="6">
      <c r="A6" s="4" t="inlineStr">
        <is>
          <t>Revenue</t>
        </is>
      </c>
      <c r="B6" t="inlineStr">
        <is>
          <t>$M</t>
        </is>
      </c>
      <c r="C6" s="7" t="n">
        <v>904.1</v>
      </c>
      <c r="D6" s="7" t="n">
        <v>1452</v>
      </c>
      <c r="E6" s="7" t="n">
        <v>2175</v>
      </c>
      <c r="F6" s="7" t="n">
        <v>2646</v>
      </c>
      <c r="G6" s="7" t="n">
        <v>3304</v>
      </c>
      <c r="H6" s="7" t="n">
        <v>4052</v>
      </c>
      <c r="I6" s="8">
        <f>Assumptions!$B$25*Assumptions!$B$26</f>
        <v/>
      </c>
      <c r="J6" s="8">
        <f>Assumptions!$B$25*Assumptions!$B$27</f>
        <v/>
      </c>
      <c r="K6" s="8">
        <f>Assumptions!$B$25*Assumptions!$B$28</f>
        <v/>
      </c>
      <c r="L6" s="8">
        <f>Assumptions!$B$25*Assumptions!$B$29</f>
        <v/>
      </c>
      <c r="M6" s="8">
        <f>M7/(Assumptions!$B$24/Assumptions!$B$25)</f>
        <v/>
      </c>
      <c r="N6" s="8">
        <f>N7/(Assumptions!$B$24/Assumptions!$B$25)</f>
        <v/>
      </c>
      <c r="O6" s="8">
        <f>O7/(Assumptions!$B$24/Assumptions!$B$25)</f>
        <v/>
      </c>
      <c r="P6" s="8">
        <f>P7/(Assumptions!$B$24/Assumptions!$B$25)</f>
        <v/>
      </c>
      <c r="Q6" s="8">
        <f>Q7/(Assumptions!$B$24/Assumptions!$B$25)</f>
        <v/>
      </c>
      <c r="R6" s="8">
        <f>R7/(Assumptions!$B$24/Assumptions!$B$25)</f>
        <v/>
      </c>
      <c r="S6" s="8">
        <f>S7/(Assumptions!$B$24/Assumptions!$B$25)</f>
        <v/>
      </c>
      <c r="T6" s="8">
        <f>T7/(Assumptions!$B$24/Assumptions!$B$25)</f>
        <v/>
      </c>
    </row>
    <row r="7">
      <c r="A7" s="2" t="inlineStr">
        <is>
          <t>Adj. EBITDA</t>
        </is>
      </c>
      <c r="B7" t="inlineStr">
        <is>
          <t>$M</t>
        </is>
      </c>
      <c r="C7" s="7" t="n">
        <v>354.7</v>
      </c>
      <c r="D7" s="7" t="n">
        <v>670.7</v>
      </c>
      <c r="E7" s="7" t="n">
        <v>1277</v>
      </c>
      <c r="F7" s="7" t="n">
        <v>1581</v>
      </c>
      <c r="G7" s="7" t="n">
        <v>1883</v>
      </c>
      <c r="H7" s="7" t="n">
        <v>2372</v>
      </c>
      <c r="I7" s="8">
        <f>Assumptions!$B$24*Assumptions!$B$26</f>
        <v/>
      </c>
      <c r="J7" s="8">
        <f>Assumptions!$B$24*Assumptions!$B$27</f>
        <v/>
      </c>
      <c r="K7" s="8">
        <f>Assumptions!$B$24*Assumptions!$B$28</f>
        <v/>
      </c>
      <c r="L7" s="8">
        <f>Assumptions!$B$24*Assumptions!$B$29</f>
        <v/>
      </c>
      <c r="M7" s="8">
        <f>IF(Assumptions!$B$30="",$C$52,Assumptions!$B$30)/4*L16</f>
        <v/>
      </c>
      <c r="N7" s="8">
        <f>IF(Assumptions!$B$30="",$C$52,Assumptions!$B$30)/4*M16</f>
        <v/>
      </c>
      <c r="O7" s="8">
        <f>IF(Assumptions!$B$30="",$C$52,Assumptions!$B$30)/4*N16</f>
        <v/>
      </c>
      <c r="P7" s="8">
        <f>IF(Assumptions!$B$30="",$C$52,Assumptions!$B$30)/4*O16</f>
        <v/>
      </c>
      <c r="Q7" s="8">
        <f>IF(Assumptions!$B$30="",$C$52,Assumptions!$B$30)/4*P16</f>
        <v/>
      </c>
      <c r="R7" s="8">
        <f>IF(Assumptions!$B$30="",$C$52,Assumptions!$B$30)/4*Q16</f>
        <v/>
      </c>
      <c r="S7" s="8">
        <f>IF(Assumptions!$B$30="",$C$52,Assumptions!$B$30)/4*R16</f>
        <v/>
      </c>
      <c r="T7" s="8">
        <f>IF(Assumptions!$B$30="",$C$52,Assumptions!$B$30)/4*S16</f>
        <v/>
      </c>
    </row>
    <row r="8">
      <c r="A8" s="4" t="inlineStr">
        <is>
          <t>Adj. EBITDA margin</t>
        </is>
      </c>
      <c r="B8" t="inlineStr">
        <is>
          <t>%</t>
        </is>
      </c>
      <c r="C8" s="9">
        <f>C7/C6</f>
        <v/>
      </c>
      <c r="D8" s="9">
        <f>D7/D6</f>
        <v/>
      </c>
      <c r="E8" s="9">
        <f>E7/E6</f>
        <v/>
      </c>
      <c r="F8" s="9">
        <f>F7/F6</f>
        <v/>
      </c>
      <c r="G8" s="9">
        <f>G7/G6</f>
        <v/>
      </c>
      <c r="H8" s="9">
        <f>H7/H6</f>
        <v/>
      </c>
      <c r="I8" s="9">
        <f>I7/I6</f>
        <v/>
      </c>
      <c r="J8" s="9">
        <f>J7/J6</f>
        <v/>
      </c>
      <c r="K8" s="9">
        <f>K7/K6</f>
        <v/>
      </c>
      <c r="L8" s="9">
        <f>L7/L6</f>
        <v/>
      </c>
      <c r="M8" s="9">
        <f>M7/M6</f>
        <v/>
      </c>
      <c r="N8" s="9">
        <f>N7/N6</f>
        <v/>
      </c>
      <c r="O8" s="9">
        <f>O7/O6</f>
        <v/>
      </c>
      <c r="P8" s="9">
        <f>P7/P6</f>
        <v/>
      </c>
      <c r="Q8" s="9">
        <f>Q7/Q6</f>
        <v/>
      </c>
      <c r="R8" s="9">
        <f>R7/R6</f>
        <v/>
      </c>
      <c r="S8" s="9">
        <f>S7/S6</f>
        <v/>
      </c>
      <c r="T8" s="9">
        <f>T7/T6</f>
        <v/>
      </c>
    </row>
    <row r="9">
      <c r="A9" t="inlineStr">
        <is>
          <t>Q3'26-Q4'27 = MarketScreener quarterly consensus (blue); FY28 = annual consensus x weights; FY29+ = EBITDA yield x prior-qtr gross GPU in service</t>
        </is>
      </c>
    </row>
    <row r="10">
      <c r="A10" s="2" t="inlineStr">
        <is>
          <t>Capex (total)</t>
        </is>
      </c>
      <c r="B10" t="inlineStr">
        <is>
          <t>$M</t>
        </is>
      </c>
      <c r="C10" s="8">
        <f>(Assumptions!$B$16-Assumptions!$B$17)/2</f>
        <v/>
      </c>
      <c r="D10" s="8">
        <f>(Assumptions!$B$16-Assumptions!$B$17)/2</f>
        <v/>
      </c>
      <c r="E10" s="8">
        <f>Assumptions!$B$18/4</f>
        <v/>
      </c>
      <c r="F10" s="8">
        <f>Assumptions!$B$18/4</f>
        <v/>
      </c>
      <c r="G10" s="8">
        <f>Assumptions!$B$18/4</f>
        <v/>
      </c>
      <c r="H10" s="8">
        <f>Assumptions!$B$18/4</f>
        <v/>
      </c>
      <c r="I10" s="8">
        <f>Assumptions!$B$19/4</f>
        <v/>
      </c>
      <c r="J10" s="8">
        <f>Assumptions!$B$19/4</f>
        <v/>
      </c>
      <c r="K10" s="8">
        <f>Assumptions!$B$19/4</f>
        <v/>
      </c>
      <c r="L10" s="8">
        <f>Assumptions!$B$19/4</f>
        <v/>
      </c>
      <c r="M10" s="8">
        <f>Assumptions!$B$19*(1+Assumptions!$B$20)/4</f>
        <v/>
      </c>
      <c r="N10" s="8">
        <f>Assumptions!$B$19*(1+Assumptions!$B$20)/4</f>
        <v/>
      </c>
      <c r="O10" s="8">
        <f>Assumptions!$B$19*(1+Assumptions!$B$20)/4</f>
        <v/>
      </c>
      <c r="P10" s="8">
        <f>Assumptions!$B$19*(1+Assumptions!$B$20)/4</f>
        <v/>
      </c>
      <c r="Q10" s="8">
        <f>Assumptions!$B$19*(1+Assumptions!$B$20)*(1+Assumptions!$B$21)/4</f>
        <v/>
      </c>
      <c r="R10" s="8">
        <f>Assumptions!$B$19*(1+Assumptions!$B$20)*(1+Assumptions!$B$21)/4</f>
        <v/>
      </c>
      <c r="S10" s="8">
        <f>Assumptions!$B$19*(1+Assumptions!$B$20)*(1+Assumptions!$B$21)/4</f>
        <v/>
      </c>
      <c r="T10" s="8">
        <f>Assumptions!$B$19*(1+Assumptions!$B$20)*(1+Assumptions!$B$21)/4</f>
        <v/>
      </c>
    </row>
    <row r="11">
      <c r="A11" s="4" t="inlineStr">
        <is>
          <t xml:space="preserve">  GPU/server capex</t>
        </is>
      </c>
      <c r="B11" t="inlineStr">
        <is>
          <t>$M</t>
        </is>
      </c>
      <c r="C11" s="8">
        <f>C10*Assumptions!$B$13</f>
        <v/>
      </c>
      <c r="D11" s="8">
        <f>D10*Assumptions!$B$13</f>
        <v/>
      </c>
      <c r="E11" s="8">
        <f>E10*Assumptions!$B$13</f>
        <v/>
      </c>
      <c r="F11" s="8">
        <f>F10*Assumptions!$B$13</f>
        <v/>
      </c>
      <c r="G11" s="8">
        <f>G10*Assumptions!$B$13</f>
        <v/>
      </c>
      <c r="H11" s="8">
        <f>H10*Assumptions!$B$13</f>
        <v/>
      </c>
      <c r="I11" s="8">
        <f>I10*Assumptions!$B$13</f>
        <v/>
      </c>
      <c r="J11" s="8">
        <f>J10*Assumptions!$B$13</f>
        <v/>
      </c>
      <c r="K11" s="8">
        <f>K10*Assumptions!$B$13</f>
        <v/>
      </c>
      <c r="L11" s="8">
        <f>L10*Assumptions!$B$13</f>
        <v/>
      </c>
      <c r="M11" s="8">
        <f>M10*Assumptions!$B$13</f>
        <v/>
      </c>
      <c r="N11" s="8">
        <f>N10*Assumptions!$B$13</f>
        <v/>
      </c>
      <c r="O11" s="8">
        <f>O10*Assumptions!$B$13</f>
        <v/>
      </c>
      <c r="P11" s="8">
        <f>P10*Assumptions!$B$13</f>
        <v/>
      </c>
      <c r="Q11" s="8">
        <f>Q10*Assumptions!$B$13</f>
        <v/>
      </c>
      <c r="R11" s="8">
        <f>R10*Assumptions!$B$13</f>
        <v/>
      </c>
      <c r="S11" s="8">
        <f>S10*Assumptions!$B$13</f>
        <v/>
      </c>
      <c r="T11" s="8">
        <f>T10*Assumptions!$B$13</f>
        <v/>
      </c>
    </row>
    <row r="12">
      <c r="A12" s="4" t="inlineStr">
        <is>
          <t xml:space="preserve">  Non-GPU capex (DC/infra/power)</t>
        </is>
      </c>
      <c r="B12" t="inlineStr">
        <is>
          <t>$M</t>
        </is>
      </c>
      <c r="C12" s="8">
        <f>C10*(1-Assumptions!$B$13)</f>
        <v/>
      </c>
      <c r="D12" s="8">
        <f>D10*(1-Assumptions!$B$13)</f>
        <v/>
      </c>
      <c r="E12" s="8">
        <f>E10*(1-Assumptions!$B$13)</f>
        <v/>
      </c>
      <c r="F12" s="8">
        <f>F10*(1-Assumptions!$B$13)</f>
        <v/>
      </c>
      <c r="G12" s="8">
        <f>G10*(1-Assumptions!$B$13)</f>
        <v/>
      </c>
      <c r="H12" s="8">
        <f>H10*(1-Assumptions!$B$13)</f>
        <v/>
      </c>
      <c r="I12" s="8">
        <f>I10*(1-Assumptions!$B$13)</f>
        <v/>
      </c>
      <c r="J12" s="8">
        <f>J10*(1-Assumptions!$B$13)</f>
        <v/>
      </c>
      <c r="K12" s="8">
        <f>K10*(1-Assumptions!$B$13)</f>
        <v/>
      </c>
      <c r="L12" s="8">
        <f>L10*(1-Assumptions!$B$13)</f>
        <v/>
      </c>
      <c r="M12" s="8">
        <f>M10*(1-Assumptions!$B$13)</f>
        <v/>
      </c>
      <c r="N12" s="8">
        <f>N10*(1-Assumptions!$B$13)</f>
        <v/>
      </c>
      <c r="O12" s="8">
        <f>O10*(1-Assumptions!$B$13)</f>
        <v/>
      </c>
      <c r="P12" s="8">
        <f>P10*(1-Assumptions!$B$13)</f>
        <v/>
      </c>
      <c r="Q12" s="8">
        <f>Q10*(1-Assumptions!$B$13)</f>
        <v/>
      </c>
      <c r="R12" s="8">
        <f>R10*(1-Assumptions!$B$13)</f>
        <v/>
      </c>
      <c r="S12" s="8">
        <f>S10*(1-Assumptions!$B$13)</f>
        <v/>
      </c>
      <c r="T12" s="8">
        <f>T10*(1-Assumptions!$B$13)</f>
        <v/>
      </c>
    </row>
    <row r="14">
      <c r="A14" s="4" t="inlineStr">
        <is>
          <t>GPU placed in service (cohort = column)</t>
        </is>
      </c>
      <c r="B14" t="inlineStr">
        <is>
          <t>$M</t>
        </is>
      </c>
      <c r="C14" s="8">
        <f>(IF(C$2=0,Assumptions!$B$11*Assumptions!$B$12,0)+IF(C$2=1,Assumptions!$B$11*(1-Assumptions!$B$12),0)+IF(C$2&gt;=Assumptions!$B$14,INDEX($C$10:$T$10,C$2-Assumptions!$B$14+1),0))*Assumptions!$B$13</f>
        <v/>
      </c>
      <c r="D14" s="8">
        <f>(IF(D$2=0,Assumptions!$B$11*Assumptions!$B$12,0)+IF(D$2=1,Assumptions!$B$11*(1-Assumptions!$B$12),0)+IF(D$2&gt;=Assumptions!$B$14,INDEX($C$10:$T$10,D$2-Assumptions!$B$14+1),0))*Assumptions!$B$13</f>
        <v/>
      </c>
      <c r="E14" s="8">
        <f>(IF(E$2=0,Assumptions!$B$11*Assumptions!$B$12,0)+IF(E$2=1,Assumptions!$B$11*(1-Assumptions!$B$12),0)+IF(E$2&gt;=Assumptions!$B$14,INDEX($C$10:$T$10,E$2-Assumptions!$B$14+1),0))*Assumptions!$B$13</f>
        <v/>
      </c>
      <c r="F14" s="8">
        <f>(IF(F$2=0,Assumptions!$B$11*Assumptions!$B$12,0)+IF(F$2=1,Assumptions!$B$11*(1-Assumptions!$B$12),0)+IF(F$2&gt;=Assumptions!$B$14,INDEX($C$10:$T$10,F$2-Assumptions!$B$14+1),0))*Assumptions!$B$13</f>
        <v/>
      </c>
      <c r="G14" s="8">
        <f>(IF(G$2=0,Assumptions!$B$11*Assumptions!$B$12,0)+IF(G$2=1,Assumptions!$B$11*(1-Assumptions!$B$12),0)+IF(G$2&gt;=Assumptions!$B$14,INDEX($C$10:$T$10,G$2-Assumptions!$B$14+1),0))*Assumptions!$B$13</f>
        <v/>
      </c>
      <c r="H14" s="8">
        <f>(IF(H$2=0,Assumptions!$B$11*Assumptions!$B$12,0)+IF(H$2=1,Assumptions!$B$11*(1-Assumptions!$B$12),0)+IF(H$2&gt;=Assumptions!$B$14,INDEX($C$10:$T$10,H$2-Assumptions!$B$14+1),0))*Assumptions!$B$13</f>
        <v/>
      </c>
      <c r="I14" s="8">
        <f>(IF(I$2=0,Assumptions!$B$11*Assumptions!$B$12,0)+IF(I$2=1,Assumptions!$B$11*(1-Assumptions!$B$12),0)+IF(I$2&gt;=Assumptions!$B$14,INDEX($C$10:$T$10,I$2-Assumptions!$B$14+1),0))*Assumptions!$B$13</f>
        <v/>
      </c>
      <c r="J14" s="8">
        <f>(IF(J$2=0,Assumptions!$B$11*Assumptions!$B$12,0)+IF(J$2=1,Assumptions!$B$11*(1-Assumptions!$B$12),0)+IF(J$2&gt;=Assumptions!$B$14,INDEX($C$10:$T$10,J$2-Assumptions!$B$14+1),0))*Assumptions!$B$13</f>
        <v/>
      </c>
      <c r="K14" s="8">
        <f>(IF(K$2=0,Assumptions!$B$11*Assumptions!$B$12,0)+IF(K$2=1,Assumptions!$B$11*(1-Assumptions!$B$12),0)+IF(K$2&gt;=Assumptions!$B$14,INDEX($C$10:$T$10,K$2-Assumptions!$B$14+1),0))*Assumptions!$B$13</f>
        <v/>
      </c>
      <c r="L14" s="8">
        <f>(IF(L$2=0,Assumptions!$B$11*Assumptions!$B$12,0)+IF(L$2=1,Assumptions!$B$11*(1-Assumptions!$B$12),0)+IF(L$2&gt;=Assumptions!$B$14,INDEX($C$10:$T$10,L$2-Assumptions!$B$14+1),0))*Assumptions!$B$13</f>
        <v/>
      </c>
      <c r="M14" s="8">
        <f>(IF(M$2=0,Assumptions!$B$11*Assumptions!$B$12,0)+IF(M$2=1,Assumptions!$B$11*(1-Assumptions!$B$12),0)+IF(M$2&gt;=Assumptions!$B$14,INDEX($C$10:$T$10,M$2-Assumptions!$B$14+1),0))*Assumptions!$B$13</f>
        <v/>
      </c>
      <c r="N14" s="8">
        <f>(IF(N$2=0,Assumptions!$B$11*Assumptions!$B$12,0)+IF(N$2=1,Assumptions!$B$11*(1-Assumptions!$B$12),0)+IF(N$2&gt;=Assumptions!$B$14,INDEX($C$10:$T$10,N$2-Assumptions!$B$14+1),0))*Assumptions!$B$13</f>
        <v/>
      </c>
      <c r="O14" s="8">
        <f>(IF(O$2=0,Assumptions!$B$11*Assumptions!$B$12,0)+IF(O$2=1,Assumptions!$B$11*(1-Assumptions!$B$12),0)+IF(O$2&gt;=Assumptions!$B$14,INDEX($C$10:$T$10,O$2-Assumptions!$B$14+1),0))*Assumptions!$B$13</f>
        <v/>
      </c>
      <c r="P14" s="8">
        <f>(IF(P$2=0,Assumptions!$B$11*Assumptions!$B$12,0)+IF(P$2=1,Assumptions!$B$11*(1-Assumptions!$B$12),0)+IF(P$2&gt;=Assumptions!$B$14,INDEX($C$10:$T$10,P$2-Assumptions!$B$14+1),0))*Assumptions!$B$13</f>
        <v/>
      </c>
      <c r="Q14" s="8">
        <f>(IF(Q$2=0,Assumptions!$B$11*Assumptions!$B$12,0)+IF(Q$2=1,Assumptions!$B$11*(1-Assumptions!$B$12),0)+IF(Q$2&gt;=Assumptions!$B$14,INDEX($C$10:$T$10,Q$2-Assumptions!$B$14+1),0))*Assumptions!$B$13</f>
        <v/>
      </c>
      <c r="R14" s="8">
        <f>(IF(R$2=0,Assumptions!$B$11*Assumptions!$B$12,0)+IF(R$2=1,Assumptions!$B$11*(1-Assumptions!$B$12),0)+IF(R$2&gt;=Assumptions!$B$14,INDEX($C$10:$T$10,R$2-Assumptions!$B$14+1),0))*Assumptions!$B$13</f>
        <v/>
      </c>
      <c r="S14" s="8">
        <f>(IF(S$2=0,Assumptions!$B$11*Assumptions!$B$12,0)+IF(S$2=1,Assumptions!$B$11*(1-Assumptions!$B$12),0)+IF(S$2&gt;=Assumptions!$B$14,INDEX($C$10:$T$10,S$2-Assumptions!$B$14+1),0))*Assumptions!$B$13</f>
        <v/>
      </c>
      <c r="T14" s="8">
        <f>(IF(T$2=0,Assumptions!$B$11*Assumptions!$B$12,0)+IF(T$2=1,Assumptions!$B$11*(1-Assumptions!$B$12),0)+IF(T$2&gt;=Assumptions!$B$14,INDEX($C$10:$T$10,T$2-Assumptions!$B$14+1),0))*Assumptions!$B$13</f>
        <v/>
      </c>
    </row>
    <row r="15">
      <c r="A15" s="4" t="inlineStr">
        <is>
          <t>Non-GPU placed in service</t>
        </is>
      </c>
      <c r="B15" t="inlineStr">
        <is>
          <t>$M</t>
        </is>
      </c>
      <c r="C15" s="8">
        <f>(IF(C$2=0,Assumptions!$B$11*Assumptions!$B$12,0)+IF(C$2=1,Assumptions!$B$11*(1-Assumptions!$B$12),0)+IF(C$2&gt;=Assumptions!$B$14,INDEX($C$10:$T$10,C$2-Assumptions!$B$14+1),0))*(1-Assumptions!$B$13)</f>
        <v/>
      </c>
      <c r="D15" s="8">
        <f>(IF(D$2=0,Assumptions!$B$11*Assumptions!$B$12,0)+IF(D$2=1,Assumptions!$B$11*(1-Assumptions!$B$12),0)+IF(D$2&gt;=Assumptions!$B$14,INDEX($C$10:$T$10,D$2-Assumptions!$B$14+1),0))*(1-Assumptions!$B$13)</f>
        <v/>
      </c>
      <c r="E15" s="8">
        <f>(IF(E$2=0,Assumptions!$B$11*Assumptions!$B$12,0)+IF(E$2=1,Assumptions!$B$11*(1-Assumptions!$B$12),0)+IF(E$2&gt;=Assumptions!$B$14,INDEX($C$10:$T$10,E$2-Assumptions!$B$14+1),0))*(1-Assumptions!$B$13)</f>
        <v/>
      </c>
      <c r="F15" s="8">
        <f>(IF(F$2=0,Assumptions!$B$11*Assumptions!$B$12,0)+IF(F$2=1,Assumptions!$B$11*(1-Assumptions!$B$12),0)+IF(F$2&gt;=Assumptions!$B$14,INDEX($C$10:$T$10,F$2-Assumptions!$B$14+1),0))*(1-Assumptions!$B$13)</f>
        <v/>
      </c>
      <c r="G15" s="8">
        <f>(IF(G$2=0,Assumptions!$B$11*Assumptions!$B$12,0)+IF(G$2=1,Assumptions!$B$11*(1-Assumptions!$B$12),0)+IF(G$2&gt;=Assumptions!$B$14,INDEX($C$10:$T$10,G$2-Assumptions!$B$14+1),0))*(1-Assumptions!$B$13)</f>
        <v/>
      </c>
      <c r="H15" s="8">
        <f>(IF(H$2=0,Assumptions!$B$11*Assumptions!$B$12,0)+IF(H$2=1,Assumptions!$B$11*(1-Assumptions!$B$12),0)+IF(H$2&gt;=Assumptions!$B$14,INDEX($C$10:$T$10,H$2-Assumptions!$B$14+1),0))*(1-Assumptions!$B$13)</f>
        <v/>
      </c>
      <c r="I15" s="8">
        <f>(IF(I$2=0,Assumptions!$B$11*Assumptions!$B$12,0)+IF(I$2=1,Assumptions!$B$11*(1-Assumptions!$B$12),0)+IF(I$2&gt;=Assumptions!$B$14,INDEX($C$10:$T$10,I$2-Assumptions!$B$14+1),0))*(1-Assumptions!$B$13)</f>
        <v/>
      </c>
      <c r="J15" s="8">
        <f>(IF(J$2=0,Assumptions!$B$11*Assumptions!$B$12,0)+IF(J$2=1,Assumptions!$B$11*(1-Assumptions!$B$12),0)+IF(J$2&gt;=Assumptions!$B$14,INDEX($C$10:$T$10,J$2-Assumptions!$B$14+1),0))*(1-Assumptions!$B$13)</f>
        <v/>
      </c>
      <c r="K15" s="8">
        <f>(IF(K$2=0,Assumptions!$B$11*Assumptions!$B$12,0)+IF(K$2=1,Assumptions!$B$11*(1-Assumptions!$B$12),0)+IF(K$2&gt;=Assumptions!$B$14,INDEX($C$10:$T$10,K$2-Assumptions!$B$14+1),0))*(1-Assumptions!$B$13)</f>
        <v/>
      </c>
      <c r="L15" s="8">
        <f>(IF(L$2=0,Assumptions!$B$11*Assumptions!$B$12,0)+IF(L$2=1,Assumptions!$B$11*(1-Assumptions!$B$12),0)+IF(L$2&gt;=Assumptions!$B$14,INDEX($C$10:$T$10,L$2-Assumptions!$B$14+1),0))*(1-Assumptions!$B$13)</f>
        <v/>
      </c>
      <c r="M15" s="8">
        <f>(IF(M$2=0,Assumptions!$B$11*Assumptions!$B$12,0)+IF(M$2=1,Assumptions!$B$11*(1-Assumptions!$B$12),0)+IF(M$2&gt;=Assumptions!$B$14,INDEX($C$10:$T$10,M$2-Assumptions!$B$14+1),0))*(1-Assumptions!$B$13)</f>
        <v/>
      </c>
      <c r="N15" s="8">
        <f>(IF(N$2=0,Assumptions!$B$11*Assumptions!$B$12,0)+IF(N$2=1,Assumptions!$B$11*(1-Assumptions!$B$12),0)+IF(N$2&gt;=Assumptions!$B$14,INDEX($C$10:$T$10,N$2-Assumptions!$B$14+1),0))*(1-Assumptions!$B$13)</f>
        <v/>
      </c>
      <c r="O15" s="8">
        <f>(IF(O$2=0,Assumptions!$B$11*Assumptions!$B$12,0)+IF(O$2=1,Assumptions!$B$11*(1-Assumptions!$B$12),0)+IF(O$2&gt;=Assumptions!$B$14,INDEX($C$10:$T$10,O$2-Assumptions!$B$14+1),0))*(1-Assumptions!$B$13)</f>
        <v/>
      </c>
      <c r="P15" s="8">
        <f>(IF(P$2=0,Assumptions!$B$11*Assumptions!$B$12,0)+IF(P$2=1,Assumptions!$B$11*(1-Assumptions!$B$12),0)+IF(P$2&gt;=Assumptions!$B$14,INDEX($C$10:$T$10,P$2-Assumptions!$B$14+1),0))*(1-Assumptions!$B$13)</f>
        <v/>
      </c>
      <c r="Q15" s="8">
        <f>(IF(Q$2=0,Assumptions!$B$11*Assumptions!$B$12,0)+IF(Q$2=1,Assumptions!$B$11*(1-Assumptions!$B$12),0)+IF(Q$2&gt;=Assumptions!$B$14,INDEX($C$10:$T$10,Q$2-Assumptions!$B$14+1),0))*(1-Assumptions!$B$13)</f>
        <v/>
      </c>
      <c r="R15" s="8">
        <f>(IF(R$2=0,Assumptions!$B$11*Assumptions!$B$12,0)+IF(R$2=1,Assumptions!$B$11*(1-Assumptions!$B$12),0)+IF(R$2&gt;=Assumptions!$B$14,INDEX($C$10:$T$10,R$2-Assumptions!$B$14+1),0))*(1-Assumptions!$B$13)</f>
        <v/>
      </c>
      <c r="S15" s="8">
        <f>(IF(S$2=0,Assumptions!$B$11*Assumptions!$B$12,0)+IF(S$2=1,Assumptions!$B$11*(1-Assumptions!$B$12),0)+IF(S$2&gt;=Assumptions!$B$14,INDEX($C$10:$T$10,S$2-Assumptions!$B$14+1),0))*(1-Assumptions!$B$13)</f>
        <v/>
      </c>
      <c r="T15" s="8">
        <f>(IF(T$2=0,Assumptions!$B$11*Assumptions!$B$12,0)+IF(T$2=1,Assumptions!$B$11*(1-Assumptions!$B$12),0)+IF(T$2&gt;=Assumptions!$B$14,INDEX($C$10:$T$10,T$2-Assumptions!$B$14+1),0))*(1-Assumptions!$B$13)</f>
        <v/>
      </c>
    </row>
    <row r="16">
      <c r="A16" s="4" t="inlineStr">
        <is>
          <t>Cumulative gross GPU/server in service (incl. 6/30 base, no retirements)</t>
        </is>
      </c>
      <c r="B16" t="inlineStr">
        <is>
          <t>$M</t>
        </is>
      </c>
      <c r="C16" s="8">
        <f>Assumptions!$B$8+SUM($C$14:C14)</f>
        <v/>
      </c>
      <c r="D16" s="8">
        <f>Assumptions!$B$8+SUM($C$14:D14)</f>
        <v/>
      </c>
      <c r="E16" s="8">
        <f>Assumptions!$B$8+SUM($C$14:E14)</f>
        <v/>
      </c>
      <c r="F16" s="8">
        <f>Assumptions!$B$8+SUM($C$14:F14)</f>
        <v/>
      </c>
      <c r="G16" s="8">
        <f>Assumptions!$B$8+SUM($C$14:G14)</f>
        <v/>
      </c>
      <c r="H16" s="8">
        <f>Assumptions!$B$8+SUM($C$14:H14)</f>
        <v/>
      </c>
      <c r="I16" s="8">
        <f>Assumptions!$B$8+SUM($C$14:I14)</f>
        <v/>
      </c>
      <c r="J16" s="8">
        <f>Assumptions!$B$8+SUM($C$14:J14)</f>
        <v/>
      </c>
      <c r="K16" s="8">
        <f>Assumptions!$B$8+SUM($C$14:K14)</f>
        <v/>
      </c>
      <c r="L16" s="8">
        <f>Assumptions!$B$8+SUM($C$14:L14)</f>
        <v/>
      </c>
      <c r="M16" s="8">
        <f>Assumptions!$B$8+SUM($C$14:M14)</f>
        <v/>
      </c>
      <c r="N16" s="8">
        <f>Assumptions!$B$8+SUM($C$14:N14)</f>
        <v/>
      </c>
      <c r="O16" s="8">
        <f>Assumptions!$B$8+SUM($C$14:O14)</f>
        <v/>
      </c>
      <c r="P16" s="8">
        <f>Assumptions!$B$8+SUM($C$14:P14)</f>
        <v/>
      </c>
      <c r="Q16" s="8">
        <f>Assumptions!$B$8+SUM($C$14:Q14)</f>
        <v/>
      </c>
      <c r="R16" s="8">
        <f>Assumptions!$B$8+SUM($C$14:R14)</f>
        <v/>
      </c>
      <c r="S16" s="8">
        <f>Assumptions!$B$8+SUM($C$14:S14)</f>
        <v/>
      </c>
      <c r="T16" s="8">
        <f>Assumptions!$B$8+SUM($C$14:T14)</f>
        <v/>
      </c>
    </row>
    <row r="17">
      <c r="A17" s="4" t="inlineStr">
        <is>
          <t>Construction-in-progress memo: cum. capex not yet in service (from Q3'26)</t>
        </is>
      </c>
      <c r="B17" t="inlineStr">
        <is>
          <t>$M</t>
        </is>
      </c>
      <c r="C17" s="8">
        <f>SUM($C$10:C10)+Assumptions!$B$11-SUM($C$14:C14)-SUM($C$15:C15)</f>
        <v/>
      </c>
      <c r="D17" s="8">
        <f>SUM($C$10:D10)+Assumptions!$B$11-SUM($C$14:D14)-SUM($C$15:D15)</f>
        <v/>
      </c>
      <c r="E17" s="8">
        <f>SUM($C$10:E10)+Assumptions!$B$11-SUM($C$14:E14)-SUM($C$15:E15)</f>
        <v/>
      </c>
      <c r="F17" s="8">
        <f>SUM($C$10:F10)+Assumptions!$B$11-SUM($C$14:F14)-SUM($C$15:F15)</f>
        <v/>
      </c>
      <c r="G17" s="8">
        <f>SUM($C$10:G10)+Assumptions!$B$11-SUM($C$14:G14)-SUM($C$15:G15)</f>
        <v/>
      </c>
      <c r="H17" s="8">
        <f>SUM($C$10:H10)+Assumptions!$B$11-SUM($C$14:H14)-SUM($C$15:H15)</f>
        <v/>
      </c>
      <c r="I17" s="8">
        <f>SUM($C$10:I10)+Assumptions!$B$11-SUM($C$14:I14)-SUM($C$15:I15)</f>
        <v/>
      </c>
      <c r="J17" s="8">
        <f>SUM($C$10:J10)+Assumptions!$B$11-SUM($C$14:J14)-SUM($C$15:J15)</f>
        <v/>
      </c>
      <c r="K17" s="8">
        <f>SUM($C$10:K10)+Assumptions!$B$11-SUM($C$14:K14)-SUM($C$15:K15)</f>
        <v/>
      </c>
      <c r="L17" s="8">
        <f>SUM($C$10:L10)+Assumptions!$B$11-SUM($C$14:L14)-SUM($C$15:L15)</f>
        <v/>
      </c>
      <c r="M17" s="8">
        <f>SUM($C$10:M10)+Assumptions!$B$11-SUM($C$14:M14)-SUM($C$15:M15)</f>
        <v/>
      </c>
      <c r="N17" s="8">
        <f>SUM($C$10:N10)+Assumptions!$B$11-SUM($C$14:N14)-SUM($C$15:N15)</f>
        <v/>
      </c>
      <c r="O17" s="8">
        <f>SUM($C$10:O10)+Assumptions!$B$11-SUM($C$14:O14)-SUM($C$15:O15)</f>
        <v/>
      </c>
      <c r="P17" s="8">
        <f>SUM($C$10:P10)+Assumptions!$B$11-SUM($C$14:P14)-SUM($C$15:P15)</f>
        <v/>
      </c>
      <c r="Q17" s="8">
        <f>SUM($C$10:Q10)+Assumptions!$B$11-SUM($C$14:Q14)-SUM($C$15:Q15)</f>
        <v/>
      </c>
      <c r="R17" s="8">
        <f>SUM($C$10:R10)+Assumptions!$B$11-SUM($C$14:R14)-SUM($C$15:R15)</f>
        <v/>
      </c>
      <c r="S17" s="8">
        <f>SUM($C$10:S10)+Assumptions!$B$11-SUM($C$14:S14)-SUM($C$15:S15)</f>
        <v/>
      </c>
      <c r="T17" s="8">
        <f>SUM($C$10:T10)+Assumptions!$B$11-SUM($C$14:T14)-SUM($C$15:T15)</f>
        <v/>
      </c>
    </row>
    <row r="19">
      <c r="A19" s="2" t="inlineStr">
        <is>
          <t>DEPRECIATION @ life scenario A</t>
        </is>
      </c>
      <c r="B19">
        <f>Assumptions!$B$3</f>
        <v/>
      </c>
    </row>
    <row r="20">
      <c r="A20" s="4" t="inlineStr">
        <is>
          <t xml:space="preserve">  Existing 6/30 server base</t>
        </is>
      </c>
      <c r="B20" t="inlineStr">
        <is>
          <t>$M</t>
        </is>
      </c>
      <c r="C20" s="8">
        <f>IF(C$2&lt;4*Assumptions!$B$3-Assumptions!$B$9,Assumptions!$B$8/(4*Assumptions!$B$3)*IF(C$2&gt;=Assumptions!$B$53,1-Assumptions!$B$51,1),0)</f>
        <v/>
      </c>
      <c r="D20" s="8">
        <f>IF(D$2&lt;4*Assumptions!$B$3-Assumptions!$B$9,Assumptions!$B$8/(4*Assumptions!$B$3)*IF(D$2&gt;=Assumptions!$B$53,1-Assumptions!$B$51,1),0)</f>
        <v/>
      </c>
      <c r="E20" s="8">
        <f>IF(E$2&lt;4*Assumptions!$B$3-Assumptions!$B$9,Assumptions!$B$8/(4*Assumptions!$B$3)*IF(E$2&gt;=Assumptions!$B$53,1-Assumptions!$B$51,1),0)</f>
        <v/>
      </c>
      <c r="F20" s="8">
        <f>IF(F$2&lt;4*Assumptions!$B$3-Assumptions!$B$9,Assumptions!$B$8/(4*Assumptions!$B$3)*IF(F$2&gt;=Assumptions!$B$53,1-Assumptions!$B$51,1),0)</f>
        <v/>
      </c>
      <c r="G20" s="8">
        <f>IF(G$2&lt;4*Assumptions!$B$3-Assumptions!$B$9,Assumptions!$B$8/(4*Assumptions!$B$3)*IF(G$2&gt;=Assumptions!$B$53,1-Assumptions!$B$51,1),0)</f>
        <v/>
      </c>
      <c r="H20" s="8">
        <f>IF(H$2&lt;4*Assumptions!$B$3-Assumptions!$B$9,Assumptions!$B$8/(4*Assumptions!$B$3)*IF(H$2&gt;=Assumptions!$B$53,1-Assumptions!$B$51,1),0)</f>
        <v/>
      </c>
      <c r="I20" s="8">
        <f>IF(I$2&lt;4*Assumptions!$B$3-Assumptions!$B$9,Assumptions!$B$8/(4*Assumptions!$B$3)*IF(I$2&gt;=Assumptions!$B$53,1-Assumptions!$B$51,1),0)</f>
        <v/>
      </c>
      <c r="J20" s="8">
        <f>IF(J$2&lt;4*Assumptions!$B$3-Assumptions!$B$9,Assumptions!$B$8/(4*Assumptions!$B$3)*IF(J$2&gt;=Assumptions!$B$53,1-Assumptions!$B$51,1),0)</f>
        <v/>
      </c>
      <c r="K20" s="8">
        <f>IF(K$2&lt;4*Assumptions!$B$3-Assumptions!$B$9,Assumptions!$B$8/(4*Assumptions!$B$3)*IF(K$2&gt;=Assumptions!$B$53,1-Assumptions!$B$51,1),0)</f>
        <v/>
      </c>
      <c r="L20" s="8">
        <f>IF(L$2&lt;4*Assumptions!$B$3-Assumptions!$B$9,Assumptions!$B$8/(4*Assumptions!$B$3)*IF(L$2&gt;=Assumptions!$B$53,1-Assumptions!$B$51,1),0)</f>
        <v/>
      </c>
      <c r="M20" s="8">
        <f>IF(M$2&lt;4*Assumptions!$B$3-Assumptions!$B$9,Assumptions!$B$8/(4*Assumptions!$B$3)*IF(M$2&gt;=Assumptions!$B$53,1-Assumptions!$B$51,1),0)</f>
        <v/>
      </c>
      <c r="N20" s="8">
        <f>IF(N$2&lt;4*Assumptions!$B$3-Assumptions!$B$9,Assumptions!$B$8/(4*Assumptions!$B$3)*IF(N$2&gt;=Assumptions!$B$53,1-Assumptions!$B$51,1),0)</f>
        <v/>
      </c>
      <c r="O20" s="8">
        <f>IF(O$2&lt;4*Assumptions!$B$3-Assumptions!$B$9,Assumptions!$B$8/(4*Assumptions!$B$3)*IF(O$2&gt;=Assumptions!$B$53,1-Assumptions!$B$51,1),0)</f>
        <v/>
      </c>
      <c r="P20" s="8">
        <f>IF(P$2&lt;4*Assumptions!$B$3-Assumptions!$B$9,Assumptions!$B$8/(4*Assumptions!$B$3)*IF(P$2&gt;=Assumptions!$B$53,1-Assumptions!$B$51,1),0)</f>
        <v/>
      </c>
      <c r="Q20" s="8">
        <f>IF(Q$2&lt;4*Assumptions!$B$3-Assumptions!$B$9,Assumptions!$B$8/(4*Assumptions!$B$3)*IF(Q$2&gt;=Assumptions!$B$53,1-Assumptions!$B$51,1),0)</f>
        <v/>
      </c>
      <c r="R20" s="8">
        <f>IF(R$2&lt;4*Assumptions!$B$3-Assumptions!$B$9,Assumptions!$B$8/(4*Assumptions!$B$3)*IF(R$2&gt;=Assumptions!$B$53,1-Assumptions!$B$51,1),0)</f>
        <v/>
      </c>
      <c r="S20" s="8">
        <f>IF(S$2&lt;4*Assumptions!$B$3-Assumptions!$B$9,Assumptions!$B$8/(4*Assumptions!$B$3)*IF(S$2&gt;=Assumptions!$B$53,1-Assumptions!$B$51,1),0)</f>
        <v/>
      </c>
      <c r="T20" s="8">
        <f>IF(T$2&lt;4*Assumptions!$B$3-Assumptions!$B$9,Assumptions!$B$8/(4*Assumptions!$B$3)*IF(T$2&gt;=Assumptions!$B$53,1-Assumptions!$B$51,1),0)</f>
        <v/>
      </c>
    </row>
    <row r="21">
      <c r="A21" s="4" t="inlineStr">
        <is>
          <t xml:space="preserve">  New GPU cohorts (half-quarter convention)</t>
        </is>
      </c>
      <c r="B21" t="inlineStr">
        <is>
          <t>$M</t>
        </is>
      </c>
      <c r="C21" s="8">
        <f>(SUMPRODUCT($C$14:$T$14,--($C$2:$T$2&lt;C$2),--($C$2:$T$2&gt;C$2-4*Assumptions!$B$3))+0.5*C$14+0.5*SUMPRODUCT($C$14:$T$14,--($C$2:$T$2=C$2-4*Assumptions!$B$3)))/(4*Assumptions!$B$3)</f>
        <v/>
      </c>
      <c r="D21" s="8">
        <f>(SUMPRODUCT($C$14:$T$14,--($C$2:$T$2&lt;D$2),--($C$2:$T$2&gt;D$2-4*Assumptions!$B$3))+0.5*D$14+0.5*SUMPRODUCT($C$14:$T$14,--($C$2:$T$2=D$2-4*Assumptions!$B$3)))/(4*Assumptions!$B$3)</f>
        <v/>
      </c>
      <c r="E21" s="8">
        <f>(SUMPRODUCT($C$14:$T$14,--($C$2:$T$2&lt;E$2),--($C$2:$T$2&gt;E$2-4*Assumptions!$B$3))+0.5*E$14+0.5*SUMPRODUCT($C$14:$T$14,--($C$2:$T$2=E$2-4*Assumptions!$B$3)))/(4*Assumptions!$B$3)</f>
        <v/>
      </c>
      <c r="F21" s="8">
        <f>(SUMPRODUCT($C$14:$T$14,--($C$2:$T$2&lt;F$2),--($C$2:$T$2&gt;F$2-4*Assumptions!$B$3))+0.5*F$14+0.5*SUMPRODUCT($C$14:$T$14,--($C$2:$T$2=F$2-4*Assumptions!$B$3)))/(4*Assumptions!$B$3)</f>
        <v/>
      </c>
      <c r="G21" s="8">
        <f>(SUMPRODUCT($C$14:$T$14,--($C$2:$T$2&lt;G$2),--($C$2:$T$2&gt;G$2-4*Assumptions!$B$3))+0.5*G$14+0.5*SUMPRODUCT($C$14:$T$14,--($C$2:$T$2=G$2-4*Assumptions!$B$3)))/(4*Assumptions!$B$3)</f>
        <v/>
      </c>
      <c r="H21" s="8">
        <f>(SUMPRODUCT($C$14:$T$14,--($C$2:$T$2&lt;H$2),--($C$2:$T$2&gt;H$2-4*Assumptions!$B$3))+0.5*H$14+0.5*SUMPRODUCT($C$14:$T$14,--($C$2:$T$2=H$2-4*Assumptions!$B$3)))/(4*Assumptions!$B$3)</f>
        <v/>
      </c>
      <c r="I21" s="8">
        <f>(SUMPRODUCT($C$14:$T$14,--($C$2:$T$2&lt;I$2),--($C$2:$T$2&gt;I$2-4*Assumptions!$B$3))+0.5*I$14+0.5*SUMPRODUCT($C$14:$T$14,--($C$2:$T$2=I$2-4*Assumptions!$B$3)))/(4*Assumptions!$B$3)</f>
        <v/>
      </c>
      <c r="J21" s="8">
        <f>(SUMPRODUCT($C$14:$T$14,--($C$2:$T$2&lt;J$2),--($C$2:$T$2&gt;J$2-4*Assumptions!$B$3))+0.5*J$14+0.5*SUMPRODUCT($C$14:$T$14,--($C$2:$T$2=J$2-4*Assumptions!$B$3)))/(4*Assumptions!$B$3)</f>
        <v/>
      </c>
      <c r="K21" s="8">
        <f>(SUMPRODUCT($C$14:$T$14,--($C$2:$T$2&lt;K$2),--($C$2:$T$2&gt;K$2-4*Assumptions!$B$3))+0.5*K$14+0.5*SUMPRODUCT($C$14:$T$14,--($C$2:$T$2=K$2-4*Assumptions!$B$3)))/(4*Assumptions!$B$3)</f>
        <v/>
      </c>
      <c r="L21" s="8">
        <f>(SUMPRODUCT($C$14:$T$14,--($C$2:$T$2&lt;L$2),--($C$2:$T$2&gt;L$2-4*Assumptions!$B$3))+0.5*L$14+0.5*SUMPRODUCT($C$14:$T$14,--($C$2:$T$2=L$2-4*Assumptions!$B$3)))/(4*Assumptions!$B$3)</f>
        <v/>
      </c>
      <c r="M21" s="8">
        <f>(SUMPRODUCT($C$14:$T$14,--($C$2:$T$2&lt;M$2),--($C$2:$T$2&gt;M$2-4*Assumptions!$B$3))+0.5*M$14+0.5*SUMPRODUCT($C$14:$T$14,--($C$2:$T$2=M$2-4*Assumptions!$B$3)))/(4*Assumptions!$B$3)</f>
        <v/>
      </c>
      <c r="N21" s="8">
        <f>(SUMPRODUCT($C$14:$T$14,--($C$2:$T$2&lt;N$2),--($C$2:$T$2&gt;N$2-4*Assumptions!$B$3))+0.5*N$14+0.5*SUMPRODUCT($C$14:$T$14,--($C$2:$T$2=N$2-4*Assumptions!$B$3)))/(4*Assumptions!$B$3)</f>
        <v/>
      </c>
      <c r="O21" s="8">
        <f>(SUMPRODUCT($C$14:$T$14,--($C$2:$T$2&lt;O$2),--($C$2:$T$2&gt;O$2-4*Assumptions!$B$3))+0.5*O$14+0.5*SUMPRODUCT($C$14:$T$14,--($C$2:$T$2=O$2-4*Assumptions!$B$3)))/(4*Assumptions!$B$3)</f>
        <v/>
      </c>
      <c r="P21" s="8">
        <f>(SUMPRODUCT($C$14:$T$14,--($C$2:$T$2&lt;P$2),--($C$2:$T$2&gt;P$2-4*Assumptions!$B$3))+0.5*P$14+0.5*SUMPRODUCT($C$14:$T$14,--($C$2:$T$2=P$2-4*Assumptions!$B$3)))/(4*Assumptions!$B$3)</f>
        <v/>
      </c>
      <c r="Q21" s="8">
        <f>(SUMPRODUCT($C$14:$T$14,--($C$2:$T$2&lt;Q$2),--($C$2:$T$2&gt;Q$2-4*Assumptions!$B$3))+0.5*Q$14+0.5*SUMPRODUCT($C$14:$T$14,--($C$2:$T$2=Q$2-4*Assumptions!$B$3)))/(4*Assumptions!$B$3)</f>
        <v/>
      </c>
      <c r="R21" s="8">
        <f>(SUMPRODUCT($C$14:$T$14,--($C$2:$T$2&lt;R$2),--($C$2:$T$2&gt;R$2-4*Assumptions!$B$3))+0.5*R$14+0.5*SUMPRODUCT($C$14:$T$14,--($C$2:$T$2=R$2-4*Assumptions!$B$3)))/(4*Assumptions!$B$3)</f>
        <v/>
      </c>
      <c r="S21" s="8">
        <f>(SUMPRODUCT($C$14:$T$14,--($C$2:$T$2&lt;S$2),--($C$2:$T$2&gt;S$2-4*Assumptions!$B$3))+0.5*S$14+0.5*SUMPRODUCT($C$14:$T$14,--($C$2:$T$2=S$2-4*Assumptions!$B$3)))/(4*Assumptions!$B$3)</f>
        <v/>
      </c>
      <c r="T21" s="8">
        <f>(SUMPRODUCT($C$14:$T$14,--($C$2:$T$2&lt;T$2),--($C$2:$T$2&gt;T$2-4*Assumptions!$B$3))+0.5*T$14+0.5*SUMPRODUCT($C$14:$T$14,--($C$2:$T$2=T$2-4*Assumptions!$B$3)))/(4*Assumptions!$B$3)</f>
        <v/>
      </c>
    </row>
    <row r="22">
      <c r="A22" s="4" t="inlineStr">
        <is>
          <t xml:space="preserve">  Non-GPU (existing + new)</t>
        </is>
      </c>
      <c r="B22" t="inlineStr">
        <is>
          <t>$M</t>
        </is>
      </c>
      <c r="C22" s="8">
        <f>Assumptions!$B$10/(4*Assumptions!$B$6)+(SUMPRODUCT($C$15:$T$15,--($C$2:$T$2&lt;C$2))+0.5*C$15)/(4*Assumptions!$B$6)</f>
        <v/>
      </c>
      <c r="D22" s="8">
        <f>Assumptions!$B$10/(4*Assumptions!$B$6)+(SUMPRODUCT($C$15:$T$15,--($C$2:$T$2&lt;D$2))+0.5*D$15)/(4*Assumptions!$B$6)</f>
        <v/>
      </c>
      <c r="E22" s="8">
        <f>Assumptions!$B$10/(4*Assumptions!$B$6)+(SUMPRODUCT($C$15:$T$15,--($C$2:$T$2&lt;E$2))+0.5*E$15)/(4*Assumptions!$B$6)</f>
        <v/>
      </c>
      <c r="F22" s="8">
        <f>Assumptions!$B$10/(4*Assumptions!$B$6)+(SUMPRODUCT($C$15:$T$15,--($C$2:$T$2&lt;F$2))+0.5*F$15)/(4*Assumptions!$B$6)</f>
        <v/>
      </c>
      <c r="G22" s="8">
        <f>Assumptions!$B$10/(4*Assumptions!$B$6)+(SUMPRODUCT($C$15:$T$15,--($C$2:$T$2&lt;G$2))+0.5*G$15)/(4*Assumptions!$B$6)</f>
        <v/>
      </c>
      <c r="H22" s="8">
        <f>Assumptions!$B$10/(4*Assumptions!$B$6)+(SUMPRODUCT($C$15:$T$15,--($C$2:$T$2&lt;H$2))+0.5*H$15)/(4*Assumptions!$B$6)</f>
        <v/>
      </c>
      <c r="I22" s="8">
        <f>Assumptions!$B$10/(4*Assumptions!$B$6)+(SUMPRODUCT($C$15:$T$15,--($C$2:$T$2&lt;I$2))+0.5*I$15)/(4*Assumptions!$B$6)</f>
        <v/>
      </c>
      <c r="J22" s="8">
        <f>Assumptions!$B$10/(4*Assumptions!$B$6)+(SUMPRODUCT($C$15:$T$15,--($C$2:$T$2&lt;J$2))+0.5*J$15)/(4*Assumptions!$B$6)</f>
        <v/>
      </c>
      <c r="K22" s="8">
        <f>Assumptions!$B$10/(4*Assumptions!$B$6)+(SUMPRODUCT($C$15:$T$15,--($C$2:$T$2&lt;K$2))+0.5*K$15)/(4*Assumptions!$B$6)</f>
        <v/>
      </c>
      <c r="L22" s="8">
        <f>Assumptions!$B$10/(4*Assumptions!$B$6)+(SUMPRODUCT($C$15:$T$15,--($C$2:$T$2&lt;L$2))+0.5*L$15)/(4*Assumptions!$B$6)</f>
        <v/>
      </c>
      <c r="M22" s="8">
        <f>Assumptions!$B$10/(4*Assumptions!$B$6)+(SUMPRODUCT($C$15:$T$15,--($C$2:$T$2&lt;M$2))+0.5*M$15)/(4*Assumptions!$B$6)</f>
        <v/>
      </c>
      <c r="N22" s="8">
        <f>Assumptions!$B$10/(4*Assumptions!$B$6)+(SUMPRODUCT($C$15:$T$15,--($C$2:$T$2&lt;N$2))+0.5*N$15)/(4*Assumptions!$B$6)</f>
        <v/>
      </c>
      <c r="O22" s="8">
        <f>Assumptions!$B$10/(4*Assumptions!$B$6)+(SUMPRODUCT($C$15:$T$15,--($C$2:$T$2&lt;O$2))+0.5*O$15)/(4*Assumptions!$B$6)</f>
        <v/>
      </c>
      <c r="P22" s="8">
        <f>Assumptions!$B$10/(4*Assumptions!$B$6)+(SUMPRODUCT($C$15:$T$15,--($C$2:$T$2&lt;P$2))+0.5*P$15)/(4*Assumptions!$B$6)</f>
        <v/>
      </c>
      <c r="Q22" s="8">
        <f>Assumptions!$B$10/(4*Assumptions!$B$6)+(SUMPRODUCT($C$15:$T$15,--($C$2:$T$2&lt;Q$2))+0.5*Q$15)/(4*Assumptions!$B$6)</f>
        <v/>
      </c>
      <c r="R22" s="8">
        <f>Assumptions!$B$10/(4*Assumptions!$B$6)+(SUMPRODUCT($C$15:$T$15,--($C$2:$T$2&lt;R$2))+0.5*R$15)/(4*Assumptions!$B$6)</f>
        <v/>
      </c>
      <c r="S22" s="8">
        <f>Assumptions!$B$10/(4*Assumptions!$B$6)+(SUMPRODUCT($C$15:$T$15,--($C$2:$T$2&lt;S$2))+0.5*S$15)/(4*Assumptions!$B$6)</f>
        <v/>
      </c>
      <c r="T22" s="8">
        <f>Assumptions!$B$10/(4*Assumptions!$B$6)+(SUMPRODUCT($C$15:$T$15,--($C$2:$T$2&lt;T$2))+0.5*T$15)/(4*Assumptions!$B$6)</f>
        <v/>
      </c>
    </row>
    <row r="23">
      <c r="A23" s="4" t="inlineStr">
        <is>
          <t xml:space="preserve">  Impairment charge</t>
        </is>
      </c>
      <c r="B23" t="inlineStr">
        <is>
          <t>$M</t>
        </is>
      </c>
      <c r="C23" s="8">
        <f>IF(C$2=Assumptions!$B$53,Assumptions!$B$51*Assumptions!$B$8*MAX(0,4*Assumptions!$B$3-Assumptions!$B$9-C$2)/(4*Assumptions!$B$3),0)</f>
        <v/>
      </c>
      <c r="D23" s="8">
        <f>IF(D$2=Assumptions!$B$53,Assumptions!$B$51*Assumptions!$B$8*MAX(0,4*Assumptions!$B$3-Assumptions!$B$9-D$2)/(4*Assumptions!$B$3),0)</f>
        <v/>
      </c>
      <c r="E23" s="8">
        <f>IF(E$2=Assumptions!$B$53,Assumptions!$B$51*Assumptions!$B$8*MAX(0,4*Assumptions!$B$3-Assumptions!$B$9-E$2)/(4*Assumptions!$B$3),0)</f>
        <v/>
      </c>
      <c r="F23" s="8">
        <f>IF(F$2=Assumptions!$B$53,Assumptions!$B$51*Assumptions!$B$8*MAX(0,4*Assumptions!$B$3-Assumptions!$B$9-F$2)/(4*Assumptions!$B$3),0)</f>
        <v/>
      </c>
      <c r="G23" s="8">
        <f>IF(G$2=Assumptions!$B$53,Assumptions!$B$51*Assumptions!$B$8*MAX(0,4*Assumptions!$B$3-Assumptions!$B$9-G$2)/(4*Assumptions!$B$3),0)</f>
        <v/>
      </c>
      <c r="H23" s="8">
        <f>IF(H$2=Assumptions!$B$53,Assumptions!$B$51*Assumptions!$B$8*MAX(0,4*Assumptions!$B$3-Assumptions!$B$9-H$2)/(4*Assumptions!$B$3),0)</f>
        <v/>
      </c>
      <c r="I23" s="8">
        <f>IF(I$2=Assumptions!$B$53,Assumptions!$B$51*Assumptions!$B$8*MAX(0,4*Assumptions!$B$3-Assumptions!$B$9-I$2)/(4*Assumptions!$B$3),0)</f>
        <v/>
      </c>
      <c r="J23" s="8">
        <f>IF(J$2=Assumptions!$B$53,Assumptions!$B$51*Assumptions!$B$8*MAX(0,4*Assumptions!$B$3-Assumptions!$B$9-J$2)/(4*Assumptions!$B$3),0)</f>
        <v/>
      </c>
      <c r="K23" s="8">
        <f>IF(K$2=Assumptions!$B$53,Assumptions!$B$51*Assumptions!$B$8*MAX(0,4*Assumptions!$B$3-Assumptions!$B$9-K$2)/(4*Assumptions!$B$3),0)</f>
        <v/>
      </c>
      <c r="L23" s="8">
        <f>IF(L$2=Assumptions!$B$53,Assumptions!$B$51*Assumptions!$B$8*MAX(0,4*Assumptions!$B$3-Assumptions!$B$9-L$2)/(4*Assumptions!$B$3),0)</f>
        <v/>
      </c>
      <c r="M23" s="8">
        <f>IF(M$2=Assumptions!$B$53,Assumptions!$B$51*Assumptions!$B$8*MAX(0,4*Assumptions!$B$3-Assumptions!$B$9-M$2)/(4*Assumptions!$B$3),0)</f>
        <v/>
      </c>
      <c r="N23" s="8">
        <f>IF(N$2=Assumptions!$B$53,Assumptions!$B$51*Assumptions!$B$8*MAX(0,4*Assumptions!$B$3-Assumptions!$B$9-N$2)/(4*Assumptions!$B$3),0)</f>
        <v/>
      </c>
      <c r="O23" s="8">
        <f>IF(O$2=Assumptions!$B$53,Assumptions!$B$51*Assumptions!$B$8*MAX(0,4*Assumptions!$B$3-Assumptions!$B$9-O$2)/(4*Assumptions!$B$3),0)</f>
        <v/>
      </c>
      <c r="P23" s="8">
        <f>IF(P$2=Assumptions!$B$53,Assumptions!$B$51*Assumptions!$B$8*MAX(0,4*Assumptions!$B$3-Assumptions!$B$9-P$2)/(4*Assumptions!$B$3),0)</f>
        <v/>
      </c>
      <c r="Q23" s="8">
        <f>IF(Q$2=Assumptions!$B$53,Assumptions!$B$51*Assumptions!$B$8*MAX(0,4*Assumptions!$B$3-Assumptions!$B$9-Q$2)/(4*Assumptions!$B$3),0)</f>
        <v/>
      </c>
      <c r="R23" s="8">
        <f>IF(R$2=Assumptions!$B$53,Assumptions!$B$51*Assumptions!$B$8*MAX(0,4*Assumptions!$B$3-Assumptions!$B$9-R$2)/(4*Assumptions!$B$3),0)</f>
        <v/>
      </c>
      <c r="S23" s="8">
        <f>IF(S$2=Assumptions!$B$53,Assumptions!$B$51*Assumptions!$B$8*MAX(0,4*Assumptions!$B$3-Assumptions!$B$9-S$2)/(4*Assumptions!$B$3),0)</f>
        <v/>
      </c>
      <c r="T23" s="8">
        <f>IF(T$2=Assumptions!$B$53,Assumptions!$B$51*Assumptions!$B$8*MAX(0,4*Assumptions!$B$3-Assumptions!$B$9-T$2)/(4*Assumptions!$B$3),0)</f>
        <v/>
      </c>
    </row>
    <row r="24">
      <c r="A24" s="2" t="inlineStr">
        <is>
          <t xml:space="preserve">  Total D&amp;A</t>
        </is>
      </c>
      <c r="B24" t="inlineStr">
        <is>
          <t>$M</t>
        </is>
      </c>
      <c r="C24" s="8">
        <f>C20+C21+C22</f>
        <v/>
      </c>
      <c r="D24" s="8">
        <f>D20+D21+D22</f>
        <v/>
      </c>
      <c r="E24" s="8">
        <f>E20+E21+E22</f>
        <v/>
      </c>
      <c r="F24" s="8">
        <f>F20+F21+F22</f>
        <v/>
      </c>
      <c r="G24" s="8">
        <f>G20+G21+G22</f>
        <v/>
      </c>
      <c r="H24" s="8">
        <f>H20+H21+H22</f>
        <v/>
      </c>
      <c r="I24" s="8">
        <f>I20+I21+I22</f>
        <v/>
      </c>
      <c r="J24" s="8">
        <f>J20+J21+J22</f>
        <v/>
      </c>
      <c r="K24" s="8">
        <f>K20+K21+K22</f>
        <v/>
      </c>
      <c r="L24" s="8">
        <f>L20+L21+L22</f>
        <v/>
      </c>
      <c r="M24" s="8">
        <f>M20+M21+M22</f>
        <v/>
      </c>
      <c r="N24" s="8">
        <f>N20+N21+N22</f>
        <v/>
      </c>
      <c r="O24" s="8">
        <f>O20+O21+O22</f>
        <v/>
      </c>
      <c r="P24" s="8">
        <f>P20+P21+P22</f>
        <v/>
      </c>
      <c r="Q24" s="8">
        <f>Q20+Q21+Q22</f>
        <v/>
      </c>
      <c r="R24" s="8">
        <f>R20+R21+R22</f>
        <v/>
      </c>
      <c r="S24" s="8">
        <f>S20+S21+S22</f>
        <v/>
      </c>
      <c r="T24" s="8">
        <f>T20+T21+T22</f>
        <v/>
      </c>
    </row>
    <row r="25">
      <c r="A25" s="2" t="inlineStr">
        <is>
          <t xml:space="preserve">  EBIT (adj.; pre-SBC) = EBITDA - D&amp;A - impairment</t>
        </is>
      </c>
      <c r="B25" t="inlineStr">
        <is>
          <t>$M</t>
        </is>
      </c>
      <c r="C25" s="8">
        <f>C$7-C24-C23</f>
        <v/>
      </c>
      <c r="D25" s="8">
        <f>D$7-D24-D23</f>
        <v/>
      </c>
      <c r="E25" s="8">
        <f>E$7-E24-E23</f>
        <v/>
      </c>
      <c r="F25" s="8">
        <f>F$7-F24-F23</f>
        <v/>
      </c>
      <c r="G25" s="8">
        <f>G$7-G24-G23</f>
        <v/>
      </c>
      <c r="H25" s="8">
        <f>H$7-H24-H23</f>
        <v/>
      </c>
      <c r="I25" s="8">
        <f>I$7-I24-I23</f>
        <v/>
      </c>
      <c r="J25" s="8">
        <f>J$7-J24-J23</f>
        <v/>
      </c>
      <c r="K25" s="8">
        <f>K$7-K24-K23</f>
        <v/>
      </c>
      <c r="L25" s="8">
        <f>L$7-L24-L23</f>
        <v/>
      </c>
      <c r="M25" s="8">
        <f>M$7-M24-M23</f>
        <v/>
      </c>
      <c r="N25" s="8">
        <f>N$7-N24-N23</f>
        <v/>
      </c>
      <c r="O25" s="8">
        <f>O$7-O24-O23</f>
        <v/>
      </c>
      <c r="P25" s="8">
        <f>P$7-P24-P23</f>
        <v/>
      </c>
      <c r="Q25" s="8">
        <f>Q$7-Q24-Q23</f>
        <v/>
      </c>
      <c r="R25" s="8">
        <f>R$7-R24-R23</f>
        <v/>
      </c>
      <c r="S25" s="8">
        <f>S$7-S24-S23</f>
        <v/>
      </c>
      <c r="T25" s="8">
        <f>T$7-T24-T23</f>
        <v/>
      </c>
    </row>
    <row r="26">
      <c r="A26" s="4" t="inlineStr">
        <is>
          <t xml:space="preserve">  EBIT margin</t>
        </is>
      </c>
      <c r="B26" t="inlineStr">
        <is>
          <t>%</t>
        </is>
      </c>
      <c r="C26" s="9">
        <f>C25/C$6</f>
        <v/>
      </c>
      <c r="D26" s="9">
        <f>D25/D$6</f>
        <v/>
      </c>
      <c r="E26" s="9">
        <f>E25/E$6</f>
        <v/>
      </c>
      <c r="F26" s="9">
        <f>F25/F$6</f>
        <v/>
      </c>
      <c r="G26" s="9">
        <f>G25/G$6</f>
        <v/>
      </c>
      <c r="H26" s="9">
        <f>H25/H$6</f>
        <v/>
      </c>
      <c r="I26" s="9">
        <f>I25/I$6</f>
        <v/>
      </c>
      <c r="J26" s="9">
        <f>J25/J$6</f>
        <v/>
      </c>
      <c r="K26" s="9">
        <f>K25/K$6</f>
        <v/>
      </c>
      <c r="L26" s="9">
        <f>L25/L$6</f>
        <v/>
      </c>
      <c r="M26" s="9">
        <f>M25/M$6</f>
        <v/>
      </c>
      <c r="N26" s="9">
        <f>N25/N$6</f>
        <v/>
      </c>
      <c r="O26" s="9">
        <f>O25/O$6</f>
        <v/>
      </c>
      <c r="P26" s="9">
        <f>P25/P$6</f>
        <v/>
      </c>
      <c r="Q26" s="9">
        <f>Q25/Q$6</f>
        <v/>
      </c>
      <c r="R26" s="9">
        <f>R25/R$6</f>
        <v/>
      </c>
      <c r="S26" s="9">
        <f>S25/S$6</f>
        <v/>
      </c>
      <c r="T26" s="9">
        <f>T25/T$6</f>
        <v/>
      </c>
    </row>
    <row r="27">
      <c r="A27" s="4" t="inlineStr">
        <is>
          <t xml:space="preserve">  D&amp;A / revenue</t>
        </is>
      </c>
      <c r="B27" t="inlineStr">
        <is>
          <t>%</t>
        </is>
      </c>
      <c r="C27" s="9">
        <f>C24/C$6</f>
        <v/>
      </c>
      <c r="D27" s="9">
        <f>D24/D$6</f>
        <v/>
      </c>
      <c r="E27" s="9">
        <f>E24/E$6</f>
        <v/>
      </c>
      <c r="F27" s="9">
        <f>F24/F$6</f>
        <v/>
      </c>
      <c r="G27" s="9">
        <f>G24/G$6</f>
        <v/>
      </c>
      <c r="H27" s="9">
        <f>H24/H$6</f>
        <v/>
      </c>
      <c r="I27" s="9">
        <f>I24/I$6</f>
        <v/>
      </c>
      <c r="J27" s="9">
        <f>J24/J$6</f>
        <v/>
      </c>
      <c r="K27" s="9">
        <f>K24/K$6</f>
        <v/>
      </c>
      <c r="L27" s="9">
        <f>L24/L$6</f>
        <v/>
      </c>
      <c r="M27" s="9">
        <f>M24/M$6</f>
        <v/>
      </c>
      <c r="N27" s="9">
        <f>N24/N$6</f>
        <v/>
      </c>
      <c r="O27" s="9">
        <f>O24/O$6</f>
        <v/>
      </c>
      <c r="P27" s="9">
        <f>P24/P$6</f>
        <v/>
      </c>
      <c r="Q27" s="9">
        <f>Q24/Q$6</f>
        <v/>
      </c>
      <c r="R27" s="9">
        <f>R24/R$6</f>
        <v/>
      </c>
      <c r="S27" s="9">
        <f>S24/S$6</f>
        <v/>
      </c>
      <c r="T27" s="9">
        <f>T24/T$6</f>
        <v/>
      </c>
    </row>
    <row r="29">
      <c r="A29" s="2" t="inlineStr">
        <is>
          <t>DEPRECIATION @ life scenario B</t>
        </is>
      </c>
      <c r="B29">
        <f>Assumptions!$B$4</f>
        <v/>
      </c>
    </row>
    <row r="30">
      <c r="A30" s="4" t="inlineStr">
        <is>
          <t xml:space="preserve">  Existing 6/30 server base</t>
        </is>
      </c>
      <c r="B30" t="inlineStr">
        <is>
          <t>$M</t>
        </is>
      </c>
      <c r="C30" s="8">
        <f>IF(C$2&lt;4*Assumptions!$B$4-Assumptions!$B$9,Assumptions!$B$8/(4*Assumptions!$B$4)*IF(C$2&gt;=Assumptions!$B$53,1-Assumptions!$B$51,1),0)</f>
        <v/>
      </c>
      <c r="D30" s="8">
        <f>IF(D$2&lt;4*Assumptions!$B$4-Assumptions!$B$9,Assumptions!$B$8/(4*Assumptions!$B$4)*IF(D$2&gt;=Assumptions!$B$53,1-Assumptions!$B$51,1),0)</f>
        <v/>
      </c>
      <c r="E30" s="8">
        <f>IF(E$2&lt;4*Assumptions!$B$4-Assumptions!$B$9,Assumptions!$B$8/(4*Assumptions!$B$4)*IF(E$2&gt;=Assumptions!$B$53,1-Assumptions!$B$51,1),0)</f>
        <v/>
      </c>
      <c r="F30" s="8">
        <f>IF(F$2&lt;4*Assumptions!$B$4-Assumptions!$B$9,Assumptions!$B$8/(4*Assumptions!$B$4)*IF(F$2&gt;=Assumptions!$B$53,1-Assumptions!$B$51,1),0)</f>
        <v/>
      </c>
      <c r="G30" s="8">
        <f>IF(G$2&lt;4*Assumptions!$B$4-Assumptions!$B$9,Assumptions!$B$8/(4*Assumptions!$B$4)*IF(G$2&gt;=Assumptions!$B$53,1-Assumptions!$B$51,1),0)</f>
        <v/>
      </c>
      <c r="H30" s="8">
        <f>IF(H$2&lt;4*Assumptions!$B$4-Assumptions!$B$9,Assumptions!$B$8/(4*Assumptions!$B$4)*IF(H$2&gt;=Assumptions!$B$53,1-Assumptions!$B$51,1),0)</f>
        <v/>
      </c>
      <c r="I30" s="8">
        <f>IF(I$2&lt;4*Assumptions!$B$4-Assumptions!$B$9,Assumptions!$B$8/(4*Assumptions!$B$4)*IF(I$2&gt;=Assumptions!$B$53,1-Assumptions!$B$51,1),0)</f>
        <v/>
      </c>
      <c r="J30" s="8">
        <f>IF(J$2&lt;4*Assumptions!$B$4-Assumptions!$B$9,Assumptions!$B$8/(4*Assumptions!$B$4)*IF(J$2&gt;=Assumptions!$B$53,1-Assumptions!$B$51,1),0)</f>
        <v/>
      </c>
      <c r="K30" s="8">
        <f>IF(K$2&lt;4*Assumptions!$B$4-Assumptions!$B$9,Assumptions!$B$8/(4*Assumptions!$B$4)*IF(K$2&gt;=Assumptions!$B$53,1-Assumptions!$B$51,1),0)</f>
        <v/>
      </c>
      <c r="L30" s="8">
        <f>IF(L$2&lt;4*Assumptions!$B$4-Assumptions!$B$9,Assumptions!$B$8/(4*Assumptions!$B$4)*IF(L$2&gt;=Assumptions!$B$53,1-Assumptions!$B$51,1),0)</f>
        <v/>
      </c>
      <c r="M30" s="8">
        <f>IF(M$2&lt;4*Assumptions!$B$4-Assumptions!$B$9,Assumptions!$B$8/(4*Assumptions!$B$4)*IF(M$2&gt;=Assumptions!$B$53,1-Assumptions!$B$51,1),0)</f>
        <v/>
      </c>
      <c r="N30" s="8">
        <f>IF(N$2&lt;4*Assumptions!$B$4-Assumptions!$B$9,Assumptions!$B$8/(4*Assumptions!$B$4)*IF(N$2&gt;=Assumptions!$B$53,1-Assumptions!$B$51,1),0)</f>
        <v/>
      </c>
      <c r="O30" s="8">
        <f>IF(O$2&lt;4*Assumptions!$B$4-Assumptions!$B$9,Assumptions!$B$8/(4*Assumptions!$B$4)*IF(O$2&gt;=Assumptions!$B$53,1-Assumptions!$B$51,1),0)</f>
        <v/>
      </c>
      <c r="P30" s="8">
        <f>IF(P$2&lt;4*Assumptions!$B$4-Assumptions!$B$9,Assumptions!$B$8/(4*Assumptions!$B$4)*IF(P$2&gt;=Assumptions!$B$53,1-Assumptions!$B$51,1),0)</f>
        <v/>
      </c>
      <c r="Q30" s="8">
        <f>IF(Q$2&lt;4*Assumptions!$B$4-Assumptions!$B$9,Assumptions!$B$8/(4*Assumptions!$B$4)*IF(Q$2&gt;=Assumptions!$B$53,1-Assumptions!$B$51,1),0)</f>
        <v/>
      </c>
      <c r="R30" s="8">
        <f>IF(R$2&lt;4*Assumptions!$B$4-Assumptions!$B$9,Assumptions!$B$8/(4*Assumptions!$B$4)*IF(R$2&gt;=Assumptions!$B$53,1-Assumptions!$B$51,1),0)</f>
        <v/>
      </c>
      <c r="S30" s="8">
        <f>IF(S$2&lt;4*Assumptions!$B$4-Assumptions!$B$9,Assumptions!$B$8/(4*Assumptions!$B$4)*IF(S$2&gt;=Assumptions!$B$53,1-Assumptions!$B$51,1),0)</f>
        <v/>
      </c>
      <c r="T30" s="8">
        <f>IF(T$2&lt;4*Assumptions!$B$4-Assumptions!$B$9,Assumptions!$B$8/(4*Assumptions!$B$4)*IF(T$2&gt;=Assumptions!$B$53,1-Assumptions!$B$51,1),0)</f>
        <v/>
      </c>
    </row>
    <row r="31">
      <c r="A31" s="4" t="inlineStr">
        <is>
          <t xml:space="preserve">  New GPU cohorts (half-quarter convention)</t>
        </is>
      </c>
      <c r="B31" t="inlineStr">
        <is>
          <t>$M</t>
        </is>
      </c>
      <c r="C31" s="8">
        <f>(SUMPRODUCT($C$14:$T$14,--($C$2:$T$2&lt;C$2),--($C$2:$T$2&gt;C$2-4*Assumptions!$B$4))+0.5*C$14+0.5*SUMPRODUCT($C$14:$T$14,--($C$2:$T$2=C$2-4*Assumptions!$B$4)))/(4*Assumptions!$B$4)</f>
        <v/>
      </c>
      <c r="D31" s="8">
        <f>(SUMPRODUCT($C$14:$T$14,--($C$2:$T$2&lt;D$2),--($C$2:$T$2&gt;D$2-4*Assumptions!$B$4))+0.5*D$14+0.5*SUMPRODUCT($C$14:$T$14,--($C$2:$T$2=D$2-4*Assumptions!$B$4)))/(4*Assumptions!$B$4)</f>
        <v/>
      </c>
      <c r="E31" s="8">
        <f>(SUMPRODUCT($C$14:$T$14,--($C$2:$T$2&lt;E$2),--($C$2:$T$2&gt;E$2-4*Assumptions!$B$4))+0.5*E$14+0.5*SUMPRODUCT($C$14:$T$14,--($C$2:$T$2=E$2-4*Assumptions!$B$4)))/(4*Assumptions!$B$4)</f>
        <v/>
      </c>
      <c r="F31" s="8">
        <f>(SUMPRODUCT($C$14:$T$14,--($C$2:$T$2&lt;F$2),--($C$2:$T$2&gt;F$2-4*Assumptions!$B$4))+0.5*F$14+0.5*SUMPRODUCT($C$14:$T$14,--($C$2:$T$2=F$2-4*Assumptions!$B$4)))/(4*Assumptions!$B$4)</f>
        <v/>
      </c>
      <c r="G31" s="8">
        <f>(SUMPRODUCT($C$14:$T$14,--($C$2:$T$2&lt;G$2),--($C$2:$T$2&gt;G$2-4*Assumptions!$B$4))+0.5*G$14+0.5*SUMPRODUCT($C$14:$T$14,--($C$2:$T$2=G$2-4*Assumptions!$B$4)))/(4*Assumptions!$B$4)</f>
        <v/>
      </c>
      <c r="H31" s="8">
        <f>(SUMPRODUCT($C$14:$T$14,--($C$2:$T$2&lt;H$2),--($C$2:$T$2&gt;H$2-4*Assumptions!$B$4))+0.5*H$14+0.5*SUMPRODUCT($C$14:$T$14,--($C$2:$T$2=H$2-4*Assumptions!$B$4)))/(4*Assumptions!$B$4)</f>
        <v/>
      </c>
      <c r="I31" s="8">
        <f>(SUMPRODUCT($C$14:$T$14,--($C$2:$T$2&lt;I$2),--($C$2:$T$2&gt;I$2-4*Assumptions!$B$4))+0.5*I$14+0.5*SUMPRODUCT($C$14:$T$14,--($C$2:$T$2=I$2-4*Assumptions!$B$4)))/(4*Assumptions!$B$4)</f>
        <v/>
      </c>
      <c r="J31" s="8">
        <f>(SUMPRODUCT($C$14:$T$14,--($C$2:$T$2&lt;J$2),--($C$2:$T$2&gt;J$2-4*Assumptions!$B$4))+0.5*J$14+0.5*SUMPRODUCT($C$14:$T$14,--($C$2:$T$2=J$2-4*Assumptions!$B$4)))/(4*Assumptions!$B$4)</f>
        <v/>
      </c>
      <c r="K31" s="8">
        <f>(SUMPRODUCT($C$14:$T$14,--($C$2:$T$2&lt;K$2),--($C$2:$T$2&gt;K$2-4*Assumptions!$B$4))+0.5*K$14+0.5*SUMPRODUCT($C$14:$T$14,--($C$2:$T$2=K$2-4*Assumptions!$B$4)))/(4*Assumptions!$B$4)</f>
        <v/>
      </c>
      <c r="L31" s="8">
        <f>(SUMPRODUCT($C$14:$T$14,--($C$2:$T$2&lt;L$2),--($C$2:$T$2&gt;L$2-4*Assumptions!$B$4))+0.5*L$14+0.5*SUMPRODUCT($C$14:$T$14,--($C$2:$T$2=L$2-4*Assumptions!$B$4)))/(4*Assumptions!$B$4)</f>
        <v/>
      </c>
      <c r="M31" s="8">
        <f>(SUMPRODUCT($C$14:$T$14,--($C$2:$T$2&lt;M$2),--($C$2:$T$2&gt;M$2-4*Assumptions!$B$4))+0.5*M$14+0.5*SUMPRODUCT($C$14:$T$14,--($C$2:$T$2=M$2-4*Assumptions!$B$4)))/(4*Assumptions!$B$4)</f>
        <v/>
      </c>
      <c r="N31" s="8">
        <f>(SUMPRODUCT($C$14:$T$14,--($C$2:$T$2&lt;N$2),--($C$2:$T$2&gt;N$2-4*Assumptions!$B$4))+0.5*N$14+0.5*SUMPRODUCT($C$14:$T$14,--($C$2:$T$2=N$2-4*Assumptions!$B$4)))/(4*Assumptions!$B$4)</f>
        <v/>
      </c>
      <c r="O31" s="8">
        <f>(SUMPRODUCT($C$14:$T$14,--($C$2:$T$2&lt;O$2),--($C$2:$T$2&gt;O$2-4*Assumptions!$B$4))+0.5*O$14+0.5*SUMPRODUCT($C$14:$T$14,--($C$2:$T$2=O$2-4*Assumptions!$B$4)))/(4*Assumptions!$B$4)</f>
        <v/>
      </c>
      <c r="P31" s="8">
        <f>(SUMPRODUCT($C$14:$T$14,--($C$2:$T$2&lt;P$2),--($C$2:$T$2&gt;P$2-4*Assumptions!$B$4))+0.5*P$14+0.5*SUMPRODUCT($C$14:$T$14,--($C$2:$T$2=P$2-4*Assumptions!$B$4)))/(4*Assumptions!$B$4)</f>
        <v/>
      </c>
      <c r="Q31" s="8">
        <f>(SUMPRODUCT($C$14:$T$14,--($C$2:$T$2&lt;Q$2),--($C$2:$T$2&gt;Q$2-4*Assumptions!$B$4))+0.5*Q$14+0.5*SUMPRODUCT($C$14:$T$14,--($C$2:$T$2=Q$2-4*Assumptions!$B$4)))/(4*Assumptions!$B$4)</f>
        <v/>
      </c>
      <c r="R31" s="8">
        <f>(SUMPRODUCT($C$14:$T$14,--($C$2:$T$2&lt;R$2),--($C$2:$T$2&gt;R$2-4*Assumptions!$B$4))+0.5*R$14+0.5*SUMPRODUCT($C$14:$T$14,--($C$2:$T$2=R$2-4*Assumptions!$B$4)))/(4*Assumptions!$B$4)</f>
        <v/>
      </c>
      <c r="S31" s="8">
        <f>(SUMPRODUCT($C$14:$T$14,--($C$2:$T$2&lt;S$2),--($C$2:$T$2&gt;S$2-4*Assumptions!$B$4))+0.5*S$14+0.5*SUMPRODUCT($C$14:$T$14,--($C$2:$T$2=S$2-4*Assumptions!$B$4)))/(4*Assumptions!$B$4)</f>
        <v/>
      </c>
      <c r="T31" s="8">
        <f>(SUMPRODUCT($C$14:$T$14,--($C$2:$T$2&lt;T$2),--($C$2:$T$2&gt;T$2-4*Assumptions!$B$4))+0.5*T$14+0.5*SUMPRODUCT($C$14:$T$14,--($C$2:$T$2=T$2-4*Assumptions!$B$4)))/(4*Assumptions!$B$4)</f>
        <v/>
      </c>
    </row>
    <row r="32">
      <c r="A32" s="4" t="inlineStr">
        <is>
          <t xml:space="preserve">  Non-GPU (existing + new)</t>
        </is>
      </c>
      <c r="B32" t="inlineStr">
        <is>
          <t>$M</t>
        </is>
      </c>
      <c r="C32" s="8">
        <f>Assumptions!$B$10/(4*Assumptions!$B$6)+(SUMPRODUCT($C$15:$T$15,--($C$2:$T$2&lt;C$2))+0.5*C$15)/(4*Assumptions!$B$6)</f>
        <v/>
      </c>
      <c r="D32" s="8">
        <f>Assumptions!$B$10/(4*Assumptions!$B$6)+(SUMPRODUCT($C$15:$T$15,--($C$2:$T$2&lt;D$2))+0.5*D$15)/(4*Assumptions!$B$6)</f>
        <v/>
      </c>
      <c r="E32" s="8">
        <f>Assumptions!$B$10/(4*Assumptions!$B$6)+(SUMPRODUCT($C$15:$T$15,--($C$2:$T$2&lt;E$2))+0.5*E$15)/(4*Assumptions!$B$6)</f>
        <v/>
      </c>
      <c r="F32" s="8">
        <f>Assumptions!$B$10/(4*Assumptions!$B$6)+(SUMPRODUCT($C$15:$T$15,--($C$2:$T$2&lt;F$2))+0.5*F$15)/(4*Assumptions!$B$6)</f>
        <v/>
      </c>
      <c r="G32" s="8">
        <f>Assumptions!$B$10/(4*Assumptions!$B$6)+(SUMPRODUCT($C$15:$T$15,--($C$2:$T$2&lt;G$2))+0.5*G$15)/(4*Assumptions!$B$6)</f>
        <v/>
      </c>
      <c r="H32" s="8">
        <f>Assumptions!$B$10/(4*Assumptions!$B$6)+(SUMPRODUCT($C$15:$T$15,--($C$2:$T$2&lt;H$2))+0.5*H$15)/(4*Assumptions!$B$6)</f>
        <v/>
      </c>
      <c r="I32" s="8">
        <f>Assumptions!$B$10/(4*Assumptions!$B$6)+(SUMPRODUCT($C$15:$T$15,--($C$2:$T$2&lt;I$2))+0.5*I$15)/(4*Assumptions!$B$6)</f>
        <v/>
      </c>
      <c r="J32" s="8">
        <f>Assumptions!$B$10/(4*Assumptions!$B$6)+(SUMPRODUCT($C$15:$T$15,--($C$2:$T$2&lt;J$2))+0.5*J$15)/(4*Assumptions!$B$6)</f>
        <v/>
      </c>
      <c r="K32" s="8">
        <f>Assumptions!$B$10/(4*Assumptions!$B$6)+(SUMPRODUCT($C$15:$T$15,--($C$2:$T$2&lt;K$2))+0.5*K$15)/(4*Assumptions!$B$6)</f>
        <v/>
      </c>
      <c r="L32" s="8">
        <f>Assumptions!$B$10/(4*Assumptions!$B$6)+(SUMPRODUCT($C$15:$T$15,--($C$2:$T$2&lt;L$2))+0.5*L$15)/(4*Assumptions!$B$6)</f>
        <v/>
      </c>
      <c r="M32" s="8">
        <f>Assumptions!$B$10/(4*Assumptions!$B$6)+(SUMPRODUCT($C$15:$T$15,--($C$2:$T$2&lt;M$2))+0.5*M$15)/(4*Assumptions!$B$6)</f>
        <v/>
      </c>
      <c r="N32" s="8">
        <f>Assumptions!$B$10/(4*Assumptions!$B$6)+(SUMPRODUCT($C$15:$T$15,--($C$2:$T$2&lt;N$2))+0.5*N$15)/(4*Assumptions!$B$6)</f>
        <v/>
      </c>
      <c r="O32" s="8">
        <f>Assumptions!$B$10/(4*Assumptions!$B$6)+(SUMPRODUCT($C$15:$T$15,--($C$2:$T$2&lt;O$2))+0.5*O$15)/(4*Assumptions!$B$6)</f>
        <v/>
      </c>
      <c r="P32" s="8">
        <f>Assumptions!$B$10/(4*Assumptions!$B$6)+(SUMPRODUCT($C$15:$T$15,--($C$2:$T$2&lt;P$2))+0.5*P$15)/(4*Assumptions!$B$6)</f>
        <v/>
      </c>
      <c r="Q32" s="8">
        <f>Assumptions!$B$10/(4*Assumptions!$B$6)+(SUMPRODUCT($C$15:$T$15,--($C$2:$T$2&lt;Q$2))+0.5*Q$15)/(4*Assumptions!$B$6)</f>
        <v/>
      </c>
      <c r="R32" s="8">
        <f>Assumptions!$B$10/(4*Assumptions!$B$6)+(SUMPRODUCT($C$15:$T$15,--($C$2:$T$2&lt;R$2))+0.5*R$15)/(4*Assumptions!$B$6)</f>
        <v/>
      </c>
      <c r="S32" s="8">
        <f>Assumptions!$B$10/(4*Assumptions!$B$6)+(SUMPRODUCT($C$15:$T$15,--($C$2:$T$2&lt;S$2))+0.5*S$15)/(4*Assumptions!$B$6)</f>
        <v/>
      </c>
      <c r="T32" s="8">
        <f>Assumptions!$B$10/(4*Assumptions!$B$6)+(SUMPRODUCT($C$15:$T$15,--($C$2:$T$2&lt;T$2))+0.5*T$15)/(4*Assumptions!$B$6)</f>
        <v/>
      </c>
    </row>
    <row r="33">
      <c r="A33" s="4" t="inlineStr">
        <is>
          <t xml:space="preserve">  Impairment charge</t>
        </is>
      </c>
      <c r="B33" t="inlineStr">
        <is>
          <t>$M</t>
        </is>
      </c>
      <c r="C33" s="8">
        <f>IF(C$2=Assumptions!$B$53,Assumptions!$B$51*Assumptions!$B$8*MAX(0,4*Assumptions!$B$4-Assumptions!$B$9-C$2)/(4*Assumptions!$B$4),0)</f>
        <v/>
      </c>
      <c r="D33" s="8">
        <f>IF(D$2=Assumptions!$B$53,Assumptions!$B$51*Assumptions!$B$8*MAX(0,4*Assumptions!$B$4-Assumptions!$B$9-D$2)/(4*Assumptions!$B$4),0)</f>
        <v/>
      </c>
      <c r="E33" s="8">
        <f>IF(E$2=Assumptions!$B$53,Assumptions!$B$51*Assumptions!$B$8*MAX(0,4*Assumptions!$B$4-Assumptions!$B$9-E$2)/(4*Assumptions!$B$4),0)</f>
        <v/>
      </c>
      <c r="F33" s="8">
        <f>IF(F$2=Assumptions!$B$53,Assumptions!$B$51*Assumptions!$B$8*MAX(0,4*Assumptions!$B$4-Assumptions!$B$9-F$2)/(4*Assumptions!$B$4),0)</f>
        <v/>
      </c>
      <c r="G33" s="8">
        <f>IF(G$2=Assumptions!$B$53,Assumptions!$B$51*Assumptions!$B$8*MAX(0,4*Assumptions!$B$4-Assumptions!$B$9-G$2)/(4*Assumptions!$B$4),0)</f>
        <v/>
      </c>
      <c r="H33" s="8">
        <f>IF(H$2=Assumptions!$B$53,Assumptions!$B$51*Assumptions!$B$8*MAX(0,4*Assumptions!$B$4-Assumptions!$B$9-H$2)/(4*Assumptions!$B$4),0)</f>
        <v/>
      </c>
      <c r="I33" s="8">
        <f>IF(I$2=Assumptions!$B$53,Assumptions!$B$51*Assumptions!$B$8*MAX(0,4*Assumptions!$B$4-Assumptions!$B$9-I$2)/(4*Assumptions!$B$4),0)</f>
        <v/>
      </c>
      <c r="J33" s="8">
        <f>IF(J$2=Assumptions!$B$53,Assumptions!$B$51*Assumptions!$B$8*MAX(0,4*Assumptions!$B$4-Assumptions!$B$9-J$2)/(4*Assumptions!$B$4),0)</f>
        <v/>
      </c>
      <c r="K33" s="8">
        <f>IF(K$2=Assumptions!$B$53,Assumptions!$B$51*Assumptions!$B$8*MAX(0,4*Assumptions!$B$4-Assumptions!$B$9-K$2)/(4*Assumptions!$B$4),0)</f>
        <v/>
      </c>
      <c r="L33" s="8">
        <f>IF(L$2=Assumptions!$B$53,Assumptions!$B$51*Assumptions!$B$8*MAX(0,4*Assumptions!$B$4-Assumptions!$B$9-L$2)/(4*Assumptions!$B$4),0)</f>
        <v/>
      </c>
      <c r="M33" s="8">
        <f>IF(M$2=Assumptions!$B$53,Assumptions!$B$51*Assumptions!$B$8*MAX(0,4*Assumptions!$B$4-Assumptions!$B$9-M$2)/(4*Assumptions!$B$4),0)</f>
        <v/>
      </c>
      <c r="N33" s="8">
        <f>IF(N$2=Assumptions!$B$53,Assumptions!$B$51*Assumptions!$B$8*MAX(0,4*Assumptions!$B$4-Assumptions!$B$9-N$2)/(4*Assumptions!$B$4),0)</f>
        <v/>
      </c>
      <c r="O33" s="8">
        <f>IF(O$2=Assumptions!$B$53,Assumptions!$B$51*Assumptions!$B$8*MAX(0,4*Assumptions!$B$4-Assumptions!$B$9-O$2)/(4*Assumptions!$B$4),0)</f>
        <v/>
      </c>
      <c r="P33" s="8">
        <f>IF(P$2=Assumptions!$B$53,Assumptions!$B$51*Assumptions!$B$8*MAX(0,4*Assumptions!$B$4-Assumptions!$B$9-P$2)/(4*Assumptions!$B$4),0)</f>
        <v/>
      </c>
      <c r="Q33" s="8">
        <f>IF(Q$2=Assumptions!$B$53,Assumptions!$B$51*Assumptions!$B$8*MAX(0,4*Assumptions!$B$4-Assumptions!$B$9-Q$2)/(4*Assumptions!$B$4),0)</f>
        <v/>
      </c>
      <c r="R33" s="8">
        <f>IF(R$2=Assumptions!$B$53,Assumptions!$B$51*Assumptions!$B$8*MAX(0,4*Assumptions!$B$4-Assumptions!$B$9-R$2)/(4*Assumptions!$B$4),0)</f>
        <v/>
      </c>
      <c r="S33" s="8">
        <f>IF(S$2=Assumptions!$B$53,Assumptions!$B$51*Assumptions!$B$8*MAX(0,4*Assumptions!$B$4-Assumptions!$B$9-S$2)/(4*Assumptions!$B$4),0)</f>
        <v/>
      </c>
      <c r="T33" s="8">
        <f>IF(T$2=Assumptions!$B$53,Assumptions!$B$51*Assumptions!$B$8*MAX(0,4*Assumptions!$B$4-Assumptions!$B$9-T$2)/(4*Assumptions!$B$4),0)</f>
        <v/>
      </c>
    </row>
    <row r="34">
      <c r="A34" s="2" t="inlineStr">
        <is>
          <t xml:space="preserve">  Total D&amp;A</t>
        </is>
      </c>
      <c r="B34" t="inlineStr">
        <is>
          <t>$M</t>
        </is>
      </c>
      <c r="C34" s="8">
        <f>C30+C31+C32</f>
        <v/>
      </c>
      <c r="D34" s="8">
        <f>D30+D31+D32</f>
        <v/>
      </c>
      <c r="E34" s="8">
        <f>E30+E31+E32</f>
        <v/>
      </c>
      <c r="F34" s="8">
        <f>F30+F31+F32</f>
        <v/>
      </c>
      <c r="G34" s="8">
        <f>G30+G31+G32</f>
        <v/>
      </c>
      <c r="H34" s="8">
        <f>H30+H31+H32</f>
        <v/>
      </c>
      <c r="I34" s="8">
        <f>I30+I31+I32</f>
        <v/>
      </c>
      <c r="J34" s="8">
        <f>J30+J31+J32</f>
        <v/>
      </c>
      <c r="K34" s="8">
        <f>K30+K31+K32</f>
        <v/>
      </c>
      <c r="L34" s="8">
        <f>L30+L31+L32</f>
        <v/>
      </c>
      <c r="M34" s="8">
        <f>M30+M31+M32</f>
        <v/>
      </c>
      <c r="N34" s="8">
        <f>N30+N31+N32</f>
        <v/>
      </c>
      <c r="O34" s="8">
        <f>O30+O31+O32</f>
        <v/>
      </c>
      <c r="P34" s="8">
        <f>P30+P31+P32</f>
        <v/>
      </c>
      <c r="Q34" s="8">
        <f>Q30+Q31+Q32</f>
        <v/>
      </c>
      <c r="R34" s="8">
        <f>R30+R31+R32</f>
        <v/>
      </c>
      <c r="S34" s="8">
        <f>S30+S31+S32</f>
        <v/>
      </c>
      <c r="T34" s="8">
        <f>T30+T31+T32</f>
        <v/>
      </c>
    </row>
    <row r="35">
      <c r="A35" s="2" t="inlineStr">
        <is>
          <t xml:space="preserve">  EBIT (adj.; pre-SBC) = EBITDA - D&amp;A - impairment</t>
        </is>
      </c>
      <c r="B35" t="inlineStr">
        <is>
          <t>$M</t>
        </is>
      </c>
      <c r="C35" s="8">
        <f>C$7-C34-C33</f>
        <v/>
      </c>
      <c r="D35" s="8">
        <f>D$7-D34-D33</f>
        <v/>
      </c>
      <c r="E35" s="8">
        <f>E$7-E34-E33</f>
        <v/>
      </c>
      <c r="F35" s="8">
        <f>F$7-F34-F33</f>
        <v/>
      </c>
      <c r="G35" s="8">
        <f>G$7-G34-G33</f>
        <v/>
      </c>
      <c r="H35" s="8">
        <f>H$7-H34-H33</f>
        <v/>
      </c>
      <c r="I35" s="8">
        <f>I$7-I34-I33</f>
        <v/>
      </c>
      <c r="J35" s="8">
        <f>J$7-J34-J33</f>
        <v/>
      </c>
      <c r="K35" s="8">
        <f>K$7-K34-K33</f>
        <v/>
      </c>
      <c r="L35" s="8">
        <f>L$7-L34-L33</f>
        <v/>
      </c>
      <c r="M35" s="8">
        <f>M$7-M34-M33</f>
        <v/>
      </c>
      <c r="N35" s="8">
        <f>N$7-N34-N33</f>
        <v/>
      </c>
      <c r="O35" s="8">
        <f>O$7-O34-O33</f>
        <v/>
      </c>
      <c r="P35" s="8">
        <f>P$7-P34-P33</f>
        <v/>
      </c>
      <c r="Q35" s="8">
        <f>Q$7-Q34-Q33</f>
        <v/>
      </c>
      <c r="R35" s="8">
        <f>R$7-R34-R33</f>
        <v/>
      </c>
      <c r="S35" s="8">
        <f>S$7-S34-S33</f>
        <v/>
      </c>
      <c r="T35" s="8">
        <f>T$7-T34-T33</f>
        <v/>
      </c>
    </row>
    <row r="36">
      <c r="A36" s="4" t="inlineStr">
        <is>
          <t xml:space="preserve">  EBIT margin</t>
        </is>
      </c>
      <c r="B36" t="inlineStr">
        <is>
          <t>%</t>
        </is>
      </c>
      <c r="C36" s="9">
        <f>C35/C$6</f>
        <v/>
      </c>
      <c r="D36" s="9">
        <f>D35/D$6</f>
        <v/>
      </c>
      <c r="E36" s="9">
        <f>E35/E$6</f>
        <v/>
      </c>
      <c r="F36" s="9">
        <f>F35/F$6</f>
        <v/>
      </c>
      <c r="G36" s="9">
        <f>G35/G$6</f>
        <v/>
      </c>
      <c r="H36" s="9">
        <f>H35/H$6</f>
        <v/>
      </c>
      <c r="I36" s="9">
        <f>I35/I$6</f>
        <v/>
      </c>
      <c r="J36" s="9">
        <f>J35/J$6</f>
        <v/>
      </c>
      <c r="K36" s="9">
        <f>K35/K$6</f>
        <v/>
      </c>
      <c r="L36" s="9">
        <f>L35/L$6</f>
        <v/>
      </c>
      <c r="M36" s="9">
        <f>M35/M$6</f>
        <v/>
      </c>
      <c r="N36" s="9">
        <f>N35/N$6</f>
        <v/>
      </c>
      <c r="O36" s="9">
        <f>O35/O$6</f>
        <v/>
      </c>
      <c r="P36" s="9">
        <f>P35/P$6</f>
        <v/>
      </c>
      <c r="Q36" s="9">
        <f>Q35/Q$6</f>
        <v/>
      </c>
      <c r="R36" s="9">
        <f>R35/R$6</f>
        <v/>
      </c>
      <c r="S36" s="9">
        <f>S35/S$6</f>
        <v/>
      </c>
      <c r="T36" s="9">
        <f>T35/T$6</f>
        <v/>
      </c>
    </row>
    <row r="37">
      <c r="A37" s="4" t="inlineStr">
        <is>
          <t xml:space="preserve">  D&amp;A / revenue</t>
        </is>
      </c>
      <c r="B37" t="inlineStr">
        <is>
          <t>%</t>
        </is>
      </c>
      <c r="C37" s="9">
        <f>C34/C$6</f>
        <v/>
      </c>
      <c r="D37" s="9">
        <f>D34/D$6</f>
        <v/>
      </c>
      <c r="E37" s="9">
        <f>E34/E$6</f>
        <v/>
      </c>
      <c r="F37" s="9">
        <f>F34/F$6</f>
        <v/>
      </c>
      <c r="G37" s="9">
        <f>G34/G$6</f>
        <v/>
      </c>
      <c r="H37" s="9">
        <f>H34/H$6</f>
        <v/>
      </c>
      <c r="I37" s="9">
        <f>I34/I$6</f>
        <v/>
      </c>
      <c r="J37" s="9">
        <f>J34/J$6</f>
        <v/>
      </c>
      <c r="K37" s="9">
        <f>K34/K$6</f>
        <v/>
      </c>
      <c r="L37" s="9">
        <f>L34/L$6</f>
        <v/>
      </c>
      <c r="M37" s="9">
        <f>M34/M$6</f>
        <v/>
      </c>
      <c r="N37" s="9">
        <f>N34/N$6</f>
        <v/>
      </c>
      <c r="O37" s="9">
        <f>O34/O$6</f>
        <v/>
      </c>
      <c r="P37" s="9">
        <f>P34/P$6</f>
        <v/>
      </c>
      <c r="Q37" s="9">
        <f>Q34/Q$6</f>
        <v/>
      </c>
      <c r="R37" s="9">
        <f>R34/R$6</f>
        <v/>
      </c>
      <c r="S37" s="9">
        <f>S34/S$6</f>
        <v/>
      </c>
      <c r="T37" s="9">
        <f>T34/T$6</f>
        <v/>
      </c>
    </row>
    <row r="39">
      <c r="A39" s="2" t="inlineStr">
        <is>
          <t>DEPRECIATION @ life scenario C</t>
        </is>
      </c>
      <c r="B39">
        <f>Assumptions!$B$5</f>
        <v/>
      </c>
    </row>
    <row r="40">
      <c r="A40" s="4" t="inlineStr">
        <is>
          <t xml:space="preserve">  Existing 6/30 server base</t>
        </is>
      </c>
      <c r="B40" t="inlineStr">
        <is>
          <t>$M</t>
        </is>
      </c>
      <c r="C40" s="8">
        <f>IF(C$2&lt;4*Assumptions!$B$5-Assumptions!$B$9,Assumptions!$B$8/(4*Assumptions!$B$5)*IF(C$2&gt;=Assumptions!$B$53,1-Assumptions!$B$51,1),0)</f>
        <v/>
      </c>
      <c r="D40" s="8">
        <f>IF(D$2&lt;4*Assumptions!$B$5-Assumptions!$B$9,Assumptions!$B$8/(4*Assumptions!$B$5)*IF(D$2&gt;=Assumptions!$B$53,1-Assumptions!$B$51,1),0)</f>
        <v/>
      </c>
      <c r="E40" s="8">
        <f>IF(E$2&lt;4*Assumptions!$B$5-Assumptions!$B$9,Assumptions!$B$8/(4*Assumptions!$B$5)*IF(E$2&gt;=Assumptions!$B$53,1-Assumptions!$B$51,1),0)</f>
        <v/>
      </c>
      <c r="F40" s="8">
        <f>IF(F$2&lt;4*Assumptions!$B$5-Assumptions!$B$9,Assumptions!$B$8/(4*Assumptions!$B$5)*IF(F$2&gt;=Assumptions!$B$53,1-Assumptions!$B$51,1),0)</f>
        <v/>
      </c>
      <c r="G40" s="8">
        <f>IF(G$2&lt;4*Assumptions!$B$5-Assumptions!$B$9,Assumptions!$B$8/(4*Assumptions!$B$5)*IF(G$2&gt;=Assumptions!$B$53,1-Assumptions!$B$51,1),0)</f>
        <v/>
      </c>
      <c r="H40" s="8">
        <f>IF(H$2&lt;4*Assumptions!$B$5-Assumptions!$B$9,Assumptions!$B$8/(4*Assumptions!$B$5)*IF(H$2&gt;=Assumptions!$B$53,1-Assumptions!$B$51,1),0)</f>
        <v/>
      </c>
      <c r="I40" s="8">
        <f>IF(I$2&lt;4*Assumptions!$B$5-Assumptions!$B$9,Assumptions!$B$8/(4*Assumptions!$B$5)*IF(I$2&gt;=Assumptions!$B$53,1-Assumptions!$B$51,1),0)</f>
        <v/>
      </c>
      <c r="J40" s="8">
        <f>IF(J$2&lt;4*Assumptions!$B$5-Assumptions!$B$9,Assumptions!$B$8/(4*Assumptions!$B$5)*IF(J$2&gt;=Assumptions!$B$53,1-Assumptions!$B$51,1),0)</f>
        <v/>
      </c>
      <c r="K40" s="8">
        <f>IF(K$2&lt;4*Assumptions!$B$5-Assumptions!$B$9,Assumptions!$B$8/(4*Assumptions!$B$5)*IF(K$2&gt;=Assumptions!$B$53,1-Assumptions!$B$51,1),0)</f>
        <v/>
      </c>
      <c r="L40" s="8">
        <f>IF(L$2&lt;4*Assumptions!$B$5-Assumptions!$B$9,Assumptions!$B$8/(4*Assumptions!$B$5)*IF(L$2&gt;=Assumptions!$B$53,1-Assumptions!$B$51,1),0)</f>
        <v/>
      </c>
      <c r="M40" s="8">
        <f>IF(M$2&lt;4*Assumptions!$B$5-Assumptions!$B$9,Assumptions!$B$8/(4*Assumptions!$B$5)*IF(M$2&gt;=Assumptions!$B$53,1-Assumptions!$B$51,1),0)</f>
        <v/>
      </c>
      <c r="N40" s="8">
        <f>IF(N$2&lt;4*Assumptions!$B$5-Assumptions!$B$9,Assumptions!$B$8/(4*Assumptions!$B$5)*IF(N$2&gt;=Assumptions!$B$53,1-Assumptions!$B$51,1),0)</f>
        <v/>
      </c>
      <c r="O40" s="8">
        <f>IF(O$2&lt;4*Assumptions!$B$5-Assumptions!$B$9,Assumptions!$B$8/(4*Assumptions!$B$5)*IF(O$2&gt;=Assumptions!$B$53,1-Assumptions!$B$51,1),0)</f>
        <v/>
      </c>
      <c r="P40" s="8">
        <f>IF(P$2&lt;4*Assumptions!$B$5-Assumptions!$B$9,Assumptions!$B$8/(4*Assumptions!$B$5)*IF(P$2&gt;=Assumptions!$B$53,1-Assumptions!$B$51,1),0)</f>
        <v/>
      </c>
      <c r="Q40" s="8">
        <f>IF(Q$2&lt;4*Assumptions!$B$5-Assumptions!$B$9,Assumptions!$B$8/(4*Assumptions!$B$5)*IF(Q$2&gt;=Assumptions!$B$53,1-Assumptions!$B$51,1),0)</f>
        <v/>
      </c>
      <c r="R40" s="8">
        <f>IF(R$2&lt;4*Assumptions!$B$5-Assumptions!$B$9,Assumptions!$B$8/(4*Assumptions!$B$5)*IF(R$2&gt;=Assumptions!$B$53,1-Assumptions!$B$51,1),0)</f>
        <v/>
      </c>
      <c r="S40" s="8">
        <f>IF(S$2&lt;4*Assumptions!$B$5-Assumptions!$B$9,Assumptions!$B$8/(4*Assumptions!$B$5)*IF(S$2&gt;=Assumptions!$B$53,1-Assumptions!$B$51,1),0)</f>
        <v/>
      </c>
      <c r="T40" s="8">
        <f>IF(T$2&lt;4*Assumptions!$B$5-Assumptions!$B$9,Assumptions!$B$8/(4*Assumptions!$B$5)*IF(T$2&gt;=Assumptions!$B$53,1-Assumptions!$B$51,1),0)</f>
        <v/>
      </c>
    </row>
    <row r="41">
      <c r="A41" s="4" t="inlineStr">
        <is>
          <t xml:space="preserve">  New GPU cohorts (half-quarter convention)</t>
        </is>
      </c>
      <c r="B41" t="inlineStr">
        <is>
          <t>$M</t>
        </is>
      </c>
      <c r="C41" s="8">
        <f>(SUMPRODUCT($C$14:$T$14,--($C$2:$T$2&lt;C$2),--($C$2:$T$2&gt;C$2-4*Assumptions!$B$5))+0.5*C$14+0.5*SUMPRODUCT($C$14:$T$14,--($C$2:$T$2=C$2-4*Assumptions!$B$5)))/(4*Assumptions!$B$5)</f>
        <v/>
      </c>
      <c r="D41" s="8">
        <f>(SUMPRODUCT($C$14:$T$14,--($C$2:$T$2&lt;D$2),--($C$2:$T$2&gt;D$2-4*Assumptions!$B$5))+0.5*D$14+0.5*SUMPRODUCT($C$14:$T$14,--($C$2:$T$2=D$2-4*Assumptions!$B$5)))/(4*Assumptions!$B$5)</f>
        <v/>
      </c>
      <c r="E41" s="8">
        <f>(SUMPRODUCT($C$14:$T$14,--($C$2:$T$2&lt;E$2),--($C$2:$T$2&gt;E$2-4*Assumptions!$B$5))+0.5*E$14+0.5*SUMPRODUCT($C$14:$T$14,--($C$2:$T$2=E$2-4*Assumptions!$B$5)))/(4*Assumptions!$B$5)</f>
        <v/>
      </c>
      <c r="F41" s="8">
        <f>(SUMPRODUCT($C$14:$T$14,--($C$2:$T$2&lt;F$2),--($C$2:$T$2&gt;F$2-4*Assumptions!$B$5))+0.5*F$14+0.5*SUMPRODUCT($C$14:$T$14,--($C$2:$T$2=F$2-4*Assumptions!$B$5)))/(4*Assumptions!$B$5)</f>
        <v/>
      </c>
      <c r="G41" s="8">
        <f>(SUMPRODUCT($C$14:$T$14,--($C$2:$T$2&lt;G$2),--($C$2:$T$2&gt;G$2-4*Assumptions!$B$5))+0.5*G$14+0.5*SUMPRODUCT($C$14:$T$14,--($C$2:$T$2=G$2-4*Assumptions!$B$5)))/(4*Assumptions!$B$5)</f>
        <v/>
      </c>
      <c r="H41" s="8">
        <f>(SUMPRODUCT($C$14:$T$14,--($C$2:$T$2&lt;H$2),--($C$2:$T$2&gt;H$2-4*Assumptions!$B$5))+0.5*H$14+0.5*SUMPRODUCT($C$14:$T$14,--($C$2:$T$2=H$2-4*Assumptions!$B$5)))/(4*Assumptions!$B$5)</f>
        <v/>
      </c>
      <c r="I41" s="8">
        <f>(SUMPRODUCT($C$14:$T$14,--($C$2:$T$2&lt;I$2),--($C$2:$T$2&gt;I$2-4*Assumptions!$B$5))+0.5*I$14+0.5*SUMPRODUCT($C$14:$T$14,--($C$2:$T$2=I$2-4*Assumptions!$B$5)))/(4*Assumptions!$B$5)</f>
        <v/>
      </c>
      <c r="J41" s="8">
        <f>(SUMPRODUCT($C$14:$T$14,--($C$2:$T$2&lt;J$2),--($C$2:$T$2&gt;J$2-4*Assumptions!$B$5))+0.5*J$14+0.5*SUMPRODUCT($C$14:$T$14,--($C$2:$T$2=J$2-4*Assumptions!$B$5)))/(4*Assumptions!$B$5)</f>
        <v/>
      </c>
      <c r="K41" s="8">
        <f>(SUMPRODUCT($C$14:$T$14,--($C$2:$T$2&lt;K$2),--($C$2:$T$2&gt;K$2-4*Assumptions!$B$5))+0.5*K$14+0.5*SUMPRODUCT($C$14:$T$14,--($C$2:$T$2=K$2-4*Assumptions!$B$5)))/(4*Assumptions!$B$5)</f>
        <v/>
      </c>
      <c r="L41" s="8">
        <f>(SUMPRODUCT($C$14:$T$14,--($C$2:$T$2&lt;L$2),--($C$2:$T$2&gt;L$2-4*Assumptions!$B$5))+0.5*L$14+0.5*SUMPRODUCT($C$14:$T$14,--($C$2:$T$2=L$2-4*Assumptions!$B$5)))/(4*Assumptions!$B$5)</f>
        <v/>
      </c>
      <c r="M41" s="8">
        <f>(SUMPRODUCT($C$14:$T$14,--($C$2:$T$2&lt;M$2),--($C$2:$T$2&gt;M$2-4*Assumptions!$B$5))+0.5*M$14+0.5*SUMPRODUCT($C$14:$T$14,--($C$2:$T$2=M$2-4*Assumptions!$B$5)))/(4*Assumptions!$B$5)</f>
        <v/>
      </c>
      <c r="N41" s="8">
        <f>(SUMPRODUCT($C$14:$T$14,--($C$2:$T$2&lt;N$2),--($C$2:$T$2&gt;N$2-4*Assumptions!$B$5))+0.5*N$14+0.5*SUMPRODUCT($C$14:$T$14,--($C$2:$T$2=N$2-4*Assumptions!$B$5)))/(4*Assumptions!$B$5)</f>
        <v/>
      </c>
      <c r="O41" s="8">
        <f>(SUMPRODUCT($C$14:$T$14,--($C$2:$T$2&lt;O$2),--($C$2:$T$2&gt;O$2-4*Assumptions!$B$5))+0.5*O$14+0.5*SUMPRODUCT($C$14:$T$14,--($C$2:$T$2=O$2-4*Assumptions!$B$5)))/(4*Assumptions!$B$5)</f>
        <v/>
      </c>
      <c r="P41" s="8">
        <f>(SUMPRODUCT($C$14:$T$14,--($C$2:$T$2&lt;P$2),--($C$2:$T$2&gt;P$2-4*Assumptions!$B$5))+0.5*P$14+0.5*SUMPRODUCT($C$14:$T$14,--($C$2:$T$2=P$2-4*Assumptions!$B$5)))/(4*Assumptions!$B$5)</f>
        <v/>
      </c>
      <c r="Q41" s="8">
        <f>(SUMPRODUCT($C$14:$T$14,--($C$2:$T$2&lt;Q$2),--($C$2:$T$2&gt;Q$2-4*Assumptions!$B$5))+0.5*Q$14+0.5*SUMPRODUCT($C$14:$T$14,--($C$2:$T$2=Q$2-4*Assumptions!$B$5)))/(4*Assumptions!$B$5)</f>
        <v/>
      </c>
      <c r="R41" s="8">
        <f>(SUMPRODUCT($C$14:$T$14,--($C$2:$T$2&lt;R$2),--($C$2:$T$2&gt;R$2-4*Assumptions!$B$5))+0.5*R$14+0.5*SUMPRODUCT($C$14:$T$14,--($C$2:$T$2=R$2-4*Assumptions!$B$5)))/(4*Assumptions!$B$5)</f>
        <v/>
      </c>
      <c r="S41" s="8">
        <f>(SUMPRODUCT($C$14:$T$14,--($C$2:$T$2&lt;S$2),--($C$2:$T$2&gt;S$2-4*Assumptions!$B$5))+0.5*S$14+0.5*SUMPRODUCT($C$14:$T$14,--($C$2:$T$2=S$2-4*Assumptions!$B$5)))/(4*Assumptions!$B$5)</f>
        <v/>
      </c>
      <c r="T41" s="8">
        <f>(SUMPRODUCT($C$14:$T$14,--($C$2:$T$2&lt;T$2),--($C$2:$T$2&gt;T$2-4*Assumptions!$B$5))+0.5*T$14+0.5*SUMPRODUCT($C$14:$T$14,--($C$2:$T$2=T$2-4*Assumptions!$B$5)))/(4*Assumptions!$B$5)</f>
        <v/>
      </c>
    </row>
    <row r="42">
      <c r="A42" s="4" t="inlineStr">
        <is>
          <t xml:space="preserve">  Non-GPU (existing + new)</t>
        </is>
      </c>
      <c r="B42" t="inlineStr">
        <is>
          <t>$M</t>
        </is>
      </c>
      <c r="C42" s="8">
        <f>Assumptions!$B$10/(4*Assumptions!$B$6)+(SUMPRODUCT($C$15:$T$15,--($C$2:$T$2&lt;C$2))+0.5*C$15)/(4*Assumptions!$B$6)</f>
        <v/>
      </c>
      <c r="D42" s="8">
        <f>Assumptions!$B$10/(4*Assumptions!$B$6)+(SUMPRODUCT($C$15:$T$15,--($C$2:$T$2&lt;D$2))+0.5*D$15)/(4*Assumptions!$B$6)</f>
        <v/>
      </c>
      <c r="E42" s="8">
        <f>Assumptions!$B$10/(4*Assumptions!$B$6)+(SUMPRODUCT($C$15:$T$15,--($C$2:$T$2&lt;E$2))+0.5*E$15)/(4*Assumptions!$B$6)</f>
        <v/>
      </c>
      <c r="F42" s="8">
        <f>Assumptions!$B$10/(4*Assumptions!$B$6)+(SUMPRODUCT($C$15:$T$15,--($C$2:$T$2&lt;F$2))+0.5*F$15)/(4*Assumptions!$B$6)</f>
        <v/>
      </c>
      <c r="G42" s="8">
        <f>Assumptions!$B$10/(4*Assumptions!$B$6)+(SUMPRODUCT($C$15:$T$15,--($C$2:$T$2&lt;G$2))+0.5*G$15)/(4*Assumptions!$B$6)</f>
        <v/>
      </c>
      <c r="H42" s="8">
        <f>Assumptions!$B$10/(4*Assumptions!$B$6)+(SUMPRODUCT($C$15:$T$15,--($C$2:$T$2&lt;H$2))+0.5*H$15)/(4*Assumptions!$B$6)</f>
        <v/>
      </c>
      <c r="I42" s="8">
        <f>Assumptions!$B$10/(4*Assumptions!$B$6)+(SUMPRODUCT($C$15:$T$15,--($C$2:$T$2&lt;I$2))+0.5*I$15)/(4*Assumptions!$B$6)</f>
        <v/>
      </c>
      <c r="J42" s="8">
        <f>Assumptions!$B$10/(4*Assumptions!$B$6)+(SUMPRODUCT($C$15:$T$15,--($C$2:$T$2&lt;J$2))+0.5*J$15)/(4*Assumptions!$B$6)</f>
        <v/>
      </c>
      <c r="K42" s="8">
        <f>Assumptions!$B$10/(4*Assumptions!$B$6)+(SUMPRODUCT($C$15:$T$15,--($C$2:$T$2&lt;K$2))+0.5*K$15)/(4*Assumptions!$B$6)</f>
        <v/>
      </c>
      <c r="L42" s="8">
        <f>Assumptions!$B$10/(4*Assumptions!$B$6)+(SUMPRODUCT($C$15:$T$15,--($C$2:$T$2&lt;L$2))+0.5*L$15)/(4*Assumptions!$B$6)</f>
        <v/>
      </c>
      <c r="M42" s="8">
        <f>Assumptions!$B$10/(4*Assumptions!$B$6)+(SUMPRODUCT($C$15:$T$15,--($C$2:$T$2&lt;M$2))+0.5*M$15)/(4*Assumptions!$B$6)</f>
        <v/>
      </c>
      <c r="N42" s="8">
        <f>Assumptions!$B$10/(4*Assumptions!$B$6)+(SUMPRODUCT($C$15:$T$15,--($C$2:$T$2&lt;N$2))+0.5*N$15)/(4*Assumptions!$B$6)</f>
        <v/>
      </c>
      <c r="O42" s="8">
        <f>Assumptions!$B$10/(4*Assumptions!$B$6)+(SUMPRODUCT($C$15:$T$15,--($C$2:$T$2&lt;O$2))+0.5*O$15)/(4*Assumptions!$B$6)</f>
        <v/>
      </c>
      <c r="P42" s="8">
        <f>Assumptions!$B$10/(4*Assumptions!$B$6)+(SUMPRODUCT($C$15:$T$15,--($C$2:$T$2&lt;P$2))+0.5*P$15)/(4*Assumptions!$B$6)</f>
        <v/>
      </c>
      <c r="Q42" s="8">
        <f>Assumptions!$B$10/(4*Assumptions!$B$6)+(SUMPRODUCT($C$15:$T$15,--($C$2:$T$2&lt;Q$2))+0.5*Q$15)/(4*Assumptions!$B$6)</f>
        <v/>
      </c>
      <c r="R42" s="8">
        <f>Assumptions!$B$10/(4*Assumptions!$B$6)+(SUMPRODUCT($C$15:$T$15,--($C$2:$T$2&lt;R$2))+0.5*R$15)/(4*Assumptions!$B$6)</f>
        <v/>
      </c>
      <c r="S42" s="8">
        <f>Assumptions!$B$10/(4*Assumptions!$B$6)+(SUMPRODUCT($C$15:$T$15,--($C$2:$T$2&lt;S$2))+0.5*S$15)/(4*Assumptions!$B$6)</f>
        <v/>
      </c>
      <c r="T42" s="8">
        <f>Assumptions!$B$10/(4*Assumptions!$B$6)+(SUMPRODUCT($C$15:$T$15,--($C$2:$T$2&lt;T$2))+0.5*T$15)/(4*Assumptions!$B$6)</f>
        <v/>
      </c>
    </row>
    <row r="43">
      <c r="A43" s="4" t="inlineStr">
        <is>
          <t xml:space="preserve">  Impairment charge</t>
        </is>
      </c>
      <c r="B43" t="inlineStr">
        <is>
          <t>$M</t>
        </is>
      </c>
      <c r="C43" s="8">
        <f>IF(C$2=Assumptions!$B$53,Assumptions!$B$51*Assumptions!$B$8*MAX(0,4*Assumptions!$B$5-Assumptions!$B$9-C$2)/(4*Assumptions!$B$5),0)</f>
        <v/>
      </c>
      <c r="D43" s="8">
        <f>IF(D$2=Assumptions!$B$53,Assumptions!$B$51*Assumptions!$B$8*MAX(0,4*Assumptions!$B$5-Assumptions!$B$9-D$2)/(4*Assumptions!$B$5),0)</f>
        <v/>
      </c>
      <c r="E43" s="8">
        <f>IF(E$2=Assumptions!$B$53,Assumptions!$B$51*Assumptions!$B$8*MAX(0,4*Assumptions!$B$5-Assumptions!$B$9-E$2)/(4*Assumptions!$B$5),0)</f>
        <v/>
      </c>
      <c r="F43" s="8">
        <f>IF(F$2=Assumptions!$B$53,Assumptions!$B$51*Assumptions!$B$8*MAX(0,4*Assumptions!$B$5-Assumptions!$B$9-F$2)/(4*Assumptions!$B$5),0)</f>
        <v/>
      </c>
      <c r="G43" s="8">
        <f>IF(G$2=Assumptions!$B$53,Assumptions!$B$51*Assumptions!$B$8*MAX(0,4*Assumptions!$B$5-Assumptions!$B$9-G$2)/(4*Assumptions!$B$5),0)</f>
        <v/>
      </c>
      <c r="H43" s="8">
        <f>IF(H$2=Assumptions!$B$53,Assumptions!$B$51*Assumptions!$B$8*MAX(0,4*Assumptions!$B$5-Assumptions!$B$9-H$2)/(4*Assumptions!$B$5),0)</f>
        <v/>
      </c>
      <c r="I43" s="8">
        <f>IF(I$2=Assumptions!$B$53,Assumptions!$B$51*Assumptions!$B$8*MAX(0,4*Assumptions!$B$5-Assumptions!$B$9-I$2)/(4*Assumptions!$B$5),0)</f>
        <v/>
      </c>
      <c r="J43" s="8">
        <f>IF(J$2=Assumptions!$B$53,Assumptions!$B$51*Assumptions!$B$8*MAX(0,4*Assumptions!$B$5-Assumptions!$B$9-J$2)/(4*Assumptions!$B$5),0)</f>
        <v/>
      </c>
      <c r="K43" s="8">
        <f>IF(K$2=Assumptions!$B$53,Assumptions!$B$51*Assumptions!$B$8*MAX(0,4*Assumptions!$B$5-Assumptions!$B$9-K$2)/(4*Assumptions!$B$5),0)</f>
        <v/>
      </c>
      <c r="L43" s="8">
        <f>IF(L$2=Assumptions!$B$53,Assumptions!$B$51*Assumptions!$B$8*MAX(0,4*Assumptions!$B$5-Assumptions!$B$9-L$2)/(4*Assumptions!$B$5),0)</f>
        <v/>
      </c>
      <c r="M43" s="8">
        <f>IF(M$2=Assumptions!$B$53,Assumptions!$B$51*Assumptions!$B$8*MAX(0,4*Assumptions!$B$5-Assumptions!$B$9-M$2)/(4*Assumptions!$B$5),0)</f>
        <v/>
      </c>
      <c r="N43" s="8">
        <f>IF(N$2=Assumptions!$B$53,Assumptions!$B$51*Assumptions!$B$8*MAX(0,4*Assumptions!$B$5-Assumptions!$B$9-N$2)/(4*Assumptions!$B$5),0)</f>
        <v/>
      </c>
      <c r="O43" s="8">
        <f>IF(O$2=Assumptions!$B$53,Assumptions!$B$51*Assumptions!$B$8*MAX(0,4*Assumptions!$B$5-Assumptions!$B$9-O$2)/(4*Assumptions!$B$5),0)</f>
        <v/>
      </c>
      <c r="P43" s="8">
        <f>IF(P$2=Assumptions!$B$53,Assumptions!$B$51*Assumptions!$B$8*MAX(0,4*Assumptions!$B$5-Assumptions!$B$9-P$2)/(4*Assumptions!$B$5),0)</f>
        <v/>
      </c>
      <c r="Q43" s="8">
        <f>IF(Q$2=Assumptions!$B$53,Assumptions!$B$51*Assumptions!$B$8*MAX(0,4*Assumptions!$B$5-Assumptions!$B$9-Q$2)/(4*Assumptions!$B$5),0)</f>
        <v/>
      </c>
      <c r="R43" s="8">
        <f>IF(R$2=Assumptions!$B$53,Assumptions!$B$51*Assumptions!$B$8*MAX(0,4*Assumptions!$B$5-Assumptions!$B$9-R$2)/(4*Assumptions!$B$5),0)</f>
        <v/>
      </c>
      <c r="S43" s="8">
        <f>IF(S$2=Assumptions!$B$53,Assumptions!$B$51*Assumptions!$B$8*MAX(0,4*Assumptions!$B$5-Assumptions!$B$9-S$2)/(4*Assumptions!$B$5),0)</f>
        <v/>
      </c>
      <c r="T43" s="8">
        <f>IF(T$2=Assumptions!$B$53,Assumptions!$B$51*Assumptions!$B$8*MAX(0,4*Assumptions!$B$5-Assumptions!$B$9-T$2)/(4*Assumptions!$B$5),0)</f>
        <v/>
      </c>
    </row>
    <row r="44">
      <c r="A44" s="2" t="inlineStr">
        <is>
          <t xml:space="preserve">  Total D&amp;A</t>
        </is>
      </c>
      <c r="B44" t="inlineStr">
        <is>
          <t>$M</t>
        </is>
      </c>
      <c r="C44" s="8">
        <f>C40+C41+C42</f>
        <v/>
      </c>
      <c r="D44" s="8">
        <f>D40+D41+D42</f>
        <v/>
      </c>
      <c r="E44" s="8">
        <f>E40+E41+E42</f>
        <v/>
      </c>
      <c r="F44" s="8">
        <f>F40+F41+F42</f>
        <v/>
      </c>
      <c r="G44" s="8">
        <f>G40+G41+G42</f>
        <v/>
      </c>
      <c r="H44" s="8">
        <f>H40+H41+H42</f>
        <v/>
      </c>
      <c r="I44" s="8">
        <f>I40+I41+I42</f>
        <v/>
      </c>
      <c r="J44" s="8">
        <f>J40+J41+J42</f>
        <v/>
      </c>
      <c r="K44" s="8">
        <f>K40+K41+K42</f>
        <v/>
      </c>
      <c r="L44" s="8">
        <f>L40+L41+L42</f>
        <v/>
      </c>
      <c r="M44" s="8">
        <f>M40+M41+M42</f>
        <v/>
      </c>
      <c r="N44" s="8">
        <f>N40+N41+N42</f>
        <v/>
      </c>
      <c r="O44" s="8">
        <f>O40+O41+O42</f>
        <v/>
      </c>
      <c r="P44" s="8">
        <f>P40+P41+P42</f>
        <v/>
      </c>
      <c r="Q44" s="8">
        <f>Q40+Q41+Q42</f>
        <v/>
      </c>
      <c r="R44" s="8">
        <f>R40+R41+R42</f>
        <v/>
      </c>
      <c r="S44" s="8">
        <f>S40+S41+S42</f>
        <v/>
      </c>
      <c r="T44" s="8">
        <f>T40+T41+T42</f>
        <v/>
      </c>
    </row>
    <row r="45">
      <c r="A45" s="2" t="inlineStr">
        <is>
          <t xml:space="preserve">  EBIT (adj.; pre-SBC) = EBITDA - D&amp;A - impairment</t>
        </is>
      </c>
      <c r="B45" t="inlineStr">
        <is>
          <t>$M</t>
        </is>
      </c>
      <c r="C45" s="8">
        <f>C$7-C44-C43</f>
        <v/>
      </c>
      <c r="D45" s="8">
        <f>D$7-D44-D43</f>
        <v/>
      </c>
      <c r="E45" s="8">
        <f>E$7-E44-E43</f>
        <v/>
      </c>
      <c r="F45" s="8">
        <f>F$7-F44-F43</f>
        <v/>
      </c>
      <c r="G45" s="8">
        <f>G$7-G44-G43</f>
        <v/>
      </c>
      <c r="H45" s="8">
        <f>H$7-H44-H43</f>
        <v/>
      </c>
      <c r="I45" s="8">
        <f>I$7-I44-I43</f>
        <v/>
      </c>
      <c r="J45" s="8">
        <f>J$7-J44-J43</f>
        <v/>
      </c>
      <c r="K45" s="8">
        <f>K$7-K44-K43</f>
        <v/>
      </c>
      <c r="L45" s="8">
        <f>L$7-L44-L43</f>
        <v/>
      </c>
      <c r="M45" s="8">
        <f>M$7-M44-M43</f>
        <v/>
      </c>
      <c r="N45" s="8">
        <f>N$7-N44-N43</f>
        <v/>
      </c>
      <c r="O45" s="8">
        <f>O$7-O44-O43</f>
        <v/>
      </c>
      <c r="P45" s="8">
        <f>P$7-P44-P43</f>
        <v/>
      </c>
      <c r="Q45" s="8">
        <f>Q$7-Q44-Q43</f>
        <v/>
      </c>
      <c r="R45" s="8">
        <f>R$7-R44-R43</f>
        <v/>
      </c>
      <c r="S45" s="8">
        <f>S$7-S44-S43</f>
        <v/>
      </c>
      <c r="T45" s="8">
        <f>T$7-T44-T43</f>
        <v/>
      </c>
    </row>
    <row r="46">
      <c r="A46" s="4" t="inlineStr">
        <is>
          <t xml:space="preserve">  EBIT margin</t>
        </is>
      </c>
      <c r="B46" t="inlineStr">
        <is>
          <t>%</t>
        </is>
      </c>
      <c r="C46" s="9">
        <f>C45/C$6</f>
        <v/>
      </c>
      <c r="D46" s="9">
        <f>D45/D$6</f>
        <v/>
      </c>
      <c r="E46" s="9">
        <f>E45/E$6</f>
        <v/>
      </c>
      <c r="F46" s="9">
        <f>F45/F$6</f>
        <v/>
      </c>
      <c r="G46" s="9">
        <f>G45/G$6</f>
        <v/>
      </c>
      <c r="H46" s="9">
        <f>H45/H$6</f>
        <v/>
      </c>
      <c r="I46" s="9">
        <f>I45/I$6</f>
        <v/>
      </c>
      <c r="J46" s="9">
        <f>J45/J$6</f>
        <v/>
      </c>
      <c r="K46" s="9">
        <f>K45/K$6</f>
        <v/>
      </c>
      <c r="L46" s="9">
        <f>L45/L$6</f>
        <v/>
      </c>
      <c r="M46" s="9">
        <f>M45/M$6</f>
        <v/>
      </c>
      <c r="N46" s="9">
        <f>N45/N$6</f>
        <v/>
      </c>
      <c r="O46" s="9">
        <f>O45/O$6</f>
        <v/>
      </c>
      <c r="P46" s="9">
        <f>P45/P$6</f>
        <v/>
      </c>
      <c r="Q46" s="9">
        <f>Q45/Q$6</f>
        <v/>
      </c>
      <c r="R46" s="9">
        <f>R45/R$6</f>
        <v/>
      </c>
      <c r="S46" s="9">
        <f>S45/S$6</f>
        <v/>
      </c>
      <c r="T46" s="9">
        <f>T45/T$6</f>
        <v/>
      </c>
    </row>
    <row r="47">
      <c r="A47" s="4" t="inlineStr">
        <is>
          <t xml:space="preserve">  D&amp;A / revenue</t>
        </is>
      </c>
      <c r="B47" t="inlineStr">
        <is>
          <t>%</t>
        </is>
      </c>
      <c r="C47" s="9">
        <f>C44/C$6</f>
        <v/>
      </c>
      <c r="D47" s="9">
        <f>D44/D$6</f>
        <v/>
      </c>
      <c r="E47" s="9">
        <f>E44/E$6</f>
        <v/>
      </c>
      <c r="F47" s="9">
        <f>F44/F$6</f>
        <v/>
      </c>
      <c r="G47" s="9">
        <f>G44/G$6</f>
        <v/>
      </c>
      <c r="H47" s="9">
        <f>H44/H$6</f>
        <v/>
      </c>
      <c r="I47" s="9">
        <f>I44/I$6</f>
        <v/>
      </c>
      <c r="J47" s="9">
        <f>J44/J$6</f>
        <v/>
      </c>
      <c r="K47" s="9">
        <f>K44/K$6</f>
        <v/>
      </c>
      <c r="L47" s="9">
        <f>L44/L$6</f>
        <v/>
      </c>
      <c r="M47" s="9">
        <f>M44/M$6</f>
        <v/>
      </c>
      <c r="N47" s="9">
        <f>N44/N$6</f>
        <v/>
      </c>
      <c r="O47" s="9">
        <f>O44/O$6</f>
        <v/>
      </c>
      <c r="P47" s="9">
        <f>P44/P$6</f>
        <v/>
      </c>
      <c r="Q47" s="9">
        <f>Q44/Q$6</f>
        <v/>
      </c>
      <c r="R47" s="9">
        <f>R44/R$6</f>
        <v/>
      </c>
      <c r="S47" s="9">
        <f>S44/S$6</f>
        <v/>
      </c>
      <c r="T47" s="9">
        <f>T44/T$6</f>
        <v/>
      </c>
    </row>
    <row r="50">
      <c r="A50" s="4" t="inlineStr">
        <is>
          <t>Cash interest (coupons + loan)</t>
        </is>
      </c>
      <c r="B50" t="inlineStr">
        <is>
          <t>$M</t>
        </is>
      </c>
      <c r="C50" s="8">
        <f>Assumptions!$B$47</f>
        <v/>
      </c>
      <c r="D50" s="8">
        <f>Assumptions!$B$47</f>
        <v/>
      </c>
      <c r="E50" s="8">
        <f>Assumptions!$B$47</f>
        <v/>
      </c>
      <c r="F50" s="8">
        <f>Assumptions!$B$47</f>
        <v/>
      </c>
      <c r="G50" s="8">
        <f>Assumptions!$B$47</f>
        <v/>
      </c>
      <c r="H50" s="8">
        <f>Assumptions!$B$47</f>
        <v/>
      </c>
      <c r="I50" s="8">
        <f>Assumptions!$B$47</f>
        <v/>
      </c>
      <c r="J50" s="8">
        <f>Assumptions!$B$47</f>
        <v/>
      </c>
      <c r="K50" s="8">
        <f>Assumptions!$B$47</f>
        <v/>
      </c>
      <c r="L50" s="8">
        <f>Assumptions!$B$47</f>
        <v/>
      </c>
      <c r="M50" s="8">
        <f>Assumptions!$B$47</f>
        <v/>
      </c>
      <c r="N50" s="8">
        <f>Assumptions!$B$47</f>
        <v/>
      </c>
      <c r="O50" s="8">
        <f>Assumptions!$B$47</f>
        <v/>
      </c>
      <c r="P50" s="8">
        <f>Assumptions!$B$47</f>
        <v/>
      </c>
      <c r="Q50" s="8">
        <f>Assumptions!$B$47</f>
        <v/>
      </c>
      <c r="R50" s="8">
        <f>Assumptions!$B$47</f>
        <v/>
      </c>
      <c r="S50" s="8">
        <f>Assumptions!$B$47</f>
        <v/>
      </c>
      <c r="T50" s="8">
        <f>Assumptions!$B$47</f>
        <v/>
      </c>
    </row>
    <row r="51">
      <c r="A51" s="4" t="inlineStr">
        <is>
          <t>Interest on funding beyond pro forma cash</t>
        </is>
      </c>
      <c r="B51" t="inlineStr">
        <is>
          <t>$M</t>
        </is>
      </c>
      <c r="C51" s="8">
        <f>MAX(0,-Assumptions!$B$49)*Assumptions!$B$48/4</f>
        <v/>
      </c>
      <c r="D51" s="8">
        <f>MAX(0,-C55-Assumptions!$B$49)*Assumptions!$B$48/4</f>
        <v/>
      </c>
      <c r="E51" s="8">
        <f>MAX(0,-D55-Assumptions!$B$49)*Assumptions!$B$48/4</f>
        <v/>
      </c>
      <c r="F51" s="8">
        <f>MAX(0,-E55-Assumptions!$B$49)*Assumptions!$B$48/4</f>
        <v/>
      </c>
      <c r="G51" s="8">
        <f>MAX(0,-F55-Assumptions!$B$49)*Assumptions!$B$48/4</f>
        <v/>
      </c>
      <c r="H51" s="8">
        <f>MAX(0,-G55-Assumptions!$B$49)*Assumptions!$B$48/4</f>
        <v/>
      </c>
      <c r="I51" s="8">
        <f>MAX(0,-H55-Assumptions!$B$49)*Assumptions!$B$48/4</f>
        <v/>
      </c>
      <c r="J51" s="8">
        <f>MAX(0,-I55-Assumptions!$B$49)*Assumptions!$B$48/4</f>
        <v/>
      </c>
      <c r="K51" s="8">
        <f>MAX(0,-J55-Assumptions!$B$49)*Assumptions!$B$48/4</f>
        <v/>
      </c>
      <c r="L51" s="8">
        <f>MAX(0,-K55-Assumptions!$B$49)*Assumptions!$B$48/4</f>
        <v/>
      </c>
      <c r="M51" s="8">
        <f>MAX(0,-L55-Assumptions!$B$49)*Assumptions!$B$48/4</f>
        <v/>
      </c>
      <c r="N51" s="8">
        <f>MAX(0,-M55-Assumptions!$B$49)*Assumptions!$B$48/4</f>
        <v/>
      </c>
      <c r="O51" s="8">
        <f>MAX(0,-N55-Assumptions!$B$49)*Assumptions!$B$48/4</f>
        <v/>
      </c>
      <c r="P51" s="8">
        <f>MAX(0,-O55-Assumptions!$B$49)*Assumptions!$B$48/4</f>
        <v/>
      </c>
      <c r="Q51" s="8">
        <f>MAX(0,-P55-Assumptions!$B$49)*Assumptions!$B$48/4</f>
        <v/>
      </c>
      <c r="R51" s="8">
        <f>MAX(0,-Q55-Assumptions!$B$49)*Assumptions!$B$48/4</f>
        <v/>
      </c>
      <c r="S51" s="8">
        <f>MAX(0,-R55-Assumptions!$B$49)*Assumptions!$B$48/4</f>
        <v/>
      </c>
      <c r="T51" s="8">
        <f>MAX(0,-S55-Assumptions!$B$49)*Assumptions!$B$48/4</f>
        <v/>
      </c>
    </row>
    <row r="52">
      <c r="A52" s="2" t="inlineStr">
        <is>
          <t>FY28 consensus-implied EBITDA yield on avg gross GPU in service</t>
        </is>
      </c>
      <c r="C52" s="9">
        <f>Assumptions!$B$24/AVERAGE(I16:L16)</f>
        <v/>
      </c>
    </row>
    <row r="54">
      <c r="A54" s="2" t="inlineStr">
        <is>
          <t>FCF = EBITDA - capex - cash interest (pre-WC/prepayments, pre-tax; independent of book life)</t>
        </is>
      </c>
      <c r="B54" t="inlineStr">
        <is>
          <t>$M</t>
        </is>
      </c>
      <c r="C54" s="8">
        <f>C7-C10-C50-C51</f>
        <v/>
      </c>
      <c r="D54" s="8">
        <f>D7-D10-D50-D51</f>
        <v/>
      </c>
      <c r="E54" s="8">
        <f>E7-E10-E50-E51</f>
        <v/>
      </c>
      <c r="F54" s="8">
        <f>F7-F10-F50-F51</f>
        <v/>
      </c>
      <c r="G54" s="8">
        <f>G7-G10-G50-G51</f>
        <v/>
      </c>
      <c r="H54" s="8">
        <f>H7-H10-H50-H51</f>
        <v/>
      </c>
      <c r="I54" s="8">
        <f>I7-I10-I50-I51</f>
        <v/>
      </c>
      <c r="J54" s="8">
        <f>J7-J10-J50-J51</f>
        <v/>
      </c>
      <c r="K54" s="8">
        <f>K7-K10-K50-K51</f>
        <v/>
      </c>
      <c r="L54" s="8">
        <f>L7-L10-L50-L51</f>
        <v/>
      </c>
      <c r="M54" s="8">
        <f>M7-M10-M50-M51</f>
        <v/>
      </c>
      <c r="N54" s="8">
        <f>N7-N10-N50-N51</f>
        <v/>
      </c>
      <c r="O54" s="8">
        <f>O7-O10-O50-O51</f>
        <v/>
      </c>
      <c r="P54" s="8">
        <f>P7-P10-P50-P51</f>
        <v/>
      </c>
      <c r="Q54" s="8">
        <f>Q7-Q10-Q50-Q51</f>
        <v/>
      </c>
      <c r="R54" s="8">
        <f>R7-R10-R50-R51</f>
        <v/>
      </c>
      <c r="S54" s="8">
        <f>S7-S10-S50-S51</f>
        <v/>
      </c>
      <c r="T54" s="8">
        <f>T7-T10-T50-T51</f>
        <v/>
      </c>
    </row>
    <row r="55">
      <c r="A55" s="4" t="inlineStr">
        <is>
          <t>Cumulative FCF from Q3'26</t>
        </is>
      </c>
      <c r="B55" t="inlineStr">
        <is>
          <t>$M</t>
        </is>
      </c>
      <c r="C55" s="8">
        <f>SUM($C$54:C54)</f>
        <v/>
      </c>
      <c r="D55" s="8">
        <f>SUM($C$54:D54)</f>
        <v/>
      </c>
      <c r="E55" s="8">
        <f>SUM($C$54:E54)</f>
        <v/>
      </c>
      <c r="F55" s="8">
        <f>SUM($C$54:F54)</f>
        <v/>
      </c>
      <c r="G55" s="8">
        <f>SUM($C$54:G54)</f>
        <v/>
      </c>
      <c r="H55" s="8">
        <f>SUM($C$54:H54)</f>
        <v/>
      </c>
      <c r="I55" s="8">
        <f>SUM($C$54:I54)</f>
        <v/>
      </c>
      <c r="J55" s="8">
        <f>SUM($C$54:J54)</f>
        <v/>
      </c>
      <c r="K55" s="8">
        <f>SUM($C$54:K54)</f>
        <v/>
      </c>
      <c r="L55" s="8">
        <f>SUM($C$54:L54)</f>
        <v/>
      </c>
      <c r="M55" s="8">
        <f>SUM($C$54:M54)</f>
        <v/>
      </c>
      <c r="N55" s="8">
        <f>SUM($C$54:N54)</f>
        <v/>
      </c>
      <c r="O55" s="8">
        <f>SUM($C$54:O54)</f>
        <v/>
      </c>
      <c r="P55" s="8">
        <f>SUM($C$54:P54)</f>
        <v/>
      </c>
      <c r="Q55" s="8">
        <f>SUM($C$54:Q54)</f>
        <v/>
      </c>
      <c r="R55" s="8">
        <f>SUM($C$54:R54)</f>
        <v/>
      </c>
      <c r="S55" s="8">
        <f>SUM($C$54:S54)</f>
        <v/>
      </c>
      <c r="T55" s="8">
        <f>SUM($C$54:T54)</f>
        <v/>
      </c>
    </row>
    <row r="56">
      <c r="A56" s="4" t="inlineStr">
        <is>
          <t>External funding need beyond pro forma cash</t>
        </is>
      </c>
      <c r="B56" t="inlineStr">
        <is>
          <t>$M</t>
        </is>
      </c>
      <c r="C56" s="8">
        <f>MAX(0,-C55-Assumptions!$B$49)</f>
        <v/>
      </c>
      <c r="D56" s="8">
        <f>MAX(0,-D55-Assumptions!$B$49)</f>
        <v/>
      </c>
      <c r="E56" s="8">
        <f>MAX(0,-E55-Assumptions!$B$49)</f>
        <v/>
      </c>
      <c r="F56" s="8">
        <f>MAX(0,-F55-Assumptions!$B$49)</f>
        <v/>
      </c>
      <c r="G56" s="8">
        <f>MAX(0,-G55-Assumptions!$B$49)</f>
        <v/>
      </c>
      <c r="H56" s="8">
        <f>MAX(0,-H55-Assumptions!$B$49)</f>
        <v/>
      </c>
      <c r="I56" s="8">
        <f>MAX(0,-I55-Assumptions!$B$49)</f>
        <v/>
      </c>
      <c r="J56" s="8">
        <f>MAX(0,-J55-Assumptions!$B$49)</f>
        <v/>
      </c>
      <c r="K56" s="8">
        <f>MAX(0,-K55-Assumptions!$B$49)</f>
        <v/>
      </c>
      <c r="L56" s="8">
        <f>MAX(0,-L55-Assumptions!$B$49)</f>
        <v/>
      </c>
      <c r="M56" s="8">
        <f>MAX(0,-M55-Assumptions!$B$49)</f>
        <v/>
      </c>
      <c r="N56" s="8">
        <f>MAX(0,-N55-Assumptions!$B$49)</f>
        <v/>
      </c>
      <c r="O56" s="8">
        <f>MAX(0,-O55-Assumptions!$B$49)</f>
        <v/>
      </c>
      <c r="P56" s="8">
        <f>MAX(0,-P55-Assumptions!$B$49)</f>
        <v/>
      </c>
      <c r="Q56" s="8">
        <f>MAX(0,-Q55-Assumptions!$B$49)</f>
        <v/>
      </c>
      <c r="R56" s="8">
        <f>MAX(0,-R55-Assumptions!$B$49)</f>
        <v/>
      </c>
      <c r="S56" s="8">
        <f>MAX(0,-S55-Assumptions!$B$49)</f>
        <v/>
      </c>
      <c r="T56" s="8">
        <f>MAX(0,-T55-Assumptions!$B$49)</f>
        <v/>
      </c>
    </row>
    <row r="57">
      <c r="A57" s="4" t="inlineStr">
        <is>
          <t>Discount factor (from ~Oct-26)</t>
        </is>
      </c>
      <c r="B57" t="inlineStr">
        <is>
          <t>x</t>
        </is>
      </c>
      <c r="C57" s="10">
        <f>(1+Assumptions!$B$55)^(-C$2/4)</f>
        <v/>
      </c>
      <c r="D57" s="10">
        <f>(1+Assumptions!$B$55)^(-D$2/4)</f>
        <v/>
      </c>
      <c r="E57" s="10">
        <f>(1+Assumptions!$B$55)^(-E$2/4)</f>
        <v/>
      </c>
      <c r="F57" s="10">
        <f>(1+Assumptions!$B$55)^(-F$2/4)</f>
        <v/>
      </c>
      <c r="G57" s="10">
        <f>(1+Assumptions!$B$55)^(-G$2/4)</f>
        <v/>
      </c>
      <c r="H57" s="10">
        <f>(1+Assumptions!$B$55)^(-H$2/4)</f>
        <v/>
      </c>
      <c r="I57" s="10">
        <f>(1+Assumptions!$B$55)^(-I$2/4)</f>
        <v/>
      </c>
      <c r="J57" s="10">
        <f>(1+Assumptions!$B$55)^(-J$2/4)</f>
        <v/>
      </c>
      <c r="K57" s="10">
        <f>(1+Assumptions!$B$55)^(-K$2/4)</f>
        <v/>
      </c>
      <c r="L57" s="10">
        <f>(1+Assumptions!$B$55)^(-L$2/4)</f>
        <v/>
      </c>
      <c r="M57" s="10">
        <f>(1+Assumptions!$B$55)^(-M$2/4)</f>
        <v/>
      </c>
      <c r="N57" s="10">
        <f>(1+Assumptions!$B$55)^(-N$2/4)</f>
        <v/>
      </c>
      <c r="O57" s="10">
        <f>(1+Assumptions!$B$55)^(-O$2/4)</f>
        <v/>
      </c>
      <c r="P57" s="10">
        <f>(1+Assumptions!$B$55)^(-P$2/4)</f>
        <v/>
      </c>
      <c r="Q57" s="10">
        <f>(1+Assumptions!$B$55)^(-Q$2/4)</f>
        <v/>
      </c>
      <c r="R57" s="10">
        <f>(1+Assumptions!$B$55)^(-R$2/4)</f>
        <v/>
      </c>
      <c r="S57" s="10">
        <f>(1+Assumptions!$B$55)^(-S$2/4)</f>
        <v/>
      </c>
      <c r="T57" s="10">
        <f>(1+Assumptions!$B$55)^(-T$2/4)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44" customWidth="1" min="1" max="1"/>
    <col width="30" customWidth="1" min="2" max="2"/>
  </cols>
  <sheetData>
    <row r="1">
      <c r="A1" s="1" t="inlineStr">
        <is>
          <t>$M</t>
        </is>
      </c>
      <c r="B1" s="1" t="inlineStr">
        <is>
          <t>Basis</t>
        </is>
      </c>
      <c r="C1" s="1" t="inlineStr">
        <is>
          <t>FY2026</t>
        </is>
      </c>
      <c r="D1" s="1" t="inlineStr">
        <is>
          <t>FY2027</t>
        </is>
      </c>
      <c r="E1" s="1" t="inlineStr">
        <is>
          <t>FY2028</t>
        </is>
      </c>
      <c r="F1" s="1" t="inlineStr">
        <is>
          <t>FY2029</t>
        </is>
      </c>
      <c r="G1" s="1" t="inlineStr">
        <is>
          <t>FY2030</t>
        </is>
      </c>
    </row>
    <row r="2">
      <c r="A2" t="inlineStr">
        <is>
          <t>Revenue</t>
        </is>
      </c>
      <c r="B2" t="inlineStr">
        <is>
          <t>FY26 incl. 1H actual</t>
        </is>
      </c>
      <c r="C2" s="8">
        <f>SUMIF(Model!$C$3:$T$3,2026,Model!$C$6:$T$6)+Assumptions!$B$32</f>
        <v/>
      </c>
      <c r="D2" s="8">
        <f>SUMIF(Model!$C$3:$T$3,2027,Model!$C$6:$T$6)</f>
        <v/>
      </c>
      <c r="E2" s="8">
        <f>SUMIF(Model!$C$3:$T$3,2028,Model!$C$6:$T$6)</f>
        <v/>
      </c>
      <c r="F2" s="8">
        <f>SUMIF(Model!$C$3:$T$3,2029,Model!$C$6:$T$6)</f>
        <v/>
      </c>
      <c r="G2" s="8">
        <f>SUMIF(Model!$C$3:$T$3,2030,Model!$C$6:$T$6)</f>
        <v/>
      </c>
    </row>
    <row r="3">
      <c r="A3" t="inlineStr">
        <is>
          <t>Adj. EBITDA</t>
        </is>
      </c>
      <c r="B3" t="inlineStr">
        <is>
          <t>FY26 incl. 1H actual</t>
        </is>
      </c>
      <c r="C3" s="8">
        <f>SUMIF(Model!$C$3:$T$3,2026,Model!$C$7:$T$7)+Assumptions!$B$33</f>
        <v/>
      </c>
      <c r="D3" s="8">
        <f>SUMIF(Model!$C$3:$T$3,2027,Model!$C$7:$T$7)</f>
        <v/>
      </c>
      <c r="E3" s="8">
        <f>SUMIF(Model!$C$3:$T$3,2028,Model!$C$7:$T$7)</f>
        <v/>
      </c>
      <c r="F3" s="8">
        <f>SUMIF(Model!$C$3:$T$3,2029,Model!$C$7:$T$7)</f>
        <v/>
      </c>
      <c r="G3" s="8">
        <f>SUMIF(Model!$C$3:$T$3,2030,Model!$C$7:$T$7)</f>
        <v/>
      </c>
    </row>
    <row r="4">
      <c r="A4" t="inlineStr">
        <is>
          <t>Capex</t>
        </is>
      </c>
      <c r="B4" t="inlineStr">
        <is>
          <t>FY26 incl. 1H actual</t>
        </is>
      </c>
      <c r="C4" s="8">
        <f>SUMIF(Model!$C$3:$T$3,2026,Model!$C$10:$T$10)+Assumptions!$B$17</f>
        <v/>
      </c>
      <c r="D4" s="8">
        <f>SUMIF(Model!$C$3:$T$3,2027,Model!$C$10:$T$10)</f>
        <v/>
      </c>
      <c r="E4" s="8">
        <f>SUMIF(Model!$C$3:$T$3,2028,Model!$C$10:$T$10)</f>
        <v/>
      </c>
      <c r="F4" s="8">
        <f>SUMIF(Model!$C$3:$T$3,2029,Model!$C$10:$T$10)</f>
        <v/>
      </c>
      <c r="G4" s="8">
        <f>SUMIF(Model!$C$3:$T$3,2030,Model!$C$10:$T$10)</f>
        <v/>
      </c>
    </row>
    <row r="5">
      <c r="A5" t="inlineStr">
        <is>
          <t>D&amp;A @ 4-yr</t>
        </is>
      </c>
      <c r="B5" t="inlineStr">
        <is>
          <t>FY26 1H restated to life (D)</t>
        </is>
      </c>
      <c r="C5" s="8">
        <f>SUMIF(Model!$C$3:$T$3,2026,Model!$C$24:$T$24)+(Assumptions!$B$34-4*Assumptions!$B$35+4*Assumptions!$B$35*5/Assumptions!$B$3)</f>
        <v/>
      </c>
      <c r="D5" s="8">
        <f>SUMIF(Model!$C$3:$T$3,2027,Model!$C$24:$T$24)</f>
        <v/>
      </c>
      <c r="E5" s="8">
        <f>SUMIF(Model!$C$3:$T$3,2028,Model!$C$24:$T$24)</f>
        <v/>
      </c>
      <c r="F5" s="8">
        <f>SUMIF(Model!$C$3:$T$3,2029,Model!$C$24:$T$24)</f>
        <v/>
      </c>
      <c r="G5" s="8">
        <f>SUMIF(Model!$C$3:$T$3,2030,Model!$C$24:$T$24)</f>
        <v/>
      </c>
    </row>
    <row r="6">
      <c r="A6" t="inlineStr">
        <is>
          <t>Impairment @ 4-yr</t>
        </is>
      </c>
      <c r="B6" t="inlineStr"/>
      <c r="C6" s="8">
        <f>SUMIF(Model!$C$3:$T$3,2026,Model!$C$23:$T$23)</f>
        <v/>
      </c>
      <c r="D6" s="8">
        <f>SUMIF(Model!$C$3:$T$3,2027,Model!$C$23:$T$23)</f>
        <v/>
      </c>
      <c r="E6" s="8">
        <f>SUMIF(Model!$C$3:$T$3,2028,Model!$C$23:$T$23)</f>
        <v/>
      </c>
      <c r="F6" s="8">
        <f>SUMIF(Model!$C$3:$T$3,2029,Model!$C$23:$T$23)</f>
        <v/>
      </c>
      <c r="G6" s="8">
        <f>SUMIF(Model!$C$3:$T$3,2030,Model!$C$23:$T$23)</f>
        <v/>
      </c>
    </row>
    <row r="7">
      <c r="A7" t="inlineStr">
        <is>
          <t>EBIT @ 4-yr</t>
        </is>
      </c>
      <c r="B7" t="inlineStr">
        <is>
          <t>EBITDA less D&amp;A less impairment</t>
        </is>
      </c>
      <c r="C7" s="8">
        <f>C3-C5-C6</f>
        <v/>
      </c>
      <c r="D7" s="8">
        <f>D3-D5-D6</f>
        <v/>
      </c>
      <c r="E7" s="8">
        <f>E3-E5-E6</f>
        <v/>
      </c>
      <c r="F7" s="8">
        <f>F3-F5-F6</f>
        <v/>
      </c>
      <c r="G7" s="8">
        <f>G3-G5-G6</f>
        <v/>
      </c>
    </row>
    <row r="8">
      <c r="A8" t="inlineStr">
        <is>
          <t>EBIT margin @ 4-yr</t>
        </is>
      </c>
      <c r="B8" t="inlineStr"/>
      <c r="C8" s="8">
        <f>C7/C2</f>
        <v/>
      </c>
      <c r="D8" s="8">
        <f>D7/D2</f>
        <v/>
      </c>
      <c r="E8" s="8">
        <f>E7/E2</f>
        <v/>
      </c>
      <c r="F8" s="8">
        <f>F7/F2</f>
        <v/>
      </c>
      <c r="G8" s="8">
        <f>G7/G2</f>
        <v/>
      </c>
    </row>
    <row r="9">
      <c r="A9" t="inlineStr">
        <is>
          <t>D&amp;A @ 5-yr</t>
        </is>
      </c>
      <c r="B9" t="inlineStr">
        <is>
          <t>FY26 1H restated to life (D)</t>
        </is>
      </c>
      <c r="C9" s="9">
        <f>SUMIF(Model!$C$3:$T$3,2026,Model!$C$34:$T$34)+(Assumptions!$B$34-4*Assumptions!$B$35+4*Assumptions!$B$35*5/Assumptions!$B$4)</f>
        <v/>
      </c>
      <c r="D9" s="9">
        <f>SUMIF(Model!$C$3:$T$3,2027,Model!$C$34:$T$34)</f>
        <v/>
      </c>
      <c r="E9" s="9">
        <f>SUMIF(Model!$C$3:$T$3,2028,Model!$C$34:$T$34)</f>
        <v/>
      </c>
      <c r="F9" s="9">
        <f>SUMIF(Model!$C$3:$T$3,2029,Model!$C$34:$T$34)</f>
        <v/>
      </c>
      <c r="G9" s="9">
        <f>SUMIF(Model!$C$3:$T$3,2030,Model!$C$34:$T$34)</f>
        <v/>
      </c>
    </row>
    <row r="10">
      <c r="A10" t="inlineStr">
        <is>
          <t>Impairment @ 5-yr</t>
        </is>
      </c>
      <c r="B10" t="inlineStr"/>
      <c r="C10" s="8">
        <f>SUMIF(Model!$C$3:$T$3,2026,Model!$C$33:$T$33)</f>
        <v/>
      </c>
      <c r="D10" s="8">
        <f>SUMIF(Model!$C$3:$T$3,2027,Model!$C$33:$T$33)</f>
        <v/>
      </c>
      <c r="E10" s="8">
        <f>SUMIF(Model!$C$3:$T$3,2028,Model!$C$33:$T$33)</f>
        <v/>
      </c>
      <c r="F10" s="8">
        <f>SUMIF(Model!$C$3:$T$3,2029,Model!$C$33:$T$33)</f>
        <v/>
      </c>
      <c r="G10" s="8">
        <f>SUMIF(Model!$C$3:$T$3,2030,Model!$C$33:$T$33)</f>
        <v/>
      </c>
    </row>
    <row r="11">
      <c r="A11" t="inlineStr">
        <is>
          <t>EBIT @ 5-yr</t>
        </is>
      </c>
      <c r="B11" t="inlineStr">
        <is>
          <t>EBITDA less D&amp;A less impairment</t>
        </is>
      </c>
      <c r="C11" s="8">
        <f>C3-C9-C10</f>
        <v/>
      </c>
      <c r="D11" s="8">
        <f>D3-D9-D10</f>
        <v/>
      </c>
      <c r="E11" s="8">
        <f>E3-E9-E10</f>
        <v/>
      </c>
      <c r="F11" s="8">
        <f>F3-F9-F10</f>
        <v/>
      </c>
      <c r="G11" s="8">
        <f>G3-G9-G10</f>
        <v/>
      </c>
    </row>
    <row r="12">
      <c r="A12" t="inlineStr">
        <is>
          <t>EBIT margin @ 5-yr</t>
        </is>
      </c>
      <c r="B12" t="inlineStr"/>
      <c r="C12" s="8">
        <f>C11/C2</f>
        <v/>
      </c>
      <c r="D12" s="8">
        <f>D11/D2</f>
        <v/>
      </c>
      <c r="E12" s="8">
        <f>E11/E2</f>
        <v/>
      </c>
      <c r="F12" s="8">
        <f>F11/F2</f>
        <v/>
      </c>
      <c r="G12" s="8">
        <f>G11/G2</f>
        <v/>
      </c>
    </row>
    <row r="13">
      <c r="A13" t="inlineStr">
        <is>
          <t>D&amp;A @ 6-yr</t>
        </is>
      </c>
      <c r="B13" t="inlineStr">
        <is>
          <t>FY26 1H restated to life (D)</t>
        </is>
      </c>
      <c r="C13" s="9">
        <f>SUMIF(Model!$C$3:$T$3,2026,Model!$C$44:$T$44)+(Assumptions!$B$34-4*Assumptions!$B$35+4*Assumptions!$B$35*5/Assumptions!$B$5)</f>
        <v/>
      </c>
      <c r="D13" s="9">
        <f>SUMIF(Model!$C$3:$T$3,2027,Model!$C$44:$T$44)</f>
        <v/>
      </c>
      <c r="E13" s="9">
        <f>SUMIF(Model!$C$3:$T$3,2028,Model!$C$44:$T$44)</f>
        <v/>
      </c>
      <c r="F13" s="9">
        <f>SUMIF(Model!$C$3:$T$3,2029,Model!$C$44:$T$44)</f>
        <v/>
      </c>
      <c r="G13" s="9">
        <f>SUMIF(Model!$C$3:$T$3,2030,Model!$C$44:$T$44)</f>
        <v/>
      </c>
    </row>
    <row r="14">
      <c r="A14" t="inlineStr">
        <is>
          <t>Impairment @ 6-yr</t>
        </is>
      </c>
      <c r="B14" t="inlineStr"/>
      <c r="C14" s="8">
        <f>SUMIF(Model!$C$3:$T$3,2026,Model!$C$43:$T$43)</f>
        <v/>
      </c>
      <c r="D14" s="8">
        <f>SUMIF(Model!$C$3:$T$3,2027,Model!$C$43:$T$43)</f>
        <v/>
      </c>
      <c r="E14" s="8">
        <f>SUMIF(Model!$C$3:$T$3,2028,Model!$C$43:$T$43)</f>
        <v/>
      </c>
      <c r="F14" s="8">
        <f>SUMIF(Model!$C$3:$T$3,2029,Model!$C$43:$T$43)</f>
        <v/>
      </c>
      <c r="G14" s="8">
        <f>SUMIF(Model!$C$3:$T$3,2030,Model!$C$43:$T$43)</f>
        <v/>
      </c>
    </row>
    <row r="15">
      <c r="A15" t="inlineStr">
        <is>
          <t>EBIT @ 6-yr</t>
        </is>
      </c>
      <c r="B15" t="inlineStr">
        <is>
          <t>EBITDA less D&amp;A less impairment</t>
        </is>
      </c>
      <c r="C15" s="8">
        <f>C3-C13-C14</f>
        <v/>
      </c>
      <c r="D15" s="8">
        <f>D3-D13-D14</f>
        <v/>
      </c>
      <c r="E15" s="8">
        <f>E3-E13-E14</f>
        <v/>
      </c>
      <c r="F15" s="8">
        <f>F3-F13-F14</f>
        <v/>
      </c>
      <c r="G15" s="8">
        <f>G3-G13-G14</f>
        <v/>
      </c>
    </row>
    <row r="16">
      <c r="A16" t="inlineStr">
        <is>
          <t>EBIT margin @ 6-yr</t>
        </is>
      </c>
      <c r="B16" t="inlineStr"/>
      <c r="C16" s="8">
        <f>C15/C2</f>
        <v/>
      </c>
      <c r="D16" s="8">
        <f>D15/D2</f>
        <v/>
      </c>
      <c r="E16" s="8">
        <f>E15/E2</f>
        <v/>
      </c>
      <c r="F16" s="8">
        <f>F15/F2</f>
        <v/>
      </c>
      <c r="G16" s="8">
        <f>G15/G2</f>
        <v/>
      </c>
    </row>
    <row r="17">
      <c r="A17" t="inlineStr">
        <is>
          <t>Cash interest</t>
        </is>
      </c>
      <c r="B17" t="inlineStr">
        <is>
          <t>H2'26 only</t>
        </is>
      </c>
      <c r="C17" s="9">
        <f>SUMIF(Model!$C$3:$T$3,2026,Model!$C$50:$T$50)</f>
        <v/>
      </c>
      <c r="D17" s="9">
        <f>SUMIF(Model!$C$3:$T$3,2027,Model!$C$50:$T$50)</f>
        <v/>
      </c>
      <c r="E17" s="9">
        <f>SUMIF(Model!$C$3:$T$3,2028,Model!$C$50:$T$50)</f>
        <v/>
      </c>
      <c r="F17" s="9">
        <f>SUMIF(Model!$C$3:$T$3,2029,Model!$C$50:$T$50)</f>
        <v/>
      </c>
      <c r="G17" s="9">
        <f>SUMIF(Model!$C$3:$T$3,2030,Model!$C$50:$T$50)</f>
        <v/>
      </c>
    </row>
    <row r="18">
      <c r="A18" t="inlineStr">
        <is>
          <t>Interest on extra funding</t>
        </is>
      </c>
      <c r="B18" t="inlineStr"/>
      <c r="C18" s="8">
        <f>SUMIF(Model!$C$3:$T$3,2026,Model!$C$51:$T$51)</f>
        <v/>
      </c>
      <c r="D18" s="8">
        <f>SUMIF(Model!$C$3:$T$3,2027,Model!$C$51:$T$51)</f>
        <v/>
      </c>
      <c r="E18" s="8">
        <f>SUMIF(Model!$C$3:$T$3,2028,Model!$C$51:$T$51)</f>
        <v/>
      </c>
      <c r="F18" s="8">
        <f>SUMIF(Model!$C$3:$T$3,2029,Model!$C$51:$T$51)</f>
        <v/>
      </c>
      <c r="G18" s="8">
        <f>SUMIF(Model!$C$3:$T$3,2030,Model!$C$51:$T$51)</f>
        <v/>
      </c>
    </row>
    <row r="19">
      <c r="A19" t="inlineStr">
        <is>
          <t>FCF (EBITDA-capex-interest)</t>
        </is>
      </c>
      <c r="B19" t="inlineStr">
        <is>
          <t>FY26 = H2 only</t>
        </is>
      </c>
      <c r="C19" s="8">
        <f>SUMIF(Model!$C$3:$T$3,2026,Model!$C$54:$T$54)</f>
        <v/>
      </c>
      <c r="D19" s="8">
        <f>SUMIF(Model!$C$3:$T$3,2027,Model!$C$54:$T$54)</f>
        <v/>
      </c>
      <c r="E19" s="8">
        <f>SUMIF(Model!$C$3:$T$3,2028,Model!$C$54:$T$54)</f>
        <v/>
      </c>
      <c r="F19" s="8">
        <f>SUMIF(Model!$C$3:$T$3,2029,Model!$C$54:$T$54)</f>
        <v/>
      </c>
      <c r="G19" s="8">
        <f>SUMIF(Model!$C$3:$T$3,2030,Model!$C$54:$T$54)</f>
        <v/>
      </c>
    </row>
    <row r="20">
      <c r="A20" t="inlineStr">
        <is>
          <t>External funding need, year-end (cumulative)</t>
        </is>
      </c>
      <c r="B20" t="inlineStr"/>
      <c r="C20" s="8">
        <f>INDEX(Model!$C$56:$T$56,MATCH("Q4 2026",Model!$C$1:$T$1,0))</f>
        <v/>
      </c>
      <c r="D20" s="8">
        <f>INDEX(Model!$C$56:$T$56,MATCH("Q4 2027",Model!$C$1:$T$1,0))</f>
        <v/>
      </c>
      <c r="E20" s="8">
        <f>INDEX(Model!$C$56:$T$56,MATCH("Q4 2028",Model!$C$1:$T$1,0))</f>
        <v/>
      </c>
      <c r="F20" s="8">
        <f>INDEX(Model!$C$56:$T$56,MATCH("Q4 2029",Model!$C$1:$T$1,0))</f>
        <v/>
      </c>
      <c r="G20" s="8">
        <f>INDEX(Model!$C$56:$T$56,MATCH("Q4 2030",Model!$C$1:$T$1,0))</f>
        <v/>
      </c>
    </row>
    <row r="21">
      <c r="A21" t="inlineStr">
        <is>
          <t>Memo: consensus FCF (MarketScreener)</t>
        </is>
      </c>
      <c r="B21" t="inlineStr"/>
      <c r="C21" s="11" t="n">
        <v>-17500</v>
      </c>
      <c r="D21" s="11" t="n">
        <v>-23148</v>
      </c>
      <c r="E21" s="11" t="n">
        <v>-25500</v>
      </c>
      <c r="F21" s="8" t="inlineStr">
        <is>
          <t>n/a</t>
        </is>
      </c>
      <c r="G21" s="8" t="inlineStr">
        <is>
          <t>n/a</t>
        </is>
      </c>
    </row>
    <row r="22">
      <c r="A22" t="inlineStr">
        <is>
          <t>Memo: 1H26 D&amp;A at life L = 471.7 - 344.4 + 344.4x5/L, where 344.4 = 4 x 86.1 (since D4 - D5 = D5/4). FY26 company est. benefit: $167.6M on YE25 assets.</t>
        </is>
      </c>
      <c r="C22" s="8" t="n"/>
      <c r="D22" s="8" t="n"/>
      <c r="E22" s="8" t="n"/>
      <c r="F22" s="8" t="n"/>
      <c r="G22" s="8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s="1" t="inlineStr">
        <is>
          <t>Mark</t>
        </is>
      </c>
      <c r="B1" s="1" t="inlineStr">
        <is>
          <t>Quarter shown</t>
        </is>
      </c>
      <c r="C1" s="1" t="inlineStr">
        <is>
          <t>Run-rate (qtr x4) $M:</t>
        </is>
      </c>
      <c r="D1" s="1" t="inlineStr">
        <is>
          <t>EBITDA</t>
        </is>
      </c>
      <c r="E1" s="1" t="inlineStr">
        <is>
          <t>D&amp;A 4y</t>
        </is>
      </c>
      <c r="F1" s="1" t="inlineStr">
        <is>
          <t>D&amp;A 5y</t>
        </is>
      </c>
      <c r="G1" s="1" t="inlineStr">
        <is>
          <t>D&amp;A 6y</t>
        </is>
      </c>
      <c r="H1" s="1" t="inlineStr">
        <is>
          <t>EBIT 4y</t>
        </is>
      </c>
      <c r="I1" s="1" t="inlineStr">
        <is>
          <t>EBIT 5y</t>
        </is>
      </c>
      <c r="J1" s="1" t="inlineStr">
        <is>
          <t>EBIT 6y</t>
        </is>
      </c>
      <c r="K1" s="1" t="inlineStr">
        <is>
          <t>FCF</t>
        </is>
      </c>
      <c r="L1" s="1" t="inlineStr">
        <is>
          <t>Cum. external funding need</t>
        </is>
      </c>
    </row>
    <row r="2">
      <c r="A2" t="inlineStr">
        <is>
          <t>6-month (Apr-2027)</t>
        </is>
      </c>
      <c r="B2" s="12" t="inlineStr">
        <is>
          <t>Q1 2027</t>
        </is>
      </c>
      <c r="C2" t="inlineStr"/>
      <c r="D2" s="8">
        <f>INDEX(Model!$C$7:$T$7,MATCH($B2,Model!$C$1:$T$1,0))*4</f>
        <v/>
      </c>
      <c r="E2" s="8">
        <f>INDEX(Model!$C$24:$T$24,MATCH($B2,Model!$C$1:$T$1,0))*4</f>
        <v/>
      </c>
      <c r="F2" s="8">
        <f>INDEX(Model!$C$34:$T$34,MATCH($B2,Model!$C$1:$T$1,0))*4</f>
        <v/>
      </c>
      <c r="G2" s="8">
        <f>INDEX(Model!$C$44:$T$44,MATCH($B2,Model!$C$1:$T$1,0))*4</f>
        <v/>
      </c>
      <c r="H2" s="8">
        <f>INDEX(Model!$C$25:$T$25,MATCH($B2,Model!$C$1:$T$1,0))*4</f>
        <v/>
      </c>
      <c r="I2" s="8">
        <f>INDEX(Model!$C$35:$T$35,MATCH($B2,Model!$C$1:$T$1,0))*4</f>
        <v/>
      </c>
      <c r="J2" s="8">
        <f>INDEX(Model!$C$45:$T$45,MATCH($B2,Model!$C$1:$T$1,0))*4</f>
        <v/>
      </c>
      <c r="K2" s="8">
        <f>INDEX(Model!$C$54:$T$54,MATCH($B2,Model!$C$1:$T$1,0))*4</f>
        <v/>
      </c>
      <c r="L2" s="8">
        <f>INDEX(Model!$C$56:$T$56,MATCH($B2,Model!$C$1:$T$1,0))*1</f>
        <v/>
      </c>
    </row>
    <row r="3">
      <c r="A3" t="inlineStr">
        <is>
          <t>1-year (Oct-2027)</t>
        </is>
      </c>
      <c r="B3" s="12" t="inlineStr">
        <is>
          <t>Q3 2027</t>
        </is>
      </c>
      <c r="C3" t="inlineStr"/>
      <c r="D3" s="8">
        <f>INDEX(Model!$C$7:$T$7,MATCH($B3,Model!$C$1:$T$1,0))*4</f>
        <v/>
      </c>
      <c r="E3" s="8">
        <f>INDEX(Model!$C$24:$T$24,MATCH($B3,Model!$C$1:$T$1,0))*4</f>
        <v/>
      </c>
      <c r="F3" s="8">
        <f>INDEX(Model!$C$34:$T$34,MATCH($B3,Model!$C$1:$T$1,0))*4</f>
        <v/>
      </c>
      <c r="G3" s="8">
        <f>INDEX(Model!$C$44:$T$44,MATCH($B3,Model!$C$1:$T$1,0))*4</f>
        <v/>
      </c>
      <c r="H3" s="8">
        <f>INDEX(Model!$C$25:$T$25,MATCH($B3,Model!$C$1:$T$1,0))*4</f>
        <v/>
      </c>
      <c r="I3" s="8">
        <f>INDEX(Model!$C$35:$T$35,MATCH($B3,Model!$C$1:$T$1,0))*4</f>
        <v/>
      </c>
      <c r="J3" s="8">
        <f>INDEX(Model!$C$45:$T$45,MATCH($B3,Model!$C$1:$T$1,0))*4</f>
        <v/>
      </c>
      <c r="K3" s="8">
        <f>INDEX(Model!$C$54:$T$54,MATCH($B3,Model!$C$1:$T$1,0))*4</f>
        <v/>
      </c>
      <c r="L3" s="8">
        <f>INDEX(Model!$C$56:$T$56,MATCH($B3,Model!$C$1:$T$1,0))*1</f>
        <v/>
      </c>
    </row>
    <row r="4">
      <c r="A4" t="inlineStr">
        <is>
          <t>3-year (Oct-2029)</t>
        </is>
      </c>
      <c r="B4" s="12" t="inlineStr">
        <is>
          <t>Q3 2029</t>
        </is>
      </c>
      <c r="C4" t="inlineStr"/>
      <c r="D4" s="8">
        <f>INDEX(Model!$C$7:$T$7,MATCH($B4,Model!$C$1:$T$1,0))*4</f>
        <v/>
      </c>
      <c r="E4" s="8">
        <f>INDEX(Model!$C$24:$T$24,MATCH($B4,Model!$C$1:$T$1,0))*4</f>
        <v/>
      </c>
      <c r="F4" s="8">
        <f>INDEX(Model!$C$34:$T$34,MATCH($B4,Model!$C$1:$T$1,0))*4</f>
        <v/>
      </c>
      <c r="G4" s="8">
        <f>INDEX(Model!$C$44:$T$44,MATCH($B4,Model!$C$1:$T$1,0))*4</f>
        <v/>
      </c>
      <c r="H4" s="8">
        <f>INDEX(Model!$C$25:$T$25,MATCH($B4,Model!$C$1:$T$1,0))*4</f>
        <v/>
      </c>
      <c r="I4" s="8">
        <f>INDEX(Model!$C$35:$T$35,MATCH($B4,Model!$C$1:$T$1,0))*4</f>
        <v/>
      </c>
      <c r="J4" s="8">
        <f>INDEX(Model!$C$45:$T$45,MATCH($B4,Model!$C$1:$T$1,0))*4</f>
        <v/>
      </c>
      <c r="K4" s="8">
        <f>INDEX(Model!$C$54:$T$54,MATCH($B4,Model!$C$1:$T$1,0))*4</f>
        <v/>
      </c>
      <c r="L4" s="8">
        <f>INDEX(Model!$C$56:$T$56,MATCH($B4,Model!$C$1:$T$1,0))*1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62" customWidth="1" min="1" max="1"/>
    <col width="14" customWidth="1" min="2" max="2"/>
    <col width="14" customWidth="1" min="3" max="3"/>
    <col width="14" customWidth="1" min="4" max="4"/>
    <col width="70" customWidth="1" min="5" max="5"/>
  </cols>
  <sheetData>
    <row r="1">
      <c r="A1" s="1" t="inlineStr">
        <is>
          <t>Item</t>
        </is>
      </c>
      <c r="B1" s="1" t="inlineStr">
        <is>
          <t>4-yr</t>
        </is>
      </c>
      <c r="C1" s="1" t="inlineStr">
        <is>
          <t>5-yr</t>
        </is>
      </c>
      <c r="D1" s="1" t="inlineStr">
        <is>
          <t>6-yr</t>
        </is>
      </c>
      <c r="E1" s="1" t="inlineStr">
        <is>
          <t>Note</t>
        </is>
      </c>
    </row>
    <row r="2">
      <c r="A2" t="inlineStr">
        <is>
          <t>PV of FCF Q3'26-Q4'30</t>
        </is>
      </c>
      <c r="B2" s="8">
        <f>SUMPRODUCT(Model!$C$54:$T$54,Model!$C$57:$T$57)</f>
        <v/>
      </c>
      <c r="C2" s="8">
        <f>SUMPRODUCT(Model!$C$54:$T$54,Model!$C$57:$T$57)</f>
        <v/>
      </c>
      <c r="D2" s="8">
        <f>SUMPRODUCT(Model!$C$54:$T$54,Model!$C$57:$T$57)</f>
        <v/>
      </c>
      <c r="E2" t="inlineStr">
        <is>
          <t>Same for all lives (book life does not change cash)</t>
        </is>
      </c>
    </row>
    <row r="3">
      <c r="A3" t="inlineStr">
        <is>
          <t>FY2030 EBITDA</t>
        </is>
      </c>
      <c r="B3" s="8">
        <f>Annual!G3</f>
        <v/>
      </c>
      <c r="C3" s="8">
        <f>Annual!G3</f>
        <v/>
      </c>
      <c r="D3" s="8">
        <f>Annual!G3</f>
        <v/>
      </c>
      <c r="E3" t="inlineStr"/>
    </row>
    <row r="4">
      <c r="A4" t="inlineStr">
        <is>
          <t>Steady-state replacement capex = annualized Q4'30 D&amp;A at that life</t>
        </is>
      </c>
      <c r="B4" s="8">
        <f>4*(Model!$T$20+Model!$T$21+Model!$T$22)</f>
        <v/>
      </c>
      <c r="C4" s="8">
        <f>4*(Model!$T$30+Model!$T$31+Model!$T$32)</f>
        <v/>
      </c>
      <c r="D4" s="8">
        <f>4*(Model!$T$40+Model!$T$41+Model!$T$42)</f>
        <v/>
      </c>
      <c r="E4" t="inlineStr">
        <is>
          <t>Economic life = book life assumption</t>
        </is>
      </c>
    </row>
    <row r="5">
      <c r="A5" t="inlineStr">
        <is>
          <t>Gross GPU in service within life (Q4'30)</t>
        </is>
      </c>
      <c r="B5" s="8">
        <f>4*Assumptions!$B$3*(Model!$T$20+Model!$T$21)</f>
        <v/>
      </c>
      <c r="C5" s="8">
        <f>4*Assumptions!$B$4*(Model!$T$30+Model!$T$31)</f>
        <v/>
      </c>
      <c r="D5" s="8">
        <f>4*Assumptions!$B$5*(Model!$T$40+Model!$T$41)</f>
        <v/>
      </c>
      <c r="E5" t="inlineStr"/>
    </row>
    <row r="6">
      <c r="A6" t="inlineStr">
        <is>
          <t>Terminal FCF (yr 2031)</t>
        </is>
      </c>
      <c r="B6" s="8">
        <f>(B3*(1+Assumptions!$B$56)-B4*(1+Assumptions!$B$56))*(1-Assumptions!$B$57)-Assumptions!$B$56*B5</f>
        <v/>
      </c>
      <c r="C6" s="8">
        <f>(C3*(1+Assumptions!$B$56)-C4*(1+Assumptions!$B$56))*(1-Assumptions!$B$57)-Assumptions!$B$56*C5</f>
        <v/>
      </c>
      <c r="D6" s="8">
        <f>(D3*(1+Assumptions!$B$56)-D4*(1+Assumptions!$B$56))*(1-Assumptions!$B$57)-Assumptions!$B$56*D5</f>
        <v/>
      </c>
      <c r="E6" t="inlineStr">
        <is>
          <t>(1-t)(EBITDA - replacement) - g x gross (growth reinvestment)</t>
        </is>
      </c>
    </row>
    <row r="7">
      <c r="A7" t="inlineStr">
        <is>
          <t>Terminal value (end-2030)</t>
        </is>
      </c>
      <c r="B7" s="8">
        <f>B6/(Assumptions!$B$55-Assumptions!$B$56)</f>
        <v/>
      </c>
      <c r="C7" s="8">
        <f>C6/(Assumptions!$B$55-Assumptions!$B$56)</f>
        <v/>
      </c>
      <c r="D7" s="8">
        <f>D6/(Assumptions!$B$55-Assumptions!$B$56)</f>
        <v/>
      </c>
      <c r="E7" t="inlineStr"/>
    </row>
    <row r="8">
      <c r="A8" t="inlineStr">
        <is>
          <t>PV of terminal value</t>
        </is>
      </c>
      <c r="B8" s="8">
        <f>B7*Model!$T$57</f>
        <v/>
      </c>
      <c r="C8" s="8">
        <f>C7*Model!$T$57</f>
        <v/>
      </c>
      <c r="D8" s="8">
        <f>D7*Model!$T$57</f>
        <v/>
      </c>
      <c r="E8" t="inlineStr"/>
    </row>
    <row r="9">
      <c r="A9" t="inlineStr">
        <is>
          <t>Model EV</t>
        </is>
      </c>
      <c r="B9" s="8">
        <f>B2+B8</f>
        <v/>
      </c>
      <c r="C9" s="8">
        <f>C2+C8</f>
        <v/>
      </c>
      <c r="D9" s="8">
        <f>D2+D8</f>
        <v/>
      </c>
      <c r="E9" t="inlineStr"/>
    </row>
    <row r="10">
      <c r="A10" t="inlineStr">
        <is>
          <t>Model value per share</t>
        </is>
      </c>
      <c r="B10" s="13">
        <f>(B9+Assumptions!$B$59)/Assumptions!$B$60</f>
        <v/>
      </c>
      <c r="C10" s="13">
        <f>(C9+Assumptions!$B$59)/Assumptions!$B$60</f>
        <v/>
      </c>
      <c r="D10" s="13">
        <f>(D9+Assumptions!$B$59)/Assumptions!$B$60</f>
        <v/>
      </c>
      <c r="E10" t="inlineStr">
        <is>
          <t>vs $242.81</t>
        </is>
      </c>
    </row>
    <row r="11">
      <c r="A11" t="inlineStr">
        <is>
          <t>Upside/(downside) vs price</t>
        </is>
      </c>
      <c r="B11" s="14">
        <f>B10/Assumptions!$B$61-1</f>
        <v/>
      </c>
      <c r="C11" s="14">
        <f>C10/Assumptions!$B$61-1</f>
        <v/>
      </c>
      <c r="D11" s="14">
        <f>D10/Assumptions!$B$61-1</f>
        <v/>
      </c>
      <c r="E11" t="inlineStr"/>
    </row>
    <row r="12">
      <c r="A12" t="inlineStr">
        <is>
          <t>REQUIRED FY2030 EBITDA to justify market EV</t>
        </is>
      </c>
      <c r="B12" s="8">
        <f>((Assumptions!$B$58-B2)/Model!$T$57*(Assumptions!$B$55-Assumptions!$B$56)+Assumptions!$B$56*B5)/((1-Assumptions!$B$57)*(1+Assumptions!$B$56))+B4</f>
        <v/>
      </c>
      <c r="C12" s="8">
        <f>((Assumptions!$B$58-C2)/Model!$T$57*(Assumptions!$B$55-Assumptions!$B$56)+Assumptions!$B$56*C5)/((1-Assumptions!$B$57)*(1+Assumptions!$B$56))+C4</f>
        <v/>
      </c>
      <c r="D12" s="8">
        <f>((Assumptions!$B$58-D2)/Model!$T$57*(Assumptions!$B$55-Assumptions!$B$56)+Assumptions!$B$56*D5)/((1-Assumptions!$B$57)*(1+Assumptions!$B$56))+D4</f>
        <v/>
      </c>
      <c r="E12" t="inlineStr">
        <is>
          <t>Holds interim FCF fixed (conservative: higher EBITDA would also lift interim FCF)</t>
        </is>
      </c>
    </row>
    <row r="13">
      <c r="A13" t="inlineStr">
        <is>
          <t>Required EBITDA yield on gross GPU in service</t>
        </is>
      </c>
      <c r="B13" s="9">
        <f>B12/B5</f>
        <v/>
      </c>
      <c r="C13" s="9">
        <f>C12/C5</f>
        <v/>
      </c>
      <c r="D13" s="9">
        <f>D12/D5</f>
        <v/>
      </c>
      <c r="E13" t="inlineStr"/>
    </row>
    <row r="14">
      <c r="A14" t="inlineStr">
        <is>
          <t>Modeled FY2030 EBITDA yield</t>
        </is>
      </c>
      <c r="B14" s="9">
        <f>B3/B5</f>
        <v/>
      </c>
      <c r="C14" s="9">
        <f>C3/C5</f>
        <v/>
      </c>
      <c r="D14" s="9">
        <f>D3/D5</f>
        <v/>
      </c>
      <c r="E14" t="inlineStr"/>
    </row>
    <row r="15">
      <c r="A15" t="inlineStr">
        <is>
          <t>Required revenue per MW (yield x capex/MW x GPU share / FY28 margin)</t>
        </is>
      </c>
      <c r="B15" s="15">
        <f>B13*Assumptions!$B$22*Assumptions!$B$13/(Assumptions!$B$24/Assumptions!$B$25)</f>
        <v/>
      </c>
      <c r="C15" s="15">
        <f>C13*Assumptions!$B$22*Assumptions!$B$13/(Assumptions!$B$24/Assumptions!$B$25)</f>
        <v/>
      </c>
      <c r="D15" s="15">
        <f>D13*Assumptions!$B$22*Assumptions!$B$13/(Assumptions!$B$24/Assumptions!$B$25)</f>
        <v/>
      </c>
      <c r="E15" t="inlineStr">
        <is>
          <t>Compare: installed base ~$12M/MW; Q2 deals $20-25M/MW; Q3 short-term &gt;$40M/MW (Q2 letter)</t>
        </is>
      </c>
    </row>
    <row r="16">
      <c r="A16" t="inlineStr">
        <is>
          <t>Implied terminal EV / FY2030 EBITDA</t>
        </is>
      </c>
      <c r="B16" s="16">
        <f>B7/B3</f>
        <v/>
      </c>
      <c r="C16" s="16">
        <f>C7/C3</f>
        <v/>
      </c>
      <c r="D16" s="16">
        <f>D7/D3</f>
        <v/>
      </c>
      <c r="E16" t="inlineStr"/>
    </row>
    <row r="18">
      <c r="A18" t="inlineStr">
        <is>
          <t>Reference yields (Derived): EBITDA yield = $/MW x EBITDA margin / (capex per MW x GPU share). Installed base $12M x 60.8% / ($30M x 0.79) = 30.8%; Q2 deals $20M =&gt; 51.3%; $25M =&gt; 64.1%.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20" customWidth="1" min="3" max="3"/>
    <col width="60" customWidth="1" min="4" max="4"/>
    <col width="80" customWidth="1" min="5" max="5"/>
    <col width="22" customWidth="1" min="6" max="6"/>
  </cols>
  <sheetData>
    <row r="1">
      <c r="A1" s="1" t="inlineStr">
        <is>
          <t>Company</t>
        </is>
      </c>
      <c r="B1" s="1" t="inlineStr">
        <is>
          <t>Asset class</t>
        </is>
      </c>
      <c r="C1" s="1" t="inlineStr">
        <is>
          <t>Book useful life</t>
        </is>
      </c>
      <c r="D1" s="1" t="inlineStr">
        <is>
          <t>Recent change</t>
        </is>
      </c>
      <c r="E1" s="1" t="inlineStr">
        <is>
          <t>Source</t>
        </is>
      </c>
      <c r="F1" s="1" t="inlineStr">
        <is>
          <t>Tag</t>
        </is>
      </c>
    </row>
    <row r="2">
      <c r="A2" t="inlineStr">
        <is>
          <t>Nebius</t>
        </is>
      </c>
      <c r="B2" t="inlineStr">
        <is>
          <t>Server &amp; network equipment</t>
        </is>
      </c>
      <c r="C2" t="inlineStr">
        <is>
          <t>5 yrs (from 1/1/26)</t>
        </is>
      </c>
      <c r="D2" t="inlineStr">
        <is>
          <t>4 -&gt; 5 yrs; -$43.0M Q2'26 D&amp;A, ~-$167.6M FY26 est.</t>
        </is>
      </c>
      <c r="E2" t="inlineStr">
        <is>
          <t>https://www.sec.gov/Archives/edgar/data/1513845/000110465926094844/nbis-20260812xex99d2.htm ; /workspace/nebius/filings/nebius_fact_base.md</t>
        </is>
      </c>
      <c r="F2" t="inlineStr">
        <is>
          <t>Reported</t>
        </is>
      </c>
    </row>
    <row r="3">
      <c r="A3" t="inlineStr">
        <is>
          <t>Nebius (prior)</t>
        </is>
      </c>
      <c r="B3" t="inlineStr">
        <is>
          <t>Server &amp; network equipment</t>
        </is>
      </c>
      <c r="C3" t="inlineStr">
        <is>
          <t>4 yrs</t>
        </is>
      </c>
      <c r="D3" t="inlineStr">
        <is>
          <t>'Our main assets, GPUs, are currently depreciated over four years' (20-F p.56)</t>
        </is>
      </c>
      <c r="E3" t="inlineStr">
        <is>
          <t>https://www.sec.gov/Archives/edgar/data/1513845/000110465926052948/nbis-20251231x20f.htm</t>
        </is>
      </c>
      <c r="F3" t="inlineStr">
        <is>
          <t>Reported</t>
        </is>
      </c>
    </row>
    <row r="4">
      <c r="A4" t="inlineStr">
        <is>
          <t>CoreWeave</t>
        </is>
      </c>
      <c r="B4" t="inlineStr">
        <is>
          <t>Technology equipment (incl. GPUs)</t>
        </is>
      </c>
      <c r="C4" t="inlineStr">
        <is>
          <t>6 yrs</t>
        </is>
      </c>
      <c r="D4" t="inlineStr">
        <is>
          <t>5 -&gt; 6 yrs from 1/1/2023</t>
        </is>
      </c>
      <c r="E4" t="inlineStr">
        <is>
          <t>https://gpuinsights.net/server-useful-life-gpu-depreciation-2026/ (summarizing CRWV FY25 10-K)</t>
        </is>
      </c>
      <c r="F4" t="inlineStr">
        <is>
          <t>Reported (via secondary)</t>
        </is>
      </c>
    </row>
    <row r="5">
      <c r="A5" t="inlineStr">
        <is>
          <t>Microsoft</t>
        </is>
      </c>
      <c r="B5" t="inlineStr">
        <is>
          <t>Servers &amp; network equipment</t>
        </is>
      </c>
      <c r="C5" t="inlineStr">
        <is>
          <t>2-6 yrs</t>
        </is>
      </c>
      <c r="D5" t="inlineStr">
        <is>
          <t>4 -&gt; 6 yrs from FY2023 (+$3.7B op. income FY23)</t>
        </is>
      </c>
      <c r="E5" t="inlineStr">
        <is>
          <t>https://www.yieldtheory.app/research/michael-burry-ai-depreciation ; MSFT FY26 10-K</t>
        </is>
      </c>
      <c r="F5" t="inlineStr">
        <is>
          <t>Reported (via secondary)</t>
        </is>
      </c>
    </row>
    <row r="6">
      <c r="A6" t="inlineStr">
        <is>
          <t>Alphabet</t>
        </is>
      </c>
      <c r="B6" t="inlineStr">
        <is>
          <t>Servers &amp; some network equipment</t>
        </is>
      </c>
      <c r="C6" t="inlineStr">
        <is>
          <t>6 yrs</t>
        </is>
      </c>
      <c r="D6" t="inlineStr">
        <is>
          <t>to 6 yrs from 2023 (-$3.9B depreciation 2023)</t>
        </is>
      </c>
      <c r="E6" t="inlineStr">
        <is>
          <t>https://gpuinsights.net/server-useful-life-gpu-depreciation-2026/</t>
        </is>
      </c>
      <c r="F6" t="inlineStr">
        <is>
          <t>Reported (via secondary)</t>
        </is>
      </c>
    </row>
    <row r="7">
      <c r="A7" t="inlineStr">
        <is>
          <t>Meta</t>
        </is>
      </c>
      <c r="B7" t="inlineStr">
        <is>
          <t>Servers &amp; network assets</t>
        </is>
      </c>
      <c r="C7" t="inlineStr">
        <is>
          <t>5-5.5 yrs</t>
        </is>
      </c>
      <c r="D7" t="inlineStr">
        <is>
          <t>most to 5.5 yrs from Jan-2025 (~-$2.9B 2025 depreciation)</t>
        </is>
      </c>
      <c r="E7" t="inlineStr">
        <is>
          <t>https://www.yieldtheory.app/research/michael-burry-ai-depreciation</t>
        </is>
      </c>
      <c r="F7" t="inlineStr">
        <is>
          <t>Reported (via secondary)</t>
        </is>
      </c>
    </row>
    <row r="8">
      <c r="A8" t="inlineStr">
        <is>
          <t>Amazon</t>
        </is>
      </c>
      <c r="B8" t="inlineStr">
        <is>
          <t>Servers; subset of servers/networking</t>
        </is>
      </c>
      <c r="C8" t="inlineStr">
        <is>
          <t>6 yrs; subset 5 yrs</t>
        </is>
      </c>
      <c r="D8" t="inlineStr">
        <is>
          <t>5-&gt;6 (2024) then subset 6-&gt;5 (2025) citing AI/ML pace (+$1.4B depreciation)</t>
        </is>
      </c>
      <c r="E8" t="inlineStr">
        <is>
          <t>https://www.cnbc.com/2025/11/14/ai-gpu-depreciation-coreweave-nvidia-michael-burry.html</t>
        </is>
      </c>
      <c r="F8" t="inlineStr">
        <is>
          <t>Reported (via secondary)</t>
        </is>
      </c>
    </row>
    <row r="9">
      <c r="A9" t="inlineStr">
        <is>
          <t>Oracle</t>
        </is>
      </c>
      <c r="B9" t="inlineStr">
        <is>
          <t>Servers &amp; network equipment</t>
        </is>
      </c>
      <c r="C9" t="inlineStr">
        <is>
          <t>6 yrs</t>
        </is>
      </c>
      <c r="D9" t="inlineStr">
        <is>
          <t>5 -&gt; 6 yrs from FY2025 (-$733M opex)</t>
        </is>
      </c>
      <c r="E9" t="inlineStr">
        <is>
          <t>https://www.yieldtheory.app/research/michael-burry-ai-depreciation</t>
        </is>
      </c>
      <c r="F9" t="inlineStr">
        <is>
          <t>Reported (via secondary)</t>
        </is>
      </c>
    </row>
    <row r="10">
      <c r="A10" t="inlineStr">
        <is>
          <t>IREN</t>
        </is>
      </c>
      <c r="B10" t="inlineStr">
        <is>
          <t>GPUs</t>
        </is>
      </c>
      <c r="C10" t="inlineStr">
        <is>
          <t>not found</t>
        </is>
      </c>
      <c r="D10" t="inlineStr">
        <is>
          <t>FY26 10-K has a useful-life schedule; GPU figure not extracted. Some GPU financings use 36-month terms</t>
        </is>
      </c>
      <c r="E10" t="inlineStr">
        <is>
          <t>https://bizety.com/2025/09/23/gpu-depreciation-coreweave-vs-nebius/</t>
        </is>
      </c>
      <c r="F10" t="inlineStr">
        <is>
          <t>not disclosed/not found</t>
        </is>
      </c>
    </row>
    <row r="11">
      <c r="A11" t="inlineStr">
        <is>
          <t>Lambda</t>
        </is>
      </c>
      <c r="B11" t="inlineStr">
        <is>
          <t>GPUs</t>
        </is>
      </c>
      <c r="C11" t="inlineStr">
        <is>
          <t>not found (private)</t>
        </is>
      </c>
      <c r="D11" t="inlineStr"/>
      <c r="E11" t="inlineStr"/>
      <c r="F11" t="inlineStr">
        <is>
          <t>not disclosed/not found</t>
        </is>
      </c>
    </row>
    <row r="13">
      <c r="A13" t="inlineStr">
        <is>
          <t>Note: secondary summaries used for peers; primary 10-K pages not re-read in this pass - verify before publishing.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PNG charts generated by dep/charts.py (python mirror of this workbook; values cross-checked vs LibreOffice recalculation)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2026-10-04T22:39:12Z</dcterms:created>
  <dcterms:modified xmlns:dcterms="http://purl.org/dc/terms/" xmlns:xsi="http://www.w3.org/2001/XMLSchema-instance" xsi:type="dcterms:W3CDTF">2026-10-04T22:39:12Z</dcterms:modified>
</cp:coreProperties>
</file>