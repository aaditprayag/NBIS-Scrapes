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Outputs" sheetId="6" state="visible" r:id="rId8"/>
    <sheet name="Checks" sheetId="7" state="visible" r:id="rId9"/>
    <sheet name="Inputs" sheetId="8" state="visible" r:id="rId10"/>
    <sheet name="Timeline" sheetId="9" state="visible" r:id="rId11"/>
    <sheet name="Hist" sheetId="10" state="visible" r:id="rId12"/>
    <sheet name="Sites" sheetId="11" state="visible" r:id="rId13"/>
    <sheet name="Pricing" sheetId="12" state="visible" r:id="rId14"/>
    <sheet name="Contracts" sheetId="13" state="visible" r:id="rId15"/>
    <sheet name="Revenue" sheetId="14" state="visible" r:id="rId16"/>
    <sheet name="Capex_DA" sheetId="15" state="visible" r:id="rId17"/>
    <sheet name="Financing" sheetId="16" state="visible" r:id="rId18"/>
    <sheet name="PnL" sheetId="17" state="visible" r:id="rId19"/>
    <sheet name="CashFlow" sheetId="18" state="visible" r:id="rId20"/>
    <sheet name="Shares" sheetId="19" state="visible" r:id="rId21"/>
    <sheet name="Valuation" sheetId="20" state="visible" r:id="rId22"/>
    <sheet name="KPIs" sheetId="21" state="visible" r:id="rId23"/>
    <sheet name="Sensitivity" sheetId="22" state="visible" r:id="rId24"/>
    <sheet name="Sources" sheetId="23" state="visible" r:id="rId25"/>
  </sheets>
  <definedNames>
    <definedName function="false" hidden="false" name="ACV_2026" vbProcedure="false">Inputs!$F$174</definedName>
    <definedName function="false" hidden="false" name="ACV_Q2" vbProcedure="false">Inputs!$F$175</definedName>
    <definedName function="false" hidden="false" name="AIRev" vbProcedure="false">Revenue!$F$95:$AG$95</definedName>
    <definedName function="false" hidden="false" name="AIRev_E" vbProcedure="false">Revenue!$E$95</definedName>
    <definedName function="false" hidden="false" name="AI_Model" vbProcedure="false">Revenue!$F$91:$AG$91</definedName>
    <definedName function="false" hidden="false" name="AI_Model_E" vbProcedure="false">Revenue!$E$91</definedName>
    <definedName function="false" hidden="false" name="ARR_JunMo" vbProcedure="false">Revenue!$E$113</definedName>
    <definedName function="false" hidden="false" name="ARR_Q2Mo" vbProcedure="false">Revenue!$E$114</definedName>
    <definedName function="false" hidden="false" name="ARR_Rep" vbProcedure="false">Revenue!$E$106</definedName>
    <definedName function="false" hidden="false" name="ARR_Res" vbProcedure="false">Revenue!$E$111</definedName>
    <definedName function="false" hidden="false" name="ARR_ResMW" vbProcedure="false">Revenue!$E$112</definedName>
    <definedName function="false" hidden="false" name="ARR_ResMW_THi" vbProcedure="false">Revenue!$E$120</definedName>
    <definedName function="false" hidden="false" name="ARR_ResMW_TLo" vbProcedure="false">Revenue!$E$119</definedName>
    <definedName function="false" hidden="false" name="ARR_ResTB_Hi" vbProcedure="false">Revenue!$E$118</definedName>
    <definedName function="false" hidden="false" name="ARR_ResTB_Lo" vbProcedure="false">Revenue!$E$117</definedName>
    <definedName function="false" hidden="false" name="ARR_ResTeamHi" vbProcedure="false">Inputs!$F$51</definedName>
    <definedName function="false" hidden="false" name="ARR_ResTeamLo" vbProcedure="false">Inputs!$F$50</definedName>
    <definedName function="false" hidden="false" name="ARR_RR" vbProcedure="false">Revenue!$E$109</definedName>
    <definedName function="false" hidden="false" name="ARR_RRa" vbProcedure="false">Revenue!$E$107</definedName>
    <definedName function="false" hidden="false" name="ARR_RRbc" vbProcedure="false">Revenue!$E$108</definedName>
    <definedName function="false" hidden="false" name="ARR_RRMW" vbProcedure="false">Revenue!$E$110</definedName>
    <definedName function="false" hidden="false" name="ARR_RRMW_Hi" vbProcedure="false">Inputs!$F$49</definedName>
    <definedName function="false" hidden="false" name="ARR_RRMW_Lo" vbProcedure="false">Inputs!$F$48</definedName>
    <definedName function="false" hidden="false" name="ARR_Step" vbProcedure="false">Revenue!$E$115</definedName>
    <definedName function="false" hidden="false" name="ARR_StepMW" vbProcedure="false">Revenue!$E$116</definedName>
    <definedName function="false" hidden="false" name="AssetLight" vbProcedure="false">Inputs!$C$385:$I$385</definedName>
    <definedName function="false" hidden="false" name="ATMOn" vbProcedure="false">Inputs!$F$261</definedName>
    <definedName function="false" hidden="false" name="ATM_Q3" vbProcedure="false">Inputs!$F$295</definedName>
    <definedName function="false" hidden="false" name="ATM_Rem" vbProcedure="false">Inputs!$F$304</definedName>
    <definedName function="false" hidden="false" name="AugGross" vbProcedure="false">Inputs!$F$262</definedName>
    <definedName function="false" hidden="false" name="AugNet" vbProcedure="false">Inputs!$F$292</definedName>
    <definedName function="false" hidden="false" name="AuthBase" vbProcedure="false">Inputs!$F$43</definedName>
    <definedName function="false" hidden="false" name="AuthPct" vbProcedure="false">Inputs!$F$44</definedName>
    <definedName function="false" hidden="false" name="AvailIdx_B200" vbProcedure="false">Inputs!$F$218</definedName>
    <definedName function="false" hidden="false" name="AvailIdx_GB300" vbProcedure="false">Inputs!$F$219</definedName>
    <definedName function="false" hidden="false" name="AvailIdx_H200" vbProcedure="false">Inputs!$F$217</definedName>
    <definedName function="false" hidden="false" name="AvailIdx_VR" vbProcedure="false">Inputs!$F$220</definedName>
    <definedName function="false" hidden="false" name="AVBurnOn" vbProcedure="false">Inputs!$F$345</definedName>
    <definedName function="false" hidden="false" name="AVBurnQ" vbProcedure="false">Inputs!$F$344</definedName>
    <definedName function="false" hidden="false" name="AVPt" vbProcedure="false">Inputs!$F$364</definedName>
    <definedName function="false" hidden="false" name="AV_Hi" vbProcedure="false">Inputs!$F$363</definedName>
    <definedName function="false" hidden="false" name="AV_Lo" vbProcedure="false">Inputs!$F$362</definedName>
    <definedName function="false" hidden="false" name="A_BillMW" vbProcedure="false">Contracts!$F$150:$AG$150</definedName>
    <definedName function="false" hidden="false" name="A_BillMW_E" vbProcedure="false">Contracts!$E$150</definedName>
    <definedName function="false" hidden="false" name="A_GPU_B" vbProcedure="false">Contracts!$F$158:$AG$158</definedName>
    <definedName function="false" hidden="false" name="A_GPU_B_E" vbProcedure="false">Contracts!$E$158</definedName>
    <definedName function="false" hidden="false" name="A_GPU_H" vbProcedure="false">Contracts!$F$157:$AG$157</definedName>
    <definedName function="false" hidden="false" name="A_GPU_H_E" vbProcedure="false">Contracts!$E$157</definedName>
    <definedName function="false" hidden="false" name="A_GPU_N" vbProcedure="false">Contracts!$F$159:$AG$159</definedName>
    <definedName function="false" hidden="false" name="A_GPU_N_E" vbProcedure="false">Contracts!$E$159</definedName>
    <definedName function="false" hidden="false" name="A_LD" vbProcedure="false">Contracts!$F$151:$AG$151</definedName>
    <definedName function="false" hidden="false" name="A_LD_E" vbProcedure="false">Contracts!$E$151</definedName>
    <definedName function="false" hidden="false" name="A_MW" vbProcedure="false">Contracts!$F$153:$AG$153</definedName>
    <definedName function="false" hidden="false" name="A_MW_E" vbProcedure="false">Contracts!$E$153</definedName>
    <definedName function="false" hidden="false" name="A_Post" vbProcedure="false">Contracts!$F$152:$AG$152</definedName>
    <definedName function="false" hidden="false" name="A_PostMW" vbProcedure="false">Contracts!$F$156:$AG$156</definedName>
    <definedName function="false" hidden="false" name="A_PostMW_E" vbProcedure="false">Contracts!$E$156</definedName>
    <definedName function="false" hidden="false" name="A_Post_E" vbProcedure="false">Contracts!$E$152</definedName>
    <definedName function="false" hidden="false" name="A_Rev" vbProcedure="false">Contracts!$F$149:$AG$149</definedName>
    <definedName function="false" hidden="false" name="A_Rev_E" vbProcedure="false">Contracts!$E$149</definedName>
    <definedName function="false" hidden="false" name="BaseRateMW" vbProcedure="false">Inputs!$F$225</definedName>
    <definedName function="false" hidden="false" name="BillLag" vbProcedure="false">Inputs!$F$215</definedName>
    <definedName function="false" hidden="false" name="BloomIdx" vbProcedure="false">Inputs!$F$179</definedName>
    <definedName function="false" hidden="false" name="BloomOn" vbProcedure="false">Inputs!$F$178</definedName>
    <definedName function="false" hidden="false" name="BloomSlipOn" vbProcedure="false">Inputs!$F$68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_Chk" vbProcedure="false">Contracts!$E$177</definedName>
    <definedName function="false" hidden="false" name="BR_Cons" vbProcedure="false">Contracts!$E$162</definedName>
    <definedName function="false" hidden="false" name="BR_Gap" vbProcedure="false">Contracts!$E$164</definedName>
    <definedName function="false" hidden="false" name="BR_MetaInc" vbProcedure="false">Contracts!$E$169</definedName>
    <definedName function="false" hidden="false" name="BR_MetaQ2" vbProcedure="false">Contracts!$E$168</definedName>
    <definedName function="false" hidden="false" name="BR_Model" vbProcedure="false">Contracts!$E$178</definedName>
    <definedName function="false" hidden="false" name="BR_MSInc" vbProcedure="false">Contracts!$E$167</definedName>
    <definedName function="false" hidden="false" name="BR_MSQ2" vbProcedure="false">Contracts!$E$165</definedName>
    <definedName function="false" hidden="false" name="BR_MSQ4" vbProcedure="false">Contracts!$E$166</definedName>
    <definedName function="false" hidden="false" name="BR_MW12" vbProcedure="false">Contracts!$E$176</definedName>
    <definedName function="false" hidden="false" name="BR_MW20" vbProcedure="false">Contracts!$E$175</definedName>
    <definedName function="false" hidden="false" name="BR_MW25" vbProcedure="false">Contracts!$E$174</definedName>
    <definedName function="false" hidden="false" name="BR_PxHi" vbProcedure="false">Contracts!$E$171</definedName>
    <definedName function="false" hidden="false" name="BR_PxLo" vbProcedure="false">Contracts!$E$170</definedName>
    <definedName function="false" hidden="false" name="BR_ResHi" vbProcedure="false">Contracts!$E$173</definedName>
    <definedName function="false" hidden="false" name="BR_ResLo" vbProcedure="false">Contracts!$E$172</definedName>
    <definedName function="false" hidden="false" name="BR_vsCons" vbProcedure="false">Contracts!$E$179</definedName>
    <definedName function="false" hidden="false" name="Calib" vbProcedure="false">Revenue!$F$96:$AG$96</definedName>
    <definedName function="false" hidden="false" name="Calib_E" vbProcedure="false">Revenue!$E$96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Inputs!$F$226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Inputs!$F$41</definedName>
    <definedName function="false" hidden="false" name="CapIntLife" vbProcedure="false">Inputs!$F$228</definedName>
    <definedName function="false" hidden="false" name="CapIntPct" vbProcedure="false">Inputs!$F$227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Inputs!$F$42</definedName>
    <definedName function="false" hidden="false" name="CashYield" vbProcedure="false">Inputs!$F$283</definedName>
    <definedName function="false" hidden="false" name="CF_ATM" vbProcedure="false">CashFlow!$F$43:$AG$43</definedName>
    <definedName function="false" hidden="false" name="CF_ATM_E" vbProcedure="false">CashFlow!$E$43</definedName>
    <definedName function="false" hidden="false" name="CF_Cash" vbProcedure="false">CashFlow!$F$49:$AG$49</definedName>
    <definedName function="false" hidden="false" name="CF_Cash_E" vbProcedure="false">CashFlow!$E$49</definedName>
    <definedName function="false" hidden="false" name="CF_CVProc" vbProcedure="false">CashFlow!$F$39:$AG$39</definedName>
    <definedName function="false" hidden="false" name="CF_CVProc_E" vbProcedure="false">CashFlow!$E$39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CashFlow!$F$48:$AG$48</definedName>
    <definedName function="false" hidden="false" name="CF_EqSh_E" vbProcedure="false">CashFlow!$E$48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FPConv" vbProcedure="false">CashFlow!$F$40:$AG$40</definedName>
    <definedName function="false" hidden="false" name="CF_FPConv_E" vbProcedure="false">CashFlow!$E$40</definedName>
    <definedName function="false" hidden="false" name="CF_GrossDebt" vbProcedure="false">CashFlow!$F$53:$AG$53</definedName>
    <definedName function="false" hidden="false" name="CF_GrossDebt_E" vbProcedure="false">CashFlow!$E$53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CashFlow!$F$55:$AG$55</definedName>
    <definedName function="false" hidden="false" name="CF_NetDebt_E" vbProcedure="false">CashFlow!$E$55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CashFlow!$F$52:$AG$52</definedName>
    <definedName function="false" hidden="false" name="CF_PlugBal_E" vbProcedure="false">CashFlow!$E$52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Inputs!$F$281</definedName>
    <definedName function="false" hidden="false" name="Chk_RevGPUhr" vbProcedure="false">Inputs!$F$278</definedName>
    <definedName function="false" hidden="false" name="Chk_RevSrv" vbProcedure="false">Inputs!$F$279</definedName>
    <definedName function="false" hidden="false" name="Chk_SrvCap" vbProcedure="false">Inputs!$F$280</definedName>
    <definedName function="false" hidden="false" name="Chk_SrvHi" vbProcedure="false">Inputs!$F$133</definedName>
    <definedName function="false" hidden="false" name="Chk_SrvLo" vbProcedure="false">Inputs!$F$132</definedName>
    <definedName function="false" hidden="false" name="CH_Hi" vbProcedure="false">Inputs!$F$359</definedName>
    <definedName function="false" hidden="false" name="CH_Lo" vbProcedure="false">Inputs!$F$358</definedName>
    <definedName function="false" hidden="false" name="CIPRel1" vbProcedure="false">Inputs!$F$229</definedName>
    <definedName function="false" hidden="false" name="CIPRel2" vbProcedure="false">Inputs!$F$230</definedName>
    <definedName function="false" hidden="false" name="CLT1Prepay" vbProcedure="false">Inputs!$F$59</definedName>
    <definedName function="false" hidden="false" name="CLT1Rent" vbProcedure="false">Inputs!$F$58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Inputs!$F$57</definedName>
    <definedName function="false" hidden="false" name="Cons_Cx" vbProcedure="false">Inputs!$C$388:$I$388</definedName>
    <definedName function="false" hidden="false" name="Cons_EB" vbProcedure="false">Inputs!$C$387:$I$387</definedName>
    <definedName function="false" hidden="false" name="Cons_Q4" vbProcedure="false">Inputs!$F$221</definedName>
    <definedName function="false" hidden="false" name="Cons_Rev" vbProcedure="false">Inputs!$C$386:$I$386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Inputs!$F$134</definedName>
    <definedName function="false" hidden="false" name="CRWV_Commit" vbProcedure="false">Inputs!$F$313</definedName>
    <definedName function="false" hidden="false" name="CRWV_Contr" vbProcedure="false">Inputs!$F$311</definedName>
    <definedName function="false" hidden="false" name="CRWV_EV" vbProcedure="false">Inputs!$F$309</definedName>
    <definedName function="false" hidden="false" name="CRWV_EVEB27" vbProcedure="false">Inputs!$F$277</definedName>
    <definedName function="false" hidden="false" name="CRWV_Lease" vbProcedure="false">Inputs!$F$312</definedName>
    <definedName function="false" hidden="false" name="CRWV_MW" vbProcedure="false">Inputs!$F$310</definedName>
    <definedName function="false" hidden="false" name="CS_Cash" vbProcedure="false">Inputs!$F$263</definedName>
    <definedName function="false" hidden="false" name="CS_ConvCarry" vbProcedure="false">Inputs!$F$265</definedName>
    <definedName function="false" hidden="false" name="CS_CurDebt" vbProcedure="false">Inputs!$F$266</definedName>
    <definedName function="false" hidden="false" name="CS_Restr" vbProcedure="false">Inputs!$F$264</definedName>
    <definedName function="false" hidden="false" name="Curve" vbProcedure="false">Inputs!$C$397:$J$397</definedName>
    <definedName function="false" hidden="false" name="Curve_Base" vbProcedure="false">Inputs!$C$395:$J$395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Inputs!$F$317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Inputs!$F$355</definedName>
    <definedName function="false" hidden="false" name="DCLead" vbProcedure="false">Inputs!$F$233</definedName>
    <definedName function="false" hidden="false" name="DelivFactor" vbProcedure="false">Inputs!$F$176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Inputs!$F$296</definedName>
    <definedName function="false" hidden="false" name="DilPx" vbProcedure="false">Valuation!$E$163</definedName>
    <definedName function="false" hidden="false" name="DilPxMode" vbProcedure="false">Inputs!$F$314</definedName>
    <definedName function="false" hidden="false" name="DRRefPct" vbProcedure="false">Inputs!$F$36</definedName>
    <definedName function="false" hidden="false" name="DRSchedMode" vbProcedure="false">Inputs!$F$86</definedName>
    <definedName function="false" hidden="false" name="DRTermOn" vbProcedure="false">Inputs!$F$105</definedName>
    <definedName function="false" hidden="false" name="DR_24" vbProcedure="false">Inputs!$F$92</definedName>
    <definedName function="false" hidden="false" name="DR_AmortQ" vbProcedure="false">Inputs!$F$258</definedName>
    <definedName function="false" hidden="false" name="DR_Cur" vbProcedure="false">Inputs!$F$91</definedName>
    <definedName function="false" hidden="false" name="DR_Open" vbProcedure="false">Inputs!$F$254</definedName>
    <definedName function="false" hidden="false" name="DR_TailQ" vbProcedure="false">Inputs!$F$93</definedName>
    <definedName function="false" hidden="false" name="DR_YE25" vbProcedure="false">Inputs!$F$255</definedName>
    <definedName function="false" hidden="false" name="DX_FY27" vbProcedure="false">Payback_Floor!$B$104</definedName>
    <definedName function="false" hidden="false" name="DX_Gap27" vbProcedure="false">Payback_Floor!$D$104</definedName>
    <definedName function="false" hidden="false" name="DX_k" vbProcedure="false">Payback_Floor!$B$94</definedName>
    <definedName function="false" hidden="false" name="DX_L0" vbProcedure="false">Payback_Floor!$B$96</definedName>
    <definedName function="false" hidden="false" name="DX_Model27" vbProcedure="false">Payback_Floor!$C$104</definedName>
    <definedName function="false" hidden="false" name="DX_P" vbProcedure="false">Payback_Floor!$B$95</definedName>
    <definedName function="false" hidden="false" name="Eigen" vbProcedure="false">Inputs!$F$302</definedName>
    <definedName function="false" hidden="false" name="EigenIn" vbProcedure="false">Inputs!$F$303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Inputs!$F$291</definedName>
    <definedName function="false" hidden="false" name="ExchIdx" vbProcedure="false">Inputs!$F$294</definedName>
    <definedName function="false" hidden="false" name="ExchShares" vbProcedure="false">Inputs!$F$293</definedName>
    <definedName function="false" hidden="false" name="ExitMult" vbProcedure="false">Inputs!$F$354</definedName>
    <definedName function="false" hidden="false" name="FD_Filings" vbProcedure="false">Inputs!$F$305</definedName>
    <definedName function="false" hidden="false" name="FD_FilingsATM" vbProcedure="false">Inputs!$F$306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Inputs!$F$336</definedName>
    <definedName function="false" hidden="false" name="FP_AccS" vbProcedure="false">Inputs!$F$335</definedName>
    <definedName function="false" hidden="false" name="FP_ATMAmt" vbProcedure="false">Inputs!$F$323</definedName>
    <definedName function="false" hidden="false" name="FP_ATMDisc" vbProcedure="false">Inputs!$F$322</definedName>
    <definedName function="false" hidden="false" name="FP_ATMIdx" vbProcedure="false">Inputs!$F$321</definedName>
    <definedName function="false" hidden="false" name="FP_ATMMode" vbProcedure="false">Inputs!$F$320</definedName>
    <definedName function="false" hidden="false" name="FP_ATMProc" vbProcedure="false">Inputs!$F$326</definedName>
    <definedName function="false" hidden="false" name="FP_ATMPx" vbProcedure="false">Inputs!$F$324</definedName>
    <definedName function="false" hidden="false" name="FP_ATMSh" vbProcedure="false">Inputs!$F$325</definedName>
    <definedName function="false" hidden="false" name="FP_CpnL" vbProcedure="false">Inputs!$F$334</definedName>
    <definedName function="false" hidden="false" name="FP_CpnS" vbProcedure="false">Inputs!$F$333</definedName>
    <definedName function="false" hidden="false" name="FP_CV1Amt" vbProcedure="false">Inputs!$F$330</definedName>
    <definedName function="false" hidden="false" name="FP_CV1Idx" vbProcedure="false">Inputs!$F$328</definedName>
    <definedName function="false" hidden="false" name="FP_CV2Amt" vbProcedure="false">Inputs!$F$331</definedName>
    <definedName function="false" hidden="false" name="FP_CV2Idx" vbProcedure="false">Inputs!$F$329</definedName>
    <definedName function="false" hidden="false" name="FP_CVOpen" vbProcedure="false">Inputs!$F$327</definedName>
    <definedName function="false" hidden="false" name="FP_Fee" vbProcedure="false">Inputs!$F$342</definedName>
    <definedName function="false" hidden="false" name="FP_On" vbProcedure="false">Inputs!$F$319</definedName>
    <definedName function="false" hidden="false" name="FP_PostQ" vbProcedure="false">Inputs!$F$343</definedName>
    <definedName function="false" hidden="false" name="FP_PremL" vbProcedure="false">Inputs!$F$338</definedName>
    <definedName function="false" hidden="false" name="FP_PremS" vbProcedure="false">Inputs!$F$337</definedName>
    <definedName function="false" hidden="false" name="FP_RefPx" vbProcedure="false">Inputs!$F$341</definedName>
    <definedName function="false" hidden="false" name="FP_ShortSh" vbProcedure="false">Inputs!$F$332</definedName>
    <definedName function="false" hidden="false" name="FP_TenL" vbProcedure="false">Inputs!$F$340</definedName>
    <definedName function="false" hidden="false" name="FP_TenS" vbProcedure="false">Inputs!$F$339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Inputs!$F$157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Inputs!$F$177</definedName>
    <definedName function="false" hidden="false" name="GPUAnchorD" vbProcedure="false">Sites!$F$370</definedName>
    <definedName function="false" hidden="false" name="GPUAnchorOn" vbProcedure="false">Inputs!$F$108</definedName>
    <definedName function="false" hidden="false" name="GPUCost_B" vbProcedure="false">Inputs!$F$208</definedName>
    <definedName function="false" hidden="false" name="GPUCost_H" vbProcedure="false">Inputs!$F$207</definedName>
    <definedName function="false" hidden="false" name="GPUCost_N" vbProcedure="false">Inputs!$F$209</definedName>
    <definedName function="false" hidden="false" name="GPULead" vbProcedure="false">Inputs!$F$213</definedName>
    <definedName function="false" hidden="false" name="GPUMW_B" vbProcedure="false">Inputs!$F$144</definedName>
    <definedName function="false" hidden="false" name="GPUMW_H" vbProcedure="false">Inputs!$F$143</definedName>
    <definedName function="false" hidden="false" name="GPUMW_N" vbProcedure="false">Inputs!$F$145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Inputs!$F$109</definedName>
    <definedName function="false" hidden="false" name="GPU_Resid" vbProcedure="false">Inputs!$F$39</definedName>
    <definedName function="false" hidden="false" name="HallLife" vbProcedure="false">Inputs!$F$40</definedName>
    <definedName function="false" hidden="false" name="HeadStart" vbProcedure="false">Inputs!$F$161</definedName>
    <definedName function="false" hidden="false" name="HistGPUsh" vbProcedure="false">Inputs!$F$235</definedName>
    <definedName function="false" hidden="false" name="HistMWBasis" vbProcedure="false">Inputs!$F$56</definedName>
    <definedName function="false" hidden="false" name="HistPowSh" vbProcedure="false">Inputs!$F$237</definedName>
    <definedName function="false" hidden="false" name="HistShellSh" vbProcedure="false">Inputs!$F$236</definedName>
    <definedName function="false" hidden="false" name="HSPre" vbProcedure="false">Inputs!$F$104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Contracts!$F$155:$AG$155</definedName>
    <definedName function="false" hidden="false" name="IGMW_E" vbProcedure="false">Contracts!$E$155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Inputs!$F$248</definedName>
    <definedName function="false" hidden="false" name="ImpPct_H" vbProcedure="false">Inputs!$F$246</definedName>
    <definedName function="false" hidden="false" name="ImpPct_N" vbProcedure="false">Inputs!$F$250</definedName>
    <definedName function="false" hidden="false" name="ImpQ_B" vbProcedure="false">Inputs!$F$247</definedName>
    <definedName function="false" hidden="false" name="ImpQ_H" vbProcedure="false">Inputs!$F$245</definedName>
    <definedName function="false" hidden="false" name="ImpQ_N" vbProcedure="false">Inputs!$F$249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Inputs!$F$61</definedName>
    <definedName function="false" hidden="false" name="InferizeOn" vbProcedure="false">Inputs!$F$60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Inputs!$F$210</definedName>
    <definedName function="false" hidden="false" name="ITM_Prin_Chk" vbProcedure="false">Inputs!$F$308</definedName>
    <definedName function="false" hidden="false" name="ITM_Sh_Chk" vbProcedure="false">Inputs!$F$307</definedName>
    <definedName function="false" hidden="false" name="JuneExitOn" vbProcedure="false">Inputs!$F$62</definedName>
    <definedName function="false" hidden="false" name="JuneOv" vbProcedure="false">Revenue!$F$90:$AG$90</definedName>
    <definedName function="false" hidden="false" name="JuneOv_E" vbProcedure="false">Revenue!$E$90</definedName>
    <definedName function="false" hidden="false" name="Ke" vbProcedure="false">Inputs!$F$348</definedName>
    <definedName function="false" hidden="false" name="LastHist" vbProcedure="false">Inputs!$F$9</definedName>
    <definedName function="false" hidden="false" name="LaunchOn" vbProcedure="false">Inputs!$F$159</definedName>
    <definedName function="false" hidden="false" name="LaunchPrem" vbProcedure="false">Inputs!$F$160</definedName>
    <definedName function="false" hidden="false" name="LD_Pct" vbProcedure="false">Inputs!$F$197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Inputs!$F$216</definedName>
    <definedName function="false" hidden="false" name="LifeOverride" vbProcedure="false">Inputs!$F$241</definedName>
    <definedName function="false" hidden="false" name="Life_B" vbProcedure="false">Inputs!$F$239</definedName>
    <definedName function="false" hidden="false" name="Life_H" vbProcedure="false">Inputs!$F$238</definedName>
    <definedName function="false" hidden="false" name="Life_Maint" vbProcedure="false">Inputs!$F$244</definedName>
    <definedName function="false" hidden="false" name="Life_N" vbProcedure="false">Inputs!$F$240</definedName>
    <definedName function="false" hidden="false" name="Life_Pow" vbProcedure="false">Inputs!$F$243</definedName>
    <definedName function="false" hidden="false" name="Life_Shell" vbProcedure="false">Inputs!$F$242</definedName>
    <definedName function="false" hidden="false" name="Liq" vbProcedure="false">CashFlow!$F$65:$AG$65</definedName>
    <definedName function="false" hidden="false" name="Liq_Aug" vbProcedure="false">CashFlow!$F$59:$AG$59</definedName>
    <definedName function="false" hidden="false" name="Liq_Aug_E" vbProcedure="false">CashFlow!$E$59</definedName>
    <definedName function="false" hidden="false" name="Liq_Cmp" vbProcedure="false">CashFlow!$E$71:$H$72</definedName>
    <definedName function="false" hidden="false" name="Liq_E" vbProcedure="false">CashFlow!$E$65</definedName>
    <definedName function="false" hidden="false" name="Liq_NegQ" vbProcedure="false">CashFlow!$E$67</definedName>
    <definedName function="false" hidden="false" name="Liq_Start" vbProcedure="false">CashFlow!$E$66</definedName>
    <definedName function="false" hidden="false" name="LoadFactor" vbProcedure="false">Inputs!$F$142</definedName>
    <definedName function="false" hidden="false" name="LoanOn" vbProcedure="false">Inputs!$F$260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Inputs!$F$234</definedName>
    <definedName function="false" hidden="false" name="MaintRatio" vbProcedure="false">Inputs!$F$356</definedName>
    <definedName function="false" hidden="false" name="MarginCons28" vbProcedure="false">Inputs!$F$52</definedName>
    <definedName function="false" hidden="false" name="MarginPeer" vbProcedure="false">Inputs!$F$53</definedName>
    <definedName function="false" hidden="false" name="MarMo" vbProcedure="false">Inputs!$F$63</definedName>
    <definedName function="false" hidden="false" name="Meta1Q" vbProcedure="false">Inputs!$F$183</definedName>
    <definedName function="false" hidden="false" name="MinCash" vbProcedure="false">Inputs!$F$282</definedName>
    <definedName function="false" hidden="false" name="MixA_Q2" vbProcedure="false">Inputs!$F$191</definedName>
    <definedName function="false" hidden="false" name="MixB_Q2" vbProcedure="false">Inputs!$F$192</definedName>
    <definedName function="false" hidden="false" name="MixC_Q2" vbProcedure="false">Inputs!$F$193</definedName>
    <definedName function="false" hidden="false" name="Mix_B" vbProcedure="false">Inputs!$C$380:$I$380</definedName>
    <definedName function="false" hidden="false" name="Mix_H" vbProcedure="false">Inputs!$C$379:$I$379</definedName>
    <definedName function="false" hidden="false" name="Mix_N" vbProcedure="false">Inputs!$C$381:$I$381</definedName>
    <definedName function="false" hidden="false" name="MSFT_Ceil" vbProcedure="false">Inputs!$F$180</definedName>
    <definedName function="false" hidden="false" name="MSFT_Chk" vbProcedure="false">Contracts!$K$31</definedName>
    <definedName function="false" hidden="false" name="MSFT_MW" vbProcedure="false">Inputs!$F$172</definedName>
    <definedName function="false" hidden="false" name="MSFT_N" vbProcedure="false">Inputs!$F$173</definedName>
    <definedName function="false" hidden="false" name="MSFT_TCV" vbProcedure="false">Inputs!$F$171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Contracts!$F$147:$AG$147</definedName>
    <definedName function="false" hidden="false" name="MS_CeilChk_E" vbProcedure="false">Contracts!$E$147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Inputs!$F$182</definedName>
    <definedName function="false" hidden="false" name="MS_Rev" vbProcedure="false">Contracts!$F$144:$AG$144</definedName>
    <definedName function="false" hidden="false" name="MS_Rev_E" vbProcedure="false">Contracts!$E$144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Sites!$F$384:$AG$384</definedName>
    <definedName function="false" hidden="false" name="MW_Act_E" vbProcedure="false">Sites!$E$384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Sites!$F$387:$AG$387</definedName>
    <definedName function="false" hidden="false" name="MW_Contr_E" vbProcedure="false">Sites!$E$387</definedName>
    <definedName function="false" hidden="false" name="MW_Delay" vbProcedure="false">Inputs!$F$140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Sites!$F$386:$AG$386</definedName>
    <definedName function="false" hidden="false" name="MW_Fac_E" vbProcedure="false">Sites!$E$386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Inputs!$F$139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Sites!$F$385:$AG$385</definedName>
    <definedName function="false" hidden="false" name="MW_OwnSh_E" vbProcedure="false">Sites!$E$385</definedName>
    <definedName function="false" hidden="false" name="MYDecl" vbProcedure="false">Inputs!$F$76</definedName>
    <definedName function="false" hidden="false" name="MYDeclIdx" vbProcedure="false">Inputs!$F$77</definedName>
    <definedName function="false" hidden="false" name="MYPathMode" vbProcedure="false">Inputs!$F$75</definedName>
    <definedName function="false" hidden="false" name="MYRate" vbProcedure="false">Inputs!$F$74</definedName>
    <definedName function="false" hidden="false" name="MYRateU" vbProcedure="false">Inputs!$F$88</definedName>
    <definedName function="false" hidden="false" name="MYStressCut" vbProcedure="false">Inputs!$F$79</definedName>
    <definedName function="false" hidden="false" name="MYStressOn" vbProcedure="false">Inputs!$F$78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Basis" vbProcedure="false">Inputs!$F$94</definedName>
    <definedName function="false" hidden="false" name="ND_Adj" vbProcedure="false">Revenue!$F$84:$AG$84</definedName>
    <definedName function="false" hidden="false" name="ND_Adj_E" vbProcedure="false">Revenue!$E$84</definedName>
    <definedName function="false" hidden="false" name="ND_GenOn" vbProcedure="false">Inputs!$F$80</definedName>
    <definedName function="false" hidden="false" name="ND_GPUMW_GB" vbProcedure="false">Inputs!$F$72</definedName>
    <definedName function="false" hidden="false" name="ND_GrossX" vbProcedure="false">Inputs!$F$95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Revenue!$F$66:$AG$66</definedName>
    <definedName function="false" hidden="false" name="ND_MYRate_E" vbProcedure="false">Revenue!$E$66</definedName>
    <definedName function="false" hidden="false" name="ND_Occ" vbProcedure="false">Inputs!$F$73</definedName>
    <definedName function="false" hidden="false" name="ND_Px" vbProcedure="false">Inputs!$F$71</definedName>
    <definedName function="false" hidden="false" name="ND_RateGB" vbProcedure="false">Revenue!$F$64:$AG$64</definedName>
    <definedName function="false" hidden="false" name="ND_RateGB_E" vbProcedure="false">Revenue!$E$64</definedName>
    <definedName function="false" hidden="false" name="ND_RateRubin" vbProcedure="false">Revenue!$F$65:$AG$65</definedName>
    <definedName function="false" hidden="false" name="ND_RateRubin_E" vbProcedure="false">Revenue!$E$65</definedName>
    <definedName function="false" hidden="false" name="ND_RevMW" vbProcedure="false">Revenue!$F$85:$AG$85</definedName>
    <definedName function="false" hidden="false" name="ND_RevMW_E" vbProcedure="false">Revenue!$E$85</definedName>
    <definedName function="false" hidden="false" name="ND_STRate" vbProcedure="false">Revenue!$F$68:$AG$68</definedName>
    <definedName function="false" hidden="false" name="ND_STRate_E" vbProcedure="false">Revenue!$E$68</definedName>
    <definedName function="false" hidden="false" name="NewDealHi" vbProcedure="false">Inputs!$F$224</definedName>
    <definedName function="false" hidden="false" name="NewDealIdx" vbProcedure="false">Inputs!$F$70</definedName>
    <definedName function="false" hidden="false" name="NewDealLo" vbProcedure="false">Inputs!$F$223</definedName>
    <definedName function="false" hidden="false" name="NewDealOn" vbProcedure="false">Inputs!$F$69</definedName>
    <definedName function="false" hidden="false" name="NextLaunchIdx" vbProcedure="false">Inputs!$F$162</definedName>
    <definedName function="false" hidden="false" name="NVDA_Idx" vbProcedure="false">Inputs!$F$298</definedName>
    <definedName function="false" hidden="false" name="NVDA_W" vbProcedure="false">Inputs!$F$297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Inputs!$F$47</definedName>
    <definedName function="false" hidden="false" name="ODq_N" vbProcedure="false">Pricing!$J$23</definedName>
    <definedName function="false" hidden="false" name="OffBSWt" vbProcedure="false">Inputs!$F$370</definedName>
    <definedName function="false" hidden="false" name="OffBS_Energy" vbProcedure="false">Inputs!$F$367</definedName>
    <definedName function="false" hidden="false" name="OffBS_Lease" vbProcedure="false">Inputs!$F$368</definedName>
    <definedName function="false" hidden="false" name="OM_MW" vbProcedure="false">Inputs!$F$29</definedName>
    <definedName function="false" hidden="false" name="OpenGPU_H" vbProcedure="false">Inputs!$F$251</definedName>
    <definedName function="false" hidden="false" name="OpexHold" vbProcedure="false">Inputs!$F$111</definedName>
    <definedName function="false" hidden="false" name="OpLease" vbProcedure="false">Inputs!$F$369</definedName>
    <definedName function="false" hidden="false" name="Options" vbProcedure="false">Inputs!$F$299</definedName>
    <definedName function="false" hidden="false" name="OptK" vbProcedure="false">Inputs!$F$300</definedName>
    <definedName function="false" hidden="false" name="OtherCOR" vbProcedure="false">Inputs!$F$204</definedName>
    <definedName function="false" hidden="false" name="OtherDA" vbProcedure="false">Inputs!$F$252</definedName>
    <definedName function="false" hidden="false" name="Other_Val" vbProcedure="false">Inputs!$F$365</definedName>
    <definedName function="false" hidden="false" name="OthRev_g" vbProcedure="false">Inputs!$F$199</definedName>
    <definedName function="false" hidden="false" name="OwnedSh" vbProcedure="false">Inputs!$C$378:$I$378</definedName>
    <definedName function="false" hidden="false" name="OwnOpex" vbProcedure="false">Inputs!$F$38</definedName>
    <definedName function="false" hidden="false" name="OwnOpexOn" vbProcedure="false">Inputs!$F$37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Inputs!$C$389:$I$389</definedName>
    <definedName function="false" hidden="false" name="PeerEVMW" vbProcedure="false">Inputs!$F$357</definedName>
    <definedName function="false" hidden="false" name="PeerMarginOn" vbProcedure="false">Inputs!$F$64</definedName>
    <definedName function="false" hidden="false" name="PeerMarginYr" vbProcedure="false">Inputs!$F$65</definedName>
    <definedName function="false" hidden="false" name="PF_Cap" vbProcedure="false">Payback_Floor!$B$53</definedName>
    <definedName function="false" hidden="false" name="PF_DCF" vbProcedure="false">Payback_Floor!$B$63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Payback_Floor!$B$64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Payback_Floor!$H$83</definedName>
    <definedName function="false" hidden="false" name="PF_PS2" vbProcedure="false">Payback_Floor!$C$62</definedName>
    <definedName function="false" hidden="false" name="PF_PS2x" vbProcedure="false">Payback_Floor!$I$83</definedName>
    <definedName function="false" hidden="false" name="PF_PS3" vbProcedure="false">Payback_Floor!$D$62</definedName>
    <definedName function="false" hidden="false" name="PF_PS3x" vbProcedure="false">Payback_Floor!$J$83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Inputs!$F$214</definedName>
    <definedName function="false" hidden="false" name="PlugDebtSh" vbProcedure="false">Inputs!$F$290</definedName>
    <definedName function="false" hidden="false" name="PlugSpread" vbProcedure="false">Inputs!$F$289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Inputs!$F$212</definedName>
    <definedName function="false" hidden="false" name="PowerPx" vbProcedure="false">Inputs!$F$201</definedName>
    <definedName function="false" hidden="false" name="Prepay26" vbProcedure="false">Inputs!$F$256</definedName>
    <definedName function="false" hidden="false" name="PrepayBase" vbProcedure="false">Inputs!$F$107</definedName>
    <definedName function="false" hidden="false" name="PrepayByCust" vbProcedure="false">Inputs!$F$106</definedName>
    <definedName function="false" hidden="false" name="PrepayDecayOn" vbProcedure="false">Inputs!$F$100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Inputs!$F$103</definedName>
    <definedName function="false" hidden="false" name="PrepayMode" vbProcedure="false">Inputs!$F$32</definedName>
    <definedName function="false" hidden="false" name="PrepayOn" vbProcedure="false">Inputs!$F$99</definedName>
    <definedName function="false" hidden="false" name="PrepayPct" vbProcedure="false">Inputs!$F$257</definedName>
    <definedName function="false" hidden="false" name="PrepayPct27" vbProcedure="false">Inputs!$F$101</definedName>
    <definedName function="false" hidden="false" name="PrepayPct28" vbProcedure="false">Inputs!$F$102</definedName>
    <definedName function="false" hidden="false" name="PrepayQ" vbProcedure="false">Inputs!$F$33</definedName>
    <definedName function="false" hidden="false" name="PUE" vbProcedure="false">Inputs!$F$141</definedName>
    <definedName function="false" hidden="false" name="PUE_B" vbProcedure="false">Inputs!$D$141</definedName>
    <definedName function="false" hidden="false" name="PwrLooseDecl" vbProcedure="false">Inputs!$F$151</definedName>
    <definedName function="false" hidden="false" name="PwrLooseIdx" vbProcedure="false">Inputs!$F$152</definedName>
    <definedName function="false" hidden="false" name="PwrLooseOn" vbProcedure="false">Inputs!$F$150</definedName>
    <definedName function="false" hidden="false" name="PxBaseIdx" vbProcedure="false">Inputs!$F$156</definedName>
    <definedName function="false" hidden="false" name="PxChg_B" vbProcedure="false">Inputs!$F$154</definedName>
    <definedName function="false" hidden="false" name="PxChg_H" vbProcedure="false">Inputs!$F$153</definedName>
    <definedName function="false" hidden="false" name="PxChg_N" vbProcedure="false">Inputs!$F$155</definedName>
    <definedName function="false" hidden="false" name="PxCyc" vbProcedure="false">Inputs!$F$136</definedName>
    <definedName function="false" hidden="false" name="PxCycIdx" vbProcedure="false">Inputs!$F$137</definedName>
    <definedName function="false" hidden="false" name="PxCycleOn" vbProcedure="false">Inputs!$F$135</definedName>
    <definedName function="false" hidden="false" name="PxLine_Hi" vbProcedure="false">Inputs!$F$185</definedName>
    <definedName function="false" hidden="false" name="PxLine_Lo" vbProcedure="false">Inputs!$F$184</definedName>
    <definedName function="false" hidden="false" name="PxMult" vbProcedure="false">Inputs!$F$148</definedName>
    <definedName function="false" hidden="false" name="PxPathMode" vbProcedure="false">Inputs!$F$149</definedName>
    <definedName function="false" hidden="false" name="PX_ACV" vbProcedure="false">Payback_Floor!$C$89</definedName>
    <definedName function="false" hidden="false" name="PX_GB" vbProcedure="false">Payback_Floor!$C$87</definedName>
    <definedName function="false" hidden="false" name="PX_GBg" vbProcedure="false">Payback_Floor!$C$88</definedName>
    <definedName function="false" hidden="false" name="PX_Ratio" vbProcedure="false">Payback_Floor!$D$90</definedName>
    <definedName function="false" hidden="false" name="PX_VR" vbProcedure="false">Payback_Floor!$C$90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Inputs!$F$222</definedName>
    <definedName function="false" hidden="false" name="Q3TransAct" vbProcedure="false">Inputs!$F$231</definedName>
    <definedName function="false" hidden="false" name="Q3TransChk" vbProcedure="false">Capex_DA!$P$84</definedName>
    <definedName function="false" hidden="false" name="Q3TransMin" vbProcedure="false">Inputs!$F$232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Inputs!$F$163</definedName>
    <definedName function="false" hidden="false" name="RampMS_B" vbProcedure="false">Inputs!$D$163</definedName>
    <definedName function="false" hidden="false" name="RealOD" vbProcedure="false">Inputs!$F$164</definedName>
    <definedName function="false" hidden="false" name="RealOD_B" vbProcedure="false">Inputs!$D$164</definedName>
    <definedName function="false" hidden="false" name="RealRes" vbProcedure="false">Inputs!$F$165</definedName>
    <definedName function="false" hidden="false" name="RealRes_B" vbProcedure="false">Inputs!$D$165</definedName>
    <definedName function="false" hidden="false" name="RedSites" vbProcedure="false">Sites!$F$388</definedName>
    <definedName function="false" hidden="false" name="RenewIdx" vbProcedure="false">Inputs!$F$114</definedName>
    <definedName function="false" hidden="false" name="RenewRate" vbProcedure="false">Inputs!$F$113</definedName>
    <definedName function="false" hidden="false" name="RenewUp" vbProcedure="false">Inputs!$F$46</definedName>
    <definedName function="false" hidden="false" name="RentMW" vbProcedure="false">Inputs!$F$202</definedName>
    <definedName function="false" hidden="false" name="ReplOn" vbProcedure="false">Inputs!$F$55</definedName>
    <definedName function="false" hidden="false" name="ReplPxOn" vbProcedure="false">Inputs!$F$110</definedName>
    <definedName function="false" hidden="false" name="RepriceOn" vbProcedure="false">Inputs!$F$45</definedName>
    <definedName function="false" hidden="false" name="ResDisc" vbProcedure="false">Inputs!$F$147</definedName>
    <definedName function="false" hidden="false" name="ResidBearCut" vbProcedure="false">Inputs!$F$196</definedName>
    <definedName function="false" hidden="false" name="ResidUtil" vbProcedure="false">Inputs!$F$169</definedName>
    <definedName function="false" hidden="false" name="ResLag" vbProcedure="false">Inputs!$F$190</definedName>
    <definedName function="false" hidden="false" name="ResSh" vbProcedure="false">Inputs!$C$382:$I$382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Revenue!$F$94:$AG$94</definedName>
    <definedName function="false" hidden="false" name="Rev_E" vbProcedure="false">Revenue!$E$94</definedName>
    <definedName function="false" hidden="false" name="Rev_Model" vbProcedure="false">Revenue!$F$93:$AG$93</definedName>
    <definedName function="false" hidden="false" name="Rev_Model_E" vbProcedure="false">Revenue!$E$93</definedName>
    <definedName function="false" hidden="false" name="Rev_PxSens" vbProcedure="false">Revenue!$F$103:$AG$103</definedName>
    <definedName function="false" hidden="false" name="Rev_PxSens_E" vbProcedure="false">Revenue!$E$103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Inputs!$F$90</definedName>
    <definedName function="false" hidden="false" name="RPO_Cov" vbProcedure="false">Revenue!$F$75</definedName>
    <definedName function="false" hidden="false" name="RPO_New" vbProcedure="false">Revenue!$F$76</definedName>
    <definedName function="false" hidden="false" name="RPO_Sold" vbProcedure="false">Revenue!$F$77</definedName>
    <definedName function="false" hidden="false" name="RPO_SoldMW" vbProcedure="false">Revenue!$F$78</definedName>
    <definedName function="false" hidden="false" name="RPO_Tot" vbProcedure="false">Inputs!$F$89</definedName>
    <definedName function="false" hidden="false" name="RSU" vbProcedure="false">Inputs!$F$301</definedName>
    <definedName function="false" hidden="false" name="RubinGPUMW_D" vbProcedure="false">Inputs!$F$83</definedName>
    <definedName function="false" hidden="false" name="RubinMode" vbProcedure="false">Inputs!$F$81</definedName>
    <definedName function="false" hidden="false" name="RubinMW" vbProcedure="false">Inputs!$F$82</definedName>
    <definedName function="false" hidden="false" name="Rubin_Prem" vbProcedure="false">Inputs!$F$158</definedName>
    <definedName function="false" hidden="false" name="SBCpct" vbProcedure="false">Inputs!$F$205</definedName>
    <definedName function="false" hidden="false" name="SBCsh" vbProcedure="false">Inputs!$F$315</definedName>
    <definedName function="false" hidden="false" name="Scen" vbProcedure="false">Inputs!$D$4</definedName>
    <definedName function="false" hidden="false" name="SecAmt" vbProcedure="false">Inputs!$F$286</definedName>
    <definedName function="false" hidden="false" name="SecIdx" vbProcedure="false">Inputs!$F$287</definedName>
    <definedName function="false" hidden="false" name="SecMatIdx" vbProcedure="false">Inputs!$F$288</definedName>
    <definedName function="false" hidden="false" name="SecSpread" vbProcedure="false">Inputs!$F$285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Inputs!$C$390:$I$390</definedName>
    <definedName function="false" hidden="false" name="SharePx" vbProcedure="false">Inputs!$F$11</definedName>
    <definedName function="false" hidden="false" name="ShellMW" vbProcedure="false">Inputs!$F$211</definedName>
    <definedName function="false" hidden="false" name="Sh_Basic" vbProcedure="false">Shares!$F$9:$AG$9</definedName>
    <definedName function="false" hidden="false" name="Sh_Basic_E" vbProcedure="false">Shares!$E$9</definedName>
    <definedName function="false" hidden="false" name="Sh_Dil" vbProcedure="false">Shares!$F$15:$AG$15</definedName>
    <definedName function="false" hidden="false" name="Sh_Dil_E" vbProcedure="false">Shares!$E$15</definedName>
    <definedName function="false" hidden="false" name="Sh_EconBasic" vbProcedure="false">Shares!$F$11:$AG$11</definedName>
    <definedName function="false" hidden="false" name="Sh_EconBasic_E" vbProcedure="false">Shares!$E$11</definedName>
    <definedName function="false" hidden="false" name="SigMW" vbProcedure="false">Contracts!$F$154:$AG$154</definedName>
    <definedName function="false" hidden="false" name="SigMW_E" vbProcedure="false">Contracts!$E$154</definedName>
    <definedName function="false" hidden="false" name="Sk3C_YE27" vbProcedure="false">Inputs!$F$125</definedName>
    <definedName function="false" hidden="false" name="Sk3C_ZeroQ" vbProcedure="false">Inputs!$F$124</definedName>
    <definedName function="false" hidden="false" name="Sk3H_YE27" vbProcedure="false">Inputs!$F$122</definedName>
    <definedName function="false" hidden="false" name="Sk3H_YE28" vbProcedure="false">Inputs!$F$123</definedName>
    <definedName function="false" hidden="false" name="Sk3H_ZeroQ" vbProcedure="false">Inputs!$F$121</definedName>
    <definedName function="false" hidden="false" name="Sk3L_YE27" vbProcedure="false">Inputs!$F$119</definedName>
    <definedName function="false" hidden="false" name="Sk3L_YE28" vbProcedure="false">Inputs!$F$120</definedName>
    <definedName function="false" hidden="false" name="Sk3L_ZeroQ" vbProcedure="false">Inputs!$F$118</definedName>
    <definedName function="false" hidden="false" name="Sk3_DCF4" vbProcedure="false">Inputs!$F$126</definedName>
    <definedName function="false" hidden="false" name="Sk3_DCF5" vbProcedure="false">Inputs!$F$127</definedName>
    <definedName function="false" hidden="false" name="Sk3_DCF6" vbProcedure="false">Inputs!$F$128</definedName>
    <definedName function="false" hidden="false" name="Sk3_PC27" vbProcedure="false">Inputs!$F$129</definedName>
    <definedName function="false" hidden="false" name="Sk3_PC27Bear" vbProcedure="false">Inputs!$F$130</definedName>
    <definedName function="false" hidden="false" name="Sk3_PC28" vbProcedure="false">Inputs!$F$131</definedName>
    <definedName function="false" hidden="false" name="Sk3_YE27" vbProcedure="false">Inputs!$F$116</definedName>
    <definedName function="false" hidden="false" name="Sk3_YE28" vbProcedure="false">Inputs!$F$117</definedName>
    <definedName function="false" hidden="false" name="Sk3_ZeroQ" vbProcedure="false">Inputs!$F$115</definedName>
    <definedName function="false" hidden="false" name="SkEBIT4" vbProcedure="false">Inputs!$F$371</definedName>
    <definedName function="false" hidden="false" name="SkEBIT5" vbProcedure="false">Inputs!$F$372</definedName>
    <definedName function="false" hidden="false" name="SkEBIT6" vbProcedure="false">Inputs!$F$373</definedName>
    <definedName function="false" hidden="false" name="Sk_EVEB27" vbProcedure="false">Inputs!$F$276</definedName>
    <definedName function="false" hidden="false" name="Sk_Q127" vbProcedure="false">Inputs!$F$268</definedName>
    <definedName function="false" hidden="false" name="Sk_Q227" vbProcedure="false">Inputs!$F$269</definedName>
    <definedName function="false" hidden="false" name="Sk_Rev27Base" vbProcedure="false">Inputs!$F$272</definedName>
    <definedName function="false" hidden="false" name="Sk_Rev27Hi" vbProcedure="false">Inputs!$F$273</definedName>
    <definedName function="false" hidden="false" name="Sk_Rev27Lo" vbProcedure="false">Inputs!$F$271</definedName>
    <definedName function="false" hidden="false" name="Sk_Rev27St" vbProcedure="false">Inputs!$F$274</definedName>
    <definedName function="false" hidden="false" name="Sk_Rev28" vbProcedure="false">Inputs!$F$275</definedName>
    <definedName function="false" hidden="false" name="Sk_Start" vbProcedure="false">Inputs!$F$267</definedName>
    <definedName function="false" hidden="false" name="Sk_YE27" vbProcedure="false">Inputs!$F$270</definedName>
    <definedName function="false" hidden="false" name="SOFR" vbProcedure="false">Inputs!$F$284</definedName>
    <definedName function="false" hidden="false" name="SOTPPt" vbProcedure="false">Inputs!$F$366</definedName>
    <definedName function="false" hidden="false" name="SOTP_Disc" vbProcedure="false">Inputs!$F$374</definedName>
    <definedName function="false" hidden="false" name="SpotSh" vbProcedure="false">Inputs!$C$383:$I$383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Inputs!$F$97</definedName>
    <definedName function="false" hidden="false" name="STMode" vbProcedure="false">Inputs!$F$85</definedName>
    <definedName function="false" hidden="false" name="STOcc" vbProcedure="false">Inputs!$F$87</definedName>
    <definedName function="false" hidden="false" name="STRate" vbProcedure="false">Inputs!$F$96</definedName>
    <definedName function="false" hidden="false" name="STRecov" vbProcedure="false">Inputs!$F$98</definedName>
    <definedName function="false" hidden="false" name="STShare" vbProcedure="false">Inputs!$F$84</definedName>
    <definedName function="false" hidden="false" name="StudioUp" vbProcedure="false">Inputs!$C$384:$I$384</definedName>
    <definedName function="false" hidden="false" name="ST_MW" vbProcedure="false">Revenue!$F$70:$AG$70</definedName>
    <definedName function="false" hidden="false" name="ST_MW_E" vbProcedure="false">Revenue!$E$70</definedName>
    <definedName function="false" hidden="false" name="TaxRate" vbProcedure="false">Inputs!$F$316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Inputs!$F$112</definedName>
    <definedName function="false" hidden="false" name="TermRONC" vbProcedure="false">Inputs!$F$351</definedName>
    <definedName function="false" hidden="false" name="TermRR" vbProcedure="false">Inputs!$F$352</definedName>
    <definedName function="false" hidden="false" name="TG" vbProcedure="false">Inputs!$F$349</definedName>
    <definedName function="false" hidden="false" name="TGCap" vbProcedure="false">Inputs!$F$353</definedName>
    <definedName function="false" hidden="false" name="TGMode" vbProcedure="false">Inputs!$F$350</definedName>
    <definedName function="false" hidden="false" name="TopCust" vbProcedure="false">Inputs!$F$181</definedName>
    <definedName function="false" hidden="false" name="TO_Hi" vbProcedure="false">Inputs!$F$361</definedName>
    <definedName function="false" hidden="false" name="TO_Lo" vbProcedure="false">Inputs!$F$360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UnseenChkHi" vbProcedure="false">Inputs!$F$195</definedName>
    <definedName function="false" hidden="false" name="UnseenChkLo" vbProcedure="false">Inputs!$F$194</definedName>
    <definedName function="false" hidden="false" name="Unseen_MN" vbProcedure="false">Inputs!$F$187</definedName>
    <definedName function="false" hidden="false" name="Unseen_OK" vbProcedure="false">Inputs!$F$186</definedName>
    <definedName function="false" hidden="false" name="Unseen_OT" vbProcedure="false">Inputs!$F$188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Inputs!$F$166</definedName>
    <definedName function="false" hidden="false" name="Util_Res" vbProcedure="false">Inputs!$F$167</definedName>
    <definedName function="false" hidden="false" name="Util_Spot" vbProcedure="false">Inputs!$F$168</definedName>
    <definedName function="false" hidden="false" name="ValDate" vbProcedure="false">Inputs!$F$8</definedName>
    <definedName function="false" hidden="false" name="VinCapOn" vbProcedure="false">Inputs!$F$54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Contracts!$Q$146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Inputs!$F$203</definedName>
    <definedName function="false" hidden="false" name="VinPUE" vbProcedure="false">Inputs!$F$189</definedName>
    <definedName function="false" hidden="false" name="VinRevMW" vbProcedure="false">Inputs!$F$67</definedName>
    <definedName function="false" hidden="false" name="VinShutSel" vbProcedure="false">Inputs!$F$66</definedName>
    <definedName function="false" hidden="false" name="V_AV" vbProcedure="false">Valuation!$E$71</definedName>
    <definedName function="false" hidden="false" name="V_AVAdd" vbProcedure="false">Valuation!$E$73</definedName>
    <definedName function="false" hidden="false" name="V_BASIC" vbProcedure="false">Valuation!$E$94</definedName>
    <definedName function="false" hidden="false" name="V_CASH" vbProcedure="false">Valuation!$E$92</definedName>
    <definedName function="false" hidden="false" name="V_CH" vbProcedure="false">Valuation!$E$69</definedName>
    <definedName function="false" hidden="false" name="V_CONV" vbProcedure="false">Valuation!$E$114</definedName>
    <definedName function="false" hidden="false" name="V_CTMW" vbProcedure="false">Valuation!$E$189</definedName>
    <definedName function="false" hidden="false" name="V_CVDEBT" vbProcedure="false">Valuation!$F$117</definedName>
    <definedName function="false" hidden="false" name="V_CVDEBTF" vbProcedure="false">Valuation!$F$157</definedName>
    <definedName function="false" hidden="false" name="V_CVDmkt" vbProcedure="false">Valuation!$E$174</definedName>
    <definedName function="false" hidden="false" name="V_CVFull" vbProcedure="false">Valuation!$F$122</definedName>
    <definedName function="false" hidden="false" name="V_CVNSS" vbProcedure="false">Valuation!$F$123</definedName>
    <definedName function="false" hidden="false" name="V_CXChk" vbProcedure="false">Valuation!$E$31</definedName>
    <definedName function="false" hidden="false" name="V_CXReq" vbProcedure="false">Valuation!$E$29</definedName>
    <definedName function="false" hidden="false" name="V_CXT" vbProcedure="false">Valuation!$E$30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Valuation!$E$46</definedName>
    <definedName function="false" hidden="false" name="V_DR30" vbProcedure="false">Valuation!$E$49</definedName>
    <definedName function="false" hidden="false" name="V_DRAdj" vbProcedure="false">Valuation!$E$51</definedName>
    <definedName function="false" hidden="false" name="V_DRPV" vbProcedure="false">Valuation!$E$50</definedName>
    <definedName function="false" hidden="false" name="V_Dss" vbProcedure="false">Valuation!$E$33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Valuation!$E$188</definedName>
    <definedName function="false" hidden="false" name="V_EQ" vbProcedure="false">Valuation!$F$120</definedName>
    <definedName function="false" hidden="false" name="V_EV" vbProcedure="false">Valuation!$E$52</definedName>
    <definedName function="false" hidden="false" name="V_EVBaseS" vbProcedure="false">Valuation!$E$58</definedName>
    <definedName function="false" hidden="false" name="V_EVBearS" vbProcedure="false">Valuation!$E$60</definedName>
    <definedName function="false" hidden="false" name="V_EVBullS" vbProcedure="false">Valuation!$E$59</definedName>
    <definedName function="false" hidden="false" name="V_EVCMW" vbProcedure="false">Valuation!$E$196</definedName>
    <definedName function="false" hidden="false" name="V_EVEB27" vbProcedure="false">Valuation!$E$199</definedName>
    <definedName function="false" hidden="false" name="V_EVMemo" vbProcedure="false">Valuation!$E$56</definedName>
    <definedName function="false" hidden="false" name="V_EVMW1" vbProcedure="false">Valuation!$E$193</definedName>
    <definedName function="false" hidden="false" name="V_EVMW2" vbProcedure="false">Valuation!$E$194</definedName>
    <definedName function="false" hidden="false" name="V_EVMW3" vbProcedure="false">Valuation!$E$195</definedName>
    <definedName function="false" hidden="false" name="V_FDmkt" vbProcedure="false">Valuation!$E$171</definedName>
    <definedName function="false" hidden="false" name="V_FPCash" vbProcedure="false">Valuation!$E$135</definedName>
    <definedName function="false" hidden="false" name="V_FPSh" vbProcedure="false">Valuation!$E$136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esid" vbProcedure="false">Valuation!$E$26</definedName>
    <definedName function="false" hidden="false" name="V_GrowCx" vbProcedure="false">Valuation!$E$28</definedName>
    <definedName function="false" hidden="false" name="V_ImpMult" vbProcedure="false">Valuation!$E$40</definedName>
    <definedName function="false" hidden="false" name="V_ITMprin" vbProcedure="false">Valuation!$E$173</definedName>
    <definedName function="false" hidden="false" name="V_ITMsh" vbProcedure="false">Valuation!$E$172</definedName>
    <definedName function="false" hidden="false" name="V_M30" vbProcedure="false">Valuation!$E$41</definedName>
    <definedName function="false" hidden="false" name="V_MKTEQ" vbProcedure="false">Valuation!$E$177</definedName>
    <definedName function="false" hidden="false" name="V_MKTEV" vbProcedure="false">Valuation!$E$185</definedName>
    <definedName function="false" hidden="false" name="V_MKTEV_FD" vbProcedure="false">Valuation!$E$186</definedName>
    <definedName function="false" hidden="false" name="V_ND" vbProcedure="false">Valuation!$E$162</definedName>
    <definedName function="false" hidden="false" name="V_NDm" vbProcedure="false">Valuation!$E$68</definedName>
    <definedName function="false" hidden="false" name="V_NonGPU" vbProcedure="false">Valuation!$E$27</definedName>
    <definedName function="false" hidden="false" name="V_NOPAT" vbProcedure="false">Valuation!$E$34</definedName>
    <definedName function="false" hidden="false" name="V_NTM" vbProcedure="false">Valuation!$E$166</definedName>
    <definedName function="false" hidden="false" name="V_ODEBT" vbProcedure="false">Valuation!$E$93</definedName>
    <definedName function="false" hidden="false" name="V_OFF" vbProcedure="false">Valuation!$E$75</definedName>
    <definedName function="false" hidden="false" name="V_OT" vbProcedure="false">Valuation!$E$72</definedName>
    <definedName function="false" hidden="false" name="V_PEEREV" vbProcedure="false">Valuation!$E$197</definedName>
    <definedName function="false" hidden="false" name="V_PS" vbProcedure="false">Valuation!$F$115</definedName>
    <definedName function="false" hidden="false" name="V_PSB" vbProcedure="false">Valuation!$F$121</definedName>
    <definedName function="false" hidden="false" name="V_PSF" vbProcedure="false">Valuation!$F$153</definedName>
    <definedName function="false" hidden="false" name="V_PSMemo" vbProcedure="false">Valuation!$E$57</definedName>
    <definedName function="false" hidden="false" name="V_PSolve" vbProcedure="false">Valuation!$F$113</definedName>
    <definedName function="false" hidden="false" name="V_PT" vbProcedure="false">Valuation!$F$158</definedName>
    <definedName function="false" hidden="false" name="V_PT36" vbProcedure="false">Valuation!$F$160</definedName>
    <definedName function="false" hidden="false" name="V_PT6" vbProcedure="false">Valuation!$F$159</definedName>
    <definedName function="false" hidden="false" name="V_PVF" vbProcedure="false">Valuation!$E$48</definedName>
    <definedName function="false" hidden="false" name="V_PVTV" vbProcedure="false">Valuation!$E$47</definedName>
    <definedName function="false" hidden="false" name="V_Q" vbProcedure="false">Valuation!$E$66</definedName>
    <definedName function="false" hidden="false" name="V_Rev30" vbProcedure="false">Valuation!$E$18</definedName>
    <definedName function="false" hidden="false" name="V_ROIC" vbProcedure="false">Valuation!$E$36</definedName>
    <definedName function="false" hidden="false" name="V_RRimp" vbProcedure="false">Valuation!$E$35</definedName>
    <definedName function="false" hidden="false" name="V_RSU" vbProcedure="false">Valuation!$E$95</definedName>
    <definedName function="false" hidden="false" name="V_SFCRate" vbProcedure="false">Valuation!$E$54</definedName>
    <definedName function="false" hidden="false" name="V_SH" vbProcedure="false">Valuation!$F$119</definedName>
    <definedName function="false" hidden="false" name="V_SHF" vbProcedure="false">Valuation!$F$154</definedName>
    <definedName function="false" hidden="false" name="V_SHFFull" vbProcedure="false">Valuation!$F$155</definedName>
    <definedName function="false" hidden="false" name="V_SHFNSS" vbProcedure="false">Valuation!$F$156</definedName>
    <definedName function="false" hidden="false" name="V_SHFull" vbProcedure="false">Valuation!$F$124</definedName>
    <definedName function="false" hidden="false" name="V_SHNSS" vbProcedure="false">Valuation!$F$125</definedName>
    <definedName function="false" hidden="false" name="V_SHq" vbProcedure="false">Valuation!$E$76</definedName>
    <definedName function="false" hidden="false" name="V_SOTP" vbProcedure="false">Valuation!$E$74</definedName>
    <definedName function="false" hidden="false" name="V_TO" vbProcedure="false">Valuation!$E$70</definedName>
    <definedName function="false" hidden="false" name="V_TrB" vbProcedure="false">Valuation!$F$80:$F$91</definedName>
    <definedName function="false" hidden="false" name="V_TrBP" vbProcedure="false">Valuation!$J$80:$J$91</definedName>
    <definedName function="false" hidden="false" name="V_TrO" vbProcedure="false">Valuation!$E$80:$E$91</definedName>
    <definedName function="false" hidden="false" name="V_TrOP" vbProcedure="false">Valuation!$I$80:$I$91</definedName>
    <definedName function="false" hidden="false" name="V_TrPX" vbProcedure="false">Valuation!$H$80:$H$91</definedName>
    <definedName function="false" hidden="false" name="V_TrRT" vbProcedure="false">Valuation!$G$80:$G$91</definedName>
    <definedName function="false" hidden="false" name="V_TScale" vbProcedure="false">Valuation!$E$21</definedName>
    <definedName function="false" hidden="false" name="V_TV" vbProcedure="false">Valuation!$E$44</definedName>
    <definedName function="false" hidden="false" name="V_TVB" vbProcedure="false">Valuation!$E$42</definedName>
    <definedName function="false" hidden="false" name="V_TVBasis" vbProcedure="false">Valuation!$E$45</definedName>
    <definedName function="false" hidden="false" name="V_TVG" vbProcedure="false">Valuation!$E$38</definedName>
    <definedName function="false" hidden="false" name="V_TVM" vbProcedure="false">Valuation!$E$39</definedName>
    <definedName function="false" hidden="false" name="V_TVRO" vbProcedure="false">Valuation!$E$43</definedName>
    <definedName function="false" hidden="false" name="V_TXT" vbProcedure="false">Valuation!$E$32</definedName>
    <definedName function="false" hidden="false" name="V_UFT" vbProcedure="false">Valuation!$E$37</definedName>
    <definedName function="false" hidden="false" name="V_UP" vbProcedure="false">Valuation!$F$161</definedName>
    <definedName function="false" hidden="false" name="V_UtBaseS" vbProcedure="false">Valuation!$E$61</definedName>
    <definedName function="false" hidden="false" name="V_UtBearS" vbProcedure="false">Valuation!$E$63</definedName>
    <definedName function="false" hidden="false" name="V_UtBullS" vbProcedure="false">Valuation!$E$62</definedName>
    <definedName function="false" hidden="false" name="WACC" vbProcedure="false">Inputs!$F$347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<sst xmlns="http://schemas.openxmlformats.org/spreadsheetml/2006/main" count="8098" uniqueCount="3036">
  <si>
    <t xml:space="preserve">Nebius (NBIS) driver-based model</t>
  </si>
  <si>
    <t xml:space="preserve">VERSION v0.7b – PROVISIONAL (debug &amp; fix of v0.7)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</si>
  <si>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</si>
  <si>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v0.7b changes (each a Bridge step): capitalised interest out of UFCF tax/terminal D&amp;A; owned-site opex $2.25M/IT MW-yr all-in (no rent); data hall $12.5M/IT MW split 30% shell 20y / 70% power 10y; retired GPUs 15% after-tax residual (bear 0%); Capacity v2 MW (YE26 ~302 / YE27 ~1,082 IT MW); GB300 capex from rack price 491/72 x $4.5M + $6.1M network = $36.8M leased / $49.3M owned; converts in debt at carrying value (Note 12); Rubin capex v2 $41.1M leased (34.3/49.2) / $52.6M owned (45.8/60.7); lease prepayments $1.6M per new leased IT MW; GB300 2027+ new-deal price $16M/IT MW from contracts (bull mix-shift $18M, bear $14.5M; $22M IT / $26.4M gross kept as sensitivities); new prepayments at Q2'26 pace $1.2B/qtr through Q4'28 (guidance case $4.5B H2'26 = sensitivity); bear: 25% of deferred revenue treated as debt-like (PLACEHOLDER - refundable amount not disclosed). Payback table rebuilt (owned rows no rent; IRR/NPV with residual, after tax, incl. corporate opex).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</si>
  <si>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</si>
  <si>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</si>
  <si>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</si>
  <si>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</si>
  <si>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</si>
  <si>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</si>
  <si>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</si>
  <si>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</si>
  <si>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</si>
  <si>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</si>
  <si>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OPEN: liquidity - the 2027 funding plan (ATM 12.27M sh + 2 x $6.4B converts) was sized on Capacity v1 and no longer closes the FY27 gap: YE27 liquidity -$5.0B (base, Q2-pace prepayments), -$3.3B (guidance-case prepayments); first negative quarter Q3'27 / Q4'27.</t>
  </si>
  <si>
    <t xml:space="preserve">Owner: Capacity</t>
  </si>
  <si>
    <t xml:space="preserve">OPEN: billing lag - model uses EnLag 1 qtr for all sites: billing/energized IT MW 72% YE26 (217/302), 75% YE27 (813/1,082) vs Capacity v2 85% (258/302) / 79% (853/1,082); capex at energization. Rubin $18M/IT MW = $6.42/GPU-hr at 320 GPUs/MW vs GB300 $16M = $3.72 at 491 (1.73x per GPU-hr).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</si>
  <si>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</si>
  <si>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</si>
  <si>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</si>
  <si>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</si>
  <si>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</si>
  <si>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</si>
  <si>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</si>
  <si>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</si>
  <si>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</si>
  <si>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base equity value pre-funding ~0 (DCF EV $7.9B &lt; net debt incl. converts at carrying); PT driven by post-funding per-share; bull EV &gt;&gt; base (bull = $18M ND, Rubin capex bull); bear EV &lt; 0 (equity floored at 0); FY26 capex $17.6B below $20-25B guide; share issuance need ~98M (base) / ~202M (bear) vs ~82M authority (INFO; no cap applied). See Checks.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</si>
  <si>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</si>
  <si>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</si>
  <si>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</si>
  <si>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</si>
  <si>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</si>
  <si>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</si>
  <si>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</si>
  <si>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</si>
  <si>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</si>
  <si>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</si>
  <si>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</si>
  <si>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</si>
  <si>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</si>
  <si>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</si>
  <si>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</si>
  <si>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</si>
  <si>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</si>
  <si>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</si>
  <si>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</si>
  <si>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</si>
  <si>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</si>
  <si>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</si>
  <si>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</si>
  <si>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</si>
  <si>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</si>
  <si>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</si>
  <si>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</si>
  <si>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</si>
  <si>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</si>
  <si>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</si>
  <si>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</si>
  <si>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</si>
  <si>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</si>
  <si>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</si>
  <si>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</si>
  <si>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</si>
  <si>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</si>
  <si>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</si>
  <si>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</si>
  <si>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</si>
  <si>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</si>
  <si>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</si>
  <si>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</si>
  <si>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</si>
  <si>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</si>
  <si>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</si>
  <si>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</si>
  <si>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</si>
  <si>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</si>
  <si>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</si>
  <si>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</si>
  <si>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</si>
  <si>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</si>
  <si>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</si>
  <si>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</si>
  <si>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</si>
  <si>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</si>
  <si>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</si>
  <si>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</si>
  <si>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</si>
  <si>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</si>
  <si>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</si>
  <si>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</si>
  <si>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</si>
  <si>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</si>
  <si>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</si>
  <si>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</si>
  <si>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</si>
  <si>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</si>
  <si>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</si>
  <si>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</si>
  <si>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</si>
  <si>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</si>
  <si>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</si>
  <si>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</si>
  <si>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</si>
  <si>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</si>
  <si>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</si>
  <si>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</si>
  <si>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</si>
  <si>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</si>
  <si>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</si>
  <si>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</si>
  <si>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</si>
  <si>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</si>
  <si>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</si>
  <si>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</si>
  <si>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</si>
  <si>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</si>
  <si>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</si>
  <si>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</si>
  <si>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</si>
  <si>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</si>
  <si>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</si>
  <si>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-5.2 / -5.2 / Q3'27</t>
  </si>
  <si>
    <t xml:space="preserve">0.1 / -5.1 / Q3'27</t>
  </si>
  <si>
    <t xml:space="preserve">7.9 / -5.0 / Q3'27</t>
  </si>
  <si>
    <t xml:space="preserve">20.0 / -4.7 / Q3'27</t>
  </si>
  <si>
    <t xml:space="preserve">  EV $B / YE27 liq $B / 1st neg - gross</t>
  </si>
  <si>
    <t xml:space="preserve">3.5 / -4.8 / Q3'27</t>
  </si>
  <si>
    <t xml:space="preserve">7.9 / -4.8 / Q3'27</t>
  </si>
  <si>
    <t xml:space="preserve">14.5 / -4.6 / Q3'27</t>
  </si>
  <si>
    <t xml:space="preserve">23.8 / -4.5 / Q3'27</t>
  </si>
  <si>
    <t xml:space="preserve">Prepayment decay OFF (other deals 38.5% flat)</t>
  </si>
  <si>
    <t xml:space="preserve">-4.3 / -5.2 / Q3'27</t>
  </si>
  <si>
    <t xml:space="preserve">0.9 / -5.1 / Q3'27</t>
  </si>
  <si>
    <t xml:space="preserve">8.7 / -5.0 / Q3'27</t>
  </si>
  <si>
    <t xml:space="preserve">20.8 / -4.7 / Q3'27</t>
  </si>
  <si>
    <t xml:space="preserve">4.3 / -4.8 / Q3'27</t>
  </si>
  <si>
    <t xml:space="preserve">8.7 / -4.8 / Q3'27</t>
  </si>
  <si>
    <t xml:space="preserve">15.3 / -4.6 / Q3'27</t>
  </si>
  <si>
    <t xml:space="preserve">24.6 / -4.5 / Q3'27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</si>
  <si>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</si>
  <si>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</si>
  <si>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</si>
  <si>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</si>
  <si>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</si>
  <si>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v2: $34.3 / 41.1 / 49.2M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</si>
  <si>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</si>
  <si>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</si>
  <si>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</si>
  <si>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</si>
  <si>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</si>
  <si>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</si>
  <si>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</si>
  <si>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</si>
  <si>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</si>
  <si>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</si>
  <si>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</si>
  <si>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</si>
  <si>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</si>
  <si>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</si>
  <si>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</si>
  <si>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</si>
  <si>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</si>
  <si>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</si>
  <si>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</si>
  <si>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</si>
  <si>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</si>
  <si>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</si>
  <si>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</si>
  <si>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$16M/IT MW [bear]</t>
  </si>
  <si>
    <t xml:space="preserve">same (no toggle)</t>
  </si>
  <si>
    <t xml:space="preserve">Vera Rubin $18M/IT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</si>
  <si>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</si>
  <si>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</si>
  <si>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</si>
  <si>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</si>
  <si>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</si>
  <si>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</si>
  <si>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</si>
  <si>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</si>
  <si>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</si>
  <si>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</si>
  <si>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</si>
  <si>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</si>
  <si>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</si>
  <si>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</si>
  <si>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</si>
  <si>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</si>
  <si>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</si>
  <si>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</si>
  <si>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</si>
  <si>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</si>
  <si>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</si>
  <si>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</si>
  <si>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</si>
  <si>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</si>
  <si>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</si>
  <si>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</si>
  <si>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</si>
  <si>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</si>
  <si>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$18M rev / $41.1M capex (+ lease prepayment)</t>
  </si>
  <si>
    <t xml:space="preserve">n/a (no toggle)</t>
  </si>
  <si>
    <t xml:space="preserve">Leased Vera Rubin BULL: $20M / $34.3M (+ lease prepayment)</t>
  </si>
  <si>
    <t xml:space="preserve">Leased Vera Rubin BEAR: $16M / $49.2M (+ lease prepayment)</t>
  </si>
  <si>
    <t xml:space="preserve">Leased Vera Rubin: bull price $20M at base capex $41.1M (+ lease prepayment)</t>
  </si>
  <si>
    <t xml:space="preserve">Owned GB300 (memo, rack-based servers+network + 12.5 hall), opex NO rent</t>
  </si>
  <si>
    <t xml:space="preserve">Owned Vera Rubin (memo, base 52.6 = 40.1 + 12.5 hall) at $18M,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</si>
  <si>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</si>
  <si>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</si>
  <si>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</si>
  <si>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</si>
  <si>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</si>
  <si>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</si>
  <si>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</si>
  <si>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</si>
  <si>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</si>
  <si>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</si>
  <si>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</si>
  <si>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</si>
  <si>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</si>
  <si>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</si>
  <si>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</si>
  <si>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</si>
  <si>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</si>
  <si>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</si>
  <si>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</si>
  <si>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</si>
  <si>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</si>
  <si>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</si>
  <si>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</si>
  <si>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</si>
  <si>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</si>
  <si>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Equity floor per FD share - conservative / mark / high ($): solved jointly with price-dependent convert count (cols C-D; iteration in cols H-J)</t>
  </si>
  <si>
    <t xml:space="preserve">&lt;- convert shares at conservative floor price (M)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</si>
  <si>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</si>
  <si>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</si>
  <si>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</si>
  <si>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</si>
  <si>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</si>
  <si>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</si>
  <si>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E) PRICE CHECK - $/GPU-hr implied by new-deal $/IT MW (live scenario). Price is NOT calibrated off the 22-month payback.</t>
  </si>
  <si>
    <t xml:space="preserve">GB300 multi-year new deal (MYRate, IT reading) $M/IT MW-yr | $/GPU-hr at 491</t>
  </si>
  <si>
    <t xml:space="preserve">GB300 gross reading (MYRate x ND_GrossX) per IT MW | $/GPU-hr at 491</t>
  </si>
  <si>
    <t xml:space="preserve">Q2'26 letter ACV midpoint $22.5M (ACV_Q2) if GB300 at 491/IT MW | $/GPU-hr (vs MSFT $3.37, Astra $3.70, IREN ~$4.65)</t>
  </si>
  <si>
    <t xml:space="preserve">Vera Rubin new deal (RubinMW) | $/GPU-hr at 320 (col D: Rubin / GB300 per GPU-hr)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</si>
  <si>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</si>
  <si>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</si>
  <si>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</si>
  <si>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</si>
  <si>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</si>
  <si>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</si>
  <si>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</si>
  <si>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</si>
  <si>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</si>
  <si>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</si>
  <si>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</si>
  <si>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</si>
  <si>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</si>
  <si>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</si>
  <si>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</si>
  <si>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</si>
  <si>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</si>
  <si>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</si>
  <si>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</si>
  <si>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</si>
  <si>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</si>
  <si>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</si>
  <si>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</si>
  <si>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</si>
  <si>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</si>
  <si>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</si>
  <si>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</si>
  <si>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</si>
  <si>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</si>
  <si>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</si>
  <si>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</si>
  <si>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</si>
  <si>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</si>
  <si>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</si>
  <si>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</si>
  <si>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</si>
  <si>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</si>
  <si>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</si>
  <si>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</si>
  <si>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</si>
  <si>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</si>
  <si>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</si>
  <si>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</si>
  <si>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</si>
  <si>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</si>
  <si>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</si>
  <si>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</si>
  <si>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</si>
  <si>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</si>
  <si>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</si>
  <si>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</si>
  <si>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</si>
  <si>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</si>
  <si>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</si>
  <si>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</si>
  <si>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</si>
  <si>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</si>
  <si>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</si>
  <si>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</si>
  <si>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</si>
  <si>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</si>
  <si>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</si>
  <si>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</si>
  <si>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</si>
  <si>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</si>
  <si>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</si>
  <si>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</si>
  <si>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</si>
  <si>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</si>
  <si>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</si>
  <si>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</si>
  <si>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</si>
  <si>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</si>
  <si>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</si>
  <si>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</si>
  <si>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</si>
  <si>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</si>
  <si>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</si>
  <si>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</si>
  <si>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</si>
  <si>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</si>
  <si>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</si>
  <si>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</si>
  <si>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</si>
  <si>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</si>
  <si>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</si>
  <si>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</si>
  <si>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</si>
  <si>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</si>
  <si>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</si>
  <si>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</si>
  <si>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</si>
  <si>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</si>
  <si>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</si>
  <si>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</si>
  <si>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</si>
  <si>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</si>
  <si>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</si>
  <si>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</si>
  <si>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</si>
  <si>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</si>
  <si>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</si>
  <si>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</si>
  <si>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</si>
  <si>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</si>
  <si>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</si>
  <si>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</si>
  <si>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</si>
  <si>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</si>
  <si>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</si>
  <si>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</si>
  <si>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</si>
  <si>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</si>
  <si>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</si>
  <si>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</si>
  <si>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</si>
  <si>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</si>
  <si>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</si>
  <si>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</si>
  <si>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</si>
  <si>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</si>
  <si>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</si>
  <si>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</si>
  <si>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</si>
  <si>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</si>
  <si>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</si>
  <si>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</si>
  <si>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</si>
  <si>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</si>
  <si>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</si>
  <si>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</si>
  <si>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</si>
  <si>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</si>
  <si>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</si>
  <si>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</si>
  <si>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</si>
  <si>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</si>
  <si>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</si>
  <si>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</si>
  <si>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</si>
  <si>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</si>
  <si>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</si>
  <si>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</si>
  <si>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</si>
  <si>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</si>
  <si>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</si>
  <si>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</si>
  <si>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</si>
  <si>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</si>
  <si>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</si>
  <si>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</si>
  <si>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</si>
  <si>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</si>
  <si>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</si>
  <si>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</si>
  <si>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</si>
  <si>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</si>
  <si>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</si>
  <si>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</si>
  <si>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</si>
  <si>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</si>
  <si>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</si>
  <si>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</si>
  <si>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</si>
  <si>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</si>
  <si>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</si>
  <si>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</si>
  <si>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</si>
  <si>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</si>
  <si>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</si>
  <si>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</si>
  <si>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</si>
  <si>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</si>
  <si>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</si>
  <si>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</si>
  <si>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</si>
  <si>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</si>
  <si>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</si>
  <si>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</si>
  <si>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</si>
  <si>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</si>
  <si>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</si>
  <si>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</si>
  <si>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</si>
  <si>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</si>
  <si>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</si>
  <si>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</si>
  <si>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</si>
  <si>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</si>
  <si>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</si>
  <si>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</si>
  <si>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</si>
  <si>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</si>
  <si>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</si>
  <si>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</si>
  <si>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</si>
  <si>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</si>
  <si>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</si>
  <si>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</si>
  <si>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</si>
  <si>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</si>
  <si>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</si>
  <si>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</si>
  <si>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</si>
  <si>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</si>
  <si>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</si>
  <si>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</si>
  <si>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</si>
  <si>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</si>
  <si>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</si>
  <si>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</si>
  <si>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</si>
  <si>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</si>
  <si>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</si>
  <si>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</si>
  <si>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</si>
  <si>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</si>
  <si>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</si>
  <si>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</si>
  <si>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</si>
  <si>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</si>
  <si>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</si>
  <si>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</si>
  <si>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</si>
  <si>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</si>
  <si>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</si>
  <si>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</si>
  <si>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</si>
  <si>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</si>
  <si>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</si>
  <si>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</si>
  <si>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</si>
  <si>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</si>
  <si>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</si>
  <si>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</si>
  <si>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</si>
  <si>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</si>
  <si>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</si>
  <si>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</si>
  <si>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</si>
  <si>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</si>
  <si>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</si>
  <si>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</si>
  <si>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</si>
  <si>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</si>
  <si>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</si>
  <si>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</si>
  <si>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</si>
  <si>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</si>
  <si>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</si>
  <si>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</si>
  <si>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</si>
  <si>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</si>
  <si>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</si>
  <si>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</si>
  <si>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</si>
  <si>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</si>
  <si>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$/GPU-hr premium vs GB300 (model) vs per-MW parity (GPUs/MW GB300 / Rubin)</t>
  </si>
  <si>
    <t xml:space="preserve">Sensitivity 1.0x / 1.25x / 1.53x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</si>
  <si>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</si>
  <si>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</si>
  <si>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</si>
  <si>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</si>
  <si>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</si>
  <si>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</si>
  <si>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</si>
  <si>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</si>
  <si>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</si>
  <si>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</si>
  <si>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</si>
  <si>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</si>
  <si>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Q3'26-Q4'27 vs MinCash</t>
  </si>
  <si>
    <t xml:space="preserve">Plan is ESTIMATED (not guidance); 2028+ needs further raises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</si>
  <si>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</si>
  <si>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</si>
  <si>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</si>
  <si>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Issuance authority (INFO, no hard cap): new shares needing authority (plan ATM + plan converts at full conversion + equity plug) vs 20% of issued incl. treasury (rises with issuance). Base authority ~64M + treasury; board can seek more at an EGM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</si>
  <si>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</si>
  <si>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</si>
  <si>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</si>
  <si>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</si>
  <si>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</si>
  <si>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</si>
  <si>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</si>
  <si>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</si>
  <si>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</si>
  <si>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</si>
  <si>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</si>
  <si>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</si>
  <si>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</si>
  <si>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</si>
  <si>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</si>
  <si>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</si>
  <si>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</si>
  <si>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</si>
  <si>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</si>
  <si>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</si>
  <si>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</si>
  <si>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</si>
  <si>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</si>
  <si>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</si>
  <si>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</si>
  <si>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</si>
  <si>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</si>
  <si>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</si>
  <si>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</si>
  <si>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</si>
  <si>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</si>
  <si>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</si>
  <si>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</si>
  <si>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</si>
  <si>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</si>
  <si>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</si>
  <si>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</si>
  <si>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</si>
  <si>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</si>
  <si>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</si>
  <si>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</si>
  <si>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</si>
  <si>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</si>
  <si>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</si>
  <si>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</si>
  <si>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</si>
  <si>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</si>
  <si>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</si>
  <si>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</si>
  <si>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</si>
  <si>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</si>
  <si>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</si>
  <si>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</si>
  <si>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</si>
  <si>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</si>
  <si>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</si>
  <si>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</si>
  <si>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</si>
  <si>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</si>
  <si>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</si>
  <si>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</si>
  <si>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</si>
  <si>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</si>
  <si>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</si>
  <si>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</si>
  <si>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</si>
  <si>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</si>
  <si>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</si>
  <si>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</si>
  <si>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</si>
  <si>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</si>
  <si>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</si>
  <si>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</si>
  <si>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</si>
  <si>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</si>
  <si>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</si>
  <si>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</si>
  <si>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</si>
  <si>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</si>
  <si>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</si>
  <si>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</si>
  <si>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</si>
  <si>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</si>
  <si>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</si>
  <si>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</si>
  <si>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</si>
  <si>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</si>
  <si>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</si>
  <si>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</si>
  <si>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</si>
  <si>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</si>
  <si>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</si>
  <si>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</si>
  <si>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</si>
  <si>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</si>
  <si>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</si>
  <si>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</si>
  <si>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</si>
  <si>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</si>
  <si>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</si>
  <si>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</si>
  <si>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</si>
  <si>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</si>
  <si>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</si>
  <si>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</si>
  <si>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</si>
  <si>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</si>
  <si>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</si>
  <si>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yrs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</si>
  <si>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</si>
  <si>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</si>
  <si>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</si>
  <si>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</si>
  <si>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</si>
  <si>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M sh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</si>
  <si>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</si>
  <si>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</si>
  <si>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</si>
  <si>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</si>
  <si>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</si>
  <si>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</si>
  <si>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</si>
  <si>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</si>
  <si>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</si>
  <si>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</si>
  <si>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</si>
  <si>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</si>
  <si>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</si>
  <si>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</si>
  <si>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</si>
  <si>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</si>
  <si>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</si>
  <si>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</si>
  <si>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</si>
  <si>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</si>
  <si>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</si>
  <si>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</si>
  <si>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</si>
  <si>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</si>
  <si>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</si>
  <si>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</si>
  <si>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</si>
  <si>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</si>
  <si>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</si>
  <si>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</si>
  <si>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</si>
  <si>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</si>
  <si>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</si>
  <si>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</si>
  <si>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</si>
  <si>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</si>
  <si>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</si>
  <si>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</si>
  <si>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</si>
  <si>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</si>
  <si>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</si>
  <si>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</si>
  <si>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</si>
  <si>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</si>
  <si>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</si>
  <si>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</si>
  <si>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</si>
  <si>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</si>
  <si>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</si>
  <si>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</si>
  <si>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</si>
  <si>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</si>
  <si>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</si>
  <si>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</si>
  <si>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</si>
  <si>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</si>
  <si>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</si>
  <si>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</si>
  <si>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</si>
  <si>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</si>
  <si>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</si>
  <si>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</si>
  <si>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</si>
  <si>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</si>
  <si>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</si>
  <si>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</si>
  <si>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</si>
  <si>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</si>
  <si>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</si>
  <si>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</si>
  <si>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</si>
  <si>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</si>
  <si>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</si>
  <si>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</si>
  <si>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</si>
  <si>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</si>
  <si>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</si>
  <si>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</si>
  <si>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Base 18 / bull 20 / bear 16. Implied $/GPU-hr at 320 packages/IT MW: 6.42 / 7.13 / 5.71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</si>
  <si>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</si>
  <si>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</si>
  <si>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</si>
  <si>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</si>
  <si>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</si>
  <si>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</si>
  <si>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</si>
  <si>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</si>
  <si>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</si>
  <si>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</si>
  <si>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</si>
  <si>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</si>
  <si>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</si>
  <si>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</si>
  <si>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</si>
  <si>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</si>
  <si>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</si>
  <si>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</si>
  <si>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</si>
  <si>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</si>
  <si>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</si>
  <si>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</si>
  <si>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</si>
  <si>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</si>
  <si>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</si>
  <si>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</si>
  <si>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</si>
  <si>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</si>
  <si>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</si>
  <si>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</si>
  <si>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</si>
  <si>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</si>
  <si>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</si>
  <si>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</si>
  <si>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</si>
  <si>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</si>
  <si>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</si>
  <si>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</si>
  <si>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</si>
  <si>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</si>
  <si>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</si>
  <si>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</si>
  <si>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</si>
  <si>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</si>
  <si>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</si>
  <si>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</si>
  <si>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</si>
  <si>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</si>
  <si>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</si>
  <si>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</si>
  <si>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</si>
  <si>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</si>
  <si>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</si>
  <si>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</si>
  <si>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</si>
  <si>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</si>
  <si>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</si>
  <si>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</si>
  <si>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</si>
  <si>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</si>
  <si>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</si>
  <si>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</si>
  <si>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</si>
  <si>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</si>
  <si>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</si>
  <si>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</si>
  <si>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</si>
  <si>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</si>
  <si>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</si>
  <si>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</si>
  <si>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</si>
  <si>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</si>
  <si>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</si>
  <si>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</si>
  <si>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</si>
  <si>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</si>
  <si>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</si>
  <si>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</si>
  <si>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</si>
  <si>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</si>
  <si>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</si>
  <si>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</si>
  <si>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</si>
  <si>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</si>
  <si>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</si>
  <si>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</si>
  <si>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</si>
  <si>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</si>
  <si>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</si>
  <si>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</si>
  <si>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</si>
  <si>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</si>
  <si>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</si>
  <si>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</si>
  <si>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</si>
  <si>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</si>
  <si>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</si>
  <si>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</si>
  <si>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</si>
  <si>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</si>
  <si>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</si>
  <si>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</si>
  <si>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</si>
  <si>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</si>
  <si>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</si>
  <si>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</si>
  <si>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</si>
  <si>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</si>
  <si>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</si>
  <si>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</si>
  <si>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</si>
  <si>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</si>
  <si>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</si>
  <si>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</si>
  <si>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</si>
  <si>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</si>
  <si>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</si>
  <si>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</si>
  <si>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</si>
  <si>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</si>
  <si>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</si>
  <si>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</si>
  <si>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</si>
  <si>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</si>
  <si>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</si>
  <si>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</si>
  <si>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</si>
  <si>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</si>
  <si>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</si>
  <si>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</si>
  <si>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premium vs GB300 NVL72 (new deals)</t>
  </si>
  <si>
    <t xml:space="preserve">v0.6 base 1.2x (tests 1.1x / 1.5x): Anthropic-Nscale Rubin ~$5.76/GPU-hr vs IREN GB300 ~$4.65 (1.24x) and vs $5.10 implied by $22M/IT MW (1.13x); Nscale ~$16.2M/IT MW. Medium-low (single Rubin contract). v0.5 = 1.56x per-MW parity. v0.7: NOT used for new-deal revenue when RubinMode = 1 (direct $/IT MW); on-demand list/memo only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</si>
  <si>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</si>
  <si>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</si>
  <si>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</si>
  <si>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</si>
  <si>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</si>
  <si>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</si>
  <si>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</si>
  <si>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</si>
  <si>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</si>
  <si>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</si>
  <si>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</si>
  <si>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</si>
  <si>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</si>
  <si>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</si>
  <si>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</si>
  <si>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</si>
  <si>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</si>
  <si>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</si>
  <si>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</si>
  <si>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</si>
  <si>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</si>
  <si>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</si>
  <si>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</si>
  <si>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</si>
  <si>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</si>
  <si>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</si>
  <si>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</si>
  <si>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</si>
  <si>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</si>
  <si>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</si>
  <si>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</si>
  <si>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</si>
  <si>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</si>
  <si>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</si>
  <si>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</si>
  <si>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</si>
  <si>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</si>
  <si>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</si>
  <si>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</si>
  <si>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</si>
  <si>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</si>
  <si>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</si>
  <si>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</si>
  <si>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</si>
  <si>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</si>
  <si>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</si>
  <si>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</si>
  <si>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</si>
  <si>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</si>
  <si>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</si>
  <si>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</si>
  <si>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</si>
  <si>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</si>
  <si>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</si>
  <si>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</si>
  <si>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</si>
  <si>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</si>
  <si>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</si>
  <si>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</si>
  <si>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</si>
  <si>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</si>
  <si>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</si>
  <si>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</si>
  <si>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</si>
  <si>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</si>
  <si>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</si>
  <si>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</si>
  <si>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</si>
  <si>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</si>
  <si>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</si>
  <si>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</si>
  <si>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</si>
  <si>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</si>
  <si>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</si>
  <si>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</si>
  <si>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</si>
  <si>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</si>
  <si>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</si>
  <si>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</si>
  <si>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</si>
  <si>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</si>
  <si>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</si>
  <si>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</si>
  <si>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</si>
  <si>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</si>
  <si>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</si>
  <si>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</si>
  <si>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</si>
  <si>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</si>
  <si>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</si>
  <si>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</si>
  <si>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</si>
  <si>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</si>
  <si>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</si>
  <si>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</si>
  <si>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</si>
  <si>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</si>
  <si>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</si>
  <si>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</si>
  <si>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</si>
  <si>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</si>
  <si>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</si>
  <si>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</si>
  <si>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</si>
  <si>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</si>
  <si>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</si>
  <si>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</si>
  <si>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</si>
  <si>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</si>
  <si>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</si>
  <si>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</si>
  <si>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</si>
  <si>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</si>
  <si>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</si>
  <si>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</si>
  <si>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</si>
  <si>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</si>
  <si>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</si>
  <si>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</si>
  <si>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</si>
  <si>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</si>
  <si>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</si>
  <si>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</si>
  <si>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</si>
  <si>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</si>
  <si>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</si>
  <si>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</si>
  <si>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</si>
  <si>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</si>
  <si>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</si>
  <si>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</si>
  <si>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</si>
  <si>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</si>
  <si>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</si>
  <si>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</si>
  <si>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</si>
  <si>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</si>
  <si>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</si>
  <si>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</si>
  <si>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</si>
  <si>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</si>
  <si>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</si>
  <si>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</si>
  <si>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</si>
  <si>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</si>
  <si>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</si>
  <si>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</si>
  <si>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</si>
  <si>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</si>
  <si>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</si>
  <si>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</si>
  <si>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</si>
  <si>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</si>
  <si>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</si>
  <si>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</si>
  <si>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</si>
  <si>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</si>
  <si>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</si>
  <si>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</si>
  <si>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</si>
  <si>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</si>
  <si>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</si>
  <si>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</si>
  <si>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</si>
  <si>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</si>
  <si>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</si>
  <si>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</si>
  <si>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</si>
  <si>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</si>
  <si>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</si>
  <si>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</si>
  <si>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</si>
  <si>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</si>
  <si>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</si>
  <si>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</si>
  <si>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</si>
  <si>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</si>
  <si>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</si>
  <si>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</si>
  <si>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</si>
  <si>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</si>
  <si>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</si>
  <si>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</si>
  <si>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</si>
  <si>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</si>
  <si>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</si>
  <si>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</si>
  <si>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</si>
  <si>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</si>
  <si>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</si>
  <si>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</si>
  <si>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</si>
  <si>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</si>
  <si>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</si>
  <si>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</si>
  <si>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</si>
  <si>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</si>
  <si>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</si>
  <si>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</si>
  <si>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</si>
  <si>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</si>
  <si>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</si>
  <si>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</si>
  <si>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</si>
  <si>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</si>
  <si>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</si>
  <si>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</si>
  <si>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</si>
  <si>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</si>
  <si>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</si>
  <si>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</si>
  <si>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</si>
  <si>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</si>
  <si>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</si>
  <si>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</si>
  <si>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</si>
  <si>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</si>
  <si>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</si>
  <si>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</si>
  <si>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</si>
  <si>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</si>
  <si>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</si>
  <si>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</si>
  <si>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</si>
  <si>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</si>
  <si>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</si>
  <si>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</si>
  <si>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</si>
  <si>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</si>
  <si>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</si>
  <si>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</si>
  <si>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</si>
  <si>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</si>
  <si>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</si>
  <si>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</si>
  <si>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</si>
  <si>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</si>
  <si>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</si>
  <si>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</si>
  <si>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</si>
  <si>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</si>
  <si>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</si>
  <si>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</si>
  <si>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</si>
  <si>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</si>
  <si>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</si>
  <si>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</si>
  <si>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</si>
  <si>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</si>
  <si>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</si>
  <si>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</si>
  <si>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</si>
  <si>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</si>
  <si>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</si>
  <si>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</si>
  <si>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</si>
  <si>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</si>
  <si>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</si>
  <si>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</si>
  <si>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</si>
  <si>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</si>
  <si>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</si>
  <si>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</si>
  <si>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</si>
  <si>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</si>
  <si>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</si>
  <si>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</si>
  <si>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</si>
  <si>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</si>
  <si>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</si>
  <si>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</si>
  <si>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</si>
  <si>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</si>
  <si>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</si>
  <si>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</si>
  <si>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</si>
  <si>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</si>
  <si>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</si>
  <si>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</si>
  <si>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</si>
  <si>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</si>
  <si>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</si>
  <si>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</si>
  <si>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</si>
  <si>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</si>
  <si>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</si>
  <si>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</si>
  <si>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</si>
  <si>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</si>
  <si>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</si>
  <si>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</si>
  <si>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</si>
  <si>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</si>
  <si>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</si>
  <si>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</si>
  <si>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</si>
  <si>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</si>
  <si>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</si>
  <si>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</si>
  <si>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</si>
  <si>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</si>
  <si>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</si>
  <si>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</si>
  <si>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</si>
  <si>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</si>
  <si>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</si>
  <si>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</si>
  <si>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</si>
  <si>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</si>
  <si>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</si>
  <si>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</si>
  <si>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</si>
  <si>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</si>
  <si>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</si>
  <si>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</si>
  <si>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</si>
  <si>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</si>
  <si>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</si>
  <si>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</si>
  <si>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</si>
  <si>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</si>
  <si>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</si>
  <si>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YE27 (after both deals)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</si>
  <si>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</si>
  <si>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</si>
  <si>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</si>
  <si>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</si>
  <si>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</si>
  <si>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</si>
  <si>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</si>
  <si>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</si>
  <si>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</si>
  <si>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</si>
  <si>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</si>
  <si>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</si>
  <si>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</si>
  <si>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</si>
  <si>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</si>
  <si>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</si>
  <si>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</si>
  <si>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</si>
  <si>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</si>
  <si>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</si>
  <si>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</si>
  <si>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</si>
  <si>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</si>
  <si>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</si>
  <si>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</si>
  <si>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</si>
  <si>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</si>
  <si>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</si>
  <si>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</si>
  <si>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</si>
  <si>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</si>
  <si>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</si>
  <si>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</si>
  <si>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</si>
  <si>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</si>
  <si>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</si>
  <si>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</si>
  <si>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</si>
  <si>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</si>
  <si>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</si>
  <si>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</si>
  <si>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</si>
  <si>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</si>
  <si>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</si>
  <si>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</si>
  <si>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</si>
  <si>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</si>
  <si>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0-100%; Valuation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</si>
  <si>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</si>
  <si>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</si>
  <si>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</si>
  <si>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</si>
  <si>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</si>
  <si>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</si>
  <si>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</si>
  <si>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</si>
  <si>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</si>
  <si>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</si>
  <si>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</si>
  <si>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</si>
  <si>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</si>
  <si>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</si>
  <si>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</si>
  <si>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</si>
  <si>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</si>
  <si>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</si>
  <si>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</si>
  <si>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</si>
  <si>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</si>
  <si>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</si>
  <si>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</si>
  <si>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</si>
  <si>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</si>
  <si>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</si>
  <si>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</si>
  <si>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</si>
  <si>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</si>
  <si>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</si>
  <si>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</si>
  <si>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</si>
  <si>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</si>
  <si>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</si>
  <si>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</si>
  <si>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</si>
  <si>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</si>
  <si>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</si>
  <si>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</si>
  <si>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</si>
  <si>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</si>
  <si>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</si>
  <si>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</si>
  <si>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</si>
  <si>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</si>
  <si>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</si>
  <si>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</si>
  <si>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</si>
  <si>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</si>
  <si>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</si>
  <si>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</si>
  <si>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</si>
  <si>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</si>
  <si>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</si>
  <si>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</si>
  <si>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</si>
  <si>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</si>
  <si>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</si>
  <si>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</si>
  <si>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</si>
  <si>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</si>
  <si>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</si>
  <si>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</si>
  <si>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</si>
  <si>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</si>
  <si>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</si>
  <si>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</si>
  <si>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</si>
  <si>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</si>
  <si>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</si>
  <si>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</si>
  <si>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</si>
  <si>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</si>
  <si>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</si>
  <si>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</si>
  <si>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</si>
  <si>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</si>
  <si>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</si>
  <si>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</si>
  <si>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</si>
  <si>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</si>
  <si>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</si>
  <si>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</si>
  <si>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</si>
  <si>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</si>
  <si>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</si>
  <si>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</si>
  <si>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</si>
  <si>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</si>
  <si>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</si>
  <si>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</si>
  <si>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</si>
  <si>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</si>
  <si>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</si>
  <si>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</si>
  <si>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</si>
  <si>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</si>
  <si>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</si>
  <si>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</si>
  <si>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</si>
  <si>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</si>
  <si>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</si>
  <si>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</si>
  <si>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</si>
  <si>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</si>
  <si>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</si>
  <si>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</si>
  <si>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</si>
  <si>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</si>
  <si>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</si>
  <si>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</si>
  <si>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</si>
  <si>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</si>
  <si>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</si>
  <si>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</si>
  <si>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</si>
  <si>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</si>
  <si>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</si>
  <si>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</si>
  <si>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</si>
  <si>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</si>
  <si>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</si>
  <si>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</si>
  <si>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</si>
  <si>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</si>
  <si>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</si>
  <si>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</si>
  <si>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</si>
  <si>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</si>
  <si>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</si>
  <si>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</si>
  <si>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</si>
  <si>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</si>
  <si>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</si>
  <si>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</si>
  <si>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</si>
  <si>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</si>
  <si>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</si>
  <si>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</si>
  <si>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</si>
  <si>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</si>
  <si>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</si>
  <si>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</si>
  <si>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</si>
  <si>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</si>
  <si>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</si>
  <si>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</si>
  <si>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</si>
  <si>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</si>
  <si>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</si>
  <si>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</si>
  <si>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</si>
  <si>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</si>
  <si>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</si>
  <si>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</si>
  <si>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</si>
  <si>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</si>
  <si>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</si>
  <si>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</si>
  <si>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</si>
  <si>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</si>
  <si>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</si>
  <si>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</si>
  <si>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</si>
  <si>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</si>
  <si>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</si>
  <si>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</si>
  <si>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</si>
  <si>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</si>
  <si>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</si>
  <si>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</si>
  <si>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</si>
  <si>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</si>
  <si>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</si>
  <si>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</si>
  <si>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</si>
  <si>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</si>
  <si>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</si>
  <si>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</si>
  <si>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</si>
  <si>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</si>
  <si>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</si>
  <si>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</si>
  <si>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</si>
  <si>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</si>
  <si>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</si>
  <si>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</si>
  <si>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</si>
  <si>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</si>
  <si>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</si>
  <si>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</si>
  <si>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</si>
  <si>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</si>
  <si>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</si>
  <si>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</si>
  <si>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</si>
  <si>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</si>
  <si>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</si>
  <si>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</si>
  <si>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</si>
  <si>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</si>
  <si>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</si>
  <si>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</si>
  <si>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</si>
  <si>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</si>
  <si>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</si>
  <si>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</si>
  <si>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</si>
  <si>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</si>
  <si>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</si>
  <si>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</si>
  <si>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</si>
  <si>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</si>
  <si>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</si>
  <si>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</si>
  <si>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</si>
  <si>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</si>
  <si>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</si>
  <si>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</si>
  <si>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</si>
  <si>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</si>
  <si>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</si>
  <si>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</si>
  <si>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</si>
  <si>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</si>
  <si>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</si>
  <si>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</si>
  <si>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</si>
  <si>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</si>
  <si>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</si>
  <si>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</si>
  <si>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</si>
  <si>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</si>
  <si>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</si>
  <si>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</si>
  <si>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</si>
  <si>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</si>
  <si>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</si>
  <si>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</si>
  <si>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</si>
  <si>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</si>
  <si>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</si>
  <si>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</si>
  <si>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</si>
  <si>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</si>
  <si>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</si>
  <si>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</si>
  <si>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</si>
  <si>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</si>
  <si>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</si>
  <si>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</si>
  <si>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</si>
  <si>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</si>
  <si>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</si>
  <si>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</si>
  <si>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</si>
  <si>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</si>
  <si>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</si>
  <si>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</si>
  <si>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</si>
  <si>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</si>
  <si>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</si>
  <si>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</si>
  <si>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</si>
  <si>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</si>
  <si>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</si>
  <si>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</si>
  <si>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</si>
  <si>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</si>
  <si>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</si>
  <si>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</si>
  <si>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</si>
  <si>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</si>
  <si>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</si>
  <si>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</si>
  <si>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</si>
  <si>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</si>
  <si>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</si>
  <si>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</si>
  <si>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</si>
  <si>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</si>
  <si>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</si>
  <si>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</si>
  <si>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</si>
  <si>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</si>
  <si>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</si>
  <si>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</si>
  <si>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</si>
  <si>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</si>
  <si>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</si>
  <si>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</si>
  <si>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</si>
  <si>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</si>
  <si>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</si>
  <si>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</si>
  <si>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</si>
  <si>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</si>
  <si>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</si>
  <si>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</si>
  <si>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</si>
  <si>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</si>
  <si>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</si>
  <si>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</si>
  <si>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</si>
  <si>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</si>
  <si>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</si>
  <si>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</si>
  <si>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</si>
  <si>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</si>
  <si>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</si>
  <si>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</si>
  <si>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</si>
  <si>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</si>
  <si>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</si>
  <si>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</si>
  <si>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</si>
  <si>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</si>
  <si>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</si>
  <si>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</si>
  <si>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</si>
  <si>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</si>
  <si>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</si>
  <si>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</si>
  <si>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</si>
  <si>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</si>
  <si>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</si>
  <si>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</si>
  <si>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</si>
  <si>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</si>
  <si>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</si>
  <si>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</si>
  <si>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</si>
  <si>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</si>
  <si>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</si>
  <si>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</si>
  <si>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</si>
  <si>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</si>
  <si>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</si>
  <si>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</si>
  <si>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</si>
  <si>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</si>
  <si>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</si>
  <si>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</si>
  <si>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</si>
  <si>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</si>
  <si>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</si>
  <si>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</si>
  <si>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</si>
  <si>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</si>
  <si>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</si>
  <si>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</si>
  <si>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</si>
  <si>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</si>
  <si>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</si>
  <si>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</si>
  <si>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</si>
  <si>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</si>
  <si>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</si>
  <si>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</si>
  <si>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</si>
  <si>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</si>
  <si>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</si>
  <si>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</si>
  <si>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</si>
  <si>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</si>
  <si>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</si>
  <si>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</si>
  <si>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</si>
  <si>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</si>
  <si>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</si>
  <si>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</si>
  <si>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</si>
  <si>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</si>
  <si>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</si>
  <si>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</si>
  <si>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</si>
  <si>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</si>
  <si>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</si>
  <si>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</si>
  <si>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</si>
  <si>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</si>
  <si>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</si>
  <si>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</si>
  <si>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</si>
  <si>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</si>
  <si>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</si>
  <si>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</si>
  <si>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</si>
  <si>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</si>
  <si>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</si>
  <si>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</si>
  <si>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</si>
  <si>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</si>
  <si>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</si>
  <si>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</si>
  <si>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</si>
  <si>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</si>
  <si>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</si>
  <si>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</si>
  <si>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</si>
  <si>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</si>
  <si>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</si>
  <si>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</si>
  <si>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</si>
  <si>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</si>
  <si>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</si>
  <si>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</si>
  <si>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</si>
  <si>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</si>
  <si>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</si>
  <si>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</si>
  <si>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</si>
  <si>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</si>
  <si>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</si>
  <si>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</si>
  <si>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</si>
  <si>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</si>
  <si>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</si>
  <si>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</si>
  <si>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</si>
  <si>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</si>
  <si>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</si>
  <si>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</si>
  <si>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</si>
  <si>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</si>
  <si>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</si>
  <si>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</si>
  <si>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</si>
  <si>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</si>
  <si>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</si>
  <si>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</si>
  <si>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</si>
  <si>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</si>
  <si>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</si>
  <si>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</si>
  <si>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</si>
  <si>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</si>
  <si>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</si>
  <si>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</si>
  <si>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</si>
  <si>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</si>
  <si>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</si>
  <si>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</si>
  <si>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</si>
  <si>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</si>
  <si>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</si>
  <si>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</si>
  <si>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</si>
  <si>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</si>
  <si>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</si>
  <si>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</si>
  <si>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</si>
  <si>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</si>
  <si>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</si>
  <si>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</si>
  <si>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</si>
  <si>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</si>
  <si>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</si>
  <si>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</si>
  <si>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</si>
  <si>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</si>
  <si>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</si>
  <si>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</si>
  <si>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</si>
  <si>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</si>
  <si>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</si>
  <si>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</si>
  <si>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</si>
  <si>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</si>
  <si>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</si>
  <si>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</si>
  <si>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</si>
  <si>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</si>
  <si>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</si>
  <si>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</si>
  <si>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</si>
  <si>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</si>
  <si>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</si>
  <si>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</si>
  <si>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</si>
  <si>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</si>
  <si>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</si>
  <si>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</si>
  <si>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</si>
  <si>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</si>
  <si>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</si>
  <si>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</si>
  <si>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</si>
  <si>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</si>
  <si>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</si>
  <si>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</si>
  <si>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</si>
  <si>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</si>
  <si>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</si>
  <si>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</si>
  <si>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</si>
  <si>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</si>
  <si>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</si>
  <si>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</si>
  <si>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</si>
  <si>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</si>
  <si>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</si>
  <si>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</si>
  <si>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</si>
  <si>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</si>
  <si>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</si>
  <si>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</si>
  <si>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</si>
  <si>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</si>
  <si>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</si>
  <si>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</si>
  <si>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</si>
  <si>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</si>
  <si>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</si>
  <si>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</si>
  <si>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</si>
  <si>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</si>
  <si>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</si>
  <si>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</si>
  <si>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</si>
  <si>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</si>
  <si>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</si>
  <si>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</si>
  <si>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</si>
  <si>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</si>
  <si>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</si>
  <si>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</si>
  <si>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</si>
  <si>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</si>
  <si>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</si>
  <si>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</si>
  <si>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</si>
  <si>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</si>
  <si>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</si>
  <si>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</si>
  <si>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</si>
  <si>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</si>
  <si>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</si>
  <si>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</si>
  <si>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</si>
  <si>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</si>
  <si>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</si>
  <si>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</si>
  <si>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</si>
  <si>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</si>
  <si>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</si>
  <si>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</si>
  <si>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</si>
  <si>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</si>
  <si>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</si>
  <si>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</si>
  <si>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</si>
  <si>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</si>
  <si>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</si>
  <si>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</si>
  <si>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</si>
  <si>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</si>
  <si>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</si>
  <si>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</si>
  <si>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</si>
  <si>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</si>
  <si>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</si>
  <si>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</si>
  <si>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</si>
  <si>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</si>
  <si>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</si>
  <si>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</si>
  <si>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</si>
  <si>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</si>
  <si>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</si>
  <si>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</si>
  <si>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</si>
  <si>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</si>
  <si>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</si>
  <si>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</si>
  <si>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</si>
  <si>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</si>
  <si>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</si>
  <si>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</si>
  <si>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</si>
  <si>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</si>
  <si>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</si>
  <si>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</si>
  <si>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</si>
  <si>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</si>
  <si>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</si>
  <si>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</si>
  <si>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</si>
  <si>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</si>
  <si>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</si>
  <si>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</si>
  <si>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</si>
  <si>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</si>
  <si>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</si>
  <si>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</si>
  <si>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</si>
  <si>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</si>
  <si>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</si>
  <si>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</si>
  <si>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</si>
  <si>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</si>
  <si>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</si>
  <si>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</si>
  <si>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</si>
  <si>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Contracts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</si>
  <si>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</si>
  <si>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</si>
  <si>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</si>
  <si>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</si>
  <si>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</si>
  <si>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</si>
  <si>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</si>
  <si>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</si>
  <si>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</si>
  <si>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</si>
  <si>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</si>
  <si>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</si>
  <si>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</si>
  <si>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</si>
  <si>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</si>
  <si>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</si>
  <si>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</si>
  <si>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</si>
  <si>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</si>
  <si>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</si>
  <si>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</si>
  <si>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</si>
  <si>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</si>
  <si>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</si>
  <si>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</si>
  <si>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</si>
  <si>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</si>
  <si>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</si>
  <si>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</si>
  <si>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</si>
  <si>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</si>
  <si>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</si>
  <si>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</si>
  <si>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</si>
  <si>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</si>
  <si>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</si>
  <si>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</si>
  <si>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</si>
  <si>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</si>
  <si>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</si>
  <si>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</si>
  <si>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</si>
  <si>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</si>
  <si>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</si>
  <si>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</si>
  <si>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</si>
  <si>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</si>
  <si>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</si>
  <si>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</si>
  <si>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</si>
  <si>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</si>
  <si>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</si>
  <si>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</si>
  <si>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</si>
  <si>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</si>
  <si>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</si>
  <si>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</si>
  <si>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</si>
  <si>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</si>
  <si>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</si>
  <si>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</si>
  <si>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</si>
  <si>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</si>
  <si>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</si>
  <si>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</si>
  <si>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</si>
  <si>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</si>
  <si>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</si>
  <si>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</si>
  <si>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</si>
  <si>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</si>
  <si>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</si>
  <si>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</si>
  <si>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</si>
  <si>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</si>
  <si>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</si>
  <si>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</si>
  <si>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</si>
  <si>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</si>
  <si>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</si>
  <si>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</si>
  <si>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</si>
  <si>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</si>
  <si>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</si>
  <si>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</si>
  <si>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</si>
  <si>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</si>
  <si>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</si>
  <si>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</si>
  <si>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</si>
  <si>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</si>
  <si>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</si>
  <si>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</si>
  <si>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</si>
  <si>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</si>
  <si>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</si>
  <si>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</si>
  <si>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</si>
  <si>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</si>
  <si>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</si>
  <si>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</si>
  <si>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</si>
  <si>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</si>
  <si>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</si>
  <si>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</si>
  <si>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</si>
  <si>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</si>
  <si>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</si>
  <si>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</si>
  <si>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</si>
  <si>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</si>
  <si>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</si>
  <si>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</si>
  <si>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</si>
  <si>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</si>
  <si>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</si>
  <si>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</si>
  <si>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</si>
  <si>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</si>
  <si>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</si>
  <si>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</si>
  <si>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</si>
  <si>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</si>
  <si>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</si>
  <si>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</si>
  <si>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</si>
  <si>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</si>
  <si>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</si>
  <si>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</si>
  <si>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</si>
  <si>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</si>
  <si>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</si>
  <si>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</si>
  <si>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</si>
  <si>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</si>
  <si>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</si>
  <si>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</si>
  <si>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</si>
  <si>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</si>
  <si>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</si>
  <si>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</si>
  <si>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</si>
  <si>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</si>
  <si>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</si>
  <si>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</si>
  <si>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</si>
  <si>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</si>
  <si>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</si>
  <si>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</si>
  <si>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</si>
  <si>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</si>
  <si>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</si>
  <si>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</si>
  <si>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</si>
  <si>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</si>
  <si>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</si>
  <si>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</si>
  <si>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</si>
  <si>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</si>
  <si>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</si>
  <si>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</si>
  <si>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Microsoft revenue - capped, net of shutdown loss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</si>
  <si>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</si>
  <si>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</si>
  <si>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</si>
  <si>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</si>
  <si>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</si>
  <si>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</si>
  <si>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</si>
  <si>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</si>
  <si>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</si>
  <si>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</si>
  <si>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</si>
  <si>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</si>
  <si>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</si>
  <si>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</si>
  <si>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</si>
  <si>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</si>
  <si>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</si>
  <si>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</si>
  <si>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</si>
  <si>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</si>
  <si>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</si>
  <si>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</si>
  <si>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</si>
  <si>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</si>
  <si>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</si>
  <si>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</si>
  <si>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</si>
  <si>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</si>
  <si>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</si>
  <si>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</si>
  <si>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</si>
  <si>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</si>
  <si>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</si>
  <si>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</si>
  <si>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</si>
  <si>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</si>
  <si>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</si>
  <si>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</si>
  <si>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</si>
  <si>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</si>
  <si>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</si>
  <si>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</si>
  <si>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</si>
  <si>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</si>
  <si>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</si>
  <si>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</si>
  <si>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</si>
  <si>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</si>
  <si>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</si>
  <si>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</si>
  <si>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</si>
  <si>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</si>
  <si>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</si>
  <si>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</si>
  <si>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</si>
  <si>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</si>
  <si>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</si>
  <si>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</si>
  <si>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</si>
  <si>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</si>
  <si>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</si>
  <si>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</si>
  <si>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</si>
  <si>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</si>
  <si>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</si>
  <si>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</si>
  <si>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</si>
  <si>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</si>
  <si>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</si>
  <si>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</si>
  <si>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</si>
  <si>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</si>
  <si>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</si>
  <si>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</si>
  <si>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</si>
  <si>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</si>
  <si>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</si>
  <si>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</si>
  <si>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</si>
  <si>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</si>
  <si>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</si>
  <si>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</si>
  <si>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</si>
  <si>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</si>
  <si>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</si>
  <si>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</si>
  <si>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</si>
  <si>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</si>
  <si>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</si>
  <si>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</si>
  <si>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</si>
  <si>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</si>
  <si>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</si>
  <si>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</si>
  <si>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</si>
  <si>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</si>
  <si>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</si>
  <si>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</si>
  <si>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</si>
  <si>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</si>
  <si>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</si>
  <si>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</si>
  <si>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</si>
  <si>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</si>
  <si>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</si>
  <si>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</si>
  <si>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</si>
  <si>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</si>
  <si>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</si>
  <si>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</si>
  <si>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</si>
  <si>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</si>
  <si>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</si>
  <si>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</si>
  <si>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</si>
  <si>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</si>
  <si>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</si>
  <si>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</si>
  <si>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</si>
  <si>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</si>
  <si>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</si>
  <si>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</si>
  <si>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</si>
  <si>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</si>
  <si>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</si>
  <si>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</si>
  <si>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</si>
  <si>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</si>
  <si>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</si>
  <si>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</si>
  <si>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</si>
  <si>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</si>
  <si>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</si>
  <si>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</si>
  <si>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</si>
  <si>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</si>
  <si>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</si>
  <si>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</si>
  <si>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</si>
  <si>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</si>
  <si>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</si>
  <si>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</si>
  <si>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</si>
  <si>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</si>
  <si>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</si>
  <si>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</si>
  <si>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</si>
  <si>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</si>
  <si>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</si>
  <si>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</si>
  <si>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</si>
  <si>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</si>
  <si>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</si>
  <si>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</si>
  <si>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</si>
  <si>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</si>
  <si>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</si>
  <si>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</si>
  <si>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</si>
  <si>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</si>
  <si>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</si>
  <si>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</si>
  <si>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</si>
  <si>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</si>
  <si>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</si>
  <si>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</si>
  <si>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</si>
  <si>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</si>
  <si>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</si>
  <si>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</si>
  <si>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</si>
  <si>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</si>
  <si>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</si>
  <si>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</si>
  <si>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</si>
  <si>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</si>
  <si>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</si>
  <si>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</si>
  <si>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</si>
  <si>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</si>
  <si>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</si>
  <si>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</si>
  <si>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</si>
  <si>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</si>
  <si>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</si>
  <si>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</si>
  <si>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</si>
  <si>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</si>
  <si>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</si>
  <si>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</si>
  <si>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</si>
  <si>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</si>
  <si>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</si>
  <si>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</si>
  <si>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</si>
  <si>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</si>
  <si>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</si>
  <si>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</si>
  <si>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</si>
  <si>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</si>
  <si>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</si>
  <si>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</si>
  <si>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</si>
  <si>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</si>
  <si>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</si>
  <si>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</si>
  <si>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</si>
  <si>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</si>
  <si>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</si>
  <si>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</si>
  <si>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</si>
  <si>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</si>
  <si>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</si>
  <si>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</si>
  <si>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</si>
  <si>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</si>
  <si>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</si>
  <si>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</si>
  <si>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</si>
  <si>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</si>
  <si>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</si>
  <si>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</si>
  <si>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</si>
  <si>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</si>
  <si>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</si>
  <si>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</si>
  <si>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</si>
  <si>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</si>
  <si>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</si>
  <si>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</si>
  <si>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</si>
  <si>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</si>
  <si>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</si>
  <si>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</si>
  <si>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</si>
  <si>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</si>
  <si>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</si>
  <si>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</si>
  <si>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</si>
  <si>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</si>
  <si>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</si>
  <si>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</si>
  <si>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</si>
  <si>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</si>
  <si>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</si>
  <si>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</si>
  <si>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</si>
  <si>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</si>
  <si>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</si>
  <si>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</si>
  <si>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</si>
  <si>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</si>
  <si>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</si>
  <si>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</si>
  <si>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</si>
  <si>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</si>
  <si>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</si>
  <si>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</si>
  <si>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</si>
  <si>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</si>
  <si>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</si>
  <si>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</si>
  <si>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</si>
  <si>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</si>
  <si>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</si>
  <si>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</si>
  <si>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</si>
  <si>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</si>
  <si>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</si>
  <si>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</si>
  <si>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</si>
  <si>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</si>
  <si>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</si>
  <si>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</si>
  <si>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</si>
  <si>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</si>
  <si>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</si>
  <si>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</si>
  <si>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</si>
  <si>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</si>
  <si>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</si>
  <si>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</si>
  <si>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</si>
  <si>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</si>
  <si>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</si>
  <si>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</si>
  <si>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</si>
  <si>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</si>
  <si>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</si>
  <si>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</si>
  <si>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</si>
  <si>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</si>
  <si>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</si>
  <si>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</si>
  <si>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</si>
  <si>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</si>
  <si>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</si>
  <si>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</si>
  <si>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</si>
  <si>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</si>
  <si>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</si>
  <si>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</si>
  <si>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</si>
  <si>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</si>
  <si>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</si>
  <si>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</si>
  <si>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</si>
  <si>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</si>
  <si>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</si>
  <si>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</si>
  <si>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</si>
  <si>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</si>
  <si>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</si>
  <si>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</si>
  <si>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</si>
  <si>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</si>
  <si>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</si>
  <si>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</si>
  <si>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</si>
  <si>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</si>
  <si>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</si>
  <si>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</si>
  <si>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</si>
  <si>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</si>
  <si>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</si>
  <si>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</si>
  <si>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</si>
  <si>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</si>
  <si>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</si>
  <si>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</si>
  <si>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</si>
  <si>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</si>
  <si>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</si>
  <si>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</si>
  <si>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</si>
  <si>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</si>
  <si>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</si>
  <si>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</si>
  <si>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</si>
  <si>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</si>
  <si>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</si>
  <si>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</si>
  <si>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</si>
  <si>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</si>
  <si>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</si>
  <si>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</si>
  <si>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</si>
  <si>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</si>
  <si>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</si>
  <si>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</si>
  <si>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</si>
  <si>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</si>
  <si>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</si>
  <si>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</si>
  <si>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</si>
  <si>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</si>
  <si>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</si>
  <si>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</si>
  <si>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</si>
  <si>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</si>
  <si>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</si>
  <si>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</si>
  <si>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</si>
  <si>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</si>
  <si>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</si>
  <si>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</si>
  <si>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</si>
  <si>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</si>
  <si>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</si>
  <si>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</si>
  <si>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</si>
  <si>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</si>
  <si>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</si>
  <si>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</si>
  <si>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</si>
  <si>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</si>
  <si>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</si>
  <si>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</si>
  <si>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</si>
  <si>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</si>
  <si>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</si>
  <si>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</si>
  <si>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</si>
  <si>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</si>
  <si>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</si>
  <si>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</si>
  <si>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</si>
  <si>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</si>
  <si>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</si>
  <si>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</si>
  <si>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</si>
  <si>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</si>
  <si>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</si>
  <si>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</si>
  <si>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</si>
  <si>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</si>
  <si>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</si>
  <si>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</si>
  <si>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</si>
  <si>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</si>
  <si>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</si>
  <si>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</si>
  <si>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</si>
  <si>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</si>
  <si>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</si>
  <si>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</si>
  <si>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</si>
  <si>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</si>
  <si>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</si>
  <si>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</si>
  <si>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</si>
  <si>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</si>
  <si>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</si>
  <si>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</si>
  <si>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</si>
  <si>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</si>
  <si>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</si>
  <si>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</si>
  <si>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</si>
  <si>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</si>
  <si>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</si>
  <si>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</si>
  <si>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</si>
  <si>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</si>
  <si>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</si>
  <si>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</si>
  <si>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</si>
  <si>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</si>
  <si>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</si>
  <si>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</si>
  <si>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</si>
  <si>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</si>
  <si>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</si>
  <si>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</si>
  <si>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</si>
  <si>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</si>
  <si>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</si>
  <si>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</si>
  <si>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</si>
  <si>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</si>
  <si>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</si>
  <si>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</si>
  <si>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</si>
  <si>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</si>
  <si>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</si>
  <si>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</si>
  <si>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</si>
  <si>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</si>
  <si>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</si>
  <si>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</si>
  <si>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</si>
  <si>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</si>
  <si>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</si>
  <si>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</si>
  <si>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</si>
  <si>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</si>
  <si>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</si>
  <si>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</si>
  <si>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</si>
  <si>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</si>
  <si>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</si>
  <si>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</si>
  <si>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</si>
  <si>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</si>
  <si>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</si>
  <si>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</si>
  <si>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</si>
  <si>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</si>
  <si>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</si>
  <si>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</si>
  <si>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</si>
  <si>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</si>
  <si>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</si>
  <si>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</si>
  <si>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</si>
  <si>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</si>
  <si>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</si>
  <si>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</si>
  <si>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</si>
  <si>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</si>
  <si>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</si>
  <si>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</si>
  <si>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</si>
  <si>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</si>
  <si>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</si>
  <si>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</si>
  <si>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</si>
  <si>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</si>
  <si>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</si>
  <si>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</si>
  <si>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</si>
  <si>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</si>
  <si>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</si>
  <si>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</si>
  <si>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</si>
  <si>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</si>
  <si>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</si>
  <si>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</si>
  <si>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</si>
  <si>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</si>
  <si>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</si>
  <si>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</si>
  <si>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</si>
  <si>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</si>
  <si>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</si>
  <si>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</si>
  <si>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</si>
  <si>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</si>
  <si>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</si>
  <si>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</si>
  <si>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</si>
  <si>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</si>
  <si>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</si>
  <si>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</si>
  <si>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</si>
  <si>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</si>
  <si>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</si>
  <si>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</si>
  <si>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</si>
  <si>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</si>
  <si>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</si>
  <si>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</si>
  <si>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</si>
  <si>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</si>
  <si>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</si>
  <si>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</si>
  <si>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</si>
  <si>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</si>
  <si>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</si>
  <si>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</si>
  <si>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</si>
  <si>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</si>
  <si>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</si>
  <si>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</si>
  <si>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</si>
  <si>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</si>
  <si>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</si>
  <si>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</si>
  <si>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</si>
  <si>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</si>
  <si>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shares (Class A + B)</t>
  </si>
  <si>
    <t xml:space="preserve">History = Hist; forecast adds exchange, ATM, equity plug, convert maturities, comp issuance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</si>
  <si>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</si>
  <si>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</si>
  <si>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</si>
  <si>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</si>
  <si>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</si>
  <si>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</si>
  <si>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</si>
  <si>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</si>
  <si>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</si>
  <si>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</si>
  <si>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</si>
  <si>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</si>
  <si>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</si>
  <si>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</si>
  <si>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</si>
  <si>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</si>
  <si>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</si>
  <si>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</si>
  <si>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</si>
  <si>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</si>
  <si>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</si>
  <si>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</si>
  <si>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</si>
  <si>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</si>
  <si>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</si>
  <si>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</si>
  <si>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</si>
  <si>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</si>
  <si>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</si>
  <si>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</si>
  <si>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</si>
  <si>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</si>
  <si>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</si>
  <si>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</si>
  <si>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</si>
  <si>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</si>
  <si>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</si>
  <si>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</si>
  <si>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</si>
  <si>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</si>
  <si>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</si>
  <si>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</si>
  <si>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</si>
  <si>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</si>
  <si>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</si>
  <si>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</si>
  <si>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</si>
  <si>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</si>
  <si>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</si>
  <si>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</si>
  <si>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</si>
  <si>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</si>
  <si>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</si>
  <si>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</si>
  <si>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</si>
  <si>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</si>
  <si>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</si>
  <si>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</si>
  <si>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</si>
  <si>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</si>
  <si>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</si>
  <si>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</si>
  <si>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</si>
  <si>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</si>
  <si>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</si>
  <si>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</si>
  <si>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</si>
  <si>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</si>
  <si>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</si>
  <si>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</si>
  <si>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</si>
  <si>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</si>
  <si>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</si>
  <si>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</si>
  <si>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</si>
  <si>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</si>
  <si>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</si>
  <si>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</si>
  <si>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</si>
  <si>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</si>
  <si>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</si>
  <si>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</si>
  <si>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</si>
  <si>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</si>
  <si>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</si>
  <si>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</si>
  <si>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</si>
  <si>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</si>
  <si>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</si>
  <si>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</si>
  <si>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</si>
  <si>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</si>
  <si>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</si>
  <si>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</si>
  <si>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</si>
  <si>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</si>
  <si>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</si>
  <si>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</si>
  <si>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</si>
  <si>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</si>
  <si>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</si>
  <si>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</si>
  <si>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</si>
  <si>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</si>
  <si>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</si>
  <si>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</si>
  <si>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</si>
  <si>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</si>
  <si>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</si>
  <si>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</si>
  <si>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</si>
  <si>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</si>
  <si>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</si>
  <si>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</si>
  <si>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</si>
  <si>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</si>
  <si>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</si>
  <si>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</si>
  <si>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</si>
  <si>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</si>
  <si>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</si>
  <si>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</si>
  <si>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</si>
  <si>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</si>
  <si>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</si>
  <si>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</si>
  <si>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</si>
  <si>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</si>
  <si>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</si>
  <si>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</si>
  <si>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</si>
  <si>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</si>
  <si>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</si>
  <si>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</si>
  <si>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</si>
  <si>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</si>
  <si>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</si>
  <si>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</si>
  <si>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New shares from ATM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</si>
  <si>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</si>
  <si>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</si>
  <si>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</si>
  <si>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</si>
  <si>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</si>
  <si>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</si>
  <si>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</si>
  <si>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</si>
  <si>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</si>
  <si>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</si>
  <si>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</si>
  <si>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</si>
  <si>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</si>
  <si>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</si>
  <si>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</si>
  <si>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</si>
  <si>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</si>
  <si>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</si>
  <si>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</si>
  <si>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</si>
  <si>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</si>
  <si>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12-month price target ($) = value/share (POST-FUNDING when FP_On) x (1 + Ke)</t>
  </si>
  <si>
    <t xml:space="preserve">6-month value/share ($) = x (1 + Ke)^0.5</t>
  </si>
  <si>
    <t xml:space="preserve">3-year value/share ($) = x (1 + Ke)^3 (no dividends; funding through YE27 only)</t>
  </si>
  <si>
    <t xml:space="preserve">Upside / (downside) vs SharePx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</si>
  <si>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</si>
  <si>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</si>
  <si>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</si>
  <si>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</si>
  <si>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</si>
  <si>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</si>
  <si>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</si>
  <si>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</si>
  <si>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</si>
  <si>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</si>
  <si>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</si>
  <si>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</si>
  <si>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</si>
  <si>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</si>
  <si>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</si>
  <si>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</si>
  <si>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</si>
  <si>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</si>
  <si>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</si>
  <si>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</si>
  <si>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</si>
  <si>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</si>
  <si>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</si>
  <si>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</si>
  <si>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</si>
  <si>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</si>
  <si>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</si>
  <si>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</si>
  <si>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</si>
  <si>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</si>
  <si>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</si>
  <si>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</si>
  <si>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</si>
  <si>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</si>
  <si>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</si>
  <si>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</si>
  <si>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</si>
  <si>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</si>
  <si>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</si>
  <si>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</si>
  <si>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</si>
  <si>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</si>
  <si>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</si>
  <si>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</si>
  <si>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</si>
  <si>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</si>
  <si>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</si>
  <si>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</si>
  <si>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</si>
  <si>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</si>
  <si>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</si>
  <si>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</si>
  <si>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</si>
  <si>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</si>
  <si>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</si>
  <si>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</si>
  <si>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</si>
  <si>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</si>
  <si>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</si>
  <si>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</si>
  <si>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</si>
  <si>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</si>
  <si>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</si>
  <si>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</si>
  <si>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</si>
  <si>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</si>
  <si>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</si>
  <si>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</si>
  <si>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</si>
  <si>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</si>
  <si>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</si>
  <si>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</si>
  <si>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</si>
  <si>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</si>
  <si>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</si>
  <si>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</si>
  <si>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</si>
  <si>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</si>
  <si>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</si>
  <si>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</si>
  <si>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</si>
  <si>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</si>
  <si>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</si>
  <si>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</si>
  <si>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</si>
  <si>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</si>
  <si>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</si>
  <si>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</si>
  <si>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</si>
  <si>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</si>
  <si>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</si>
  <si>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</si>
  <si>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</si>
  <si>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</si>
  <si>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</si>
  <si>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</si>
  <si>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</si>
  <si>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</si>
  <si>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</si>
  <si>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</si>
  <si>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</si>
  <si>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</si>
  <si>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</si>
  <si>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</si>
  <si>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</si>
  <si>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</si>
  <si>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</si>
  <si>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</si>
  <si>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</si>
  <si>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</si>
  <si>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</si>
  <si>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</si>
  <si>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</si>
  <si>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</si>
  <si>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</si>
  <si>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</si>
  <si>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</si>
  <si>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</si>
  <si>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</si>
  <si>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</si>
  <si>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</si>
  <si>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</si>
  <si>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</si>
  <si>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</si>
  <si>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</si>
  <si>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</si>
  <si>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</si>
  <si>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</si>
  <si>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</si>
  <si>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</si>
  <si>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</si>
  <si>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</si>
  <si>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</si>
  <si>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</si>
  <si>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</si>
  <si>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</si>
  <si>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</si>
  <si>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</si>
  <si>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</si>
  <si>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</si>
  <si>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</si>
  <si>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</si>
  <si>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</si>
  <si>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</si>
  <si>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</si>
  <si>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</si>
  <si>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</si>
  <si>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</si>
  <si>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</si>
  <si>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</si>
  <si>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</si>
  <si>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</si>
  <si>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</si>
  <si>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</si>
  <si>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</si>
  <si>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</si>
  <si>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</si>
  <si>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</si>
  <si>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</si>
  <si>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</si>
  <si>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</si>
  <si>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</si>
  <si>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</si>
  <si>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</si>
  <si>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OK: DCF EV above asset floor</t>
  </si>
  <si>
    <t xml:space="preserve">FLAG: DCF EV below asset floor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</si>
  <si>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</si>
  <si>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</si>
  <si>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</si>
  <si>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</si>
  <si>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</si>
  <si>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</si>
  <si>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</si>
  <si>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</si>
  <si>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</si>
  <si>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</si>
  <si>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</si>
  <si>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</si>
  <si>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</si>
  <si>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$16M/IT MW</t>
  </si>
  <si>
    <t xml:space="preserve">Sens: Rubin revenue $18M/IT MW (base)</t>
  </si>
  <si>
    <t xml:space="preserve">Sens: Rubin revenue $20M/IT MW</t>
  </si>
  <si>
    <t xml:space="preserve">Sens: Rubin capex $34.3M/IT MW leased (bull)</t>
  </si>
  <si>
    <t xml:space="preserve">Sens: Rubin capex $41.1M leased (base)</t>
  </si>
  <si>
    <t xml:space="preserve">Sens: Rubin capex $49.2M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</si>
  <si>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</si>
  <si>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</si>
  <si>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</si>
  <si>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</si>
  <si>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(34.3 leased / 45.8 owned)</t>
  </si>
  <si>
    <t xml:space="preserve">Sens: Rubin capex bear both (49.2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</si>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</sst>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\x"/>
    <numFmt numFmtId="180" formatCode="#,##0.00"/>
    <numFmt numFmtId="181" formatCode="0.0000"/>
    <numFmt numFmtId="182" formatCode="yyyy\-mm\-dd"/>
    <numFmt numFmtId="183" formatCode="0.00%"/>
    <numFmt numFmtId="184" formatCode="mmm\-yy"/>
    <numFmt numFmtId="185" formatCode="#,##0.0;\(#,##0.0\);\-"/>
    <numFmt numFmtId="186" formatCode="#,##0.000"/>
    <numFmt numFmtId="187" formatCode="#,##0;\(#,##0\);\-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7854.59013302158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2.28688359991828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Q3'27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41.0535476373834</v>
      </c>
      <c r="C5" s="9"/>
      <c r="D5" s="10" t="n">
        <v>103.536398225274</v>
      </c>
      <c r="E5" s="10"/>
      <c r="F5" s="10" t="n">
        <v>116.99612999456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46.9175718445378</v>
      </c>
      <c r="C6" s="12" t="n">
        <v>5.8640242071544</v>
      </c>
      <c r="D6" s="13" t="n">
        <v>121.610574677117</v>
      </c>
      <c r="E6" s="13" t="n">
        <v>18.074176451843</v>
      </c>
      <c r="F6" s="13" t="n">
        <v>137.419949385142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100.185806451507</v>
      </c>
      <c r="C7" s="12" t="n">
        <v>53.2682346069692</v>
      </c>
      <c r="D7" s="13" t="n">
        <v>270.297262490866</v>
      </c>
      <c r="E7" s="13" t="n">
        <v>148.686687813749</v>
      </c>
      <c r="F7" s="13" t="n">
        <v>305.435906614678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100.185806451507</v>
      </c>
      <c r="C8" s="12" t="n">
        <v>0</v>
      </c>
      <c r="D8" s="13" t="n">
        <v>270.297262490866</v>
      </c>
      <c r="E8" s="13" t="n">
        <v>0</v>
      </c>
      <c r="F8" s="13" t="n">
        <v>305.435906614678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89.0651861996132</v>
      </c>
      <c r="C9" s="12" t="n">
        <v>-11.1206202518938</v>
      </c>
      <c r="D9" s="13" t="n">
        <v>240.346467398359</v>
      </c>
      <c r="E9" s="13" t="n">
        <v>-29.950795092507</v>
      </c>
      <c r="F9" s="13" t="n">
        <v>271.591508160146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99.8819427544151</v>
      </c>
      <c r="C10" s="9" t="n">
        <v>10.8167565548019</v>
      </c>
      <c r="D10" s="10" t="n">
        <v>269.452580481655</v>
      </c>
      <c r="E10" s="10" t="n">
        <v>29.106113083296</v>
      </c>
      <c r="F10" s="10" t="n">
        <v>304.48141594427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86.3637411419844</v>
      </c>
      <c r="C11" s="12" t="n">
        <v>-13.5182016124307</v>
      </c>
      <c r="D11" s="13" t="n">
        <v>233.082804009466</v>
      </c>
      <c r="E11" s="13" t="n">
        <v>-36.369776472189</v>
      </c>
      <c r="F11" s="13" t="n">
        <v>263.383568530697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94.115788273607</v>
      </c>
      <c r="C12" s="9" t="n">
        <v>7.7520471316226</v>
      </c>
      <c r="D12" s="10" t="n">
        <v>248.193496039636</v>
      </c>
      <c r="E12" s="10" t="n">
        <v>15.11069203017</v>
      </c>
      <c r="F12" s="10" t="n">
        <v>280.458650524788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-7264.97163686794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87.9213915118694</v>
      </c>
      <c r="C13" s="12" t="n">
        <v>-6.1943967617376</v>
      </c>
      <c r="D13" s="13" t="n">
        <v>233.708355561199</v>
      </c>
      <c r="E13" s="13" t="n">
        <v>-14.485140478437</v>
      </c>
      <c r="F13" s="13" t="n">
        <v>264.090441784155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94.9730871301411</v>
      </c>
      <c r="C14" s="12" t="n">
        <v>7.0516956182717</v>
      </c>
      <c r="D14" s="13" t="n">
        <v>252.680449685806</v>
      </c>
      <c r="E14" s="13" t="n">
        <v>18.972094124607</v>
      </c>
      <c r="F14" s="13" t="n">
        <v>285.528908144961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153.790482948217</v>
      </c>
      <c r="C15" s="12" t="n">
        <v>58.8173958180759</v>
      </c>
      <c r="D15" s="13" t="n">
        <v>406.650160815998</v>
      </c>
      <c r="E15" s="13" t="n">
        <v>153.969711130192</v>
      </c>
      <c r="F15" s="13" t="n">
        <v>459.514681722077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154.026094527843</v>
      </c>
      <c r="C16" s="12" t="n">
        <v>0.235611579626013</v>
      </c>
      <c r="D16" s="13" t="n">
        <v>407.254636485315</v>
      </c>
      <c r="E16" s="13" t="n">
        <v>0.604475669317026</v>
      </c>
      <c r="F16" s="13" t="n">
        <v>460.197739228406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125.819565275191</v>
      </c>
      <c r="C17" s="12" t="n">
        <v>-28.206529252652</v>
      </c>
      <c r="D17" s="13" t="n">
        <v>334.889090292108</v>
      </c>
      <c r="E17" s="13" t="n">
        <v>-72.365546193207</v>
      </c>
      <c r="F17" s="13" t="n">
        <v>378.424672030081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33.1833882652029</v>
      </c>
      <c r="C18" s="12" t="n">
        <v>-92.6361770099881</v>
      </c>
      <c r="D18" s="13" t="n">
        <v>74.9690296942112</v>
      </c>
      <c r="E18" s="13" t="n">
        <v>-259.920060597897</v>
      </c>
      <c r="F18" s="13" t="n">
        <v>84.7150035544587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31.8846536769429</v>
      </c>
      <c r="C19" s="12" t="n">
        <v>-1.29873458826</v>
      </c>
      <c r="D19" s="13" t="n">
        <v>70.8733469173191</v>
      </c>
      <c r="E19" s="13" t="n">
        <v>-4.0956827768921</v>
      </c>
      <c r="F19" s="13" t="n">
        <v>80.0868820165706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31.798064615235</v>
      </c>
      <c r="C20" s="9" t="n">
        <v>-0.0865890617079022</v>
      </c>
      <c r="D20" s="10" t="n">
        <v>70.602100873207</v>
      </c>
      <c r="E20" s="10" t="n">
        <v>-0.271246044112104</v>
      </c>
      <c r="F20" s="10" t="n">
        <v>79.7803739867239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1" customFormat="false" ht="15" hidden="false" customHeight="false" outlineLevel="0" collapsed="false">
      <c r="A21" s="0" t="s">
        <v>68</v>
      </c>
      <c r="B21" s="12" t="n">
        <v>22.1869805017732</v>
      </c>
      <c r="C21" s="12" t="n">
        <v>-9.6110841134618</v>
      </c>
      <c r="D21" s="13" t="n">
        <v>40.2604681966795</v>
      </c>
      <c r="E21" s="13" t="n">
        <v>-30.3416326765275</v>
      </c>
      <c r="F21" s="13" t="n">
        <v>45.4943290622478</v>
      </c>
      <c r="G21" s="14" t="n">
        <v>2423.40833661368</v>
      </c>
      <c r="H21" s="14" t="n">
        <v>7320.29311172376</v>
      </c>
      <c r="I21" s="14" t="n">
        <v>19024.8843100935</v>
      </c>
      <c r="J21" s="14" t="n">
        <v>3864.96134836955</v>
      </c>
      <c r="K21" s="14" t="n">
        <v>-8054.44067566647</v>
      </c>
      <c r="L21" s="14" t="s">
        <v>60</v>
      </c>
    </row>
    <row r="22" customFormat="false" ht="15" hidden="false" customHeight="false" outlineLevel="0" collapsed="false">
      <c r="A22" s="0" t="s">
        <v>69</v>
      </c>
      <c r="B22" s="12" t="n">
        <v>21.3632300366211</v>
      </c>
      <c r="C22" s="12" t="n">
        <v>-0.823750465152101</v>
      </c>
      <c r="D22" s="13" t="n">
        <v>37.6447666032676</v>
      </c>
      <c r="E22" s="13" t="n">
        <v>-2.6157015934119</v>
      </c>
      <c r="F22" s="13" t="n">
        <v>42.5385862616924</v>
      </c>
      <c r="G22" s="14" t="n">
        <v>2423.40833661368</v>
      </c>
      <c r="H22" s="14" t="n">
        <v>7320.29311172376</v>
      </c>
      <c r="I22" s="14" t="n">
        <v>19024.8843100935</v>
      </c>
      <c r="J22" s="14" t="n">
        <v>3864.96134836955</v>
      </c>
      <c r="K22" s="14" t="n">
        <v>-11246.4034201647</v>
      </c>
      <c r="L22" s="14" t="s">
        <v>58</v>
      </c>
    </row>
    <row r="23" customFormat="false" ht="15" hidden="false" customHeight="false" outlineLevel="0" collapsed="false">
      <c r="A23" s="0" t="s">
        <v>70</v>
      </c>
      <c r="B23" s="12" t="n">
        <v>20.1986465824731</v>
      </c>
      <c r="C23" s="12" t="n">
        <v>-1.164583454148</v>
      </c>
      <c r="D23" s="13" t="n">
        <v>33.9467986802832</v>
      </c>
      <c r="E23" s="13" t="n">
        <v>-3.6979679229844</v>
      </c>
      <c r="F23" s="13" t="n">
        <v>38.35988250872</v>
      </c>
      <c r="G23" s="14" t="n">
        <v>2423.40833661368</v>
      </c>
      <c r="H23" s="14" t="n">
        <v>7320.29311172376</v>
      </c>
      <c r="I23" s="14" t="n">
        <v>19024.8843100935</v>
      </c>
      <c r="J23" s="14" t="n">
        <v>3864.96134836955</v>
      </c>
      <c r="K23" s="14" t="n">
        <v>-11246.4034201647</v>
      </c>
      <c r="L23" s="14" t="s">
        <v>58</v>
      </c>
    </row>
    <row r="24" customFormat="false" ht="15" hidden="false" customHeight="false" outlineLevel="0" collapsed="false">
      <c r="A24" s="0" t="s">
        <v>71</v>
      </c>
      <c r="B24" s="12" t="n">
        <v>20.4703730400818</v>
      </c>
      <c r="C24" s="12" t="n">
        <v>0.2717264576087</v>
      </c>
      <c r="D24" s="13" t="n">
        <v>35.6132040657115</v>
      </c>
      <c r="E24" s="13" t="n">
        <v>1.6664053854283</v>
      </c>
      <c r="F24" s="13" t="n">
        <v>40.242920594254</v>
      </c>
      <c r="G24" s="14" t="n">
        <v>2423.40833661368</v>
      </c>
      <c r="H24" s="14" t="n">
        <v>7320.29311172376</v>
      </c>
      <c r="I24" s="14" t="n">
        <v>19024.8843100935</v>
      </c>
      <c r="J24" s="14" t="n">
        <v>3864.96134836955</v>
      </c>
      <c r="K24" s="14" t="n">
        <v>-9683.89358152069</v>
      </c>
      <c r="L24" s="14" t="s">
        <v>58</v>
      </c>
    </row>
    <row r="25" customFormat="false" ht="15" hidden="false" customHeight="false" outlineLevel="0" collapsed="false">
      <c r="A25" s="8" t="s">
        <v>72</v>
      </c>
      <c r="B25" s="9" t="n">
        <v>10.1060009695084</v>
      </c>
      <c r="C25" s="9" t="n">
        <v>-10.3643720705734</v>
      </c>
      <c r="D25" s="10" t="n">
        <v>2.70262533273834</v>
      </c>
      <c r="E25" s="10" t="n">
        <v>-32.9105787329732</v>
      </c>
      <c r="F25" s="10" t="n">
        <v>3.05396662599432</v>
      </c>
      <c r="G25" s="11" t="n">
        <v>2423.40833661368</v>
      </c>
      <c r="H25" s="11" t="n">
        <v>7336.21347446577</v>
      </c>
      <c r="I25" s="11" t="n">
        <v>18576.5735684625</v>
      </c>
      <c r="J25" s="11" t="n">
        <v>3876.26480591638</v>
      </c>
      <c r="K25" s="11" t="n">
        <v>-9672.79955737185</v>
      </c>
      <c r="L25" s="11" t="s">
        <v>58</v>
      </c>
    </row>
    <row r="26" customFormat="false" ht="15" hidden="false" customHeight="false" outlineLevel="0" collapsed="false">
      <c r="A26" s="0" t="s">
        <v>73</v>
      </c>
      <c r="B26" s="12" t="n">
        <v>52.7189793581637</v>
      </c>
      <c r="C26" s="12" t="n">
        <v>42.6129783886553</v>
      </c>
      <c r="D26" s="13" t="n">
        <v>136.113586628239</v>
      </c>
      <c r="E26" s="13" t="n">
        <v>133.410961295501</v>
      </c>
      <c r="F26" s="13" t="n">
        <v>153.80835288991</v>
      </c>
      <c r="G26" s="14" t="n">
        <v>2423.40833661368</v>
      </c>
      <c r="H26" s="14" t="n">
        <v>7640.8884091291</v>
      </c>
      <c r="I26" s="14" t="n">
        <v>20773.0271269625</v>
      </c>
      <c r="J26" s="14" t="n">
        <v>4092.58400952734</v>
      </c>
      <c r="K26" s="14" t="n">
        <v>-9462.51644435236</v>
      </c>
      <c r="L26" s="14" t="s">
        <v>58</v>
      </c>
    </row>
    <row r="27" customFormat="false" ht="15" hidden="false" customHeight="false" outlineLevel="0" collapsed="false">
      <c r="A27" s="0" t="s">
        <v>74</v>
      </c>
      <c r="B27" s="12" t="n">
        <v>22.0730140205822</v>
      </c>
      <c r="C27" s="12" t="n">
        <v>-30.6459653375815</v>
      </c>
      <c r="D27" s="13" t="n">
        <v>40.7021609084709</v>
      </c>
      <c r="E27" s="13" t="n">
        <v>-95.4114257197681</v>
      </c>
      <c r="F27" s="13" t="n">
        <v>45.9934418265722</v>
      </c>
      <c r="G27" s="14" t="n">
        <v>2423.40833661368</v>
      </c>
      <c r="H27" s="14" t="n">
        <v>7619.72420522498</v>
      </c>
      <c r="I27" s="14" t="n">
        <v>19459.2297182455</v>
      </c>
      <c r="J27" s="14" t="n">
        <v>4077.55742475542</v>
      </c>
      <c r="K27" s="14" t="n">
        <v>-9477.1197450462</v>
      </c>
      <c r="L27" s="14" t="s">
        <v>58</v>
      </c>
    </row>
    <row r="28" customFormat="false" ht="15" hidden="false" customHeight="false" outlineLevel="0" collapsed="false">
      <c r="A28" s="8" t="s">
        <v>75</v>
      </c>
      <c r="B28" s="9" t="n">
        <v>22.0730140205822</v>
      </c>
      <c r="C28" s="9" t="n">
        <v>0</v>
      </c>
      <c r="D28" s="10" t="n">
        <v>40.6348830374956</v>
      </c>
      <c r="E28" s="10" t="n">
        <v>-0.0672778709753032</v>
      </c>
      <c r="F28" s="10" t="n">
        <v>45.91741783237</v>
      </c>
      <c r="G28" s="11" t="n">
        <v>2423.40833661368</v>
      </c>
      <c r="H28" s="11" t="n">
        <v>7619.72420522498</v>
      </c>
      <c r="I28" s="11" t="n">
        <v>19459.2297182455</v>
      </c>
      <c r="J28" s="11" t="n">
        <v>4077.55742475542</v>
      </c>
      <c r="K28" s="11" t="n">
        <v>-9477.1197450462</v>
      </c>
      <c r="L28" s="11" t="s">
        <v>58</v>
      </c>
    </row>
    <row r="29" customFormat="false" ht="15" hidden="false" customHeight="false" outlineLevel="0" collapsed="false">
      <c r="A29" s="0" t="s">
        <v>76</v>
      </c>
      <c r="B29" s="12" t="n">
        <v>22.0669390081365</v>
      </c>
      <c r="C29" s="12" t="n">
        <v>-0.00607501244569721</v>
      </c>
      <c r="D29" s="13" t="n">
        <v>40.6555823547392</v>
      </c>
      <c r="E29" s="13" t="n">
        <v>0.0206993172436043</v>
      </c>
      <c r="F29" s="13" t="n">
        <v>45.9408080608553</v>
      </c>
      <c r="G29" s="14" t="n">
        <v>2423.40833661368</v>
      </c>
      <c r="H29" s="14" t="n">
        <v>7619.72420522498</v>
      </c>
      <c r="I29" s="14" t="n">
        <v>19459.2297182455</v>
      </c>
      <c r="J29" s="14" t="n">
        <v>4077.55742475542</v>
      </c>
      <c r="K29" s="14" t="n">
        <v>-10196.4144849004</v>
      </c>
      <c r="L29" s="14" t="s">
        <v>58</v>
      </c>
    </row>
    <row r="30" customFormat="false" ht="15" hidden="false" customHeight="false" outlineLevel="0" collapsed="false">
      <c r="A30" s="0" t="s">
        <v>77</v>
      </c>
      <c r="B30" s="12" t="n">
        <v>22.0669390081365</v>
      </c>
      <c r="C30" s="12" t="n">
        <v>0</v>
      </c>
      <c r="D30" s="13" t="n">
        <v>41.2702754600847</v>
      </c>
      <c r="E30" s="13" t="n">
        <v>0.614693105345495</v>
      </c>
      <c r="F30" s="13" t="n">
        <v>46.6354112698957</v>
      </c>
      <c r="G30" s="14" t="n">
        <v>2423.40833661368</v>
      </c>
      <c r="H30" s="14" t="n">
        <v>7619.72420522498</v>
      </c>
      <c r="I30" s="14" t="n">
        <v>19459.2297182455</v>
      </c>
      <c r="J30" s="14" t="n">
        <v>4077.55742475542</v>
      </c>
      <c r="K30" s="14" t="n">
        <v>-10196.4144849004</v>
      </c>
      <c r="L30" s="14" t="s">
        <v>58</v>
      </c>
    </row>
    <row r="31" customFormat="false" ht="15" hidden="false" customHeight="false" outlineLevel="0" collapsed="false">
      <c r="A31" s="0" t="s">
        <v>78</v>
      </c>
      <c r="B31" s="12" t="n">
        <v>26.024112404063</v>
      </c>
      <c r="C31" s="12" t="n">
        <v>3.9571733959265</v>
      </c>
      <c r="D31" s="13" t="n">
        <v>53.8102223971756</v>
      </c>
      <c r="E31" s="13" t="n">
        <v>12.5399469370909</v>
      </c>
      <c r="F31" s="13" t="n">
        <v>60.8055513088084</v>
      </c>
      <c r="G31" s="14" t="n">
        <v>2423.40833661368</v>
      </c>
      <c r="H31" s="14" t="n">
        <v>7621.71734378923</v>
      </c>
      <c r="I31" s="14" t="n">
        <v>19606.894648061</v>
      </c>
      <c r="J31" s="14" t="n">
        <v>4078.97255313604</v>
      </c>
      <c r="K31" s="14" t="n">
        <v>-10195.0392192911</v>
      </c>
      <c r="L31" s="14" t="s">
        <v>58</v>
      </c>
    </row>
    <row r="32" customFormat="false" ht="15" hidden="false" customHeight="false" outlineLevel="0" collapsed="false">
      <c r="A32" s="0" t="s">
        <v>79</v>
      </c>
      <c r="B32" s="12" t="n">
        <v>25.2857602636984</v>
      </c>
      <c r="C32" s="12" t="n">
        <v>-0.738352140364597</v>
      </c>
      <c r="D32" s="13" t="n">
        <v>51.4907425102817</v>
      </c>
      <c r="E32" s="13" t="n">
        <v>-2.3194798868939</v>
      </c>
      <c r="F32" s="13" t="n">
        <v>58.1845390366183</v>
      </c>
      <c r="G32" s="14" t="n">
        <v>2423.40833661368</v>
      </c>
      <c r="H32" s="14" t="n">
        <v>7621.71734378923</v>
      </c>
      <c r="I32" s="14" t="n">
        <v>19606.894648061</v>
      </c>
      <c r="J32" s="14" t="n">
        <v>4078.97255313604</v>
      </c>
      <c r="K32" s="14" t="n">
        <v>-10420.8440805267</v>
      </c>
      <c r="L32" s="14" t="s">
        <v>58</v>
      </c>
    </row>
    <row r="33" customFormat="false" ht="15" hidden="false" customHeight="false" outlineLevel="0" collapsed="false">
      <c r="A33" s="0" t="s">
        <v>80</v>
      </c>
      <c r="B33" s="12" t="n">
        <v>-0.308827567722828</v>
      </c>
      <c r="C33" s="12" t="n">
        <v>-25.5945878314212</v>
      </c>
      <c r="D33" s="13" t="n">
        <v>0.01</v>
      </c>
      <c r="E33" s="13" t="n">
        <v>-51.4807425102817</v>
      </c>
      <c r="F33" s="13" t="n">
        <v>0.0113</v>
      </c>
      <c r="G33" s="14" t="n">
        <v>2423.40833661368</v>
      </c>
      <c r="H33" s="14" t="n">
        <v>7621.71734378923</v>
      </c>
      <c r="I33" s="14" t="n">
        <v>19606.894648061</v>
      </c>
      <c r="J33" s="14" t="n">
        <v>4078.97255313604</v>
      </c>
      <c r="K33" s="14" t="n">
        <v>-13507.4496750321</v>
      </c>
      <c r="L33" s="14" t="s">
        <v>58</v>
      </c>
    </row>
    <row r="34" customFormat="false" ht="15" hidden="false" customHeight="false" outlineLevel="0" collapsed="false">
      <c r="A34" s="0" t="s">
        <v>81</v>
      </c>
      <c r="B34" s="12" t="n">
        <v>-0.308827567722828</v>
      </c>
      <c r="C34" s="12" t="n">
        <v>0</v>
      </c>
      <c r="D34" s="13" t="n">
        <v>0.01</v>
      </c>
      <c r="E34" s="13" t="n">
        <v>0</v>
      </c>
      <c r="F34" s="13" t="n">
        <v>0.0113</v>
      </c>
      <c r="G34" s="14" t="n">
        <v>2423.40833661368</v>
      </c>
      <c r="H34" s="14" t="n">
        <v>7621.71734378923</v>
      </c>
      <c r="I34" s="14" t="n">
        <v>19606.894648061</v>
      </c>
      <c r="J34" s="14" t="n">
        <v>4078.97255313604</v>
      </c>
      <c r="K34" s="14" t="n">
        <v>-13507.4496750321</v>
      </c>
      <c r="L34" s="14" t="s">
        <v>58</v>
      </c>
    </row>
    <row r="35" customFormat="false" ht="15" hidden="false" customHeight="false" outlineLevel="0" collapsed="false">
      <c r="A35" s="8" t="s">
        <v>82</v>
      </c>
      <c r="B35" s="9" t="n">
        <v>-0.183968096750174</v>
      </c>
      <c r="C35" s="9" t="n">
        <v>0.124859470972654</v>
      </c>
      <c r="D35" s="10" t="n">
        <v>0.01</v>
      </c>
      <c r="E35" s="10" t="n">
        <v>0</v>
      </c>
      <c r="F35" s="10" t="n">
        <v>0</v>
      </c>
      <c r="G35" s="11" t="n">
        <v>2423.40833661368</v>
      </c>
      <c r="H35" s="11" t="n">
        <v>7621.71734378923</v>
      </c>
      <c r="I35" s="11" t="n">
        <v>19606.894648061</v>
      </c>
      <c r="J35" s="11" t="n">
        <v>4078.97255313604</v>
      </c>
      <c r="K35" s="11" t="n">
        <v>2073.20268369447</v>
      </c>
      <c r="L35" s="11" t="s">
        <v>83</v>
      </c>
    </row>
    <row r="36" customFormat="false" ht="15" hidden="false" customHeight="false" outlineLevel="0" collapsed="false">
      <c r="A36" s="0" t="s">
        <v>84</v>
      </c>
      <c r="B36" s="12" t="n">
        <v>-0.480656470997969</v>
      </c>
      <c r="C36" s="12" t="n">
        <v>-0.296688374247795</v>
      </c>
      <c r="D36" s="13" t="n">
        <v>0.01</v>
      </c>
      <c r="E36" s="13" t="n">
        <v>0</v>
      </c>
      <c r="F36" s="13" t="n">
        <v>0</v>
      </c>
      <c r="G36" s="14" t="n">
        <v>2423.40833661368</v>
      </c>
      <c r="H36" s="14" t="n">
        <v>7621.71734378923</v>
      </c>
      <c r="I36" s="14" t="n">
        <v>19606.894648061</v>
      </c>
      <c r="J36" s="14" t="n">
        <v>4078.97255313604</v>
      </c>
      <c r="K36" s="14" t="n">
        <v>2073.20268369447</v>
      </c>
      <c r="L36" s="14" t="s">
        <v>83</v>
      </c>
    </row>
    <row r="37" customFormat="false" ht="15" hidden="false" customHeight="false" outlineLevel="0" collapsed="false">
      <c r="A37" s="0" t="s">
        <v>85</v>
      </c>
      <c r="B37" s="12" t="n">
        <v>-3.76479894932358</v>
      </c>
      <c r="C37" s="12" t="n">
        <v>-3.28414247832561</v>
      </c>
      <c r="D37" s="13" t="n">
        <v>0.01</v>
      </c>
      <c r="E37" s="13" t="n">
        <v>0</v>
      </c>
      <c r="F37" s="13" t="n">
        <v>0</v>
      </c>
      <c r="G37" s="14" t="n">
        <v>2423.40833661368</v>
      </c>
      <c r="H37" s="14" t="n">
        <v>7621.71734378923</v>
      </c>
      <c r="I37" s="14" t="n">
        <v>19606.894648061</v>
      </c>
      <c r="J37" s="14" t="n">
        <v>3979.41586186791</v>
      </c>
      <c r="K37" s="14" t="n">
        <v>1948.44774121372</v>
      </c>
      <c r="L37" s="14" t="s">
        <v>83</v>
      </c>
    </row>
    <row r="38" customFormat="false" ht="15" hidden="false" customHeight="false" outlineLevel="0" collapsed="false">
      <c r="A38" s="0" t="s">
        <v>86</v>
      </c>
      <c r="B38" s="12" t="n">
        <v>-3.89073528591035</v>
      </c>
      <c r="C38" s="12" t="n">
        <v>-0.12593633658677</v>
      </c>
      <c r="D38" s="13" t="n">
        <v>0.01</v>
      </c>
      <c r="E38" s="13" t="n">
        <v>0</v>
      </c>
      <c r="F38" s="13" t="n">
        <v>0</v>
      </c>
      <c r="G38" s="14" t="n">
        <v>2423.40833661368</v>
      </c>
      <c r="H38" s="14" t="n">
        <v>7621.71734378923</v>
      </c>
      <c r="I38" s="14" t="n">
        <v>19606.894648061</v>
      </c>
      <c r="J38" s="14" t="n">
        <v>3979.41586186791</v>
      </c>
      <c r="K38" s="14" t="n">
        <v>1778.80160737149</v>
      </c>
      <c r="L38" s="14" t="s">
        <v>83</v>
      </c>
    </row>
    <row r="39" customFormat="false" ht="15" hidden="false" customHeight="false" outlineLevel="0" collapsed="false">
      <c r="A39" s="0" t="s">
        <v>87</v>
      </c>
      <c r="B39" s="12" t="n">
        <v>-1.11847907173227</v>
      </c>
      <c r="C39" s="12" t="n">
        <v>2.77225621417808</v>
      </c>
      <c r="D39" s="13" t="n">
        <v>0.01</v>
      </c>
      <c r="E39" s="13" t="n">
        <v>0</v>
      </c>
      <c r="F39" s="13" t="n">
        <v>0</v>
      </c>
      <c r="G39" s="14" t="n">
        <v>2423.40833661368</v>
      </c>
      <c r="H39" s="14" t="n">
        <v>7621.71734378923</v>
      </c>
      <c r="I39" s="14" t="n">
        <v>19606.894648061</v>
      </c>
      <c r="J39" s="14" t="n">
        <v>3979.41586186791</v>
      </c>
      <c r="K39" s="14" t="n">
        <v>1778.80160737149</v>
      </c>
      <c r="L39" s="14" t="s">
        <v>83</v>
      </c>
    </row>
    <row r="40" customFormat="false" ht="15" hidden="false" customHeight="false" outlineLevel="0" collapsed="false">
      <c r="A40" s="0" t="s">
        <v>88</v>
      </c>
      <c r="B40" s="12" t="n">
        <v>8.28636583696916</v>
      </c>
      <c r="C40" s="12" t="n">
        <v>9.40484490870143</v>
      </c>
      <c r="D40" s="13" t="n">
        <v>0.01</v>
      </c>
      <c r="E40" s="13" t="n">
        <v>0</v>
      </c>
      <c r="F40" s="13" t="n">
        <v>7.00872410996057</v>
      </c>
      <c r="G40" s="14" t="n">
        <v>2465.07954157611</v>
      </c>
      <c r="H40" s="14" t="n">
        <v>8349.83355520186</v>
      </c>
      <c r="I40" s="14" t="n">
        <v>22070.4816314923</v>
      </c>
      <c r="J40" s="14" t="n">
        <v>4312.96513042944</v>
      </c>
      <c r="K40" s="14" t="n">
        <v>-995.45659814626</v>
      </c>
      <c r="L40" s="14" t="s">
        <v>50</v>
      </c>
    </row>
    <row r="41" customFormat="false" ht="15" hidden="false" customHeight="false" outlineLevel="0" collapsed="false">
      <c r="A41" s="0" t="s">
        <v>89</v>
      </c>
      <c r="B41" s="12" t="n">
        <v>13.1260746130506</v>
      </c>
      <c r="C41" s="12" t="n">
        <v>4.83970877608144</v>
      </c>
      <c r="D41" s="13" t="n">
        <v>13.4789680930706</v>
      </c>
      <c r="E41" s="13" t="n">
        <v>13.4689680930706</v>
      </c>
      <c r="F41" s="13" t="n">
        <v>24.4115047155353</v>
      </c>
      <c r="G41" s="14" t="n">
        <v>2465.07954157611</v>
      </c>
      <c r="H41" s="14" t="n">
        <v>8349.83355520186</v>
      </c>
      <c r="I41" s="14" t="n">
        <v>22070.4816314923</v>
      </c>
      <c r="J41" s="14" t="n">
        <v>4312.96513042944</v>
      </c>
      <c r="K41" s="14" t="n">
        <v>849.254057144571</v>
      </c>
      <c r="L41" s="14" t="s">
        <v>83</v>
      </c>
    </row>
    <row r="42" customFormat="false" ht="15" hidden="false" customHeight="false" outlineLevel="0" collapsed="false">
      <c r="A42" s="0" t="s">
        <v>90</v>
      </c>
      <c r="B42" s="12" t="n">
        <v>13.1260746130506</v>
      </c>
      <c r="C42" s="12" t="n">
        <v>0</v>
      </c>
      <c r="D42" s="13" t="n">
        <v>13.2063389366171</v>
      </c>
      <c r="E42" s="13" t="n">
        <v>-0.272629156453501</v>
      </c>
      <c r="F42" s="13" t="n">
        <v>21.3652113770361</v>
      </c>
      <c r="G42" s="14" t="n">
        <v>2465.07954157611</v>
      </c>
      <c r="H42" s="14" t="n">
        <v>8349.83355520186</v>
      </c>
      <c r="I42" s="14" t="n">
        <v>22070.4816314923</v>
      </c>
      <c r="J42" s="14" t="n">
        <v>4312.96513042944</v>
      </c>
      <c r="K42" s="14" t="n">
        <v>849.254057144571</v>
      </c>
      <c r="L42" s="14" t="s">
        <v>83</v>
      </c>
    </row>
    <row r="43" customFormat="false" ht="15" hidden="false" customHeight="false" outlineLevel="0" collapsed="false">
      <c r="A43" s="0" t="s">
        <v>91</v>
      </c>
      <c r="B43" s="12" t="n">
        <v>13.0277181407711</v>
      </c>
      <c r="C43" s="12" t="n">
        <v>-0.0983564722794999</v>
      </c>
      <c r="D43" s="13" t="n">
        <v>12.881142259293</v>
      </c>
      <c r="E43" s="13" t="n">
        <v>-0.325196677324099</v>
      </c>
      <c r="F43" s="13" t="n">
        <v>21.0115200891804</v>
      </c>
      <c r="G43" s="14" t="n">
        <v>2465.07954157611</v>
      </c>
      <c r="H43" s="14" t="n">
        <v>8349.83355520186</v>
      </c>
      <c r="I43" s="14" t="n">
        <v>22070.4816314923</v>
      </c>
      <c r="J43" s="14" t="n">
        <v>4312.96513042944</v>
      </c>
      <c r="K43" s="14" t="n">
        <v>811.662072478144</v>
      </c>
      <c r="L43" s="14" t="s">
        <v>83</v>
      </c>
    </row>
    <row r="44" customFormat="false" ht="15" hidden="false" customHeight="false" outlineLevel="0" collapsed="false">
      <c r="A44" s="0" t="s">
        <v>92</v>
      </c>
      <c r="B44" s="12" t="n">
        <v>21.6257346620258</v>
      </c>
      <c r="C44" s="12" t="n">
        <v>8.5980165212547</v>
      </c>
      <c r="D44" s="13" t="n">
        <v>40.1829119896131</v>
      </c>
      <c r="E44" s="13" t="n">
        <v>27.3017697303201</v>
      </c>
      <c r="F44" s="13" t="n">
        <v>50.7055445672786</v>
      </c>
      <c r="G44" s="14" t="n">
        <v>2465.07954157611</v>
      </c>
      <c r="H44" s="14" t="n">
        <v>8349.83355520186</v>
      </c>
      <c r="I44" s="14" t="n">
        <v>22070.4816314923</v>
      </c>
      <c r="J44" s="14" t="n">
        <v>4312.96513042944</v>
      </c>
      <c r="K44" s="14" t="n">
        <v>1582.01537093433</v>
      </c>
      <c r="L44" s="14" t="s">
        <v>83</v>
      </c>
    </row>
    <row r="45" customFormat="false" ht="15" hidden="false" customHeight="false" outlineLevel="0" collapsed="false">
      <c r="A45" s="0" t="s">
        <v>93</v>
      </c>
      <c r="B45" s="12" t="n">
        <v>21.0027405922851</v>
      </c>
      <c r="C45" s="12" t="n">
        <v>-0.6229940697407</v>
      </c>
      <c r="D45" s="13" t="n">
        <v>37.4791069334617</v>
      </c>
      <c r="E45" s="13" t="n">
        <v>-2.7038050561514</v>
      </c>
      <c r="F45" s="13" t="n">
        <v>47.7648248148809</v>
      </c>
      <c r="G45" s="14" t="n">
        <v>2465.07954157611</v>
      </c>
      <c r="H45" s="14" t="n">
        <v>8349.83355520186</v>
      </c>
      <c r="I45" s="14" t="n">
        <v>22070.4816314923</v>
      </c>
      <c r="J45" s="14" t="n">
        <v>4312.96513042944</v>
      </c>
      <c r="K45" s="14" t="n">
        <v>698.191461183871</v>
      </c>
      <c r="L45" s="14" t="s">
        <v>83</v>
      </c>
    </row>
    <row r="46" customFormat="false" ht="15" hidden="false" customHeight="false" outlineLevel="0" collapsed="false">
      <c r="A46" s="0" t="s">
        <v>94</v>
      </c>
      <c r="B46" s="12" t="n">
        <v>9.0577281902452</v>
      </c>
      <c r="C46" s="12" t="n">
        <v>-11.9450124020399</v>
      </c>
      <c r="D46" s="13" t="n">
        <v>0.01</v>
      </c>
      <c r="E46" s="13" t="n">
        <v>-37.4691069334617</v>
      </c>
      <c r="F46" s="13" t="n">
        <v>6.511648599118</v>
      </c>
      <c r="G46" s="14" t="n">
        <v>2465.07954157611</v>
      </c>
      <c r="H46" s="14" t="n">
        <v>7505.46533149617</v>
      </c>
      <c r="I46" s="14" t="n">
        <v>20180.6645744977</v>
      </c>
      <c r="J46" s="14" t="n">
        <v>3713.46369159839</v>
      </c>
      <c r="K46" s="14" t="n">
        <v>111.269596161281</v>
      </c>
      <c r="L46" s="14" t="s">
        <v>83</v>
      </c>
    </row>
    <row r="47" customFormat="false" ht="15" hidden="false" customHeight="false" outlineLevel="0" collapsed="false">
      <c r="A47" s="8" t="s">
        <v>95</v>
      </c>
      <c r="B47" s="9" t="n">
        <v>7.85459013302158</v>
      </c>
      <c r="C47" s="9" t="n">
        <v>-1.20313805722362</v>
      </c>
      <c r="D47" s="10" t="n">
        <v>0.01</v>
      </c>
      <c r="E47" s="10" t="n">
        <v>0</v>
      </c>
      <c r="F47" s="10" t="n">
        <v>2.28688359991828</v>
      </c>
      <c r="G47" s="11" t="n">
        <v>2465.07954157611</v>
      </c>
      <c r="H47" s="11" t="n">
        <v>7505.46533149617</v>
      </c>
      <c r="I47" s="11" t="n">
        <v>20180.6645744977</v>
      </c>
      <c r="J47" s="11" t="n">
        <v>3713.46369159839</v>
      </c>
      <c r="K47" s="11" t="n">
        <v>-4956.48323642636</v>
      </c>
      <c r="L47" s="11" t="s">
        <v>60</v>
      </c>
    </row>
    <row r="50" customFormat="false" ht="15" hidden="false" customHeight="false" outlineLevel="0" collapsed="false">
      <c r="A50" s="8" t="s">
        <v>96</v>
      </c>
    </row>
    <row r="51" customFormat="false" ht="15" hidden="false" customHeight="false" outlineLevel="0" collapsed="false">
      <c r="A51" s="7" t="s">
        <v>5</v>
      </c>
      <c r="B51" s="7" t="s">
        <v>97</v>
      </c>
      <c r="C51" s="7" t="s">
        <v>98</v>
      </c>
      <c r="D51" s="7" t="s">
        <v>99</v>
      </c>
      <c r="E51" s="7" t="s">
        <v>100</v>
      </c>
    </row>
    <row r="52" customFormat="false" ht="15" hidden="false" customHeight="false" outlineLevel="0" collapsed="false">
      <c r="A52" s="0" t="s">
        <v>101</v>
      </c>
      <c r="B52" s="15" t="n">
        <v>0.01</v>
      </c>
      <c r="C52" s="15" t="n">
        <v>2.15131912600733</v>
      </c>
      <c r="D52" s="15" t="n">
        <v>2.28688359991828</v>
      </c>
      <c r="E52" s="15" t="n">
        <v>2.92012166873565</v>
      </c>
    </row>
    <row r="53" customFormat="false" ht="15" hidden="false" customHeight="false" outlineLevel="0" collapsed="false">
      <c r="A53" s="0" t="s">
        <v>102</v>
      </c>
      <c r="B53" s="15" t="n">
        <v>329.741111435692</v>
      </c>
      <c r="C53" s="15" t="n">
        <v>345.101825081077</v>
      </c>
      <c r="D53" s="15" t="n">
        <v>365.221442463617</v>
      </c>
      <c r="E53" s="15" t="n">
        <v>458.133777426361</v>
      </c>
    </row>
    <row r="54" customFormat="false" ht="15" hidden="false" customHeight="false" outlineLevel="0" collapsed="false">
      <c r="A54" s="0" t="s">
        <v>103</v>
      </c>
      <c r="B54" s="15" t="n">
        <v>0.01</v>
      </c>
      <c r="C54" s="15" t="n">
        <v>0</v>
      </c>
      <c r="D54" s="15" t="n">
        <v>0</v>
      </c>
      <c r="E54" s="15" t="n">
        <v>0</v>
      </c>
    </row>
    <row r="57" customFormat="false" ht="15" hidden="false" customHeight="false" outlineLevel="0" collapsed="false">
      <c r="A57" s="8" t="s">
        <v>104</v>
      </c>
    </row>
    <row r="58" customFormat="false" ht="15" hidden="false" customHeight="false" outlineLevel="0" collapsed="false">
      <c r="A58" s="7" t="s">
        <v>5</v>
      </c>
      <c r="B58" s="7" t="s">
        <v>105</v>
      </c>
      <c r="C58" s="7" t="s">
        <v>106</v>
      </c>
      <c r="D58" s="7" t="s">
        <v>107</v>
      </c>
      <c r="E58" s="7" t="s">
        <v>108</v>
      </c>
      <c r="F58" s="7" t="s">
        <v>109</v>
      </c>
      <c r="G58" s="7" t="s">
        <v>110</v>
      </c>
    </row>
    <row r="59" customFormat="false" ht="15" hidden="false" customHeight="false" outlineLevel="0" collapsed="false">
      <c r="A59" s="0" t="s">
        <v>101</v>
      </c>
      <c r="B59" s="16" t="n">
        <v>27.424347870838</v>
      </c>
      <c r="C59" s="16" t="n">
        <v>25.224347870838</v>
      </c>
      <c r="D59" s="16" t="n">
        <v>26.674347870838</v>
      </c>
      <c r="E59" s="16" t="n">
        <v>21.0618991648036</v>
      </c>
      <c r="F59" s="0" t="s">
        <v>111</v>
      </c>
      <c r="G59" s="16" t="n">
        <v>16.69175</v>
      </c>
    </row>
    <row r="60" customFormat="false" ht="15" hidden="false" customHeight="false" outlineLevel="0" collapsed="false">
      <c r="A60" s="0" t="s">
        <v>102</v>
      </c>
      <c r="B60" s="16" t="n">
        <v>43.041696075</v>
      </c>
      <c r="C60" s="16" t="n">
        <v>40.841696075</v>
      </c>
      <c r="D60" s="16" t="n">
        <v>42.291696075</v>
      </c>
      <c r="E60" s="16" t="n">
        <v>33.0560225856</v>
      </c>
      <c r="F60" s="0" t="s">
        <v>111</v>
      </c>
      <c r="G60" s="16" t="n">
        <v>19.0921875</v>
      </c>
    </row>
    <row r="61" customFormat="false" ht="15" hidden="false" customHeight="false" outlineLevel="0" collapsed="false">
      <c r="A61" s="0" t="s">
        <v>103</v>
      </c>
      <c r="B61" s="16" t="n">
        <v>22.27279275</v>
      </c>
      <c r="C61" s="16" t="n">
        <v>20.07279275</v>
      </c>
      <c r="D61" s="16" t="n">
        <v>21.52279275</v>
      </c>
      <c r="E61" s="16" t="n">
        <v>17.105504832</v>
      </c>
      <c r="F61" s="0" t="s">
        <v>111</v>
      </c>
      <c r="G61" s="16" t="n">
        <v>14.7365561910928</v>
      </c>
    </row>
    <row r="64" customFormat="false" ht="15" hidden="false" customHeight="false" outlineLevel="0" collapsed="false">
      <c r="A64" s="8" t="s">
        <v>112</v>
      </c>
    </row>
    <row r="65" customFormat="false" ht="15" hidden="false" customHeight="false" outlineLevel="0" collapsed="false">
      <c r="A65" s="8" t="s">
        <v>113</v>
      </c>
      <c r="B65" s="7" t="s">
        <v>114</v>
      </c>
      <c r="C65" s="7" t="s">
        <v>115</v>
      </c>
      <c r="D65" s="7" t="s">
        <v>116</v>
      </c>
      <c r="E65" s="7" t="s">
        <v>117</v>
      </c>
    </row>
    <row r="66" customFormat="false" ht="15" hidden="false" customHeight="false" outlineLevel="0" collapsed="false">
      <c r="A66" s="0" t="s">
        <v>118</v>
      </c>
      <c r="B66" s="17" t="n">
        <v>0</v>
      </c>
      <c r="C66" s="17" t="n">
        <v>0</v>
      </c>
      <c r="D66" s="18" t="n">
        <v>2.28688359991828</v>
      </c>
      <c r="E66" s="19" t="n">
        <v>44.0793082273323</v>
      </c>
    </row>
    <row r="67" customFormat="false" ht="15" hidden="false" customHeight="false" outlineLevel="0" collapsed="false">
      <c r="A67" s="0" t="s">
        <v>119</v>
      </c>
      <c r="B67" s="17" t="n">
        <v>0</v>
      </c>
      <c r="C67" s="20" t="n">
        <v>2.47941533556379</v>
      </c>
      <c r="D67" s="20" t="n">
        <v>25.3051073842469</v>
      </c>
      <c r="E67" s="20" t="n">
        <v>57.3022737432682</v>
      </c>
    </row>
    <row r="68" customFormat="false" ht="15" hidden="false" customHeight="false" outlineLevel="0" collapsed="false">
      <c r="A68" s="0" t="s">
        <v>120</v>
      </c>
      <c r="B68" s="0" t="s">
        <v>121</v>
      </c>
      <c r="C68" s="0" t="s">
        <v>122</v>
      </c>
      <c r="D68" s="0" t="s">
        <v>123</v>
      </c>
      <c r="E68" s="0" t="s">
        <v>124</v>
      </c>
    </row>
    <row r="69" customFormat="false" ht="15" hidden="false" customHeight="false" outlineLevel="0" collapsed="false">
      <c r="A69" s="0" t="s">
        <v>125</v>
      </c>
      <c r="B69" s="0" t="s">
        <v>126</v>
      </c>
      <c r="C69" s="0" t="s">
        <v>127</v>
      </c>
      <c r="D69" s="0" t="s">
        <v>128</v>
      </c>
      <c r="E69" s="0" t="s">
        <v>129</v>
      </c>
    </row>
    <row r="71" customFormat="false" ht="15" hidden="false" customHeight="false" outlineLevel="0" collapsed="false">
      <c r="A71" s="8" t="s">
        <v>130</v>
      </c>
      <c r="B71" s="7" t="s">
        <v>114</v>
      </c>
      <c r="C71" s="7" t="s">
        <v>115</v>
      </c>
      <c r="D71" s="7" t="s">
        <v>116</v>
      </c>
      <c r="E71" s="7" t="s">
        <v>117</v>
      </c>
    </row>
    <row r="72" customFormat="false" ht="15" hidden="false" customHeight="false" outlineLevel="0" collapsed="false">
      <c r="A72" s="0" t="s">
        <v>118</v>
      </c>
      <c r="B72" s="17" t="n">
        <v>0</v>
      </c>
      <c r="C72" s="17" t="n">
        <v>0</v>
      </c>
      <c r="D72" s="19" t="n">
        <v>5.15368040007337</v>
      </c>
      <c r="E72" s="19" t="n">
        <v>46.9461050274873</v>
      </c>
    </row>
    <row r="73" customFormat="false" ht="15" hidden="false" customHeight="false" outlineLevel="0" collapsed="false">
      <c r="A73" s="0" t="s">
        <v>119</v>
      </c>
      <c r="B73" s="17" t="n">
        <v>0</v>
      </c>
      <c r="C73" s="20" t="n">
        <v>5.34621213571885</v>
      </c>
      <c r="D73" s="20" t="n">
        <v>28.1719041844019</v>
      </c>
      <c r="E73" s="20" t="n">
        <v>60.2052570576608</v>
      </c>
    </row>
    <row r="74" customFormat="false" ht="15" hidden="false" customHeight="false" outlineLevel="0" collapsed="false">
      <c r="A74" s="0" t="s">
        <v>120</v>
      </c>
      <c r="B74" s="0" t="s">
        <v>131</v>
      </c>
      <c r="C74" s="0" t="s">
        <v>132</v>
      </c>
      <c r="D74" s="0" t="s">
        <v>133</v>
      </c>
      <c r="E74" s="0" t="s">
        <v>134</v>
      </c>
    </row>
    <row r="75" customFormat="false" ht="15" hidden="false" customHeight="false" outlineLevel="0" collapsed="false">
      <c r="A75" s="0" t="s">
        <v>125</v>
      </c>
      <c r="B75" s="0" t="s">
        <v>135</v>
      </c>
      <c r="C75" s="0" t="s">
        <v>136</v>
      </c>
      <c r="D75" s="0" t="s">
        <v>137</v>
      </c>
      <c r="E75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139</v>
      </c>
    </row>
    <row r="3" customFormat="false" ht="15" hidden="false" customHeight="false" outlineLevel="0" collapsed="false">
      <c r="A3" s="0" t="s">
        <v>140</v>
      </c>
      <c r="B3" s="21" t="n">
        <f aca="false">CPM_Lease_GB300</f>
        <v>36.7875</v>
      </c>
      <c r="C3" s="22" t="s">
        <v>141</v>
      </c>
      <c r="E3" s="0" t="s">
        <v>142</v>
      </c>
      <c r="F3" s="23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143</v>
      </c>
      <c r="B4" s="21" t="n">
        <f aca="false">CPM_Lease_VR</f>
        <v>41.1</v>
      </c>
      <c r="C4" s="22" t="s">
        <v>144</v>
      </c>
      <c r="E4" s="0" t="s">
        <v>145</v>
      </c>
      <c r="F4" s="23" t="n">
        <f aca="false">CPM_SP</f>
        <v>12.5</v>
      </c>
    </row>
    <row r="5" customFormat="false" ht="15" hidden="false" customHeight="false" outlineLevel="0" collapsed="false">
      <c r="A5" s="0" t="s">
        <v>146</v>
      </c>
      <c r="B5" s="21" t="n">
        <f aca="false">CPM_Own_GB300</f>
        <v>49.2875</v>
      </c>
      <c r="C5" s="22" t="s">
        <v>147</v>
      </c>
      <c r="E5" s="0" t="s">
        <v>148</v>
      </c>
      <c r="F5" s="24" t="n">
        <f aca="false">HallLife</f>
        <v>18</v>
      </c>
    </row>
    <row r="6" customFormat="false" ht="15" hidden="false" customHeight="false" outlineLevel="0" collapsed="false">
      <c r="A6" s="0" t="s">
        <v>149</v>
      </c>
      <c r="B6" s="21" t="n">
        <f aca="false">CPM_Own_VR</f>
        <v>52.6</v>
      </c>
      <c r="C6" s="22" t="s">
        <v>150</v>
      </c>
      <c r="E6" s="0" t="s">
        <v>151</v>
      </c>
      <c r="F6" s="25" t="n">
        <f aca="false">GPU_Resid</f>
        <v>0.15</v>
      </c>
    </row>
    <row r="7" customFormat="false" ht="15" hidden="false" customHeight="false" outlineLevel="0" collapsed="false">
      <c r="A7" s="0" t="s">
        <v>152</v>
      </c>
      <c r="B7" s="26" t="n">
        <v>4.5</v>
      </c>
      <c r="C7" s="22" t="s">
        <v>153</v>
      </c>
      <c r="E7" s="0" t="s">
        <v>154</v>
      </c>
      <c r="F7" s="27" t="n">
        <f aca="false">WACC</f>
        <v>0.11</v>
      </c>
    </row>
    <row r="8" customFormat="false" ht="15" hidden="false" customHeight="false" outlineLevel="0" collapsed="false">
      <c r="A8" s="0" t="s">
        <v>155</v>
      </c>
      <c r="B8" s="28" t="n">
        <v>22</v>
      </c>
      <c r="C8" s="22" t="s">
        <v>156</v>
      </c>
      <c r="E8" s="0" t="s">
        <v>157</v>
      </c>
      <c r="F8" s="27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158</v>
      </c>
      <c r="B9" s="29" t="n">
        <v>5</v>
      </c>
      <c r="C9" s="22" t="s">
        <v>159</v>
      </c>
    </row>
    <row r="10" customFormat="false" ht="15" hidden="false" customHeight="false" outlineLevel="0" collapsed="false">
      <c r="A10" s="3" t="s">
        <v>160</v>
      </c>
    </row>
    <row r="11" customFormat="false" ht="15" hidden="false" customHeight="false" outlineLevel="0" collapsed="false">
      <c r="A11" s="3" t="s">
        <v>161</v>
      </c>
      <c r="B11" s="3" t="s">
        <v>162</v>
      </c>
      <c r="C11" s="3" t="s">
        <v>163</v>
      </c>
      <c r="D11" s="3" t="s">
        <v>164</v>
      </c>
      <c r="E11" s="3" t="s">
        <v>165</v>
      </c>
      <c r="F11" s="3" t="s">
        <v>166</v>
      </c>
    </row>
    <row r="12" customFormat="false" ht="15" hidden="false" customHeight="false" outlineLevel="0" collapsed="false">
      <c r="A12" s="0" t="s">
        <v>167</v>
      </c>
      <c r="B12" s="30" t="n">
        <f aca="false">MYRate</f>
        <v>16</v>
      </c>
      <c r="C12" s="23" t="n">
        <f aca="false">ND_Px</f>
        <v>3.71992671744367</v>
      </c>
      <c r="D12" s="30" t="n">
        <f aca="false">MYRate*ND_GrossX</f>
        <v>19.2078239608802</v>
      </c>
      <c r="E12" s="23" t="n">
        <f aca="false">ND_Px*ND_GrossX</f>
        <v>4.46573109600205</v>
      </c>
    </row>
    <row r="13" customFormat="false" ht="15" hidden="false" customHeight="false" outlineLevel="0" collapsed="false">
      <c r="A13" s="0" t="s">
        <v>168</v>
      </c>
      <c r="B13" s="30" t="n">
        <f aca="false">16</f>
        <v>16</v>
      </c>
      <c r="C13" s="23" t="n">
        <f aca="false">16*1000000/(GPUMW_N*8760)</f>
        <v>5.70776255707763</v>
      </c>
      <c r="D13" s="0" t="s">
        <v>169</v>
      </c>
      <c r="F13" s="23" t="n">
        <f aca="false">16*1000000/(RubinGPUMW_D*8760)</f>
        <v>4.5662100456621</v>
      </c>
    </row>
    <row r="14" customFormat="false" ht="15" hidden="false" customHeight="false" outlineLevel="0" collapsed="false">
      <c r="A14" s="0" t="s">
        <v>170</v>
      </c>
      <c r="B14" s="30" t="n">
        <f aca="false">18</f>
        <v>18</v>
      </c>
      <c r="C14" s="23" t="n">
        <f aca="false">18*1000000/(GPUMW_N*8760)</f>
        <v>6.42123287671233</v>
      </c>
      <c r="D14" s="0" t="s">
        <v>169</v>
      </c>
      <c r="F14" s="23" t="n">
        <f aca="false">18*1000000/(RubinGPUMW_D*8760)</f>
        <v>5.13698630136986</v>
      </c>
    </row>
    <row r="15" customFormat="false" ht="15" hidden="false" customHeight="false" outlineLevel="0" collapsed="false">
      <c r="A15" s="0" t="s">
        <v>171</v>
      </c>
      <c r="B15" s="30" t="n">
        <f aca="false">20</f>
        <v>20</v>
      </c>
      <c r="C15" s="23" t="n">
        <f aca="false">20*1000000/(GPUMW_N*8760)</f>
        <v>7.13470319634703</v>
      </c>
      <c r="D15" s="0" t="s">
        <v>169</v>
      </c>
      <c r="F15" s="23" t="n">
        <f aca="false">20*1000000/(RubinGPUMW_D*8760)</f>
        <v>5.70776255707763</v>
      </c>
    </row>
    <row r="16" customFormat="false" ht="15" hidden="false" customHeight="false" outlineLevel="0" collapsed="false">
      <c r="A16" s="0" t="s">
        <v>172</v>
      </c>
      <c r="B16" s="30" t="n">
        <f aca="false">RubinMW</f>
        <v>18</v>
      </c>
      <c r="C16" s="23" t="n">
        <f aca="false">RubinMW*1000000/(GPUMW_N*8760)</f>
        <v>6.42123287671233</v>
      </c>
      <c r="D16" s="0" t="s">
        <v>169</v>
      </c>
      <c r="F16" s="23" t="n">
        <f aca="false">RubinMW*1000000/(RubinGPUMW_D*8760)</f>
        <v>5.13698630136986</v>
      </c>
    </row>
    <row r="17" customFormat="false" ht="15" hidden="false" customHeight="false" outlineLevel="0" collapsed="false">
      <c r="A17" s="22" t="s">
        <v>173</v>
      </c>
    </row>
    <row r="19" customFormat="false" ht="15" hidden="false" customHeight="false" outlineLevel="0" collapsed="false">
      <c r="A19" s="3" t="s">
        <v>174</v>
      </c>
    </row>
    <row r="20" customFormat="false" ht="15" hidden="false" customHeight="false" outlineLevel="0" collapsed="false">
      <c r="A20" s="3"/>
      <c r="B20" s="3" t="s">
        <v>175</v>
      </c>
      <c r="C20" s="3" t="s">
        <v>176</v>
      </c>
      <c r="D20" s="3" t="s">
        <v>177</v>
      </c>
      <c r="E20" s="3" t="s">
        <v>105</v>
      </c>
      <c r="F20" s="3" t="s">
        <v>176</v>
      </c>
      <c r="G20" s="3" t="s">
        <v>177</v>
      </c>
    </row>
    <row r="21" customFormat="false" ht="15" hidden="false" customHeight="false" outlineLevel="0" collapsed="false">
      <c r="A21" s="0" t="s">
        <v>178</v>
      </c>
      <c r="B21" s="30" t="n">
        <f aca="false">B12</f>
        <v>16</v>
      </c>
      <c r="C21" s="30" t="n">
        <f aca="false">RubinMW</f>
        <v>18</v>
      </c>
      <c r="D21" s="25" t="n">
        <f aca="false">C21/B21-1</f>
        <v>0.125</v>
      </c>
      <c r="E21" s="30" t="n">
        <f aca="false">D12</f>
        <v>19.2078239608802</v>
      </c>
      <c r="F21" s="30" t="n">
        <f aca="false">RubinMW</f>
        <v>18</v>
      </c>
      <c r="G21" s="25" t="n">
        <f aca="false">F21/E21-1</f>
        <v>-0.0628818737270872</v>
      </c>
    </row>
    <row r="22" customFormat="false" ht="15" hidden="false" customHeight="false" outlineLevel="0" collapsed="false">
      <c r="A22" s="0" t="s">
        <v>179</v>
      </c>
      <c r="B22" s="30" t="n">
        <f aca="false">PB_Opex</f>
        <v>4.5</v>
      </c>
      <c r="C22" s="30" t="n">
        <f aca="false">PB_Opex</f>
        <v>4.5</v>
      </c>
      <c r="E22" s="30" t="n">
        <f aca="false">PB_Opex</f>
        <v>4.5</v>
      </c>
      <c r="F22" s="30" t="n">
        <f aca="false">PB_Opex</f>
        <v>4.5</v>
      </c>
    </row>
    <row r="23" customFormat="false" ht="15" hidden="false" customHeight="false" outlineLevel="0" collapsed="false">
      <c r="A23" s="0" t="s">
        <v>180</v>
      </c>
      <c r="B23" s="30" t="n">
        <f aca="false">B21-B22</f>
        <v>11.5</v>
      </c>
      <c r="C23" s="30" t="n">
        <f aca="false">C21-C22</f>
        <v>13.5</v>
      </c>
      <c r="D23" s="25" t="n">
        <f aca="false">C23/B23-1</f>
        <v>0.173913043478261</v>
      </c>
      <c r="E23" s="30" t="n">
        <f aca="false">E21-E22</f>
        <v>14.7078239608802</v>
      </c>
      <c r="F23" s="30" t="n">
        <f aca="false">F21-F22</f>
        <v>13.5</v>
      </c>
      <c r="G23" s="25" t="n">
        <f aca="false">F23/E23-1</f>
        <v>-0.0821211869337539</v>
      </c>
    </row>
    <row r="24" customFormat="false" ht="15" hidden="false" customHeight="false" outlineLevel="0" collapsed="false">
      <c r="A24" s="0" t="s">
        <v>181</v>
      </c>
      <c r="B24" s="23" t="n">
        <f aca="false">RentMW*PUE+LoadFactor*PUE*8760*PowerPx/1000000</f>
        <v>3.4695</v>
      </c>
      <c r="C24" s="23" t="n">
        <f aca="false">PB_OpexOwn</f>
        <v>2.25</v>
      </c>
    </row>
    <row r="26" customFormat="false" ht="15" hidden="false" customHeight="false" outlineLevel="0" collapsed="false">
      <c r="A26" s="3" t="s">
        <v>182</v>
      </c>
    </row>
    <row r="27" customFormat="false" ht="15" hidden="false" customHeight="false" outlineLevel="0" collapsed="false">
      <c r="A27" s="3" t="s">
        <v>161</v>
      </c>
      <c r="B27" s="3" t="s">
        <v>183</v>
      </c>
      <c r="C27" s="3" t="s">
        <v>184</v>
      </c>
      <c r="D27" s="3" t="s">
        <v>185</v>
      </c>
      <c r="E27" s="3" t="s">
        <v>184</v>
      </c>
      <c r="F27" s="3" t="s">
        <v>186</v>
      </c>
      <c r="G27" s="3" t="s">
        <v>187</v>
      </c>
      <c r="H27" s="3" t="s">
        <v>188</v>
      </c>
      <c r="I27" s="3" t="s">
        <v>189</v>
      </c>
      <c r="J27" s="3" t="s">
        <v>190</v>
      </c>
      <c r="K27" s="3" t="s">
        <v>191</v>
      </c>
      <c r="L27" s="3" t="s">
        <v>192</v>
      </c>
      <c r="M27" s="3" t="s">
        <v>193</v>
      </c>
      <c r="N27" s="3" t="s">
        <v>194</v>
      </c>
      <c r="O27" s="3" t="s">
        <v>195</v>
      </c>
      <c r="P27" s="3" t="s">
        <v>196</v>
      </c>
      <c r="Q27" s="3" t="s">
        <v>197</v>
      </c>
    </row>
    <row r="28" customFormat="false" ht="15" hidden="false" customHeight="false" outlineLevel="0" collapsed="false">
      <c r="A28" s="0" t="s">
        <v>198</v>
      </c>
      <c r="B28" s="30" t="n">
        <f aca="false">IFERROR(F28*1/(H28-G28)*12,999)</f>
        <v>40.0565217391304</v>
      </c>
      <c r="C28" s="31" t="str">
        <f aca="false">IF(ISNUMBER(B28),IF(ABS(B28-PB_Target)&lt;=3,"WITHIN +/-3","outside"),"")</f>
        <v>outside</v>
      </c>
      <c r="D28" s="30" t="n">
        <f aca="false">IFERROR(F28*1/(MYRate*ND_GrossX-G28)*12,999)</f>
        <v>31.320064832516</v>
      </c>
      <c r="E28" s="31" t="str">
        <f aca="false">IF(ISNUMBER(D28),IF(ABS(D28-PB_Target)&lt;=3,"WITHIN +/-3","outside"),"")</f>
        <v>outside</v>
      </c>
      <c r="F28" s="30" t="n">
        <f aca="false">PB_CapGB+LeasePrepayOn*LeasePrepay</f>
        <v>38.3875</v>
      </c>
      <c r="G28" s="23" t="n">
        <f aca="false">PB_Opex</f>
        <v>4.5</v>
      </c>
      <c r="H28" s="30" t="n">
        <f aca="false">MYRate</f>
        <v>16</v>
      </c>
      <c r="I28" s="30" t="n">
        <f aca="false">H28-G28</f>
        <v>11.5</v>
      </c>
      <c r="J28" s="27" t="n">
        <f aca="false">IFERROR(RATE(PB_Life,I28,-F28*1,L28),-1)</f>
        <v>0.180999461963845</v>
      </c>
      <c r="K28" s="27" t="n">
        <f aca="false">IFERROR(RATE(PB_Life,MYRate*ND_GrossX-G28,-F28*1,L28),-1)</f>
        <v>0.286698289169383</v>
      </c>
      <c r="L28" s="30" t="n">
        <f aca="false">PB_Resid*(F28-Q28)+Q28*MAX(0,1-PB_Life/PB_HallLife)</f>
        <v>5.758125</v>
      </c>
      <c r="M28" s="27" t="n">
        <f aca="false">IFERROR(RATE(PB_Life,I28,-F28*1),-1)</f>
        <v>0.151784127999906</v>
      </c>
      <c r="N28" s="30" t="n">
        <f aca="false">-F28*1+I28*(1-(1+PB_WACC)^-PB_Life)/PB_WACC+L28*(1+PB_WACC)^-PB_Life</f>
        <v>7.53248263134605</v>
      </c>
      <c r="O28" s="30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0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3" t="n">
        <f aca="false">0</f>
        <v>0</v>
      </c>
    </row>
    <row r="29" customFormat="false" ht="15" hidden="false" customHeight="false" outlineLevel="0" collapsed="false">
      <c r="A29" s="0" t="s">
        <v>199</v>
      </c>
      <c r="B29" s="30" t="n">
        <f aca="false">IFERROR(F29*1/(H29-G29)*12,999)</f>
        <v>37.9555555555556</v>
      </c>
      <c r="C29" s="31" t="str">
        <f aca="false">IF(ISNUMBER(B29),IF(ABS(B29-PB_Target)&lt;=3,"WITHIN +/-3","outside"),"")</f>
        <v>outside</v>
      </c>
      <c r="D29" s="0" t="s">
        <v>200</v>
      </c>
      <c r="E29" s="31" t="str">
        <f aca="false">IF(ISNUMBER(D29),IF(ABS(D29-PB_Target)&lt;=3,"WITHIN +/-3","outside"),"")</f>
        <v/>
      </c>
      <c r="F29" s="30" t="n">
        <f aca="false">41.1+LeasePrepayOn*LeasePrepay</f>
        <v>42.7</v>
      </c>
      <c r="G29" s="23" t="n">
        <f aca="false">PB_Opex</f>
        <v>4.5</v>
      </c>
      <c r="H29" s="30" t="n">
        <f aca="false">18</f>
        <v>18</v>
      </c>
      <c r="I29" s="30" t="n">
        <f aca="false">H29-G29</f>
        <v>13.5</v>
      </c>
      <c r="J29" s="27" t="n">
        <f aca="false">IFERROR(RATE(PB_Life,I29,-F29*1,L29),-1)</f>
        <v>0.202495480090107</v>
      </c>
      <c r="L29" s="30" t="n">
        <f aca="false">PB_Resid*(F29-Q29)+Q29*MAX(0,1-PB_Life/PB_HallLife)</f>
        <v>6.405</v>
      </c>
      <c r="M29" s="27" t="n">
        <f aca="false">IFERROR(RATE(PB_Life,I29,-F29*1),-1)</f>
        <v>0.174994125827535</v>
      </c>
      <c r="N29" s="30" t="n">
        <f aca="false">-F29*1+I29*(1-(1+PB_WACC)^-PB_Life)/PB_WACC+L29*(1+PB_WACC)^-PB_Life</f>
        <v>10.9956654944829</v>
      </c>
      <c r="O29" s="30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5.28542761383372</v>
      </c>
      <c r="P29" s="30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-5.08067650538881</v>
      </c>
      <c r="Q29" s="23" t="n">
        <f aca="false">0</f>
        <v>0</v>
      </c>
    </row>
    <row r="30" customFormat="false" ht="15" hidden="false" customHeight="false" outlineLevel="0" collapsed="false">
      <c r="A30" s="0" t="s">
        <v>201</v>
      </c>
      <c r="B30" s="30" t="n">
        <f aca="false">IFERROR(F30*1/(H30-G30)*12,999)</f>
        <v>27.7935483870968</v>
      </c>
      <c r="C30" s="31" t="str">
        <f aca="false">IF(ISNUMBER(B30),IF(ABS(B30-PB_Target)&lt;=3,"WITHIN +/-3","outside"),"")</f>
        <v>outside</v>
      </c>
      <c r="D30" s="0" t="s">
        <v>200</v>
      </c>
      <c r="E30" s="31" t="str">
        <f aca="false">IF(ISNUMBER(D30),IF(ABS(D30-PB_Target)&lt;=3,"WITHIN +/-3","outside"),"")</f>
        <v/>
      </c>
      <c r="F30" s="30" t="n">
        <f aca="false">34.3+LeasePrepayOn*LeasePrepay</f>
        <v>35.9</v>
      </c>
      <c r="G30" s="23" t="n">
        <f aca="false">PB_Opex</f>
        <v>4.5</v>
      </c>
      <c r="H30" s="30" t="n">
        <f aca="false">20</f>
        <v>20</v>
      </c>
      <c r="I30" s="30" t="n">
        <f aca="false">H30-G30</f>
        <v>15.5</v>
      </c>
      <c r="J30" s="27" t="n">
        <f aca="false">IFERROR(RATE(PB_Life,I30,-F30*1,L30),-1)</f>
        <v>0.345653250815749</v>
      </c>
      <c r="L30" s="30" t="n">
        <f aca="false">PB_Resid*(F30-Q30)+Q30*MAX(0,1-PB_Life/PB_HallLife)</f>
        <v>5.385</v>
      </c>
      <c r="M30" s="27" t="n">
        <f aca="false">IFERROR(RATE(PB_Life,I30,-F30*1),-1)</f>
        <v>0.326717058540956</v>
      </c>
      <c r="N30" s="30" t="n">
        <f aca="false">-F30*1+I30*(1-(1+PB_WACC)^-PB_Life)/PB_WACC+L30*(1+PB_WACC)^-PB_Life</f>
        <v>24.5821391751621</v>
      </c>
      <c r="O30" s="30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15.8241747393448</v>
      </c>
      <c r="P30" s="30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4.30628127354205</v>
      </c>
      <c r="Q30" s="23" t="n">
        <f aca="false">0</f>
        <v>0</v>
      </c>
    </row>
    <row r="31" customFormat="false" ht="15" hidden="false" customHeight="false" outlineLevel="0" collapsed="false">
      <c r="A31" s="0" t="s">
        <v>202</v>
      </c>
      <c r="B31" s="30" t="n">
        <f aca="false">IFERROR(F31*1/(H31-G31)*12,999)</f>
        <v>53.0086956521739</v>
      </c>
      <c r="C31" s="31" t="str">
        <f aca="false">IF(ISNUMBER(B31),IF(ABS(B31-PB_Target)&lt;=3,"WITHIN +/-3","outside"),"")</f>
        <v>outside</v>
      </c>
      <c r="D31" s="0" t="s">
        <v>200</v>
      </c>
      <c r="E31" s="31" t="str">
        <f aca="false">IF(ISNUMBER(D31),IF(ABS(D31-PB_Target)&lt;=3,"WITHIN +/-3","outside"),"")</f>
        <v/>
      </c>
      <c r="F31" s="30" t="n">
        <f aca="false">49.2+LeasePrepayOn*LeasePrepay</f>
        <v>50.8</v>
      </c>
      <c r="G31" s="23" t="n">
        <f aca="false">PB_Opex</f>
        <v>4.5</v>
      </c>
      <c r="H31" s="30" t="n">
        <f aca="false">16</f>
        <v>16</v>
      </c>
      <c r="I31" s="30" t="n">
        <f aca="false">H31-G31</f>
        <v>11.5</v>
      </c>
      <c r="J31" s="27" t="n">
        <f aca="false">IFERROR(RATE(PB_Life,I31,-F31*1,L31),-1)</f>
        <v>0.0820934831717111</v>
      </c>
      <c r="L31" s="30" t="n">
        <f aca="false">PB_Resid*(F31-Q31)+Q31*MAX(0,1-PB_Life/PB_HallLife)</f>
        <v>7.62</v>
      </c>
      <c r="M31" s="27" t="n">
        <f aca="false">IFERROR(RATE(PB_Life,I31,-F31*1),-1)</f>
        <v>0.0427700045497451</v>
      </c>
      <c r="N31" s="30" t="n">
        <f aca="false">-F31*1+I31*(1-(1+PB_WACC)^-PB_Life)/PB_WACC+L31*(1+PB_WACC)^-PB_Life</f>
        <v>-3.77508517722491</v>
      </c>
      <c r="O31" s="30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-6.2195322670767</v>
      </c>
      <c r="P31" s="30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-17.3600007294371</v>
      </c>
      <c r="Q31" s="23" t="n">
        <f aca="false">0</f>
        <v>0</v>
      </c>
    </row>
    <row r="32" customFormat="false" ht="15" hidden="false" customHeight="false" outlineLevel="0" collapsed="false">
      <c r="A32" s="0" t="s">
        <v>203</v>
      </c>
      <c r="B32" s="30" t="n">
        <f aca="false">IFERROR(F32*1/(H32-G32)*12,999)</f>
        <v>33.058064516129</v>
      </c>
      <c r="C32" s="31" t="str">
        <f aca="false">IF(ISNUMBER(B32),IF(ABS(B32-PB_Target)&lt;=3,"WITHIN +/-3","outside"),"")</f>
        <v>outside</v>
      </c>
      <c r="D32" s="0" t="s">
        <v>200</v>
      </c>
      <c r="E32" s="31" t="str">
        <f aca="false">IF(ISNUMBER(D32),IF(ABS(D32-PB_Target)&lt;=3,"WITHIN +/-3","outside"),"")</f>
        <v/>
      </c>
      <c r="F32" s="30" t="n">
        <f aca="false">41.1+LeasePrepayOn*LeasePrepay</f>
        <v>42.7</v>
      </c>
      <c r="G32" s="23" t="n">
        <f aca="false">PB_Opex</f>
        <v>4.5</v>
      </c>
      <c r="H32" s="30" t="n">
        <f aca="false">20</f>
        <v>20</v>
      </c>
      <c r="I32" s="30" t="n">
        <f aca="false">H32-G32</f>
        <v>15.5</v>
      </c>
      <c r="J32" s="27" t="n">
        <f aca="false">IFERROR(RATE(PB_Life,I32,-F32*1,L32),-1)</f>
        <v>0.261776052628258</v>
      </c>
      <c r="L32" s="30" t="n">
        <f aca="false">PB_Resid*(F32-Q32)+Q32*MAX(0,1-PB_Life/PB_HallLife)</f>
        <v>6.405</v>
      </c>
      <c r="M32" s="27" t="n">
        <f aca="false">IFERROR(RATE(PB_Life,I32,-F32*1),-1)</f>
        <v>0.238348464454535</v>
      </c>
      <c r="N32" s="30" t="n">
        <f aca="false">-F32*1+I32*(1-(1+PB_WACC)^-PB_Life)/PB_WACC+L32*(1+PB_WACC)^-PB_Life</f>
        <v>18.3874595297818</v>
      </c>
      <c r="O32" s="30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10.7701387880255</v>
      </c>
      <c r="P32" s="30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-0.747754677777275</v>
      </c>
      <c r="Q32" s="23" t="n">
        <f aca="false">0</f>
        <v>0</v>
      </c>
    </row>
    <row r="33" customFormat="false" ht="15" hidden="false" customHeight="false" outlineLevel="0" collapsed="false">
      <c r="A33" s="0" t="s">
        <v>204</v>
      </c>
      <c r="B33" s="30" t="n">
        <f aca="false">IFERROR(F33*1/(H33-G33)*12,999)</f>
        <v>43.0145454545455</v>
      </c>
      <c r="C33" s="31" t="str">
        <f aca="false">IF(ISNUMBER(B33),IF(ABS(B33-PB_Target)&lt;=3,"WITHIN +/-3","outside"),"")</f>
        <v>outside</v>
      </c>
      <c r="D33" s="30" t="n">
        <f aca="false">IFERROR(F33*1/(MYRate*ND_GrossX-G33)*12,999)</f>
        <v>34.8777060880222</v>
      </c>
      <c r="E33" s="31" t="str">
        <f aca="false">IF(ISNUMBER(D33),IF(ABS(D33-PB_Target)&lt;=3,"WITHIN +/-3","outside"),"")</f>
        <v>outside</v>
      </c>
      <c r="F33" s="30" t="n">
        <f aca="false">PB_CapOwnGB</f>
        <v>49.2875</v>
      </c>
      <c r="G33" s="23" t="n">
        <f aca="false">PB_OpexOwn</f>
        <v>2.25</v>
      </c>
      <c r="H33" s="30" t="n">
        <f aca="false">MYRate</f>
        <v>16</v>
      </c>
      <c r="I33" s="30" t="n">
        <f aca="false">H33-G33</f>
        <v>13.75</v>
      </c>
      <c r="J33" s="27" t="n">
        <f aca="false">IFERROR(RATE(PB_Life,I33,-F33*1,L33),-1)</f>
        <v>0.180557570678127</v>
      </c>
      <c r="K33" s="27" t="n">
        <f aca="false">IFERROR(RATE(PB_Life,MYRate*ND_GrossX-G33,-F33*1,L33),-1)</f>
        <v>0.259795584240343</v>
      </c>
      <c r="L33" s="30" t="n">
        <f aca="false">PB_Resid*(F33-Q33)+Q33*MAX(0,1-PB_Life/PB_HallLife)</f>
        <v>14.5459027777778</v>
      </c>
      <c r="M33" s="27" t="n">
        <f aca="false">IFERROR(RATE(PB_Life,I33,-F33*1),-1)</f>
        <v>0.122275763136899</v>
      </c>
      <c r="N33" s="30" t="n">
        <f aca="false">-F33*1+I33*(1-(1+PB_WACC)^-PB_Life)/PB_WACC+L33*(1+PB_WACC)^-PB_Life</f>
        <v>10.1633693139631</v>
      </c>
      <c r="O33" s="30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0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3" t="n">
        <f aca="false">PB_Hall</f>
        <v>12.5</v>
      </c>
    </row>
    <row r="34" customFormat="false" ht="15" hidden="false" customHeight="false" outlineLevel="0" collapsed="false">
      <c r="A34" s="0" t="s">
        <v>205</v>
      </c>
      <c r="B34" s="30" t="n">
        <f aca="false">IFERROR(F34*1/(H34-G34)*12,999)</f>
        <v>40.0761904761905</v>
      </c>
      <c r="C34" s="31" t="str">
        <f aca="false">IF(ISNUMBER(B34),IF(ABS(B34-PB_Target)&lt;=3,"WITHIN +/-3","outside"),"")</f>
        <v>outside</v>
      </c>
      <c r="D34" s="0" t="s">
        <v>200</v>
      </c>
      <c r="E34" s="31" t="str">
        <f aca="false">IF(ISNUMBER(D34),IF(ABS(D34-PB_Target)&lt;=3,"WITHIN +/-3","outside"),"")</f>
        <v/>
      </c>
      <c r="F34" s="30" t="n">
        <f aca="false">PB_CapOwnRubin</f>
        <v>52.6</v>
      </c>
      <c r="G34" s="23" t="n">
        <f aca="false">PB_OpexOwn</f>
        <v>2.25</v>
      </c>
      <c r="H34" s="30" t="n">
        <f aca="false">18</f>
        <v>18</v>
      </c>
      <c r="I34" s="30" t="n">
        <f aca="false">H34-G34</f>
        <v>15.75</v>
      </c>
      <c r="J34" s="27" t="n">
        <f aca="false">IFERROR(RATE(PB_Life,I34,-F34*1,L34),-1)</f>
        <v>0.204285232461873</v>
      </c>
      <c r="L34" s="30" t="n">
        <f aca="false">PB_Resid*(F34-Q34)+Q34*MAX(0,1-PB_Life/PB_HallLife)</f>
        <v>15.0427777777778</v>
      </c>
      <c r="M34" s="27" t="n">
        <f aca="false">IFERROR(RATE(PB_Life,I34,-F34*1),-1)</f>
        <v>0.151576270993366</v>
      </c>
      <c r="N34" s="30" t="n">
        <f aca="false">-F34*1+I34*(1-(1+PB_WACC)^-PB_Life)/PB_WACC+L34*(1+PB_WACC)^-PB_Life</f>
        <v>14.5375344778911</v>
      </c>
      <c r="O34" s="30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6.97707193206652</v>
      </c>
      <c r="P34" s="30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-3.389032187156</v>
      </c>
      <c r="Q34" s="23" t="n">
        <f aca="false">PB_Hall</f>
        <v>12.5</v>
      </c>
    </row>
    <row r="35" customFormat="false" ht="15" hidden="false" customHeight="false" outlineLevel="0" collapsed="false">
      <c r="A35" s="0" t="s">
        <v>206</v>
      </c>
      <c r="B35" s="30" t="n">
        <f aca="false">IFERROR(F35*1/(H35-G35)*12,999)</f>
        <v>39.788694319409</v>
      </c>
      <c r="C35" s="31" t="str">
        <f aca="false">IF(ISNUMBER(B35),IF(ABS(B35-PB_Target)&lt;=3,"WITHIN +/-3","outside"),"")</f>
        <v>outside</v>
      </c>
      <c r="D35" s="30" t="n">
        <f aca="false">IFERROR(F35*1/(MYRate*ND_GrossX-G35)*12,999)</f>
        <v>31.8095925382148</v>
      </c>
      <c r="E35" s="31" t="str">
        <f aca="false">IF(ISNUMBER(D35),IF(ABS(D35-PB_Target)&lt;=3,"WITHIN +/-3","outside"),"")</f>
        <v>outside</v>
      </c>
      <c r="F35" s="30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42.4026569143244</v>
      </c>
      <c r="G35" s="23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0" t="n">
        <f aca="false">MYRate</f>
        <v>16</v>
      </c>
      <c r="I35" s="30" t="n">
        <f aca="false">H35-G35</f>
        <v>12.7883533670941</v>
      </c>
      <c r="J35" s="27" t="n">
        <f aca="false">IFERROR(RATE(PB_Life,I35,-F35*1,L35),-1)</f>
        <v>0.192254158424747</v>
      </c>
      <c r="K35" s="27" t="n">
        <f aca="false">IFERROR(RATE(PB_Life,MYRate*ND_GrossX-G35,-F35*1,L35),-1)</f>
        <v>0.286241244599378</v>
      </c>
      <c r="L35" s="30" t="n">
        <f aca="false">PB_Resid*(F35-Q35)+Q35*MAX(0,1-PB_Life/PB_HallLife)</f>
        <v>8.42320878080234</v>
      </c>
      <c r="M35" s="27" t="n">
        <f aca="false">IFERROR(RATE(PB_Life,I35,-F35*1),-1)</f>
        <v>0.154631167613537</v>
      </c>
      <c r="N35" s="30" t="n">
        <f aca="false">-F35*1+I35*(1-(1+PB_WACC)^-PB_Life)/PB_WACC+L35*(1+PB_WACC)^-PB_Life</f>
        <v>9.86054459324792</v>
      </c>
      <c r="O35" s="30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4.38524292297013</v>
      </c>
      <c r="P35" s="30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-4.82907184967211</v>
      </c>
      <c r="Q35" s="23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207</v>
      </c>
      <c r="B36" s="30" t="n">
        <f aca="false">IFERROR(F36*1/(H36-G36)*12,999)</f>
        <v>40.269274182724</v>
      </c>
      <c r="C36" s="31" t="str">
        <f aca="false">IF(ISNUMBER(B36),IF(ABS(B36-PB_Target)&lt;=3,"WITHIN +/-3","outside"),"")</f>
        <v>outside</v>
      </c>
      <c r="D36" s="0" t="s">
        <v>200</v>
      </c>
      <c r="E36" s="31" t="str">
        <f aca="false">IF(ISNUMBER(D36),IF(ABS(D36-PB_Target)&lt;=3,"WITHIN +/-3","outside"),"")</f>
        <v/>
      </c>
      <c r="F36" s="30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51.1271233365143</v>
      </c>
      <c r="G36" s="23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0" t="n">
        <f aca="false">RubinMW</f>
        <v>18</v>
      </c>
      <c r="I36" s="30" t="n">
        <f aca="false">H36-G36</f>
        <v>15.2355733369881</v>
      </c>
      <c r="J36" s="27" t="n">
        <f aca="false">IFERROR(RATE(PB_Life,I36,-F36*1,L36),-1)</f>
        <v>0.200060364804384</v>
      </c>
      <c r="L36" s="30" t="n">
        <f aca="false">PB_Resid*(F36-Q36)+Q36*MAX(0,1-PB_Life/PB_HallLife)</f>
        <v>13.8621450799203</v>
      </c>
      <c r="M36" s="27" t="n">
        <f aca="false">IFERROR(RATE(PB_Life,I36,-F36*1),-1)</f>
        <v>0.149544579710998</v>
      </c>
      <c r="N36" s="30" t="n">
        <f aca="false">-F36*1+I36*(1-(1+PB_WACC)^-PB_Life)/PB_WACC+L36*(1+PB_WACC)^-PB_Life</f>
        <v>13.4084951292587</v>
      </c>
      <c r="O36" s="30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6.27469498456495</v>
      </c>
      <c r="P36" s="30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-4.09140913465757</v>
      </c>
      <c r="Q36" s="23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208</v>
      </c>
      <c r="B37" s="30" t="n">
        <f aca="false">IFERROR(F37*1/(H37-G37)*12,999)</f>
        <v>33.3913043478261</v>
      </c>
      <c r="C37" s="31" t="str">
        <f aca="false">IF(ISNUMBER(B37),IF(ABS(B37-PB_Target)&lt;=3,"WITHIN +/-3","outside"),"")</f>
        <v>outside</v>
      </c>
      <c r="D37" s="30" t="n">
        <f aca="false">IFERROR(F37*1/(MYRate*ND_GrossX-G37)*12,999)</f>
        <v>26.1085529049954</v>
      </c>
      <c r="E37" s="31" t="str">
        <f aca="false">IF(ISNUMBER(D37),IF(ABS(D37-PB_Target)&lt;=3,"WITHIN +/-3","outside"),"")</f>
        <v>outside</v>
      </c>
      <c r="F37" s="30" t="n">
        <f aca="false">32</f>
        <v>32</v>
      </c>
      <c r="G37" s="23" t="n">
        <f aca="false">PB_Opex</f>
        <v>4.5</v>
      </c>
      <c r="H37" s="30" t="n">
        <f aca="false">MYRate</f>
        <v>16</v>
      </c>
      <c r="I37" s="30" t="n">
        <f aca="false">H37-G37</f>
        <v>11.5</v>
      </c>
      <c r="J37" s="27" t="n">
        <f aca="false">IFERROR(RATE(PB_Life,I37,-F37*1,L37),-1)</f>
        <v>0.257259840055199</v>
      </c>
      <c r="K37" s="27" t="n">
        <f aca="false">IFERROR(RATE(PB_Life,MYRate*ND_GrossX-G37,-F37*1,L37),-1)</f>
        <v>0.378781741487645</v>
      </c>
      <c r="L37" s="30" t="n">
        <f aca="false">PB_Resid*(F37-Q37)+Q37*MAX(0,1-PB_Life/PB_HallLife)</f>
        <v>4.8</v>
      </c>
      <c r="M37" s="27" t="n">
        <f aca="false">IFERROR(RATE(PB_Life,I37,-F37*1),-1)</f>
        <v>0.233551694096666</v>
      </c>
      <c r="N37" s="30" t="n">
        <f aca="false">-F37*1+I37*(1-(1+PB_WACC)^-PB_Life)/PB_WACC+L37*(1+PB_WACC)^-PB_Life</f>
        <v>13.3513820776499</v>
      </c>
      <c r="O37" s="30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0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3" t="n">
        <f aca="false">0</f>
        <v>0</v>
      </c>
    </row>
    <row r="38" customFormat="false" ht="15" hidden="false" customHeight="false" outlineLevel="0" collapsed="false">
      <c r="A38" s="0" t="s">
        <v>209</v>
      </c>
      <c r="B38" s="30" t="n">
        <f aca="false">IFERROR(F38*1/(H38-G38)*12,999)</f>
        <v>31.5321428571429</v>
      </c>
      <c r="C38" s="31" t="str">
        <f aca="false">IF(ISNUMBER(B38),IF(ABS(B38-PB_Target)&lt;=3,"WITHIN +/-3","outside"),"")</f>
        <v>outside</v>
      </c>
      <c r="D38" s="30" t="n">
        <f aca="false">IFERROR(F38*1/(MYRate*ND_GrossX-G38)*12,999)</f>
        <v>25.6540281329923</v>
      </c>
      <c r="E38" s="31" t="str">
        <f aca="false">IF(ISNUMBER(D38),IF(ABS(D38-PB_Target)&lt;=3,"WITHIN +/-3","outside"),"")</f>
        <v>outside</v>
      </c>
      <c r="F38" s="30" t="n">
        <f aca="false">PB_CapGB</f>
        <v>36.7875</v>
      </c>
      <c r="G38" s="23" t="n">
        <f aca="false">2</f>
        <v>2</v>
      </c>
      <c r="H38" s="30" t="n">
        <f aca="false">MYRate</f>
        <v>16</v>
      </c>
      <c r="I38" s="30" t="n">
        <f aca="false">H38-G38</f>
        <v>14</v>
      </c>
      <c r="J38" s="27" t="n">
        <f aca="false">IFERROR(RATE(PB_Life,I38,-F38*1,L38),-1)</f>
        <v>0.283527370882991</v>
      </c>
      <c r="K38" s="27" t="n">
        <f aca="false">IFERROR(RATE(PB_Life,MYRate*ND_GrossX-G38,-F38*1,L38),-1)</f>
        <v>0.388382160002058</v>
      </c>
      <c r="L38" s="30" t="n">
        <f aca="false">PB_Resid*(F38-Q38)+Q38*MAX(0,1-PB_Life/PB_HallLife)</f>
        <v>5.518125</v>
      </c>
      <c r="M38" s="27" t="n">
        <f aca="false">IFERROR(RATE(PB_Life,I38,-F38*1),-1)</f>
        <v>0.261390446003512</v>
      </c>
      <c r="N38" s="30" t="n">
        <f aca="false">-F38*1+I38*(1-(1+PB_WACC)^-PB_Life)/PB_WACC+L38*(1+PB_WACC)^-PB_Life</f>
        <v>18.2297968567357</v>
      </c>
      <c r="O38" s="30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0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3" t="n">
        <f aca="false">0</f>
        <v>0</v>
      </c>
    </row>
    <row r="39" customFormat="false" ht="15" hidden="false" customHeight="false" outlineLevel="0" collapsed="false">
      <c r="A39" s="0" t="s">
        <v>210</v>
      </c>
      <c r="B39" s="30" t="n">
        <f aca="false">IFERROR(F39*(1-0.55*0.7)/(H39-G39)*12,999)</f>
        <v>23.6079782608696</v>
      </c>
      <c r="C39" s="31" t="str">
        <f aca="false">IF(ISNUMBER(B39),IF(ABS(B39-PB_Target)&lt;=3,"WITHIN +/-3","outside"),"")</f>
        <v>WITHIN +/-3</v>
      </c>
      <c r="D39" s="30" t="n">
        <f aca="false">IFERROR(F39*(1-0.55*0.7)/(MYRate*ND_GrossX-G39)*12,999)</f>
        <v>18.4590018701687</v>
      </c>
      <c r="E39" s="31" t="str">
        <f aca="false">IF(ISNUMBER(D39),IF(ABS(D39-PB_Target)&lt;=3,"WITHIN +/-3","outside"),"")</f>
        <v>outside</v>
      </c>
      <c r="F39" s="30" t="n">
        <f aca="false">PB_CapGB</f>
        <v>36.7875</v>
      </c>
      <c r="G39" s="23" t="n">
        <f aca="false">PB_Opex</f>
        <v>4.5</v>
      </c>
      <c r="H39" s="30" t="n">
        <f aca="false">MYRate</f>
        <v>16</v>
      </c>
      <c r="I39" s="30" t="n">
        <f aca="false">H39-G39</f>
        <v>11.5</v>
      </c>
      <c r="J39" s="27" t="n">
        <f aca="false">IFERROR(RATE(PB_Life,I39,-F39*(1-0.55*0.7),L39),-1)</f>
        <v>0.444794499372535</v>
      </c>
      <c r="K39" s="27" t="n">
        <f aca="false">IFERROR(RATE(PB_Life,MYRate*ND_GrossX-G39,-F39*(1-0.55*0.7),L39),-1)</f>
        <v>0.602475191050539</v>
      </c>
      <c r="L39" s="30" t="n">
        <f aca="false">PB_Resid*(F39-Q39)+Q39*MAX(0,1-PB_Life/PB_HallLife)</f>
        <v>5.518125</v>
      </c>
      <c r="M39" s="27" t="n">
        <f aca="false">IFERROR(RATE(PB_Life,I39,-F39*(1-0.55*0.7)),-1)</f>
        <v>0.420380439588812</v>
      </c>
      <c r="N39" s="30" t="n">
        <f aca="false">-F39*(1-0.55*0.7)+I39*(1-(1+PB_WACC)^-PB_Life)/PB_WACC+L39*(1+PB_WACC)^-PB_Life</f>
        <v>23.153241812612</v>
      </c>
      <c r="O39" s="30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0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3" t="n">
        <f aca="false">0</f>
        <v>0</v>
      </c>
    </row>
    <row r="40" customFormat="false" ht="15" hidden="false" customHeight="false" outlineLevel="0" collapsed="false">
      <c r="A40" s="0" t="s">
        <v>211</v>
      </c>
      <c r="H40" s="30" t="n">
        <f aca="false">PB_CapGB*(1-0.55*0.7)*12/PB_Target+PB_Opex</f>
        <v>16.8405340909091</v>
      </c>
    </row>
    <row r="41" customFormat="false" ht="43.25" hidden="false" customHeight="false" outlineLevel="0" collapsed="false">
      <c r="A41" s="32" t="s">
        <v>212</v>
      </c>
    </row>
    <row r="44" customFormat="false" ht="15" hidden="false" customHeight="false" outlineLevel="0" collapsed="false">
      <c r="A44" s="3" t="s">
        <v>213</v>
      </c>
    </row>
    <row r="45" customFormat="false" ht="15" hidden="false" customHeight="false" outlineLevel="0" collapsed="false">
      <c r="A45" s="22" t="s">
        <v>214</v>
      </c>
    </row>
    <row r="46" customFormat="false" ht="15" hidden="false" customHeight="false" outlineLevel="0" collapsed="false">
      <c r="A46" s="0" t="s">
        <v>215</v>
      </c>
      <c r="B46" s="33" t="n">
        <f aca="false">RPO_Tot</f>
        <v>37490</v>
      </c>
    </row>
    <row r="47" customFormat="false" ht="15" hidden="false" customHeight="false" outlineLevel="0" collapsed="false">
      <c r="A47" s="0" t="s">
        <v>216</v>
      </c>
      <c r="B47" s="33" t="n">
        <f aca="false">SUMPRODUCT((Q_Idx&gt;LastHist)*(Q_Idx&lt;=LastHist+8)*(RPO_Tot*RPO24Pct/8)*PL_EBITDA/PL_Rev*1/(1+WACC)^((Q_End-ValDate)/365.25))</f>
        <v>5992.09856374647</v>
      </c>
    </row>
    <row r="48" customFormat="false" ht="15" hidden="false" customHeight="false" outlineLevel="0" collapsed="false">
      <c r="A48" s="0" t="s">
        <v>217</v>
      </c>
      <c r="B48" s="33" t="n">
        <f aca="false">SUMPRODUCT((Q_Idx&gt;LastHist+8)*(Q_Idx&lt;=28)*(RPO_Tot*(1-RPO24Pct)/12)*PL_EBITDA/PL_Rev*1/(1+WACC)^((Q_End-ValDate)/365.25))</f>
        <v>9186.96966991724</v>
      </c>
    </row>
    <row r="49" customFormat="false" ht="15" hidden="false" customHeight="false" outlineLevel="0" collapsed="false">
      <c r="A49" s="0" t="s">
        <v>218</v>
      </c>
      <c r="B49" s="33" t="n">
        <f aca="false">RPO_Tot*(1-RPO24Pct)/12*V_M30*(1/(1+WACC)^((INDEX(Q_End,1,28)+91-ValDate)/365.25)+1/(1+WACC)^((INDEX(Q_End,1,28)+182-ValDate)/365.25))</f>
        <v>1640.76788689968</v>
      </c>
    </row>
    <row r="50" customFormat="false" ht="15" hidden="false" customHeight="false" outlineLevel="0" collapsed="false">
      <c r="A50" s="0" t="s">
        <v>219</v>
      </c>
      <c r="B50" s="5" t="n">
        <f aca="false">PF_PV1+PF_PV2+PF_PV3</f>
        <v>16819.8361205634</v>
      </c>
    </row>
    <row r="51" customFormat="false" ht="15" hidden="false" customHeight="false" outlineLevel="0" collapsed="false">
      <c r="A51" s="0" t="s">
        <v>220</v>
      </c>
      <c r="B51" s="33" t="n">
        <f aca="false">PF_PV*(1-TaxRate)</f>
        <v>12480.318401458</v>
      </c>
    </row>
    <row r="52" customFormat="false" ht="15" hidden="false" customHeight="false" outlineLevel="0" collapsed="false">
      <c r="A52" s="0" t="s">
        <v>221</v>
      </c>
      <c r="B52" s="33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+Contracts!$D$27*(Contracts!$H$27&gt;LastHist)*(1-Contracts!$I$27)</f>
        <v>293.333333333333</v>
      </c>
    </row>
    <row r="53" customFormat="false" ht="15" hidden="false" customHeight="false" outlineLevel="0" collapsed="false">
      <c r="A53" s="0" t="s">
        <v>222</v>
      </c>
      <c r="B53" s="33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+Contracts!$D$27*(Contracts!$H$27&gt;LastHist)*(1-Contracts!$I$27)*PB_CapRubin</f>
        <v>11251</v>
      </c>
    </row>
    <row r="54" customFormat="false" ht="15" hidden="false" customHeight="false" outlineLevel="0" collapsed="false">
      <c r="A54" s="0" t="s">
        <v>223</v>
      </c>
      <c r="B54" s="5" t="n">
        <f aca="false">PF_PV-PF_Cap</f>
        <v>5568.83612056339</v>
      </c>
    </row>
    <row r="55" customFormat="false" ht="15" hidden="false" customHeight="false" outlineLevel="0" collapsed="false">
      <c r="A55" s="0" t="s">
        <v>224</v>
      </c>
      <c r="B55" s="33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225</v>
      </c>
      <c r="B56" s="33" t="n">
        <f aca="false">1620.5</f>
        <v>1620.5</v>
      </c>
    </row>
    <row r="57" customFormat="false" ht="15" hidden="false" customHeight="false" outlineLevel="0" collapsed="false">
      <c r="A57" s="0" t="s">
        <v>226</v>
      </c>
      <c r="B57" s="33" t="n">
        <f aca="false">CH_Hi+TO_Hi+Other_Val</f>
        <v>4346.9</v>
      </c>
    </row>
    <row r="58" customFormat="false" ht="15" hidden="false" customHeight="false" outlineLevel="0" collapsed="false">
      <c r="A58" s="0" t="s">
        <v>227</v>
      </c>
      <c r="B58" s="33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228</v>
      </c>
      <c r="B59" s="33" t="n">
        <f aca="false">PF_EV-V_ODEBT-CHOOSE(DilMethod,0,SUMPRODUCT((PF_PS1&lt;=V_TrPX)*((CVDebtBasis=1)*V_TrO+(CVDebtBasis&gt;=2)*V_TrB)),SUMPRODUCT(((CVDebtBasis=1)*V_TrO+(CVDebtBasis&gt;=2)*V_TrB)))+V_CASH+PF_S1</f>
        <v>5212.74141630494</v>
      </c>
    </row>
    <row r="60" customFormat="false" ht="15" hidden="false" customHeight="false" outlineLevel="0" collapsed="false">
      <c r="A60" s="0" t="s">
        <v>229</v>
      </c>
      <c r="B60" s="33" t="n">
        <f aca="false">PF_EV-V_ODEBT-CHOOSE(DilMethod,0,SUMPRODUCT((PF_PS2&lt;=V_TrPX)*((CVDebtBasis=1)*V_TrO+(CVDebtBasis&gt;=2)*V_TrB)),SUMPRODUCT(((CVDebtBasis=1)*V_TrO+(CVDebtBasis&gt;=2)*V_TrB)))+V_CASH+PF_S2</f>
        <v>7939.14141630494</v>
      </c>
    </row>
    <row r="61" customFormat="false" ht="15" hidden="false" customHeight="false" outlineLevel="0" collapsed="false">
      <c r="A61" s="0" t="s">
        <v>230</v>
      </c>
      <c r="B61" s="33" t="n">
        <f aca="false">PF_EV-V_ODEBT-CHOOSE(DilMethod,0,SUMPRODUCT((PF_PS3&lt;=V_TrPX)*((CVDebtBasis=1)*V_TrO+(CVDebtBasis&gt;=2)*V_TrB)),SUMPRODUCT(((CVDebtBasis=1)*V_TrO+(CVDebtBasis&gt;=2)*V_TrB)))+V_CASH+PF_S3</f>
        <v>12419.8522037616</v>
      </c>
    </row>
    <row r="62" customFormat="false" ht="15" hidden="false" customHeight="false" outlineLevel="0" collapsed="false">
      <c r="A62" s="0" t="s">
        <v>231</v>
      </c>
      <c r="B62" s="23" t="n">
        <f aca="false">PF_PS1x</f>
        <v>16.5523136016134</v>
      </c>
      <c r="C62" s="23" t="n">
        <f aca="false">PF_PS2x</f>
        <v>25.2096062235498</v>
      </c>
      <c r="D62" s="23" t="n">
        <f aca="false">PF_PS3x</f>
        <v>39.4374614323522</v>
      </c>
      <c r="E62" s="23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232</v>
      </c>
    </row>
    <row r="63" customFormat="false" ht="15" hidden="false" customHeight="false" outlineLevel="0" collapsed="false">
      <c r="A63" s="0" t="s">
        <v>233</v>
      </c>
      <c r="B63" s="33" t="n">
        <f aca="false">V_EV</f>
        <v>7854.59013302158</v>
      </c>
    </row>
    <row r="64" customFormat="false" ht="15" hidden="false" customHeight="false" outlineLevel="0" collapsed="false">
      <c r="A64" s="0" t="s">
        <v>234</v>
      </c>
      <c r="B64" s="4" t="str">
        <f aca="false">IF(V_EV&lt;PF_EV,"FLAG: DCF EV below asset floor","OK: DCF EV above asset floor")</f>
        <v>OK: DCF EV above asset floor</v>
      </c>
    </row>
    <row r="66" customFormat="false" ht="15" hidden="false" customHeight="false" outlineLevel="0" collapsed="false">
      <c r="G66" s="0" t="s">
        <v>235</v>
      </c>
      <c r="H66" s="0" t="s">
        <v>236</v>
      </c>
      <c r="I66" s="0" t="s">
        <v>237</v>
      </c>
      <c r="J66" s="0" t="s">
        <v>238</v>
      </c>
    </row>
    <row r="67" customFormat="false" ht="15" hidden="false" customHeight="false" outlineLevel="0" collapsed="false">
      <c r="H67" s="23" t="n">
        <f aca="false">10</f>
        <v>10</v>
      </c>
      <c r="I67" s="23" t="n">
        <f aca="false">10</f>
        <v>10</v>
      </c>
      <c r="J67" s="23" t="n">
        <f aca="false">10</f>
        <v>10</v>
      </c>
    </row>
    <row r="68" customFormat="false" ht="15" hidden="false" customHeight="false" outlineLevel="0" collapsed="false">
      <c r="H68" s="23" t="n">
        <f aca="false">MAX(0.01,(PF_EV-V_ODEBT-CHOOSE(DilMethod,0,SUMPRODUCT((H67&lt;=V_TrPX)*((CVDebtBasis=1)*V_TrO+(CVDebtBasis&gt;=2)*V_TrB)),SUMPRODUCT(((CVDebtBasis=1)*V_TrO+(CVDebtBasis&gt;=2)*V_TrB)))+V_CASH+PF_S1)/(V_BASIC+V_RSU+Options*MAX(0,1-OptK/H67)+CHOOSE(DilMethod,SUMPRODUCT(V_TrO,V_TrRT)/1000,SUMPRODUCT((H67&gt;V_TrPX)*V_TrO*V_TrRT)/1000,SUMPRODUCT(((V_TrO*V_TrRT/1000*H67-((CVDebtBasis=1)*V_TrO+(CVDebtBasis&gt;=2)*V_TrB))&gt;0)*(V_TrO*V_TrRT/1000*H67-((CVDebtBasis=1)*V_TrO+(CVDebtBasis&gt;=2)*V_TrB)))/H67)))</f>
        <v>16.5523136016134</v>
      </c>
      <c r="I68" s="23" t="n">
        <f aca="false">MAX(0.01,(PF_EV-V_ODEBT-CHOOSE(DilMethod,0,SUMPRODUCT((I67&lt;=V_TrPX)*((CVDebtBasis=1)*V_TrO+(CVDebtBasis&gt;=2)*V_TrB)),SUMPRODUCT(((CVDebtBasis=1)*V_TrO+(CVDebtBasis&gt;=2)*V_TrB)))+V_CASH+PF_S2)/(V_BASIC+V_RSU+Options*MAX(0,1-OptK/I67)+CHOOSE(DilMethod,SUMPRODUCT(V_TrO,V_TrRT)/1000,SUMPRODUCT((I67&gt;V_TrPX)*V_TrO*V_TrRT)/1000,SUMPRODUCT(((V_TrO*V_TrRT/1000*I67-((CVDebtBasis=1)*V_TrO+(CVDebtBasis&gt;=2)*V_TrB))&gt;0)*(V_TrO*V_TrRT/1000*I67-((CVDebtBasis=1)*V_TrO+(CVDebtBasis&gt;=2)*V_TrB)))/I67)))</f>
        <v>25.2096062235498</v>
      </c>
      <c r="J68" s="23" t="n">
        <f aca="false">MAX(0.01,(PF_EV-V_ODEBT-CHOOSE(DilMethod,0,SUMPRODUCT((J67&lt;=V_TrPX)*((CVDebtBasis=1)*V_TrO+(CVDebtBasis&gt;=2)*V_TrB)),SUMPRODUCT(((CVDebtBasis=1)*V_TrO+(CVDebtBasis&gt;=2)*V_TrB)))+V_CASH+PF_S3)/(V_BASIC+V_RSU+Options*MAX(0,1-OptK/J67)+CHOOSE(DilMethod,SUMPRODUCT(V_TrO,V_TrRT)/1000,SUMPRODUCT((J67&gt;V_TrPX)*V_TrO*V_TrRT)/1000,SUMPRODUCT(((V_TrO*V_TrRT/1000*J67-((CVDebtBasis=1)*V_TrO+(CVDebtBasis&gt;=2)*V_TrB))&gt;0)*(V_TrO*V_TrRT/1000*J67-((CVDebtBasis=1)*V_TrO+(CVDebtBasis&gt;=2)*V_TrB)))/J67)))</f>
        <v>39.4374614323522</v>
      </c>
    </row>
    <row r="69" customFormat="false" ht="15" hidden="false" customHeight="false" outlineLevel="0" collapsed="false">
      <c r="H69" s="23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16.5523136016134</v>
      </c>
      <c r="I69" s="23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25.2096062235498</v>
      </c>
      <c r="J69" s="23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39.4374614323522</v>
      </c>
    </row>
    <row r="70" customFormat="false" ht="15" hidden="false" customHeight="false" outlineLevel="0" collapsed="false">
      <c r="H70" s="23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16.5523136016134</v>
      </c>
      <c r="I70" s="23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25.2096062235498</v>
      </c>
      <c r="J70" s="23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39.4374614323522</v>
      </c>
    </row>
    <row r="71" customFormat="false" ht="15" hidden="false" customHeight="false" outlineLevel="0" collapsed="false">
      <c r="H71" s="23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16.5523136016134</v>
      </c>
      <c r="I71" s="23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25.2096062235498</v>
      </c>
      <c r="J71" s="23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39.4374614323522</v>
      </c>
    </row>
    <row r="72" customFormat="false" ht="15" hidden="false" customHeight="false" outlineLevel="0" collapsed="false">
      <c r="H72" s="23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16.5523136016134</v>
      </c>
      <c r="I72" s="23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25.2096062235498</v>
      </c>
      <c r="J72" s="23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39.4374614323522</v>
      </c>
    </row>
    <row r="73" customFormat="false" ht="15" hidden="false" customHeight="false" outlineLevel="0" collapsed="false">
      <c r="H73" s="23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16.5523136016134</v>
      </c>
      <c r="I73" s="23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25.2096062235498</v>
      </c>
      <c r="J73" s="23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39.4374614323522</v>
      </c>
    </row>
    <row r="74" customFormat="false" ht="15" hidden="false" customHeight="false" outlineLevel="0" collapsed="false">
      <c r="H74" s="23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16.5523136016134</v>
      </c>
      <c r="I74" s="23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25.2096062235498</v>
      </c>
      <c r="J74" s="23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39.4374614323522</v>
      </c>
    </row>
    <row r="75" customFormat="false" ht="15" hidden="false" customHeight="false" outlineLevel="0" collapsed="false">
      <c r="H75" s="23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16.5523136016134</v>
      </c>
      <c r="I75" s="23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25.2096062235498</v>
      </c>
      <c r="J75" s="23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39.4374614323522</v>
      </c>
    </row>
    <row r="76" customFormat="false" ht="15" hidden="false" customHeight="false" outlineLevel="0" collapsed="false">
      <c r="H76" s="23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16.5523136016134</v>
      </c>
      <c r="I76" s="23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25.2096062235498</v>
      </c>
      <c r="J76" s="23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39.4374614323522</v>
      </c>
    </row>
    <row r="77" customFormat="false" ht="15" hidden="false" customHeight="false" outlineLevel="0" collapsed="false">
      <c r="H77" s="23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16.5523136016134</v>
      </c>
      <c r="I77" s="23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25.2096062235498</v>
      </c>
      <c r="J77" s="23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39.4374614323522</v>
      </c>
    </row>
    <row r="78" customFormat="false" ht="15" hidden="false" customHeight="false" outlineLevel="0" collapsed="false">
      <c r="H78" s="23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16.5523136016134</v>
      </c>
      <c r="I78" s="23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25.2096062235498</v>
      </c>
      <c r="J78" s="23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39.4374614323522</v>
      </c>
    </row>
    <row r="79" customFormat="false" ht="15" hidden="false" customHeight="false" outlineLevel="0" collapsed="false">
      <c r="H79" s="23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16.5523136016134</v>
      </c>
      <c r="I79" s="23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25.2096062235498</v>
      </c>
      <c r="J79" s="23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39.4374614323522</v>
      </c>
    </row>
    <row r="80" customFormat="false" ht="15" hidden="false" customHeight="false" outlineLevel="0" collapsed="false">
      <c r="H80" s="23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16.5523136016134</v>
      </c>
      <c r="I80" s="23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25.2096062235498</v>
      </c>
      <c r="J80" s="23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39.4374614323522</v>
      </c>
    </row>
    <row r="81" customFormat="false" ht="15" hidden="false" customHeight="false" outlineLevel="0" collapsed="false">
      <c r="H81" s="23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16.5523136016134</v>
      </c>
      <c r="I81" s="23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25.2096062235498</v>
      </c>
      <c r="J81" s="23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39.4374614323522</v>
      </c>
    </row>
    <row r="82" customFormat="false" ht="15" hidden="false" customHeight="false" outlineLevel="0" collapsed="false">
      <c r="H82" s="23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16.5523136016134</v>
      </c>
      <c r="I82" s="23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25.2096062235498</v>
      </c>
      <c r="J82" s="23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39.4374614323522</v>
      </c>
    </row>
    <row r="83" customFormat="false" ht="15" hidden="false" customHeight="false" outlineLevel="0" collapsed="false">
      <c r="H83" s="23" t="n">
        <f aca="false">IF(H82&lt;=0.011,0,H82)</f>
        <v>16.5523136016134</v>
      </c>
      <c r="I83" s="23" t="n">
        <f aca="false">IF(I82&lt;=0.011,0,I82)</f>
        <v>25.2096062235498</v>
      </c>
      <c r="J83" s="23" t="n">
        <f aca="false">IF(J82&lt;=0.011,0,J82)</f>
        <v>39.4374614323522</v>
      </c>
    </row>
    <row r="86" customFormat="false" ht="15" hidden="false" customHeight="false" outlineLevel="0" collapsed="false">
      <c r="A86" s="3" t="s">
        <v>239</v>
      </c>
    </row>
    <row r="87" customFormat="false" ht="15" hidden="false" customHeight="false" outlineLevel="0" collapsed="false">
      <c r="A87" s="0" t="s">
        <v>240</v>
      </c>
      <c r="B87" s="23" t="n">
        <f aca="false">MYRate</f>
        <v>16</v>
      </c>
      <c r="C87" s="23" t="n">
        <f aca="false">B87*1000000/(491*8760)</f>
        <v>3.71992671744367</v>
      </c>
    </row>
    <row r="88" customFormat="false" ht="15" hidden="false" customHeight="false" outlineLevel="0" collapsed="false">
      <c r="A88" s="0" t="s">
        <v>241</v>
      </c>
      <c r="B88" s="23" t="n">
        <f aca="false">MYRate*ND_GrossX</f>
        <v>19.2078239608802</v>
      </c>
      <c r="C88" s="23" t="n">
        <f aca="false">B88*1000000/(491*8760)</f>
        <v>4.46573109600205</v>
      </c>
    </row>
    <row r="89" customFormat="false" ht="15" hidden="false" customHeight="false" outlineLevel="0" collapsed="false">
      <c r="A89" s="0" t="s">
        <v>242</v>
      </c>
      <c r="B89" s="23" t="n">
        <f aca="false">ACV_Q2</f>
        <v>22.5</v>
      </c>
      <c r="C89" s="23" t="n">
        <f aca="false">B89*1000000/(491*8760)</f>
        <v>5.23114694640516</v>
      </c>
    </row>
    <row r="90" customFormat="false" ht="15" hidden="false" customHeight="false" outlineLevel="0" collapsed="false">
      <c r="A90" s="0" t="s">
        <v>243</v>
      </c>
      <c r="B90" s="23" t="n">
        <f aca="false">RubinMW</f>
        <v>18</v>
      </c>
      <c r="C90" s="23" t="n">
        <f aca="false">B90*1000000/(GPUMW_N*8760)</f>
        <v>6.42123287671233</v>
      </c>
      <c r="D90" s="34" t="n">
        <f aca="false">C90/C87</f>
        <v>1.726171875</v>
      </c>
    </row>
    <row r="93" customFormat="false" ht="15" hidden="false" customHeight="false" outlineLevel="0" collapsed="false">
      <c r="A93" s="3" t="s">
        <v>244</v>
      </c>
    </row>
    <row r="94" customFormat="false" ht="15" hidden="false" customHeight="false" outlineLevel="0" collapsed="false">
      <c r="A94" s="0" t="s">
        <v>245</v>
      </c>
      <c r="B94" s="35" t="n">
        <v>0.522</v>
      </c>
    </row>
    <row r="95" customFormat="false" ht="15" hidden="false" customHeight="false" outlineLevel="0" collapsed="false">
      <c r="A95" s="0" t="s">
        <v>246</v>
      </c>
      <c r="B95" s="35" t="n">
        <v>17.086</v>
      </c>
    </row>
    <row r="96" customFormat="false" ht="15" hidden="false" customHeight="false" outlineLevel="0" collapsed="false">
      <c r="A96" s="0" t="s">
        <v>247</v>
      </c>
      <c r="B96" s="23" t="n">
        <f aca="false">574.9*4/AVERAGE(INDEX(MW_En,1,9),INDEX(MW_En,1,10))</f>
        <v>13.0112249822762</v>
      </c>
    </row>
    <row r="97" customFormat="false" ht="15" hidden="false" customHeight="false" outlineLevel="0" collapsed="false">
      <c r="A97" s="3" t="s">
        <v>248</v>
      </c>
      <c r="B97" s="3" t="s">
        <v>249</v>
      </c>
      <c r="C97" s="3" t="s">
        <v>250</v>
      </c>
      <c r="D97" s="3" t="s">
        <v>251</v>
      </c>
      <c r="E97" s="3" t="s">
        <v>252</v>
      </c>
      <c r="F97" s="3" t="s">
        <v>253</v>
      </c>
      <c r="G97" s="3" t="s">
        <v>254</v>
      </c>
      <c r="H97" s="3" t="s">
        <v>255</v>
      </c>
    </row>
    <row r="98" customFormat="false" ht="15" hidden="false" customHeight="false" outlineLevel="0" collapsed="false">
      <c r="A98" s="24" t="n">
        <f aca="false">11</f>
        <v>11</v>
      </c>
      <c r="B98" s="36" t="n">
        <f aca="false">INDEX(MW_En,1,11)</f>
        <v>216.9897</v>
      </c>
      <c r="C98" s="36" t="n">
        <f aca="false">AVERAGE(INDEX(MW_En,1,10),INDEX(MW_En,1,11))</f>
        <v>199.7397</v>
      </c>
      <c r="D98" s="36" t="n">
        <f aca="false">MAX(0,INDEX(MW_En,1,11)-INDEX(MW_En,1,10))</f>
        <v>34.5</v>
      </c>
      <c r="E98" s="23" t="n">
        <f aca="false">(DX_L0*AVERAGE(INDEX(MW_En,1,9),INDEX(MW_En,1,10))+DX_P*MAX(0,C98-AVERAGE(INDEX(MW_En,1,9),INDEX(MW_En,1,10))))/C98</f>
        <v>13.4804347858738</v>
      </c>
      <c r="F98" s="23" t="n">
        <f aca="false">E98*(1-DX_k*D98/C98)</f>
        <v>12.2650071565202</v>
      </c>
      <c r="G98" s="33" t="n">
        <f aca="false">F98*C98/4</f>
        <v>612.4522124853</v>
      </c>
      <c r="H98" s="33" t="n">
        <f aca="false">INDEX(AIRev,1,11)</f>
        <v>667.138407680941</v>
      </c>
    </row>
    <row r="99" customFormat="false" ht="15" hidden="false" customHeight="false" outlineLevel="0" collapsed="false">
      <c r="A99" s="24" t="n">
        <f aca="false">12</f>
        <v>12</v>
      </c>
      <c r="B99" s="36" t="n">
        <f aca="false">INDEX(MW_En,1,12)</f>
        <v>301.7195</v>
      </c>
      <c r="C99" s="36" t="n">
        <f aca="false">AVERAGE(INDEX(MW_En,1,11),INDEX(MW_En,1,12))</f>
        <v>259.3546</v>
      </c>
      <c r="D99" s="36" t="n">
        <f aca="false">MAX(0,INDEX(MW_En,1,12)-INDEX(MW_En,1,11))</f>
        <v>84.7298</v>
      </c>
      <c r="E99" s="23" t="n">
        <f aca="false">(DX_L0*AVERAGE(INDEX(MW_En,1,9),INDEX(MW_En,1,10))+DX_P*MAX(0,C99-AVERAGE(INDEX(MW_En,1,9),INDEX(MW_En,1,10))))/C99</f>
        <v>14.3092051631242</v>
      </c>
      <c r="F99" s="23" t="n">
        <f aca="false">E99*(1-DX_k*D99/C99)</f>
        <v>11.868989335716</v>
      </c>
      <c r="G99" s="33" t="n">
        <f aca="false">F99*C99/4</f>
        <v>769.569245392223</v>
      </c>
      <c r="H99" s="33" t="n">
        <f aca="false">INDEX(AIRev,1,12)</f>
        <v>801.394173895167</v>
      </c>
    </row>
    <row r="100" customFormat="false" ht="15" hidden="false" customHeight="false" outlineLevel="0" collapsed="false">
      <c r="A100" s="24" t="n">
        <f aca="false">13</f>
        <v>13</v>
      </c>
      <c r="B100" s="36" t="n">
        <f aca="false">INDEX(MW_En,1,13)</f>
        <v>453.79225</v>
      </c>
      <c r="C100" s="36" t="n">
        <f aca="false">AVERAGE(INDEX(MW_En,1,12),INDEX(MW_En,1,13))</f>
        <v>377.755875</v>
      </c>
      <c r="D100" s="36" t="n">
        <f aca="false">MAX(0,INDEX(MW_En,1,13)-INDEX(MW_En,1,12))</f>
        <v>152.07275</v>
      </c>
      <c r="E100" s="23" t="n">
        <f aca="false">(DX_L0*AVERAGE(INDEX(MW_En,1,9),INDEX(MW_En,1,10))+DX_P*MAX(0,C100-AVERAGE(INDEX(MW_En,1,9),INDEX(MW_En,1,10))))/C100</f>
        <v>15.1795451653796</v>
      </c>
      <c r="F100" s="23" t="n">
        <f aca="false">E100*(1-DX_k*D100/C100)</f>
        <v>11.9897012419216</v>
      </c>
      <c r="G100" s="33" t="n">
        <f aca="false">F100*C100/4</f>
        <v>1132.29502090767</v>
      </c>
      <c r="H100" s="33" t="n">
        <f aca="false">INDEX(AIRev,1,13)</f>
        <v>1019.79435176515</v>
      </c>
    </row>
    <row r="101" customFormat="false" ht="15" hidden="false" customHeight="false" outlineLevel="0" collapsed="false">
      <c r="A101" s="24" t="n">
        <f aca="false">14</f>
        <v>14</v>
      </c>
      <c r="B101" s="36" t="n">
        <f aca="false">INDEX(MW_En,1,14)</f>
        <v>629.5368</v>
      </c>
      <c r="C101" s="36" t="n">
        <f aca="false">AVERAGE(INDEX(MW_En,1,13),INDEX(MW_En,1,14))</f>
        <v>541.664525</v>
      </c>
      <c r="D101" s="36" t="n">
        <f aca="false">MAX(0,INDEX(MW_En,1,14)-INDEX(MW_En,1,13))</f>
        <v>175.74455</v>
      </c>
      <c r="E101" s="23" t="n">
        <f aca="false">(DX_L0*AVERAGE(INDEX(MW_En,1,9),INDEX(MW_En,1,10))+DX_P*MAX(0,C101-AVERAGE(INDEX(MW_En,1,9),INDEX(MW_En,1,10))))/C101</f>
        <v>15.7564417938391</v>
      </c>
      <c r="F101" s="23" t="n">
        <f aca="false">E101*(1-DX_k*D101/C101)</f>
        <v>13.0878624193116</v>
      </c>
      <c r="G101" s="33" t="n">
        <f aca="false">F101*C101/4</f>
        <v>1772.30769515544</v>
      </c>
      <c r="H101" s="33" t="n">
        <f aca="false">INDEX(AIRev,1,14)</f>
        <v>1458.36990310219</v>
      </c>
    </row>
    <row r="102" customFormat="false" ht="15" hidden="false" customHeight="false" outlineLevel="0" collapsed="false">
      <c r="A102" s="24" t="n">
        <f aca="false">15</f>
        <v>15</v>
      </c>
      <c r="B102" s="36" t="n">
        <f aca="false">INDEX(MW_En,1,15)</f>
        <v>812.6073</v>
      </c>
      <c r="C102" s="36" t="n">
        <f aca="false">AVERAGE(INDEX(MW_En,1,14),INDEX(MW_En,1,15))</f>
        <v>721.07205</v>
      </c>
      <c r="D102" s="36" t="n">
        <f aca="false">MAX(0,INDEX(MW_En,1,15)-INDEX(MW_En,1,14))</f>
        <v>183.0705</v>
      </c>
      <c r="E102" s="23" t="n">
        <f aca="false">(DX_L0*AVERAGE(INDEX(MW_En,1,9),INDEX(MW_En,1,10))+DX_P*MAX(0,C102-AVERAGE(INDEX(MW_En,1,9),INDEX(MW_En,1,10))))/C102</f>
        <v>16.0872447241576</v>
      </c>
      <c r="F102" s="23" t="n">
        <f aca="false">E102*(1-DX_k*D102/C102)</f>
        <v>13.9552217644368</v>
      </c>
      <c r="G102" s="33" t="n">
        <f aca="false">F102*C102/4</f>
        <v>2515.68009147176</v>
      </c>
      <c r="H102" s="33" t="n">
        <f aca="false">INDEX(AIRev,1,15)</f>
        <v>2106.11486283062</v>
      </c>
    </row>
    <row r="103" customFormat="false" ht="15" hidden="false" customHeight="false" outlineLevel="0" collapsed="false">
      <c r="A103" s="24" t="n">
        <f aca="false">16</f>
        <v>16</v>
      </c>
      <c r="B103" s="36" t="n">
        <f aca="false">INDEX(MW_En,1,16)</f>
        <v>1081.9108</v>
      </c>
      <c r="C103" s="36" t="n">
        <f aca="false">AVERAGE(INDEX(MW_En,1,15),INDEX(MW_En,1,16))</f>
        <v>947.25905</v>
      </c>
      <c r="D103" s="36" t="n">
        <f aca="false">MAX(0,INDEX(MW_En,1,16)-INDEX(MW_En,1,15))</f>
        <v>269.3035</v>
      </c>
      <c r="E103" s="23" t="n">
        <f aca="false">(DX_L0*AVERAGE(INDEX(MW_En,1,9),INDEX(MW_En,1,10))+DX_P*MAX(0,C103-AVERAGE(INDEX(MW_En,1,9),INDEX(MW_En,1,10))))/C103</f>
        <v>16.3257280192784</v>
      </c>
      <c r="F103" s="23" t="n">
        <f aca="false">E103*(1-DX_k*D103/C103)</f>
        <v>13.902935106269</v>
      </c>
      <c r="G103" s="33" t="n">
        <f aca="false">F103*C103/4</f>
        <v>3292.42027524402</v>
      </c>
      <c r="H103" s="33" t="n">
        <f aca="false">INDEX(AIRev,1,16)</f>
        <v>2888.81947676798</v>
      </c>
    </row>
    <row r="104" customFormat="false" ht="15" hidden="false" customHeight="false" outlineLevel="0" collapsed="false">
      <c r="A104" s="0" t="s">
        <v>256</v>
      </c>
      <c r="B104" s="33" t="n">
        <f aca="false">SUM(G100:G103)</f>
        <v>8712.70308277889</v>
      </c>
      <c r="C104" s="33" t="n">
        <f aca="false">SUM(H100:H103)</f>
        <v>7473.09859446594</v>
      </c>
      <c r="D104" s="33" t="n">
        <f aca="false">C104-B104</f>
        <v>-1239.60448831295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257</v>
      </c>
    </row>
    <row r="4" customFormat="false" ht="15" hidden="false" customHeight="false" outlineLevel="0" collapsed="false">
      <c r="A4" s="3" t="s">
        <v>258</v>
      </c>
    </row>
    <row r="5" customFormat="false" ht="15" hidden="false" customHeight="false" outlineLevel="0" collapsed="false">
      <c r="A5" s="0" t="s">
        <v>259</v>
      </c>
      <c r="B5" s="37" t="n">
        <f aca="false">MIN(INDEX(Liq,1,11):INDEX(Liq,1,16))</f>
        <v>-4956.48323642636</v>
      </c>
      <c r="C5" s="22"/>
    </row>
    <row r="6" customFormat="false" ht="15" hidden="false" customHeight="false" outlineLevel="0" collapsed="false">
      <c r="A6" s="0" t="s">
        <v>260</v>
      </c>
      <c r="B6" s="37" t="n">
        <f aca="false">MIN(INDEX(Liq,1,11):INDEX(Liq,1,20))</f>
        <v>-19023.84719661</v>
      </c>
      <c r="C6" s="22"/>
    </row>
    <row r="7" customFormat="false" ht="15" hidden="false" customHeight="false" outlineLevel="0" collapsed="false">
      <c r="A7" s="0" t="s">
        <v>261</v>
      </c>
      <c r="B7" s="37" t="n">
        <f aca="false">MAX(0,MinCash-FU_Min27)</f>
        <v>6956.48323642636</v>
      </c>
      <c r="C7" s="22"/>
    </row>
    <row r="8" customFormat="false" ht="15" hidden="false" customHeight="false" outlineLevel="0" collapsed="false">
      <c r="A8" s="0" t="s">
        <v>262</v>
      </c>
      <c r="B8" s="37" t="n">
        <f aca="false">MAX(0,MinCash-FU_Min28)</f>
        <v>21023.84719661</v>
      </c>
      <c r="C8" s="22"/>
    </row>
    <row r="9" customFormat="false" ht="15" hidden="false" customHeight="false" outlineLevel="0" collapsed="false">
      <c r="A9" s="0" t="s">
        <v>263</v>
      </c>
      <c r="B9" s="29" t="n">
        <v>1</v>
      </c>
      <c r="C9" s="22"/>
    </row>
    <row r="10" customFormat="false" ht="15" hidden="false" customHeight="false" outlineLevel="0" collapsed="false">
      <c r="A10" s="0" t="s">
        <v>264</v>
      </c>
      <c r="B10" s="37" t="n">
        <f aca="false">IF(FU_TgtSel=2,FU_Gap28,FU_Gap27)</f>
        <v>6956.48323642636</v>
      </c>
      <c r="C10" s="22"/>
    </row>
    <row r="11" customFormat="false" ht="15" hidden="false" customHeight="false" outlineLevel="0" collapsed="false">
      <c r="A11" s="0" t="s">
        <v>265</v>
      </c>
      <c r="B11" s="23" t="n">
        <f aca="false">V_PS</f>
        <v>0.01</v>
      </c>
      <c r="C11" s="22"/>
    </row>
    <row r="12" customFormat="false" ht="15" hidden="false" customHeight="false" outlineLevel="0" collapsed="false">
      <c r="A12" s="0" t="s">
        <v>266</v>
      </c>
      <c r="B12" s="36" t="n">
        <f aca="false">IFERROR(V_EQ/V_PS,0)</f>
        <v>-136519.207123687</v>
      </c>
      <c r="C12" s="22"/>
    </row>
    <row r="14" customFormat="false" ht="15" hidden="false" customHeight="false" outlineLevel="0" collapsed="false">
      <c r="A14" s="3" t="s">
        <v>267</v>
      </c>
    </row>
    <row r="15" customFormat="false" ht="15" hidden="false" customHeight="false" outlineLevel="0" collapsed="false">
      <c r="A15" s="0" t="s">
        <v>268</v>
      </c>
      <c r="B15" s="23" t="n">
        <f aca="false">ATM_Rem</f>
        <v>12.270507</v>
      </c>
      <c r="C15" s="22"/>
    </row>
    <row r="16" customFormat="false" ht="15" hidden="false" customHeight="false" outlineLevel="0" collapsed="false">
      <c r="A16" s="0" t="s">
        <v>269</v>
      </c>
      <c r="B16" s="23" t="n">
        <f aca="false">SharePx*(1-FU_ATMd)</f>
        <v>237.9538</v>
      </c>
      <c r="C16" s="22"/>
    </row>
    <row r="17" customFormat="false" ht="15" hidden="false" customHeight="false" outlineLevel="0" collapsed="false">
      <c r="A17" s="0" t="s">
        <v>270</v>
      </c>
      <c r="B17" s="38" t="n">
        <v>0.02</v>
      </c>
      <c r="C17" s="22"/>
    </row>
    <row r="18" customFormat="false" ht="15" hidden="false" customHeight="false" outlineLevel="0" collapsed="false">
      <c r="A18" s="0" t="s">
        <v>271</v>
      </c>
      <c r="B18" s="39" t="n">
        <v>1500</v>
      </c>
      <c r="C18" s="22" t="s">
        <v>272</v>
      </c>
    </row>
    <row r="19" customFormat="false" ht="15" hidden="false" customHeight="false" outlineLevel="0" collapsed="false">
      <c r="A19" s="0" t="s">
        <v>273</v>
      </c>
      <c r="B19" s="38" t="n">
        <v>0</v>
      </c>
      <c r="C19" s="22"/>
    </row>
    <row r="20" customFormat="false" ht="15" hidden="false" customHeight="false" outlineLevel="0" collapsed="false">
      <c r="A20" s="0" t="s">
        <v>274</v>
      </c>
      <c r="B20" s="40" t="n">
        <v>0.5</v>
      </c>
      <c r="C20" s="22"/>
    </row>
    <row r="21" customFormat="false" ht="15" hidden="false" customHeight="false" outlineLevel="0" collapsed="false">
      <c r="A21" s="0" t="s">
        <v>275</v>
      </c>
      <c r="B21" s="37" t="n">
        <f aca="false">INDEX(NBV_H,1,14)+INDEX(NBV_B,1,14)+INDEX(NBV_N,1,14)</f>
        <v>29065.824978375</v>
      </c>
      <c r="C21" s="22"/>
    </row>
    <row r="22" customFormat="false" ht="15" hidden="false" customHeight="false" outlineLevel="0" collapsed="false">
      <c r="A22" s="0" t="s">
        <v>276</v>
      </c>
      <c r="B22" s="37" t="n">
        <f aca="false">MIN(FU_LTV*FU_NBV,FU_ABSCap)</f>
        <v>5000</v>
      </c>
      <c r="C22" s="22"/>
    </row>
    <row r="23" customFormat="false" ht="15" hidden="false" customHeight="false" outlineLevel="0" collapsed="false">
      <c r="A23" s="0" t="s">
        <v>277</v>
      </c>
      <c r="B23" s="39" t="n">
        <v>5000</v>
      </c>
      <c r="C23" s="22"/>
    </row>
    <row r="24" customFormat="false" ht="15" hidden="false" customHeight="false" outlineLevel="0" collapsed="false">
      <c r="A24" s="0" t="s">
        <v>278</v>
      </c>
      <c r="B24" s="38" t="n">
        <v>0.09</v>
      </c>
      <c r="C24" s="22" t="s">
        <v>279</v>
      </c>
    </row>
    <row r="25" customFormat="false" ht="15" hidden="false" customHeight="false" outlineLevel="0" collapsed="false">
      <c r="A25" s="0" t="s">
        <v>280</v>
      </c>
      <c r="B25" s="39" t="n">
        <v>3000</v>
      </c>
      <c r="C25" s="22"/>
    </row>
    <row r="26" customFormat="false" ht="15" hidden="false" customHeight="false" outlineLevel="0" collapsed="false">
      <c r="A26" s="0" t="s">
        <v>281</v>
      </c>
      <c r="B26" s="40" t="n">
        <v>0.35</v>
      </c>
      <c r="C26" s="22"/>
    </row>
    <row r="27" customFormat="false" ht="15" hidden="false" customHeight="false" outlineLevel="0" collapsed="false">
      <c r="A27" s="0" t="s">
        <v>282</v>
      </c>
      <c r="B27" s="23" t="n">
        <f aca="false">SharePx*(1+FU_CVPrem)</f>
        <v>327.7935</v>
      </c>
      <c r="C27" s="22"/>
    </row>
    <row r="29" customFormat="false" ht="15" hidden="false" customHeight="false" outlineLevel="0" collapsed="false">
      <c r="A29" s="3" t="s">
        <v>283</v>
      </c>
      <c r="B29" s="3" t="s">
        <v>284</v>
      </c>
      <c r="C29" s="3" t="s">
        <v>285</v>
      </c>
      <c r="D29" s="3" t="s">
        <v>286</v>
      </c>
      <c r="E29" s="3" t="s">
        <v>41</v>
      </c>
      <c r="F29" s="3" t="s">
        <v>287</v>
      </c>
    </row>
    <row r="30" customFormat="false" ht="15" hidden="false" customHeight="false" outlineLevel="0" collapsed="false">
      <c r="A30" s="0" t="s">
        <v>288</v>
      </c>
      <c r="B30" s="33" t="n">
        <f aca="false">FU_ATMsh*FU_ATMpx</f>
        <v>2919.8137685766</v>
      </c>
      <c r="C30" s="23" t="n">
        <f aca="false">FU_ATMsh</f>
        <v>12.270507</v>
      </c>
      <c r="D30" s="23" t="n">
        <f aca="false">(V_EQ+FU_ATMsh*FU_ATMpx)/(FU_N+FU_ATMsh)</f>
        <v>-0.0113885912018165</v>
      </c>
      <c r="E30" s="41" t="n">
        <f aca="false">D30-FU_V</f>
        <v>-0.0213885912018165</v>
      </c>
      <c r="F30" s="27" t="n">
        <f aca="false">IFERROR(C30/FU_N,0)</f>
        <v>-8.98811768580143E-005</v>
      </c>
    </row>
    <row r="31" customFormat="false" ht="15" hidden="false" customHeight="false" outlineLevel="0" collapsed="false">
      <c r="A31" s="0" t="s">
        <v>289</v>
      </c>
      <c r="B31" s="33" t="n">
        <f aca="false">FU_PreAmt</f>
        <v>1500</v>
      </c>
      <c r="C31" s="23" t="n">
        <f aca="false">0</f>
        <v>0</v>
      </c>
      <c r="D31" s="23" t="n">
        <f aca="false">FU_V-FU_PreAmt*FU_PreCost/FU_N</f>
        <v>0.01</v>
      </c>
      <c r="E31" s="41" t="n">
        <f aca="false">D31-FU_V</f>
        <v>0</v>
      </c>
      <c r="F31" s="27" t="n">
        <f aca="false">IFERROR(C31/FU_N,0)</f>
        <v>-0</v>
      </c>
    </row>
    <row r="32" customFormat="false" ht="15" hidden="false" customHeight="false" outlineLevel="0" collapsed="false">
      <c r="A32" s="0" t="s">
        <v>290</v>
      </c>
      <c r="B32" s="33" t="n">
        <f aca="false">FU_ABSMax</f>
        <v>5000</v>
      </c>
      <c r="C32" s="23" t="n">
        <f aca="false">0</f>
        <v>0</v>
      </c>
      <c r="D32" s="23" t="n">
        <f aca="false">FU_V</f>
        <v>0.01</v>
      </c>
      <c r="E32" s="41" t="n">
        <f aca="false">D32-FU_V</f>
        <v>0</v>
      </c>
      <c r="F32" s="27" t="n">
        <f aca="false">IFERROR(C32/FU_N,0)</f>
        <v>-0</v>
      </c>
    </row>
    <row r="33" customFormat="false" ht="15" hidden="false" customHeight="false" outlineLevel="0" collapsed="false">
      <c r="A33" s="0" t="s">
        <v>291</v>
      </c>
      <c r="B33" s="33" t="n">
        <f aca="false">FU_CVAmt</f>
        <v>3000</v>
      </c>
      <c r="C33" s="23" t="n">
        <f aca="false">IF(FU_V&gt;FU_CVPx,FU_CVAmt/FU_CVPx,0)</f>
        <v>0</v>
      </c>
      <c r="D33" s="23" t="n">
        <f aca="false">IF(FU_V&gt;FU_CVPx,(V_EQ+FU_CVAmt)/(FU_N+FU_CVAmt/FU_CVPx),FU_V)</f>
        <v>0.01</v>
      </c>
      <c r="E33" s="41" t="n">
        <f aca="false">D33-FU_V</f>
        <v>0</v>
      </c>
      <c r="F33" s="27" t="n">
        <f aca="false">IFERROR(C33/FU_N,0)</f>
        <v>-0</v>
      </c>
    </row>
    <row r="35" customFormat="false" ht="15" hidden="false" customHeight="false" outlineLevel="0" collapsed="false">
      <c r="A35" s="3" t="s">
        <v>292</v>
      </c>
    </row>
    <row r="36" customFormat="false" ht="15" hidden="false" customHeight="false" outlineLevel="0" collapsed="false">
      <c r="A36" s="0" t="s">
        <v>293</v>
      </c>
      <c r="B36" s="37" t="n">
        <f aca="false">MIN(FU_PreAmt,FU_Tgt)</f>
        <v>1500</v>
      </c>
      <c r="C36" s="22"/>
    </row>
    <row r="37" customFormat="false" ht="15" hidden="false" customHeight="false" outlineLevel="0" collapsed="false">
      <c r="A37" s="0" t="s">
        <v>294</v>
      </c>
      <c r="B37" s="37" t="n">
        <f aca="false">MIN(FU_ATMsh*FU_ATMpx,FU_Tgt-FU_P1)</f>
        <v>2919.8137685766</v>
      </c>
      <c r="C37" s="22"/>
    </row>
    <row r="38" customFormat="false" ht="15" hidden="false" customHeight="false" outlineLevel="0" collapsed="false">
      <c r="A38" s="0" t="s">
        <v>295</v>
      </c>
      <c r="B38" s="37" t="n">
        <f aca="false">MIN(FU_ABSMax,FU_Tgt-FU_P1-FU_P2)</f>
        <v>2536.66946784976</v>
      </c>
      <c r="C38" s="22"/>
    </row>
    <row r="39" customFormat="false" ht="15" hidden="false" customHeight="false" outlineLevel="0" collapsed="false">
      <c r="A39" s="0" t="s">
        <v>296</v>
      </c>
      <c r="B39" s="37" t="n">
        <f aca="false">MIN(FU_CVAmt,FU_Tgt-FU_P1-FU_P2-FU_P3)</f>
        <v>0</v>
      </c>
      <c r="C39" s="22"/>
    </row>
    <row r="40" customFormat="false" ht="15" hidden="false" customHeight="false" outlineLevel="0" collapsed="false">
      <c r="A40" s="0" t="s">
        <v>297</v>
      </c>
      <c r="B40" s="37" t="n">
        <f aca="false">FU_Tgt-FU_P1-FU_P2-FU_P3-FU_P4</f>
        <v>0</v>
      </c>
      <c r="C40" s="22"/>
    </row>
    <row r="41" customFormat="false" ht="15" hidden="false" customHeight="false" outlineLevel="0" collapsed="false">
      <c r="A41" s="0" t="s">
        <v>298</v>
      </c>
      <c r="B41" s="23" t="n">
        <f aca="false">IFERROR(FU_P2/FU_ATMpx,0)+IF(FU_V&gt;FU_CVPx,FU_P4/FU_CVPx,0)</f>
        <v>12.270507</v>
      </c>
      <c r="C41" s="22"/>
    </row>
    <row r="42" customFormat="false" ht="15" hidden="false" customHeight="false" outlineLevel="0" collapsed="false">
      <c r="A42" s="0" t="s">
        <v>299</v>
      </c>
      <c r="B42" s="23" t="n">
        <f aca="false">(V_EQ+FU_P2+IF(FU_V&gt;FU_CVPx,FU_P4,0)-FU_P1*FU_PreCost)/(FU_N+FU_Sh)</f>
        <v>-0.0113885912018165</v>
      </c>
      <c r="C42" s="22"/>
    </row>
    <row r="43" customFormat="false" ht="15" hidden="false" customHeight="false" outlineLevel="0" collapsed="false">
      <c r="A43" s="0" t="s">
        <v>300</v>
      </c>
      <c r="B43" s="41" t="n">
        <f aca="false">FU_VC-FU_V</f>
        <v>-0.0213885912018165</v>
      </c>
      <c r="C43" s="22"/>
    </row>
    <row r="44" customFormat="false" ht="15" hidden="false" customHeight="false" outlineLevel="0" collapsed="false">
      <c r="A44" s="0" t="s">
        <v>301</v>
      </c>
      <c r="B44" s="27" t="n">
        <f aca="false">IFERROR(FU_Sh/FU_N,0)</f>
        <v>-8.98811768580143E-005</v>
      </c>
      <c r="C44" s="22"/>
    </row>
    <row r="45" customFormat="false" ht="15" hidden="false" customHeight="false" outlineLevel="0" collapsed="false">
      <c r="A45" s="0" t="s">
        <v>302</v>
      </c>
      <c r="B45" s="37" t="n">
        <f aca="false">FU_P3*FU_ABSr</f>
        <v>228.300252106478</v>
      </c>
      <c r="C4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2" t="s">
        <v>304</v>
      </c>
    </row>
    <row r="4" customFormat="false" ht="15" hidden="false" customHeight="false" outlineLevel="0" collapsed="false">
      <c r="A4" s="42" t="s">
        <v>305</v>
      </c>
      <c r="B4" s="42" t="s">
        <v>306</v>
      </c>
      <c r="C4" s="42" t="s">
        <v>307</v>
      </c>
      <c r="D4" s="42" t="s">
        <v>308</v>
      </c>
      <c r="E4" s="42" t="s">
        <v>309</v>
      </c>
    </row>
    <row r="5" customFormat="false" ht="15" hidden="false" customHeight="false" outlineLevel="0" collapsed="false">
      <c r="A5" s="0" t="s">
        <v>310</v>
      </c>
      <c r="B5" s="24" t="n">
        <f aca="false">MATCH(EDATE(ValDate,0),Q_End,1)</f>
        <v>11</v>
      </c>
      <c r="C5" s="24" t="n">
        <f aca="false">MATCH(EDATE(ValDate,6),Q_End,1)</f>
        <v>13</v>
      </c>
      <c r="D5" s="24" t="n">
        <f aca="false">MATCH(EDATE(ValDate,12),Q_End,1)</f>
        <v>15</v>
      </c>
      <c r="E5" s="24" t="n">
        <f aca="false">MATCH(EDATE(ValDate,36),Q_End,1)</f>
        <v>23</v>
      </c>
    </row>
    <row r="6" customFormat="false" ht="15" hidden="false" customHeight="false" outlineLevel="0" collapsed="false">
      <c r="A6" s="0" t="s">
        <v>311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312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313</v>
      </c>
      <c r="B8" s="33" t="n">
        <f aca="false">INDEX(PL_Rev,1,B$5)</f>
        <v>674.686407680941</v>
      </c>
      <c r="C8" s="33" t="n">
        <f aca="false">INDEX(PL_Rev,1,C$5)</f>
        <v>1027.64729096515</v>
      </c>
      <c r="D8" s="33" t="n">
        <f aca="false">INDEX(PL_Rev,1,D$5)</f>
        <v>2114.2850607743</v>
      </c>
      <c r="E8" s="33" t="n">
        <f aca="false">INDEX(PL_Rev,1,E$5)</f>
        <v>8222.05892958336</v>
      </c>
    </row>
    <row r="9" customFormat="false" ht="15" hidden="false" customHeight="false" outlineLevel="0" collapsed="false">
      <c r="A9" s="0" t="s">
        <v>314</v>
      </c>
      <c r="B9" s="33" t="n">
        <f aca="false">SUMPRODUCT(PL_Rev*(Q_Idx&gt;B$5-4)*(Q_Idx&lt;=B$5))</f>
        <v>1883.68640768094</v>
      </c>
      <c r="C9" s="33" t="n">
        <f aca="false">SUMPRODUCT(PL_Rev*(Q_Idx&gt;C$5-4)*(Q_Idx&lt;=C$5))</f>
        <v>3093.72683254126</v>
      </c>
      <c r="D9" s="33" t="n">
        <f aca="false">SUMPRODUCT(PL_Rev*(Q_Idx&gt;D$5-4)*(Q_Idx&lt;=D$5))</f>
        <v>5417.40538672081</v>
      </c>
      <c r="E9" s="33" t="n">
        <f aca="false">SUMPRODUCT(PL_Rev*(Q_Idx&gt;E$5-4)*(Q_Idx&lt;=E$5))</f>
        <v>28191.0905741874</v>
      </c>
    </row>
    <row r="10" customFormat="false" ht="15" hidden="false" customHeight="false" outlineLevel="0" collapsed="false">
      <c r="A10" s="0" t="s">
        <v>315</v>
      </c>
      <c r="B10" s="37" t="n">
        <f aca="false">INDEX(PL_EBITDA,1,B$5)</f>
        <v>263.559609035428</v>
      </c>
      <c r="C10" s="37" t="n">
        <f aca="false">INDEX(PL_EBITDA,1,C$5)</f>
        <v>503.881978194995</v>
      </c>
      <c r="D10" s="37" t="n">
        <f aca="false">INDEX(PL_EBITDA,1,D$5)</f>
        <v>1035.660767929</v>
      </c>
      <c r="E10" s="37" t="n">
        <f aca="false">INDEX(PL_EBITDA,1,E$5)</f>
        <v>5209.25796653856</v>
      </c>
    </row>
    <row r="11" customFormat="false" ht="15" hidden="false" customHeight="false" outlineLevel="0" collapsed="false">
      <c r="A11" s="0" t="s">
        <v>316</v>
      </c>
      <c r="B11" s="37" t="n">
        <f aca="false">SUMPRODUCT(PL_EBITDA*(Q_Idx&gt;B$5-4)*(Q_Idx&lt;=B$5))</f>
        <v>644.259609035428</v>
      </c>
      <c r="C11" s="37" t="n">
        <f aca="false">SUMPRODUCT(PL_EBITDA*(Q_Idx&gt;C$5-4)*(Q_Idx&lt;=C$5))</f>
        <v>1325.67281033085</v>
      </c>
      <c r="D11" s="37" t="n">
        <f aca="false">SUMPRODUCT(PL_EBITDA*(Q_Idx&gt;D$5-4)*(Q_Idx&lt;=D$5))</f>
        <v>2572.53863024193</v>
      </c>
      <c r="E11" s="37" t="n">
        <f aca="false">SUMPRODUCT(PL_EBITDA*(Q_Idx&gt;E$5-4)*(Q_Idx&lt;=E$5))</f>
        <v>17542.1101845375</v>
      </c>
    </row>
    <row r="12" customFormat="false" ht="15" hidden="false" customHeight="false" outlineLevel="0" collapsed="false">
      <c r="A12" s="0" t="s">
        <v>317</v>
      </c>
      <c r="B12" s="37" t="n">
        <f aca="false">SUMPRODUCT(PL_EBIT*(Q_Idx&gt;B$5-4)*(Q_Idx&lt;=B$5))</f>
        <v>-888.91444727181</v>
      </c>
      <c r="C12" s="37" t="n">
        <f aca="false">SUMPRODUCT(PL_EBIT*(Q_Idx&gt;C$5-4)*(Q_Idx&lt;=C$5))</f>
        <v>-1120.70178083209</v>
      </c>
      <c r="D12" s="37" t="n">
        <f aca="false">SUMPRODUCT(PL_EBIT*(Q_Idx&gt;D$5-4)*(Q_Idx&lt;=D$5))</f>
        <v>-1447.06619812725</v>
      </c>
      <c r="E12" s="37" t="n">
        <f aca="false">SUMPRODUCT(PL_EBIT*(Q_Idx&gt;E$5-4)*(Q_Idx&lt;=E$5))</f>
        <v>1594.57922999135</v>
      </c>
    </row>
    <row r="13" customFormat="false" ht="15" hidden="false" customHeight="false" outlineLevel="0" collapsed="false">
      <c r="A13" s="0" t="s">
        <v>318</v>
      </c>
      <c r="B13" s="37" t="n">
        <f aca="false">SUMPRODUCT(CF_FCF*(Q_Idx&gt;B$5-4)*(Q_Idx&lt;=B$5))</f>
        <v>-2187.83690036819</v>
      </c>
      <c r="C13" s="37" t="n">
        <f aca="false">SUMPRODUCT(CF_FCF*(Q_Idx&gt;C$5-4)*(Q_Idx&lt;=C$5))</f>
        <v>-13212.6626974649</v>
      </c>
      <c r="D13" s="37" t="n">
        <f aca="false">SUMPRODUCT(CF_FCF*(Q_Idx&gt;D$5-4)*(Q_Idx&lt;=D$5))</f>
        <v>-28473.1975954051</v>
      </c>
      <c r="E13" s="37" t="n">
        <f aca="false">SUMPRODUCT(CF_FCF*(Q_Idx&gt;E$5-4)*(Q_Idx&lt;=E$5))</f>
        <v>-19545.5430000704</v>
      </c>
    </row>
    <row r="14" customFormat="false" ht="15" hidden="false" customHeight="false" outlineLevel="0" collapsed="false">
      <c r="A14" s="0" t="s">
        <v>319</v>
      </c>
      <c r="B14" s="37" t="n">
        <f aca="false">INDEX(CF_NetDebt,1,B$5)</f>
        <v>2084.31927716894</v>
      </c>
      <c r="C14" s="37" t="n">
        <f aca="false">INDEX(CF_NetDebt,1,C$5)</f>
        <v>10440.1706372079</v>
      </c>
      <c r="D14" s="37" t="n">
        <f aca="false">INDEX(CF_NetDebt,1,D$5)</f>
        <v>26641.2642988286</v>
      </c>
      <c r="E14" s="37" t="n">
        <f aca="false">INDEX(CF_NetDebt,1,E$5)</f>
        <v>46717.6069290417</v>
      </c>
    </row>
    <row r="15" customFormat="false" ht="15" hidden="false" customHeight="false" outlineLevel="0" collapsed="false">
      <c r="A15" s="0" t="s">
        <v>320</v>
      </c>
      <c r="B15" s="36" t="n">
        <f aca="false">INDEX(Sh_Dil,1,B$5)</f>
        <v>314.925245</v>
      </c>
      <c r="C15" s="36" t="n">
        <f aca="false">INDEX(Sh_Dil,1,C$5)</f>
        <v>327.195752</v>
      </c>
      <c r="D15" s="36" t="n">
        <f aca="false">INDEX(Sh_Dil,1,D$5)</f>
        <v>334.233962220922</v>
      </c>
      <c r="E15" s="36" t="n">
        <f aca="false">INDEX(Sh_Dil,1,E$5)</f>
        <v>414.747557703825</v>
      </c>
    </row>
    <row r="16" customFormat="false" ht="15" hidden="false" customHeight="false" outlineLevel="0" collapsed="false">
      <c r="A16" s="0" t="s">
        <v>321</v>
      </c>
      <c r="B16" s="33" t="n">
        <f aca="false">INDEX(MW_Act,1,B$5)</f>
        <v>182.4897</v>
      </c>
      <c r="C16" s="33" t="n">
        <f aca="false">INDEX(MW_Act,1,C$5)</f>
        <v>301.7195</v>
      </c>
      <c r="D16" s="33" t="n">
        <f aca="false">INDEX(MW_Act,1,D$5)</f>
        <v>629.5368</v>
      </c>
      <c r="E16" s="33" t="n">
        <f aca="false">INDEX(MW_Act,1,E$5)</f>
        <v>1963.8213</v>
      </c>
    </row>
    <row r="17" customFormat="false" ht="15" hidden="false" customHeight="false" outlineLevel="0" collapsed="false">
      <c r="A17" s="0" t="s">
        <v>322</v>
      </c>
      <c r="B17" s="33" t="n">
        <f aca="false">INDEX(MW_En,1,B$5)</f>
        <v>216.9897</v>
      </c>
      <c r="C17" s="33" t="n">
        <f aca="false">INDEX(MW_En,1,C$5)</f>
        <v>453.79225</v>
      </c>
      <c r="D17" s="33" t="n">
        <f aca="false">INDEX(MW_En,1,D$5)</f>
        <v>812.6073</v>
      </c>
      <c r="E17" s="33" t="n">
        <f aca="false">INDEX(MW_En,1,E$5)</f>
        <v>1963.8213</v>
      </c>
    </row>
    <row r="18" customFormat="false" ht="15" hidden="false" customHeight="false" outlineLevel="0" collapsed="false">
      <c r="A18" s="0" t="s">
        <v>323</v>
      </c>
      <c r="B18" s="23" t="n">
        <f aca="false">V_PS*(1+Ke)^(B$7/12)</f>
        <v>0.01</v>
      </c>
      <c r="C18" s="23" t="n">
        <f aca="false">V_PS*(1+Ke)^(C$7/12)</f>
        <v>0.0106301458127347</v>
      </c>
      <c r="D18" s="23" t="n">
        <f aca="false">V_PS*(1+Ke)^(D$7/12)</f>
        <v>0.0113</v>
      </c>
      <c r="E18" s="23" t="n">
        <f aca="false">V_PS*(1+Ke)^(E$7/12)</f>
        <v>0.01442897</v>
      </c>
    </row>
    <row r="19" customFormat="false" ht="15" hidden="false" customHeight="false" outlineLevel="0" collapsed="false">
      <c r="A19" s="0" t="s">
        <v>324</v>
      </c>
      <c r="B19" s="23" t="n">
        <f aca="false">V_PSB*(1+Ke)^(B$7/12)</f>
        <v>-4.42251763144748</v>
      </c>
      <c r="C19" s="23" t="n">
        <f aca="false">V_PSB*(1+Ke)^(C$7/12)</f>
        <v>-4.70120072816766</v>
      </c>
      <c r="D19" s="23" t="n">
        <f aca="false">V_PSB*(1+Ke)^(D$7/12)</f>
        <v>-4.99744492353566</v>
      </c>
      <c r="E19" s="23" t="n">
        <f aca="false">V_PSB*(1+Ke)^(E$7/12)</f>
        <v>-6.38123742286268</v>
      </c>
    </row>
    <row r="21" customFormat="false" ht="15" hidden="false" customHeight="false" outlineLevel="0" collapsed="false">
      <c r="A21" s="3" t="s">
        <v>325</v>
      </c>
    </row>
    <row r="22" customFormat="false" ht="15" hidden="false" customHeight="false" outlineLevel="0" collapsed="false">
      <c r="A22" s="0" t="s">
        <v>6</v>
      </c>
      <c r="B22" s="5" t="n">
        <f aca="false">V_EV</f>
        <v>7854.59013302158</v>
      </c>
    </row>
    <row r="23" customFormat="false" ht="15" hidden="false" customHeight="false" outlineLevel="0" collapsed="false">
      <c r="A23" s="0" t="s">
        <v>326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327</v>
      </c>
      <c r="B24" s="6" t="n">
        <f aca="false">V_PS</f>
        <v>0.01</v>
      </c>
    </row>
    <row r="25" customFormat="false" ht="15" hidden="false" customHeight="false" outlineLevel="0" collapsed="false">
      <c r="A25" s="0" t="s">
        <v>8</v>
      </c>
      <c r="B25" s="6" t="n">
        <f aca="false">V_PT</f>
        <v>2.28688359991828</v>
      </c>
    </row>
    <row r="26" customFormat="false" ht="15" hidden="false" customHeight="false" outlineLevel="0" collapsed="false">
      <c r="A26" s="0" t="s">
        <v>328</v>
      </c>
      <c r="B26" s="43" t="n">
        <f aca="false">V_UP</f>
        <v>-0.990581592191762</v>
      </c>
    </row>
    <row r="27" customFormat="false" ht="15" hidden="false" customHeight="false" outlineLevel="0" collapsed="false">
      <c r="A27" s="0" t="s">
        <v>329</v>
      </c>
      <c r="B27" s="6" t="n">
        <f aca="false">SharePx</f>
        <v>242.81</v>
      </c>
    </row>
    <row r="28" customFormat="false" ht="15" hidden="false" customHeight="false" outlineLevel="0" collapsed="false">
      <c r="A28" s="0" t="s">
        <v>330</v>
      </c>
      <c r="B28" s="43" t="n">
        <f aca="false">OffBSWt</f>
        <v>0.5</v>
      </c>
    </row>
    <row r="29" customFormat="false" ht="15" hidden="false" customHeight="false" outlineLevel="0" collapsed="false">
      <c r="A29" s="0" t="s">
        <v>5</v>
      </c>
      <c r="B29" s="4" t="str">
        <f aca="false">CHOOSE(Scen,"BULL","BASE","BEAR")</f>
        <v>BASE</v>
      </c>
    </row>
    <row r="32" customFormat="false" ht="15" hidden="false" customHeight="false" outlineLevel="0" collapsed="false">
      <c r="A32" s="3" t="s">
        <v>331</v>
      </c>
      <c r="B32" s="3" t="s">
        <v>332</v>
      </c>
      <c r="C32" s="3" t="s">
        <v>333</v>
      </c>
      <c r="D32" s="3" t="s">
        <v>334</v>
      </c>
    </row>
    <row r="33" customFormat="false" ht="15" hidden="false" customHeight="false" outlineLevel="0" collapsed="false">
      <c r="A33" s="0" t="s">
        <v>335</v>
      </c>
      <c r="B33" s="33" t="n">
        <f aca="false">SUMIF(Q_Yr,2026,PL_Rev)</f>
        <v>2465.07954157611</v>
      </c>
      <c r="C33" s="33" t="n">
        <f aca="false">SUMIF(Q_Yr,2027,PL_Rev)</f>
        <v>7505.46533149617</v>
      </c>
      <c r="D33" s="33" t="n">
        <f aca="false">SUMIF(Q_Yr,2028,PL_Rev)</f>
        <v>20180.6645744977</v>
      </c>
    </row>
    <row r="34" customFormat="false" ht="15" hidden="false" customHeight="false" outlineLevel="0" collapsed="false">
      <c r="A34" s="0" t="s">
        <v>336</v>
      </c>
      <c r="B34" s="33" t="n">
        <f aca="false">INDEX(Cons_Rev,1,3)</f>
        <v>3340</v>
      </c>
      <c r="C34" s="33" t="n">
        <f aca="false">INDEX(Cons_Rev,1,4)</f>
        <v>12300</v>
      </c>
      <c r="D34" s="33" t="n">
        <f aca="false">INDEX(Cons_Rev,1,5)</f>
        <v>23000</v>
      </c>
    </row>
    <row r="35" customFormat="false" ht="15" hidden="false" customHeight="false" outlineLevel="0" collapsed="false">
      <c r="A35" s="0" t="s">
        <v>337</v>
      </c>
      <c r="B35" s="25" t="n">
        <f aca="false">IF(N(B34)=0,"n/a",B33/B34-1)</f>
        <v>-0.261952233061046</v>
      </c>
      <c r="C35" s="25" t="n">
        <f aca="false">IF(N(C34)=0,"n/a",C33/C34-1)</f>
        <v>-0.389799566545027</v>
      </c>
      <c r="D35" s="25" t="n">
        <f aca="false">IF(N(D34)=0,"n/a",D33/D34-1)</f>
        <v>-0.122579801108796</v>
      </c>
    </row>
    <row r="36" customFormat="false" ht="15" hidden="false" customHeight="false" outlineLevel="0" collapsed="false">
      <c r="A36" s="0" t="s">
        <v>338</v>
      </c>
      <c r="B36" s="33" t="n">
        <f aca="false">SUMIF(Q_Yr,2026,PL_EBITDA)</f>
        <v>951.290832135856</v>
      </c>
      <c r="C36" s="33" t="n">
        <f aca="false">SUMIF(Q_Yr,2027,PL_EBITDA)</f>
        <v>3713.46369159839</v>
      </c>
      <c r="D36" s="33" t="n">
        <f aca="false">SUMIF(Q_Yr,2028,PL_EBITDA)</f>
        <v>11755.2436196396</v>
      </c>
    </row>
    <row r="37" customFormat="false" ht="15" hidden="false" customHeight="false" outlineLevel="0" collapsed="false">
      <c r="A37" s="0" t="s">
        <v>339</v>
      </c>
      <c r="B37" s="33" t="n">
        <f aca="false">INDEX(Cons_EB,1,3)</f>
        <v>1390</v>
      </c>
      <c r="C37" s="33" t="n">
        <f aca="false">INDEX(Cons_EB,1,4)</f>
        <v>6730</v>
      </c>
      <c r="D37" s="33" t="n">
        <f aca="false">INDEX(Cons_EB,1,5)</f>
        <v>13980</v>
      </c>
    </row>
    <row r="38" customFormat="false" ht="15" hidden="false" customHeight="false" outlineLevel="0" collapsed="false">
      <c r="A38" s="0" t="s">
        <v>340</v>
      </c>
      <c r="B38" s="25" t="n">
        <f aca="false">IF(N(B37)=0,"n/a",B36/B37-1)</f>
        <v>-0.315618106377082</v>
      </c>
      <c r="C38" s="25" t="n">
        <f aca="false">IF(N(C37)=0,"n/a",C36/C37-1)</f>
        <v>-0.44822233408642</v>
      </c>
      <c r="D38" s="25" t="n">
        <f aca="false">IF(N(D37)=0,"n/a",D36/D37-1)</f>
        <v>-0.159138510755392</v>
      </c>
    </row>
    <row r="39" customFormat="false" ht="15" hidden="false" customHeight="false" outlineLevel="0" collapsed="false">
      <c r="A39" s="0" t="s">
        <v>341</v>
      </c>
      <c r="B39" s="33" t="n">
        <f aca="false">SUMIF(Q_Yr,2026,Capex)</f>
        <v>17617.7170533315</v>
      </c>
      <c r="C39" s="33" t="n">
        <f aca="false">SUMIF(Q_Yr,2027,Capex)</f>
        <v>33802.8714241299</v>
      </c>
      <c r="D39" s="33" t="n">
        <f aca="false">SUMIF(Q_Yr,2028,Capex)</f>
        <v>26970.82024149</v>
      </c>
    </row>
    <row r="40" customFormat="false" ht="15" hidden="false" customHeight="false" outlineLevel="0" collapsed="false">
      <c r="A40" s="0" t="s">
        <v>342</v>
      </c>
      <c r="B40" s="33" t="n">
        <f aca="false">INDEX(Cons_Cx,1,3)</f>
        <v>0</v>
      </c>
      <c r="C40" s="33" t="n">
        <f aca="false">INDEX(Cons_Cx,1,4)</f>
        <v>29100</v>
      </c>
      <c r="D40" s="33" t="n">
        <f aca="false">INDEX(Cons_Cx,1,5)</f>
        <v>0</v>
      </c>
    </row>
    <row r="41" customFormat="false" ht="15" hidden="false" customHeight="false" outlineLevel="0" collapsed="false">
      <c r="A41" s="0" t="s">
        <v>343</v>
      </c>
      <c r="B41" s="25" t="str">
        <f aca="false">IF(N(B40)=0,"n/a",B39/B40-1)</f>
        <v>n/a</v>
      </c>
      <c r="C41" s="25" t="n">
        <f aca="false">IF(N(C40)=0,"n/a",C39/C40-1)</f>
        <v>0.161610701860135</v>
      </c>
      <c r="D41" s="25" t="str">
        <f aca="false">IF(N(D40)=0,"n/a",D39/D40-1)</f>
        <v>n/a</v>
      </c>
    </row>
    <row r="43" customFormat="false" ht="15" hidden="false" customHeight="false" outlineLevel="0" collapsed="false">
      <c r="A43" s="3" t="s">
        <v>344</v>
      </c>
      <c r="B43" s="3" t="s">
        <v>345</v>
      </c>
      <c r="C43" s="3" t="s">
        <v>50</v>
      </c>
    </row>
    <row r="44" customFormat="false" ht="15" hidden="false" customHeight="false" outlineLevel="0" collapsed="false">
      <c r="A44" s="0" t="s">
        <v>346</v>
      </c>
      <c r="B44" s="33" t="n">
        <f aca="false">INDEX(MW_En,1,12)</f>
        <v>301.7195</v>
      </c>
      <c r="C44" s="33" t="n">
        <f aca="false">INDEX(MW_En,1,16)</f>
        <v>1081.9108</v>
      </c>
    </row>
    <row r="45" customFormat="false" ht="15" hidden="false" customHeight="false" outlineLevel="0" collapsed="false">
      <c r="A45" s="0" t="s">
        <v>347</v>
      </c>
      <c r="B45" s="33" t="n">
        <f aca="false">INDEX(MW_Gd,1,12)</f>
        <v>900</v>
      </c>
      <c r="C45" s="33" t="n">
        <f aca="false">INDEX(MW_Gd,1,16)</f>
        <v>1800</v>
      </c>
    </row>
    <row r="46" customFormat="false" ht="15" hidden="false" customHeight="false" outlineLevel="0" collapsed="false">
      <c r="A46" s="0" t="s">
        <v>348</v>
      </c>
      <c r="B46" s="33" t="n">
        <f aca="false">INDEX(MW_Contr,1,12)</f>
        <v>4000</v>
      </c>
      <c r="C46" s="33" t="n">
        <f aca="false">INDEX(MW_Contr,1,16)</f>
        <v>4000</v>
      </c>
    </row>
    <row r="47" customFormat="false" ht="15" hidden="false" customHeight="false" outlineLevel="0" collapsed="false">
      <c r="A47" s="0" t="s">
        <v>349</v>
      </c>
      <c r="B47" s="33" t="n">
        <f aca="false">INDEX(MW_Act,1,12)</f>
        <v>216.9897</v>
      </c>
      <c r="C47" s="33" t="n">
        <f aca="false">INDEX(MW_Act,1,16)</f>
        <v>812.6073</v>
      </c>
    </row>
    <row r="50" customFormat="false" ht="15" hidden="false" customHeight="false" outlineLevel="0" collapsed="false">
      <c r="A50" s="3" t="s">
        <v>350</v>
      </c>
    </row>
    <row r="51" customFormat="false" ht="15" hidden="false" customHeight="false" outlineLevel="0" collapsed="false">
      <c r="B51" s="3" t="s">
        <v>351</v>
      </c>
      <c r="C51" s="3" t="s">
        <v>352</v>
      </c>
      <c r="D51" s="3" t="s">
        <v>353</v>
      </c>
    </row>
    <row r="52" customFormat="false" ht="15" hidden="false" customHeight="false" outlineLevel="0" collapsed="false">
      <c r="A52" s="0" t="s">
        <v>354</v>
      </c>
      <c r="B52" s="44" t="n">
        <v>3835.54290963949</v>
      </c>
      <c r="C52" s="33" t="n">
        <f aca="false">Sk_Rev27Lo</f>
        <v>7000</v>
      </c>
      <c r="D52" s="25" t="n">
        <f aca="false">IFERROR(B52/C52-1,"")</f>
        <v>-0.45206529862293</v>
      </c>
    </row>
    <row r="53" customFormat="false" ht="15" hidden="false" customHeight="false" outlineLevel="0" collapsed="false">
      <c r="A53" s="0" t="s">
        <v>355</v>
      </c>
      <c r="B53" s="33" t="n">
        <f aca="false">SUMIF(Q_Yr,2027,PL_Rev)</f>
        <v>7505.46533149617</v>
      </c>
      <c r="C53" s="33" t="n">
        <f aca="false">Sk_Rev27Base</f>
        <v>9900</v>
      </c>
      <c r="D53" s="25" t="n">
        <f aca="false">IFERROR(B53/C53-1,"")</f>
        <v>-0.24187218873776</v>
      </c>
    </row>
    <row r="54" customFormat="false" ht="15" hidden="false" customHeight="false" outlineLevel="0" collapsed="false">
      <c r="A54" s="0" t="s">
        <v>356</v>
      </c>
      <c r="B54" s="44" t="n">
        <v>12950.991141717</v>
      </c>
      <c r="C54" s="33" t="n">
        <f aca="false">Sk_Rev27Hi</f>
        <v>12900</v>
      </c>
      <c r="D54" s="25" t="n">
        <f aca="false">IFERROR(B54/C54-1,"")</f>
        <v>0.00395280168348844</v>
      </c>
    </row>
    <row r="55" customFormat="false" ht="15" hidden="false" customHeight="false" outlineLevel="0" collapsed="false">
      <c r="A55" s="0" t="s">
        <v>357</v>
      </c>
      <c r="B55" s="44" t="n">
        <v>6198.44457264691</v>
      </c>
      <c r="C55" s="33" t="n">
        <f aca="false">Sk_Rev27St</f>
        <v>7600</v>
      </c>
      <c r="D55" s="25" t="n">
        <f aca="false">IFERROR(B55/C55-1,"")</f>
        <v>-0.184415187809617</v>
      </c>
    </row>
    <row r="56" customFormat="false" ht="15" hidden="false" customHeight="false" outlineLevel="0" collapsed="false">
      <c r="A56" s="0" t="s">
        <v>358</v>
      </c>
      <c r="B56" s="33" t="n">
        <f aca="false">SUMIF(Q_Yr,2028,PL_Rev)</f>
        <v>20180.6645744977</v>
      </c>
      <c r="C56" s="33" t="n">
        <f aca="false">Sk_Rev28</f>
        <v>25300</v>
      </c>
      <c r="D56" s="25" t="n">
        <f aca="false">IFERROR(B56/C56-1,"")</f>
        <v>-0.202345273735269</v>
      </c>
    </row>
    <row r="57" customFormat="false" ht="15" hidden="false" customHeight="false" outlineLevel="0" collapsed="false">
      <c r="A57" s="0" t="s">
        <v>359</v>
      </c>
      <c r="B57" s="45" t="n">
        <f aca="false">V_EVEB27</f>
        <v>20.1037966437922</v>
      </c>
      <c r="C57" s="45" t="n">
        <f aca="false">Sk_EVEB27</f>
        <v>11.1</v>
      </c>
      <c r="D57" s="25" t="n">
        <f aca="false">IFERROR(B57/C57-1,"")</f>
        <v>0.811152850792091</v>
      </c>
    </row>
    <row r="58" customFormat="false" ht="15" hidden="false" customHeight="false" outlineLevel="0" collapsed="false">
      <c r="A58" s="0" t="s">
        <v>360</v>
      </c>
      <c r="B58" s="45" t="n">
        <f aca="false">CRWV_EVEB27</f>
        <v>4.8</v>
      </c>
      <c r="C58" s="45" t="n">
        <f aca="false">CRWV_EVEB27</f>
        <v>4.8</v>
      </c>
      <c r="D58" s="25" t="n">
        <f aca="false">IFERROR(B58/C58-1,"")</f>
        <v>0</v>
      </c>
    </row>
    <row r="60" customFormat="false" ht="15" hidden="false" customHeight="false" outlineLevel="0" collapsed="false">
      <c r="A60" s="3" t="s">
        <v>361</v>
      </c>
    </row>
    <row r="61" customFormat="false" ht="15" hidden="false" customHeight="false" outlineLevel="0" collapsed="false">
      <c r="A61" s="0" t="s">
        <v>362</v>
      </c>
      <c r="B61" s="33" t="n">
        <f aca="false">Liq_Start</f>
        <v>13792.1</v>
      </c>
    </row>
    <row r="62" customFormat="false" ht="15" hidden="false" customHeight="false" outlineLevel="0" collapsed="false">
      <c r="A62" s="0" t="s">
        <v>363</v>
      </c>
      <c r="B62" s="31" t="str">
        <f aca="false">Liq_NegQ</f>
        <v>Q3'27</v>
      </c>
    </row>
    <row r="63" customFormat="false" ht="15" hidden="false" customHeight="false" outlineLevel="0" collapsed="false">
      <c r="A63" s="0" t="s">
        <v>364</v>
      </c>
      <c r="B63" s="30" t="n">
        <f aca="false">INDEX(Liq,1,13)/1000</f>
        <v>9.88092606372689</v>
      </c>
      <c r="C63" s="30" t="n">
        <f aca="false">INDEX(Liq,1,14)/1000</f>
        <v>2.29618644853027</v>
      </c>
      <c r="D63" s="30" t="n">
        <f aca="false">INDEX(Liq,1,16)/1000</f>
        <v>-4.95648323642636</v>
      </c>
    </row>
    <row r="65" customFormat="false" ht="15" hidden="false" customHeight="false" outlineLevel="0" collapsed="false">
      <c r="A65" s="8" t="s">
        <v>365</v>
      </c>
    </row>
    <row r="66" customFormat="false" ht="15" hidden="false" customHeight="false" outlineLevel="0" collapsed="false">
      <c r="B66" s="8" t="s">
        <v>366</v>
      </c>
      <c r="C66" s="8" t="s">
        <v>367</v>
      </c>
    </row>
    <row r="67" customFormat="false" ht="15" hidden="false" customHeight="false" outlineLevel="0" collapsed="false">
      <c r="A67" s="0" t="s">
        <v>9</v>
      </c>
      <c r="B67" s="0" t="s">
        <v>60</v>
      </c>
      <c r="C67" s="0" t="s">
        <v>50</v>
      </c>
    </row>
    <row r="68" customFormat="false" ht="15" hidden="false" customHeight="false" outlineLevel="0" collapsed="false">
      <c r="A68" s="0" t="s">
        <v>368</v>
      </c>
      <c r="B68" s="14" t="n">
        <v>-4956.48323642636</v>
      </c>
      <c r="C68" s="14" t="n">
        <v>-204.861985982339</v>
      </c>
    </row>
    <row r="69" customFormat="false" ht="15" hidden="false" customHeight="false" outlineLevel="0" collapsed="false">
      <c r="A69" s="0" t="s">
        <v>369</v>
      </c>
      <c r="B69" s="44" t="n">
        <v>33802.8714241299</v>
      </c>
      <c r="C69" s="44" t="n">
        <v>29100</v>
      </c>
    </row>
    <row r="71" customFormat="false" ht="15" hidden="false" customHeight="false" outlineLevel="0" collapsed="false">
      <c r="A71" s="8" t="s">
        <v>370</v>
      </c>
    </row>
    <row r="72" customFormat="false" ht="15" hidden="false" customHeight="false" outlineLevel="0" collapsed="false">
      <c r="B72" s="8" t="s">
        <v>371</v>
      </c>
      <c r="C72" s="8" t="s">
        <v>372</v>
      </c>
      <c r="D72" s="8" t="s">
        <v>373</v>
      </c>
      <c r="E72" s="8" t="s">
        <v>374</v>
      </c>
      <c r="F72" s="8" t="s">
        <v>375</v>
      </c>
      <c r="G72" s="8" t="s">
        <v>376</v>
      </c>
    </row>
    <row r="73" customFormat="false" ht="15" hidden="false" customHeight="false" outlineLevel="0" collapsed="false">
      <c r="A73" s="0" t="s">
        <v>377</v>
      </c>
      <c r="B73" s="14" t="n">
        <v>224.551724636211</v>
      </c>
      <c r="C73" s="14" t="n">
        <v>159.43172449171</v>
      </c>
      <c r="D73" s="14" t="n">
        <v>132.838958713201</v>
      </c>
      <c r="E73" s="14" t="n">
        <v>100.957608622101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378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379</v>
      </c>
      <c r="B75" s="14" t="n">
        <v>-128.315271220689</v>
      </c>
      <c r="C75" s="14" t="n">
        <v>-91.1038425666902</v>
      </c>
      <c r="D75" s="14" t="n">
        <v>-75.9079764074995</v>
      </c>
      <c r="E75" s="14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380</v>
      </c>
    </row>
    <row r="79" customFormat="false" ht="15" hidden="false" customHeight="false" outlineLevel="0" collapsed="false">
      <c r="B79" s="8" t="s">
        <v>381</v>
      </c>
      <c r="C79" s="8" t="s">
        <v>382</v>
      </c>
      <c r="D79" s="8" t="s">
        <v>383</v>
      </c>
      <c r="E79" s="8" t="s">
        <v>384</v>
      </c>
      <c r="F79" s="8" t="s">
        <v>385</v>
      </c>
      <c r="G79" s="8" t="s">
        <v>386</v>
      </c>
    </row>
    <row r="80" customFormat="false" ht="15" hidden="false" customHeight="false" outlineLevel="0" collapsed="false">
      <c r="A80" s="0" t="s">
        <v>387</v>
      </c>
      <c r="B80" s="0" t="s">
        <v>60</v>
      </c>
      <c r="C80" s="0" t="str">
        <f aca="false">Sk3_ZeroQ</f>
        <v>Q4'27</v>
      </c>
      <c r="D80" s="16" t="n">
        <v>-4.95648323642636</v>
      </c>
      <c r="E80" s="16" t="n">
        <f aca="false">Sk3_YE27</f>
        <v>-0.15</v>
      </c>
      <c r="F80" s="16" t="n">
        <v>-19.02384719661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388</v>
      </c>
      <c r="B81" s="0" t="s">
        <v>83</v>
      </c>
      <c r="C81" s="0" t="str">
        <f aca="false">Sk3L_ZeroQ</f>
        <v>never thru 2030</v>
      </c>
      <c r="D81" s="16" t="n">
        <v>3.85565032121054</v>
      </c>
      <c r="E81" s="16" t="n">
        <f aca="false">Sk3L_YE27</f>
        <v>7.1</v>
      </c>
      <c r="F81" s="16" t="n">
        <v>-17.2751980821531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389</v>
      </c>
      <c r="B82" s="0" t="s">
        <v>58</v>
      </c>
      <c r="C82" s="0" t="str">
        <f aca="false">Sk3H_ZeroQ</f>
        <v>Q3'27</v>
      </c>
      <c r="D82" s="16" t="n">
        <v>-11.5472723388274</v>
      </c>
      <c r="E82" s="16" t="n">
        <f aca="false">Sk3H_YE27</f>
        <v>-7.4</v>
      </c>
      <c r="F82" s="16" t="n">
        <v>-16.0299411684141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390</v>
      </c>
      <c r="B83" s="0" t="s">
        <v>50</v>
      </c>
      <c r="C83" s="0" t="str">
        <f aca="false">Sk3C_ZeroQ</f>
        <v>Q2'27</v>
      </c>
      <c r="D83" s="16" t="n">
        <v>-0.204861985982339</v>
      </c>
      <c r="E83" s="16" t="n">
        <f aca="false">Sk3C_YE27</f>
        <v>-9.9</v>
      </c>
      <c r="F83" s="16" t="n">
        <v>-14.3199555526162</v>
      </c>
    </row>
    <row r="85" customFormat="false" ht="15" hidden="false" customHeight="false" outlineLevel="0" collapsed="false">
      <c r="A85" s="8" t="s">
        <v>391</v>
      </c>
    </row>
    <row r="86" customFormat="false" ht="15" hidden="false" customHeight="false" outlineLevel="0" collapsed="false">
      <c r="B86" s="8" t="s">
        <v>392</v>
      </c>
      <c r="C86" s="8" t="s">
        <v>393</v>
      </c>
      <c r="D86" s="8" t="s">
        <v>394</v>
      </c>
    </row>
    <row r="87" customFormat="false" ht="15" hidden="false" customHeight="false" outlineLevel="0" collapsed="false">
      <c r="A87" s="0" t="s">
        <v>395</v>
      </c>
      <c r="B87" s="16" t="n">
        <v>-13.788452855311</v>
      </c>
      <c r="C87" s="16" t="n">
        <v>7.85459013302158</v>
      </c>
      <c r="D87" s="16" t="n">
        <v>22.2236237356467</v>
      </c>
    </row>
    <row r="88" customFormat="false" ht="15" hidden="false" customHeight="false" outlineLevel="0" collapsed="false">
      <c r="A88" s="0" t="s">
        <v>396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397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398</v>
      </c>
    </row>
    <row r="92" customFormat="false" ht="15" hidden="false" customHeight="false" outlineLevel="0" collapsed="false">
      <c r="B92" s="8" t="s">
        <v>399</v>
      </c>
      <c r="C92" s="8" t="s">
        <v>400</v>
      </c>
      <c r="D92" s="8" t="s">
        <v>40</v>
      </c>
      <c r="E92" s="8" t="s">
        <v>401</v>
      </c>
      <c r="F92" s="8" t="s">
        <v>402</v>
      </c>
      <c r="G92" s="8" t="s">
        <v>403</v>
      </c>
      <c r="H92" s="8" t="s">
        <v>404</v>
      </c>
    </row>
    <row r="93" customFormat="false" ht="15" hidden="false" customHeight="false" outlineLevel="0" collapsed="false">
      <c r="A93" s="0" t="s">
        <v>405</v>
      </c>
      <c r="B93" s="14" t="n">
        <v>94115.788273607</v>
      </c>
      <c r="C93" s="14" t="n">
        <v>91652.9362941366</v>
      </c>
      <c r="D93" s="15" t="n">
        <v>248.193496039636</v>
      </c>
      <c r="E93" s="15" t="n">
        <v>280.458650524788</v>
      </c>
      <c r="F93" s="46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101</v>
      </c>
      <c r="B94" s="14" t="n">
        <v>7854.59013302158</v>
      </c>
      <c r="C94" s="14" t="n">
        <v>-1365.19207123687</v>
      </c>
      <c r="D94" s="15" t="n">
        <v>0.01</v>
      </c>
      <c r="E94" s="15" t="n">
        <v>2.28688359991828</v>
      </c>
      <c r="F94" s="46" t="n">
        <v>0.750319556751226</v>
      </c>
      <c r="G94" s="14" t="n">
        <v>7505.46533149617</v>
      </c>
      <c r="H94" s="14" t="n">
        <v>3713.46369159839</v>
      </c>
    </row>
    <row r="95" customFormat="false" ht="15" hidden="false" customHeight="false" outlineLevel="0" collapsed="false">
      <c r="A95" s="0" t="s">
        <v>406</v>
      </c>
      <c r="B95" s="14" t="n">
        <v>363040.04636384</v>
      </c>
      <c r="C95" s="14" t="n">
        <v>366980.751573791</v>
      </c>
      <c r="D95" s="15" t="n">
        <v>943.044237279562</v>
      </c>
      <c r="E95" s="15" t="n">
        <v>1056.20954575311</v>
      </c>
      <c r="F95" s="46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102</v>
      </c>
      <c r="B96" s="14" t="n">
        <v>125122.521479841</v>
      </c>
      <c r="C96" s="14" t="n">
        <v>127928.419768388</v>
      </c>
      <c r="D96" s="15" t="n">
        <v>329.741111435692</v>
      </c>
      <c r="E96" s="15" t="n">
        <v>365.221442463617</v>
      </c>
      <c r="F96" s="46" t="n">
        <v>0.750319556751226</v>
      </c>
      <c r="G96" s="14" t="n">
        <v>12950.991141717</v>
      </c>
      <c r="H96" s="14" t="n">
        <v>7435.26656429841</v>
      </c>
    </row>
    <row r="97" customFormat="false" ht="15" hidden="false" customHeight="false" outlineLevel="0" collapsed="false">
      <c r="A97" s="0" t="s">
        <v>407</v>
      </c>
      <c r="B97" s="14" t="n">
        <v>-21541.1860088107</v>
      </c>
      <c r="C97" s="14" t="n">
        <v>-33504.3578287244</v>
      </c>
      <c r="D97" s="15" t="n">
        <v>0.01</v>
      </c>
      <c r="E97" s="15" t="n">
        <v>0.0115</v>
      </c>
      <c r="F97" s="46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103</v>
      </c>
      <c r="B98" s="14" t="n">
        <v>-32518.9990253506</v>
      </c>
      <c r="C98" s="14" t="n">
        <v>-41741.3454360394</v>
      </c>
      <c r="D98" s="15" t="n">
        <v>0.01</v>
      </c>
      <c r="E98" s="15" t="n">
        <v>0</v>
      </c>
      <c r="F98" s="46" t="n">
        <v>0.750319556751226</v>
      </c>
      <c r="G98" s="14" t="n">
        <v>3835.54290963949</v>
      </c>
      <c r="H98" s="14" t="n">
        <v>1529.29936141168</v>
      </c>
    </row>
    <row r="99" customFormat="false" ht="15" hidden="false" customHeight="false" outlineLevel="0" collapsed="false">
      <c r="A99" s="0" t="s">
        <v>408</v>
      </c>
      <c r="B99" s="14" t="n">
        <v>-1448.85130595877</v>
      </c>
      <c r="C99" s="14" t="n">
        <v>-10668.6335102172</v>
      </c>
      <c r="D99" s="15" t="n">
        <v>0.01</v>
      </c>
      <c r="E99" s="15" t="n">
        <v>0</v>
      </c>
      <c r="F99" s="46" t="n">
        <v>0.750319556751226</v>
      </c>
      <c r="G99" s="14" t="n">
        <v>7505.46533149617</v>
      </c>
      <c r="H99" s="14" t="n">
        <v>3713.46369159839</v>
      </c>
    </row>
    <row r="100" customFormat="false" ht="15" hidden="false" customHeight="false" outlineLevel="0" collapsed="false">
      <c r="A100" s="0" t="s">
        <v>409</v>
      </c>
      <c r="B100" s="14" t="n">
        <v>50168.4771081705</v>
      </c>
      <c r="C100" s="14" t="n">
        <v>29339.8424152328</v>
      </c>
      <c r="D100" s="15" t="n">
        <v>89.4593947692325</v>
      </c>
      <c r="E100" s="15" t="n">
        <v>104.149130792242</v>
      </c>
      <c r="F100" s="46" t="n">
        <v>0.750319556751226</v>
      </c>
      <c r="G100" s="14" t="n">
        <v>18623.8940548438</v>
      </c>
      <c r="H100" s="14" t="n">
        <v>9913.31168518913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410</v>
      </c>
    </row>
    <row r="3" customFormat="false" ht="15" hidden="false" customHeight="false" outlineLevel="0" collapsed="false">
      <c r="A3" s="42" t="s">
        <v>411</v>
      </c>
      <c r="B3" s="42" t="s">
        <v>351</v>
      </c>
      <c r="C3" s="42" t="s">
        <v>412</v>
      </c>
      <c r="D3" s="42" t="s">
        <v>413</v>
      </c>
      <c r="E3" s="42" t="s">
        <v>414</v>
      </c>
    </row>
    <row r="4" customFormat="false" ht="15" hidden="false" customHeight="false" outlineLevel="0" collapsed="false">
      <c r="A4" s="0" t="s">
        <v>415</v>
      </c>
      <c r="B4" s="47" t="n">
        <f aca="false">IF(DilMethod=1,SUMPRODUCT((((CVDebtBasis=1)*Valuation!$E$80:$E$91+(CVDebtBasis&gt;=2)*Valuation!$F$80:$F$91))),IF(DilMethod=2,SUMPRODUCT((V_PSolve&gt;Valuation!$H$80:$H$91)*(((CVDebtBasis=1)*Valuation!$E$80:$E$91+(CVDebtBasis&gt;=2)*Valuation!$F$80:$F$91))),0))+V_CVDEBT-SUMPRODUCT((((CVDebtBasis=1)*Valuation!$E$80:$E$91+(CVDebtBasis&gt;=2)*Valuation!$F$80:$F$91)))</f>
        <v>0</v>
      </c>
      <c r="C4" s="48" t="n">
        <v>0</v>
      </c>
      <c r="D4" s="3" t="str">
        <f aca="false">IF(ABS(B4)&lt;0.5,"OK","DOUBLE COUNT")</f>
        <v>OK</v>
      </c>
      <c r="E4" s="22" t="s">
        <v>416</v>
      </c>
    </row>
    <row r="5" customFormat="false" ht="15" hidden="false" customHeight="false" outlineLevel="0" collapsed="false">
      <c r="A5" s="0" t="s">
        <v>417</v>
      </c>
      <c r="B5" s="47" t="n">
        <f aca="false">IF(DilMethod=1,SUMPRODUCT((((CVDebtBasis=1)*Valuation!$E$80:$E$91+(CVDebtBasis&gt;=2)*Valuation!$F$80:$F$91))),IF(DilMethod=2,SUMPRODUCT((SharePx&gt;Valuation!$H$80:$H$91)*(((CVDebtBasis=1)*Valuation!$E$80:$E$91+(CVDebtBasis&gt;=2)*Valuation!$F$80:$F$91))),0))+V_CVDmkt-SUMPRODUCT((((CVDebtBasis=1)*Valuation!$E$80:$E$91+(CVDebtBasis&gt;=2)*Valuation!$F$80:$F$91)))</f>
        <v>0</v>
      </c>
      <c r="C5" s="48" t="n">
        <v>0</v>
      </c>
      <c r="D5" s="3" t="str">
        <f aca="false">IF(ABS(B5)&lt;0.5,"OK","DOUBLE COUNT")</f>
        <v>OK</v>
      </c>
      <c r="E5" s="22"/>
    </row>
    <row r="6" customFormat="false" ht="15" hidden="false" customHeight="false" outlineLevel="0" collapsed="false">
      <c r="A6" s="0" t="s">
        <v>418</v>
      </c>
      <c r="B6" s="47" t="n">
        <f aca="false">INDEX(Sh_EconBasic,1,11)</f>
        <v>308.691154</v>
      </c>
      <c r="C6" s="48" t="n">
        <v>308.69</v>
      </c>
      <c r="D6" s="3" t="str">
        <f aca="false">IF(ABS(B6-C6)&lt;0.05,"OK","CHECK")</f>
        <v>OK</v>
      </c>
      <c r="E6" s="22"/>
    </row>
    <row r="7" customFormat="false" ht="15" hidden="false" customHeight="false" outlineLevel="0" collapsed="false">
      <c r="A7" s="0" t="s">
        <v>419</v>
      </c>
      <c r="B7" s="47" t="n">
        <f aca="false">V_FDmkt</f>
        <v>369.226788774505</v>
      </c>
      <c r="C7" s="48" t="n">
        <f aca="false">FD_Filings</f>
        <v>369.2</v>
      </c>
      <c r="D7" s="3" t="str">
        <f aca="false">IF(ABS(B7-C7)&lt;2,"OK","CHECK")</f>
        <v>OK</v>
      </c>
      <c r="E7" s="22" t="s">
        <v>420</v>
      </c>
    </row>
    <row r="8" customFormat="false" ht="15" hidden="false" customHeight="false" outlineLevel="0" collapsed="false">
      <c r="A8" s="0" t="s">
        <v>421</v>
      </c>
      <c r="B8" s="47" t="n">
        <f aca="false">V_FDmkt+ATM_Rem</f>
        <v>381.497295774505</v>
      </c>
      <c r="C8" s="48" t="n">
        <f aca="false">FD_FilingsATM</f>
        <v>381.5</v>
      </c>
      <c r="D8" s="3" t="str">
        <f aca="false">IF(ABS(B8-C8)&lt;2,"OK","CHECK")</f>
        <v>OK</v>
      </c>
      <c r="E8" s="22" t="s">
        <v>422</v>
      </c>
    </row>
    <row r="9" customFormat="false" ht="15" hidden="false" customHeight="false" outlineLevel="0" collapsed="false">
      <c r="A9" s="0" t="s">
        <v>423</v>
      </c>
      <c r="B9" s="47" t="n">
        <f aca="false">V_ITMsh</f>
        <v>50.02193875</v>
      </c>
      <c r="C9" s="48" t="n">
        <f aca="false">ITM_Sh_Chk</f>
        <v>50.03</v>
      </c>
      <c r="D9" s="3" t="str">
        <f aca="false">IF(ABS(B9-C9)&lt;0.5,"OK","CHECK")</f>
        <v>OK</v>
      </c>
      <c r="E9" s="22" t="s">
        <v>424</v>
      </c>
    </row>
    <row r="10" customFormat="false" ht="15" hidden="false" customHeight="false" outlineLevel="0" collapsed="false">
      <c r="A10" s="0" t="s">
        <v>425</v>
      </c>
      <c r="B10" s="47" t="n">
        <f aca="false">V_ITMprin</f>
        <v>7675</v>
      </c>
      <c r="C10" s="48" t="n">
        <f aca="false">ITM_Prin_Chk</f>
        <v>7680</v>
      </c>
      <c r="D10" s="3" t="str">
        <f aca="false">IF(ABS(B10-C10)&lt;15,"OK","CHECK")</f>
        <v>OK</v>
      </c>
      <c r="E10" s="22"/>
    </row>
    <row r="11" customFormat="false" ht="15" hidden="false" customHeight="false" outlineLevel="0" collapsed="false">
      <c r="A11" s="0" t="s">
        <v>426</v>
      </c>
      <c r="B11" s="47" t="n">
        <f aca="false">V_MKTEV</f>
        <v>74654.7189</v>
      </c>
      <c r="C11" s="48" t="n">
        <v>74700</v>
      </c>
      <c r="D11" s="3" t="str">
        <f aca="false">IF(ABS(B11/C11-1)&lt;0.01,"OK","CHECK")</f>
        <v>OK</v>
      </c>
      <c r="E11" s="22" t="s">
        <v>427</v>
      </c>
    </row>
    <row r="12" customFormat="false" ht="15" hidden="false" customHeight="false" outlineLevel="0" collapsed="false">
      <c r="A12" s="0" t="s">
        <v>428</v>
      </c>
      <c r="B12" s="49" t="n">
        <f aca="false">V_CONV</f>
        <v>0</v>
      </c>
      <c r="C12" s="50" t="n">
        <v>0.01</v>
      </c>
      <c r="D12" s="3" t="str">
        <f aca="false">IF(B12&lt;C12,"OK","NOT CONVERGED")</f>
        <v>OK</v>
      </c>
      <c r="E12" s="22"/>
    </row>
    <row r="13" customFormat="false" ht="15" hidden="false" customHeight="false" outlineLevel="0" collapsed="false">
      <c r="A13" s="0" t="s">
        <v>429</v>
      </c>
      <c r="B13" s="47" t="n">
        <f aca="false">MSFT_Chk</f>
        <v>0</v>
      </c>
      <c r="C13" s="48" t="n">
        <v>0</v>
      </c>
      <c r="D13" s="3" t="str">
        <f aca="false">IF(ABS(B13)&lt;5,"OK","CHECK")</f>
        <v>OK</v>
      </c>
      <c r="E13" s="22"/>
    </row>
    <row r="14" customFormat="false" ht="15" hidden="false" customHeight="false" outlineLevel="0" collapsed="false">
      <c r="A14" s="0" t="s">
        <v>430</v>
      </c>
      <c r="B14" s="24" t="n">
        <f aca="false">SUMPRODUCT((MS_CeilChk&gt;0)*(Q_Idx&lt;IF(BloomOn=1,BloomIdx,99)))</f>
        <v>0</v>
      </c>
      <c r="C14" s="51" t="n">
        <v>0</v>
      </c>
      <c r="D14" s="3" t="str">
        <f aca="false">IF(B14=0,"OK","CHECK")</f>
        <v>OK</v>
      </c>
      <c r="E14" s="22"/>
    </row>
    <row r="15" customFormat="false" ht="15" hidden="false" customHeight="false" outlineLevel="0" collapsed="false">
      <c r="A15" s="0" t="s">
        <v>431</v>
      </c>
      <c r="B15" s="33" t="n">
        <f aca="false">BR_MW25</f>
        <v>92.6461289583333</v>
      </c>
      <c r="C15" s="44" t="n">
        <f aca="false">UnseenChkHi</f>
        <v>200</v>
      </c>
      <c r="D15" s="3" t="str">
        <f aca="false">BR_Chk</f>
        <v>OK - overlaps 83-200 MW</v>
      </c>
      <c r="E15" s="22"/>
    </row>
    <row r="16" customFormat="false" ht="15" hidden="false" customHeight="false" outlineLevel="0" collapsed="false">
      <c r="A16" s="0" t="s">
        <v>432</v>
      </c>
      <c r="B16" s="47" t="n">
        <f aca="false">SUMPRODUCT(ABS(N(+CapexChk)))</f>
        <v>0</v>
      </c>
      <c r="C16" s="48" t="n">
        <v>0</v>
      </c>
      <c r="D16" s="3" t="str">
        <f aca="false">IF(B16&lt;1,"OK","CHECK")</f>
        <v>OK</v>
      </c>
      <c r="E16" s="22"/>
    </row>
    <row r="17" customFormat="false" ht="15" hidden="false" customHeight="false" outlineLevel="0" collapsed="false">
      <c r="A17" s="0" t="s">
        <v>433</v>
      </c>
      <c r="B17" s="25" t="n">
        <f aca="false">INDEX(Book_A,1,10)/INDEX(AI_Model,1,10)</f>
        <v>0.460634941342456</v>
      </c>
      <c r="C17" s="52" t="n">
        <f aca="false">MixA_Q2</f>
        <v>0.45</v>
      </c>
      <c r="D17" s="3" t="str">
        <f aca="false">IF(AND(ROUND(B17,2)&gt;=0.4,ROUND(B17,2)&lt;=0.46),"OK","CALIBRATE")</f>
        <v>OK</v>
      </c>
      <c r="E17" s="22"/>
    </row>
    <row r="18" customFormat="false" ht="15" hidden="false" customHeight="false" outlineLevel="0" collapsed="false">
      <c r="A18" s="0" t="s">
        <v>434</v>
      </c>
      <c r="B18" s="25" t="n">
        <f aca="false">INDEX(Book_B,1,10)/INDEX(AI_Model,1,10)</f>
        <v>0.469916518503568</v>
      </c>
      <c r="C18" s="52" t="n">
        <f aca="false">MixB_Q2</f>
        <v>0.5</v>
      </c>
      <c r="D18" s="3" t="str">
        <f aca="false">IF(AND(B18&gt;=0.44,B18&lt;=0.57),"OK","CALIBRATE")</f>
        <v>OK</v>
      </c>
      <c r="E18" s="22"/>
    </row>
    <row r="19" customFormat="false" ht="15" hidden="false" customHeight="false" outlineLevel="0" collapsed="false">
      <c r="A19" s="0" t="s">
        <v>435</v>
      </c>
      <c r="B19" s="25" t="n">
        <f aca="false">INDEX(Book_C,1,10)/INDEX(AI_Model,1,10)</f>
        <v>0.0694485401539759</v>
      </c>
      <c r="C19" s="52" t="n">
        <f aca="false">MixC_Q2</f>
        <v>0.04</v>
      </c>
      <c r="D19" s="3" t="str">
        <f aca="false">IF(AND(B19&gt;=0.013,B19&lt;=0.09),"OK","CALIBRATE")</f>
        <v>OK</v>
      </c>
      <c r="E19" s="22"/>
    </row>
    <row r="20" customFormat="false" ht="15" hidden="false" customHeight="false" outlineLevel="0" collapsed="false">
      <c r="A20" s="0" t="s">
        <v>436</v>
      </c>
      <c r="B20" s="24" t="n">
        <f aca="false">SUM(DepYldFlag)</f>
        <v>1</v>
      </c>
      <c r="C20" s="51" t="n">
        <v>0</v>
      </c>
      <c r="D20" s="3" t="str">
        <f aca="false">IF(B20=0,"OK","FLAG - review PIS dates")</f>
        <v>FLAG - review PIS dates</v>
      </c>
      <c r="E20" s="22" t="s">
        <v>437</v>
      </c>
    </row>
    <row r="21" customFormat="false" ht="15" hidden="false" customHeight="false" outlineLevel="0" collapsed="false">
      <c r="A21" s="0" t="s">
        <v>438</v>
      </c>
      <c r="B21" s="31" t="str">
        <f aca="false">Q3TransChk</f>
        <v>PENDING (model 4,702)</v>
      </c>
      <c r="C21" s="53"/>
      <c r="D21" s="3" t="str">
        <f aca="false">B21</f>
        <v>PENDING (model 4,702)</v>
      </c>
      <c r="E21" s="22"/>
    </row>
    <row r="22" customFormat="false" ht="15" hidden="false" customHeight="false" outlineLevel="0" collapsed="false">
      <c r="A22" s="0" t="s">
        <v>439</v>
      </c>
      <c r="B22" s="36" t="n">
        <f aca="false">SUMPRODUCT(ABS(CapTie))</f>
        <v>0</v>
      </c>
      <c r="C22" s="54" t="n">
        <v>0</v>
      </c>
      <c r="D22" s="3" t="str">
        <f aca="false">IF(B22&lt;1,"OK","CHECK")</f>
        <v>OK</v>
      </c>
      <c r="E22" s="22"/>
    </row>
    <row r="23" customFormat="false" ht="15" hidden="false" customHeight="false" outlineLevel="0" collapsed="false">
      <c r="A23" s="0" t="s">
        <v>440</v>
      </c>
      <c r="B23" s="36" t="n">
        <f aca="false">INDEX(AI_Model,1,10)</f>
        <v>574.9</v>
      </c>
      <c r="C23" s="54" t="n">
        <f aca="false">INDEX(H_AIRev,1,10)</f>
        <v>574.9</v>
      </c>
      <c r="D23" s="3" t="str">
        <f aca="false">IF(ABS(B23/C23-1)&lt;0.01,"OK","CHECK")</f>
        <v>OK</v>
      </c>
      <c r="E23" s="22" t="s">
        <v>441</v>
      </c>
    </row>
    <row r="24" customFormat="false" ht="15" hidden="false" customHeight="false" outlineLevel="0" collapsed="false">
      <c r="A24" s="0" t="s">
        <v>442</v>
      </c>
      <c r="B24" s="27" t="n">
        <f aca="false">UtilQ2</f>
        <v>0.750319556751226</v>
      </c>
      <c r="C24" s="46" t="s">
        <v>443</v>
      </c>
      <c r="D24" s="3" t="str">
        <f aca="false">UtilFlag</f>
        <v>OK (40-100%)</v>
      </c>
      <c r="E24" s="22" t="s">
        <v>444</v>
      </c>
    </row>
    <row r="25" customFormat="false" ht="15" hidden="false" customHeight="false" outlineLevel="0" collapsed="false">
      <c r="A25" s="0" t="s">
        <v>445</v>
      </c>
      <c r="B25" s="23" t="n">
        <f aca="false">INDEX(AI_Model,1,10)*4*1000000/INDEX(GPU_End,1,10)/8760</f>
        <v>2.86187726105851</v>
      </c>
      <c r="C25" s="15" t="n">
        <f aca="false">Chk_RevGPUhr</f>
        <v>3.27</v>
      </c>
      <c r="D25" s="3" t="str">
        <f aca="false">IF(ABS(B25/C25-1)&lt;=0.1,"OK","CHECK")</f>
        <v>CHECK</v>
      </c>
      <c r="E25" s="22" t="s">
        <v>446</v>
      </c>
    </row>
    <row r="26" customFormat="false" ht="15" hidden="false" customHeight="false" outlineLevel="0" collapsed="false">
      <c r="A26" s="0" t="s">
        <v>447</v>
      </c>
      <c r="B26" s="23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22" t="s">
        <v>448</v>
      </c>
    </row>
    <row r="27" customFormat="false" ht="15" hidden="false" customHeight="false" outlineLevel="0" collapsed="false">
      <c r="A27" s="0" t="s">
        <v>449</v>
      </c>
      <c r="B27" s="33" t="n">
        <f aca="false">INDEX(GPU_End,1,10)*Chk_SrvHi/1000000</f>
        <v>5503.62</v>
      </c>
      <c r="C27" s="44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2" t="s">
        <v>450</v>
      </c>
    </row>
    <row r="28" customFormat="false" ht="15" hidden="false" customHeight="false" outlineLevel="0" collapsed="false">
      <c r="A28" s="0" t="s">
        <v>451</v>
      </c>
      <c r="B28" s="33" t="n">
        <f aca="false">(INDEX(GPU_End_H,1,10)*GPUCost_H+INDEX(GPU_End_B,1,10)*GPUCost_B+INDEX(GPU_End_N,1,10)*GPUCost_N)/1000000</f>
        <v>4753.62</v>
      </c>
      <c r="C28" s="44" t="n">
        <f aca="false">Chk_SrvCap</f>
        <v>5197.7</v>
      </c>
      <c r="D28" s="3" t="str">
        <f aca="false">IF(B28&lt;=C28,"OK","FLAG: exceeds servers in service")</f>
        <v>OK</v>
      </c>
      <c r="E28" s="22"/>
    </row>
    <row r="29" customFormat="false" ht="15" hidden="false" customHeight="false" outlineLevel="0" collapsed="false">
      <c r="A29" s="0" t="s">
        <v>452</v>
      </c>
      <c r="B29" s="30" t="n">
        <f aca="false">INDEX(AI_Model,1,10)*4/INDEX(MW_En,1,10)</f>
        <v>12.6012591395569</v>
      </c>
      <c r="C29" s="16" t="n">
        <f aca="false">Chk_RevEnMW</f>
        <v>13</v>
      </c>
      <c r="D29" s="3" t="str">
        <f aca="false">IF(ABS(B29/C29-1)&lt;=0.15,"OK","CHECK")</f>
        <v>OK</v>
      </c>
      <c r="E29" s="22" t="s">
        <v>453</v>
      </c>
    </row>
    <row r="30" customFormat="false" ht="15" hidden="false" customHeight="false" outlineLevel="0" collapsed="false">
      <c r="A30" s="0" t="s">
        <v>454</v>
      </c>
      <c r="B30" s="25" t="n">
        <f aca="false">INDEX(A_MW,1,10)/INDEX(MW_En,1,10)</f>
        <v>0.555346411331708</v>
      </c>
      <c r="C30" s="52" t="s">
        <v>455</v>
      </c>
      <c r="D30" s="3" t="str">
        <f aca="false">"INFO"</f>
        <v>INFO</v>
      </c>
      <c r="E30" s="22" t="s">
        <v>456</v>
      </c>
    </row>
    <row r="31" customFormat="false" ht="15" hidden="false" customHeight="false" outlineLevel="0" collapsed="false">
      <c r="A31" s="0" t="s">
        <v>457</v>
      </c>
      <c r="B31" s="36" t="n">
        <f aca="false">INDEX(MW_En,1,10)</f>
        <v>182.4897</v>
      </c>
      <c r="C31" s="54" t="n">
        <v>173</v>
      </c>
      <c r="D31" s="3" t="str">
        <f aca="false">IF(ABS(B31-C31)&lt;3,"OK","CHECK")</f>
        <v>CHECK</v>
      </c>
      <c r="E31" s="22"/>
    </row>
    <row r="32" customFormat="false" ht="15" hidden="false" customHeight="false" outlineLevel="0" collapsed="false">
      <c r="A32" s="0" t="s">
        <v>458</v>
      </c>
      <c r="B32" s="33" t="n">
        <f aca="false">INDEX(GPU_End,1,10)</f>
        <v>91727</v>
      </c>
      <c r="C32" s="44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2"/>
    </row>
    <row r="33" customFormat="false" ht="15" hidden="false" customHeight="false" outlineLevel="0" collapsed="false">
      <c r="A33" s="0" t="s">
        <v>459</v>
      </c>
      <c r="B33" s="33" t="n">
        <f aca="false">ARR_Res</f>
        <v>543.051360234536</v>
      </c>
      <c r="C33" s="44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2" t="s">
        <v>460</v>
      </c>
    </row>
    <row r="34" customFormat="false" ht="15" hidden="false" customHeight="false" outlineLevel="0" collapsed="false">
      <c r="A34" s="0" t="s">
        <v>461</v>
      </c>
      <c r="B34" s="27" t="n">
        <f aca="false">SUMIF(Q_Yr,2028,PL_EBITDA)/SUMIF(Q_Yr,2028,PL_Rev)</f>
        <v>0.582500322337983</v>
      </c>
      <c r="C34" s="46" t="n">
        <f aca="false">MarginCons28</f>
        <v>0.607826086956522</v>
      </c>
      <c r="D34" s="3" t="str">
        <f aca="false">IF(B34-C34&gt;0.05,"FLAG: model margin &gt; consensus +5pp","OK")</f>
        <v>OK</v>
      </c>
      <c r="E34" s="22" t="s">
        <v>462</v>
      </c>
    </row>
    <row r="35" customFormat="false" ht="15" hidden="false" customHeight="false" outlineLevel="0" collapsed="false">
      <c r="A35" s="0" t="s">
        <v>463</v>
      </c>
      <c r="B35" s="27" t="n">
        <f aca="false">SUMIF(Q_Yr,2030,PL_EBITDA)/SUMIF(Q_Yr,2030,PL_Rev)</f>
        <v>0.664073049535931</v>
      </c>
      <c r="C35" s="46" t="n">
        <f aca="false">MarginPeer</f>
        <v>0.62</v>
      </c>
      <c r="D35" s="3" t="str">
        <f aca="false">IF(B35-C35&gt;0.08,"FLAG: above peer +8pp - review opex/MW and revenue/MW","OK")</f>
        <v>OK</v>
      </c>
      <c r="E35" s="22" t="s">
        <v>464</v>
      </c>
    </row>
    <row r="36" customFormat="false" ht="15" hidden="false" customHeight="false" outlineLevel="0" collapsed="false">
      <c r="A36" s="0" t="s">
        <v>465</v>
      </c>
      <c r="B36" s="27" t="n">
        <f aca="false">SUMIF(Q_Yr,2030,PL_EBITDA)/SUMIF(Q_Yr,2030,PL_Rev)-(1-OpexHold)*((INDEX(PDpct,1,2028-FYBase)+INDEX(SGApct,1,2028-FYBase))-(INDEX(PDpct,1,2030-FYBase)+INDEX(SGApct,1,2030-FYBase)))</f>
        <v>0.614073049535931</v>
      </c>
      <c r="C36" s="46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2" t="s">
        <v>466</v>
      </c>
    </row>
    <row r="37" customFormat="false" ht="15" hidden="false" customHeight="false" outlineLevel="0" collapsed="false">
      <c r="A37" s="0" t="s">
        <v>467</v>
      </c>
      <c r="B37" s="23" t="n">
        <f aca="false">(SUMIF(Q_Yr,2030,PL_Rev)-SUMIF(Q_Yr,2030,PL_EBITDA))/(SUMIF(Q_Yr,2030,MW_Avg)/4)</f>
        <v>6.23826501479264</v>
      </c>
      <c r="C37" s="15" t="s">
        <v>455</v>
      </c>
      <c r="D37" s="3" t="str">
        <f aca="false">"INFO: revenue/MW "&amp;TEXT(SUMIF(Q_Yr,2030,PL_Rev)/(SUMIF(Q_Yr,2030,MW_Avg)/4),"0.0")</f>
        <v>INFO: revenue/MW 18.6</v>
      </c>
      <c r="E37" s="22"/>
    </row>
    <row r="38" customFormat="false" ht="15" hidden="false" customHeight="false" outlineLevel="0" collapsed="false">
      <c r="A38" s="0" t="s">
        <v>468</v>
      </c>
      <c r="B38" s="33" t="n">
        <f aca="false">SUMIF(Q_Yr,2026,Capex)</f>
        <v>17617.7170533315</v>
      </c>
      <c r="C38" s="44" t="s">
        <v>469</v>
      </c>
      <c r="D38" s="3" t="str">
        <f aca="false">IF(AND(B38&gt;=20000*0.9,B38&lt;=25000*1.1),"OK (within guide +/-10%)","FLAG: outside guide")</f>
        <v>FLAG: outside guide</v>
      </c>
      <c r="E38" s="22" t="s">
        <v>470</v>
      </c>
    </row>
    <row r="39" customFormat="false" ht="15" hidden="false" customHeight="false" outlineLevel="0" collapsed="false">
      <c r="A39" s="0" t="s">
        <v>471</v>
      </c>
      <c r="B39" s="33" t="n">
        <f aca="false">V_EVBullS</f>
        <v>125122.521479841</v>
      </c>
      <c r="C39" s="44" t="n">
        <f aca="false">3*V_EVBaseS</f>
        <v>23563.7703990647</v>
      </c>
      <c r="D39" s="3" t="str">
        <f aca="false">IF(V_EVBaseS=0,"run snap.py",IF(B39&gt;C39,"FLAG: bull EV &gt; 3x base - review bull drivers","OK"))</f>
        <v>FLAG: bull EV &gt; 3x base - review bull drivers</v>
      </c>
      <c r="E39" s="22" t="s">
        <v>472</v>
      </c>
    </row>
    <row r="40" customFormat="false" ht="15" hidden="false" customHeight="false" outlineLevel="0" collapsed="false">
      <c r="A40" s="0" t="s">
        <v>473</v>
      </c>
      <c r="B40" s="49" t="n">
        <f aca="false">MAX(ABS(V_UtBullS-V_UtBaseS),ABS(V_UtBearS-V_UtBaseS))</f>
        <v>0</v>
      </c>
      <c r="C40" s="50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2"/>
    </row>
    <row r="41" customFormat="false" ht="15" hidden="false" customHeight="false" outlineLevel="0" collapsed="false">
      <c r="A41" s="0" t="s">
        <v>474</v>
      </c>
      <c r="B41" s="55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56" t="s">
        <v>475</v>
      </c>
      <c r="D41" s="3" t="str">
        <f aca="false">IF(AND(B41&gt;=0.72,B41&lt;=0.8),"OK: within GPU Market range",IF(B41&lt;0.72,"INFO: below range","FLAG: above range"))</f>
        <v>OK: within GPU Market range</v>
      </c>
      <c r="E41" s="22" t="s">
        <v>476</v>
      </c>
    </row>
    <row r="42" customFormat="false" ht="15" hidden="false" customHeight="false" outlineLevel="0" collapsed="false">
      <c r="A42" s="0" t="s">
        <v>477</v>
      </c>
      <c r="B42" s="30" t="n">
        <f aca="false">IF(NewDealOn=1,RM_ND,RM_GB300)</f>
        <v>16.69175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2" t="s">
        <v>478</v>
      </c>
    </row>
    <row r="43" customFormat="false" ht="15" hidden="false" customHeight="false" outlineLevel="0" collapsed="false">
      <c r="A43" s="0" t="s">
        <v>479</v>
      </c>
      <c r="B43" s="30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2" t="s">
        <v>480</v>
      </c>
    </row>
    <row r="44" customFormat="false" ht="15" hidden="false" customHeight="false" outlineLevel="0" collapsed="false">
      <c r="A44" s="0" t="s">
        <v>481</v>
      </c>
      <c r="B44" s="33" t="n">
        <f aca="false">SUMPRODUCT((Q_Idx&gt;LastHist)*(Q_Idx&lt;=LastHist+8)*AI_Model)-RPO_Tot*RPO24Pct</f>
        <v>4276.84306869685</v>
      </c>
      <c r="C44" s="44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24% of window revenue unsold at 6/30 (~131 of avg 545 active MW, revenue-weighted); sold share of new 2027+ MW 52%</v>
      </c>
      <c r="E44" s="22" t="s">
        <v>482</v>
      </c>
    </row>
    <row r="45" customFormat="false" ht="15" hidden="false" customHeight="false" outlineLevel="0" collapsed="false">
      <c r="A45" s="0" t="s">
        <v>483</v>
      </c>
      <c r="B45" s="33" t="n">
        <f aca="false">RPO_Tot*RPO24Pct-DR_24</f>
        <v>11246.4</v>
      </c>
      <c r="C45" s="44" t="s">
        <v>484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13,948</v>
      </c>
      <c r="E45" s="22" t="s">
        <v>485</v>
      </c>
    </row>
    <row r="46" customFormat="false" ht="15" hidden="false" customHeight="false" outlineLevel="0" collapsed="false">
      <c r="A46" s="0" t="s">
        <v>486</v>
      </c>
      <c r="B46" s="30" t="n">
        <f aca="false">PB_GB_IT</f>
        <v>40.0565217391304</v>
      </c>
      <c r="C46" s="16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38 / bear 53 mo; IRR GB300 IT 18%, Rubin base 20%; IT fits 22 only at ~$32M capex, or if prepayments counted (implied rev 16.8)</v>
      </c>
      <c r="E46" s="22" t="s">
        <v>487</v>
      </c>
    </row>
    <row r="47" customFormat="false" ht="15" hidden="false" customHeight="false" outlineLevel="0" collapsed="false">
      <c r="A47" s="0" t="s">
        <v>488</v>
      </c>
      <c r="B47" s="30" t="n">
        <f aca="false">PB_EBGB</f>
        <v>11.5</v>
      </c>
      <c r="C47" s="16" t="n">
        <f aca="false">PB_EBRubin</f>
        <v>13.5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13.5 (17%); Rubin leased capex 41.1 (low-medium confidence)</v>
      </c>
      <c r="E47" s="22" t="s">
        <v>489</v>
      </c>
    </row>
    <row r="48" customFormat="false" ht="15" hidden="false" customHeight="false" outlineLevel="0" collapsed="false">
      <c r="A48" s="0" t="s">
        <v>490</v>
      </c>
      <c r="B48" s="33" t="n">
        <f aca="false">V_EV</f>
        <v>7854.59013302158</v>
      </c>
      <c r="C48" s="44" t="n">
        <f aca="false">PF_EV</f>
        <v>5568.83612056339</v>
      </c>
      <c r="D48" s="3" t="str">
        <f aca="false">IF(B48&lt;C48,"FLAG: DCF EV below asset floor","OK: DCF EV above floor")&amp;"; equity floor $/sh (price-dependent FD count) "&amp;TEXT(PF_PS1,"0.0")&amp;" cons / "&amp;TEXT(PF_PS2,"0.0")&amp;" mark / "&amp;TEXT(PF_PS3,"0.0")&amp;" high"</f>
        <v>OK: DCF EV above floor; equity floor $/sh (price-dependent FD count) 16.6 cons / 25.2 mark / 39.4 high</v>
      </c>
      <c r="E48" s="22" t="s">
        <v>491</v>
      </c>
    </row>
    <row r="49" customFormat="false" ht="15" hidden="false" customHeight="false" outlineLevel="0" collapsed="false">
      <c r="A49" s="0" t="s">
        <v>492</v>
      </c>
      <c r="B49" s="24" t="n">
        <f aca="false">0</f>
        <v>0</v>
      </c>
      <c r="C49" s="51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2" t="s">
        <v>493</v>
      </c>
    </row>
    <row r="50" customFormat="false" ht="15" hidden="false" customHeight="false" outlineLevel="0" collapsed="false">
      <c r="A50" s="0" t="s">
        <v>494</v>
      </c>
      <c r="B50" s="33" t="n">
        <f aca="false">V_DRAdj</f>
        <v>-5508.72242389994</v>
      </c>
      <c r="C50" s="44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2" t="s">
        <v>495</v>
      </c>
    </row>
    <row r="51" customFormat="false" ht="15" hidden="false" customHeight="false" outlineLevel="0" collapsed="false">
      <c r="A51" s="0" t="s">
        <v>496</v>
      </c>
      <c r="B51" s="27" t="n">
        <f aca="false">SUM(CF_Prepay)/SUMPRODUCT((Q_Idx&gt;LastHist)*CapNew)</f>
        <v>0.192160957045307</v>
      </c>
      <c r="C51" s="46" t="s">
        <v>455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2"/>
    </row>
    <row r="52" customFormat="false" ht="15" hidden="false" customHeight="false" outlineLevel="0" collapsed="false">
      <c r="A52" s="0" t="s">
        <v>497</v>
      </c>
      <c r="B52" s="24" t="n">
        <f aca="false">0</f>
        <v>0</v>
      </c>
      <c r="C52" s="51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2" t="s">
        <v>498</v>
      </c>
    </row>
    <row r="53" customFormat="false" ht="15" hidden="false" customHeight="false" outlineLevel="0" collapsed="false">
      <c r="A53" s="0" t="s">
        <v>499</v>
      </c>
      <c r="B53" s="33" t="n">
        <f aca="false">INDEX(GPU_End,1,5)</f>
        <v>30000</v>
      </c>
      <c r="C53" s="44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2" t="s">
        <v>500</v>
      </c>
    </row>
    <row r="54" customFormat="false" ht="15" hidden="false" customHeight="false" outlineLevel="0" collapsed="false">
      <c r="A54" s="0" t="s">
        <v>501</v>
      </c>
      <c r="B54" s="23" t="n">
        <f aca="false">Rubin_Prem</f>
        <v>1.2</v>
      </c>
      <c r="C54" s="15" t="n">
        <f aca="false">GPUMW_B/GPUMW_N</f>
        <v>1.5625</v>
      </c>
      <c r="D54" s="3" t="str">
        <f aca="false">IF(ABS(B54-C54)&lt;0.01,"INFO: at parity (OPEN input, no public Rubin price)",IF(B54&lt;C54,"INFO: Rubin revenue/MW below GB300","INFO: Rubin revenue/MW above GB300"))</f>
        <v>INFO: Rubin revenue/MW below GB300</v>
      </c>
      <c r="E54" s="22" t="s">
        <v>502</v>
      </c>
    </row>
    <row r="55" customFormat="false" ht="15" hidden="false" customHeight="false" outlineLevel="0" collapsed="false">
      <c r="A55" s="0" t="s">
        <v>503</v>
      </c>
      <c r="B55" s="24" t="n">
        <f aca="false">HistMWBasis</f>
        <v>1</v>
      </c>
      <c r="C55" s="51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2" t="s">
        <v>504</v>
      </c>
    </row>
    <row r="56" customFormat="false" ht="15" hidden="false" customHeight="false" outlineLevel="0" collapsed="false">
      <c r="A56" s="0" t="s">
        <v>505</v>
      </c>
      <c r="B56" s="33" t="n">
        <f aca="false">ARR_Step</f>
        <v>88</v>
      </c>
      <c r="C56" s="44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2"/>
    </row>
    <row r="57" customFormat="false" ht="15" hidden="false" customHeight="false" outlineLevel="0" collapsed="false">
      <c r="A57" s="0" t="s">
        <v>506</v>
      </c>
      <c r="B57" s="33" t="n">
        <f aca="false">V_EV</f>
        <v>7854.59013302158</v>
      </c>
      <c r="C57" s="44" t="n">
        <v>0</v>
      </c>
      <c r="D57" s="3" t="str">
        <f aca="false">IF(B57&lt;0,"FLAG: EV&lt;0; FD value/share floored at 0","OK")</f>
        <v>OK</v>
      </c>
      <c r="E57" s="22"/>
    </row>
    <row r="58" customFormat="false" ht="15" hidden="false" customHeight="false" outlineLevel="0" collapsed="false">
      <c r="A58" s="0" t="s">
        <v>507</v>
      </c>
      <c r="B58" s="33" t="n">
        <f aca="false">V_TV</f>
        <v>83229.5803584505</v>
      </c>
      <c r="C58" s="44" t="n">
        <f aca="false">V_TVB</f>
        <v>83229.5803584505</v>
      </c>
      <c r="D58" s="3" t="str">
        <f aca="false">V_TVBasis</f>
        <v>Going concern</v>
      </c>
      <c r="E58" s="22" t="s">
        <v>508</v>
      </c>
    </row>
    <row r="59" customFormat="false" ht="15" hidden="false" customHeight="false" outlineLevel="0" collapsed="false">
      <c r="A59" s="0" t="s">
        <v>509</v>
      </c>
      <c r="B59" s="31" t="str">
        <f aca="false">Liq_NegQ</f>
        <v>Q3'27</v>
      </c>
      <c r="C59" s="53" t="s">
        <v>510</v>
      </c>
      <c r="D59" s="3" t="str">
        <f aca="false">"INFO"</f>
        <v>INFO</v>
      </c>
      <c r="E59" s="22"/>
    </row>
    <row r="60" customFormat="false" ht="15" hidden="false" customHeight="false" outlineLevel="0" collapsed="false">
      <c r="A60" s="0" t="s">
        <v>511</v>
      </c>
      <c r="B60" s="33" t="n">
        <f aca="false">SUM(Liq_Aug)</f>
        <v>5750</v>
      </c>
      <c r="C60" s="44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2" t="s">
        <v>512</v>
      </c>
    </row>
    <row r="61" customFormat="false" ht="15" hidden="false" customHeight="false" outlineLevel="0" collapsed="false">
      <c r="A61" s="0" t="s">
        <v>513</v>
      </c>
      <c r="B61" s="33" t="n">
        <f aca="false">SecAmt*LoanOn</f>
        <v>0</v>
      </c>
      <c r="C61" s="44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2" t="s">
        <v>514</v>
      </c>
    </row>
    <row r="62" customFormat="false" ht="15" hidden="false" customHeight="false" outlineLevel="0" collapsed="false">
      <c r="A62" s="0" t="s">
        <v>515</v>
      </c>
      <c r="B62" s="33" t="n">
        <f aca="false">MIN(INDEX(Liq,1,11):INDEX(Liq,1,16))</f>
        <v>-4956.48323642636</v>
      </c>
      <c r="C62" s="44" t="n">
        <f aca="false">MinCash</f>
        <v>2000</v>
      </c>
      <c r="D62" s="3" t="str">
        <f aca="false">IF(FP_On=0,"INFO: plan off",IF(B62&gt;=C62,"OK: gap through YE27 closed","FLAG: plan does not close the FY27 gap"))&amp;"; min to Q4'30 "&amp;TEXT(MIN(Liq),"#,##0")</f>
        <v>FLAG: plan does not close the FY27 gap; min to Q4'30 -37,200</v>
      </c>
      <c r="E62" s="22" t="s">
        <v>516</v>
      </c>
    </row>
    <row r="63" customFormat="false" ht="15" hidden="false" customHeight="false" outlineLevel="0" collapsed="false">
      <c r="A63" s="0" t="s">
        <v>517</v>
      </c>
      <c r="B63" s="33" t="n">
        <f aca="false">SUMPRODUCT((147&gt;Valuation!$H$80:$H$91)*Valuation!$E$80:$E$91)</f>
        <v>3337.5</v>
      </c>
      <c r="C63" s="44" t="n">
        <v>3337.5</v>
      </c>
      <c r="D63" s="3" t="str">
        <f aca="false">IF(ABS(B63-C63)&lt;5,"OK","CHECK")&amp;"; shares "&amp;TEXT(SUMPRODUCT((147&gt;Valuation!$H$80:$H$91)*Valuation!$E$80:$E$91*Valuation!$G$80:$G$91)/1000,"0.0")&amp;"M; at $46 debt "&amp;TEXT(SUMPRODUCT((46&lt;=Valuation!$H$80:$H$91)*Valuation!$E$80:$E$91),"#,##0")</f>
        <v>OK; shares 26.2M; at $46 debt 13,425</v>
      </c>
      <c r="E63" s="22" t="s">
        <v>518</v>
      </c>
    </row>
    <row r="64" customFormat="false" ht="15" hidden="false" customHeight="false" outlineLevel="0" collapsed="false">
      <c r="A64" s="0" t="s">
        <v>519</v>
      </c>
      <c r="B64" s="36" t="n">
        <f aca="false">V_SHF</f>
        <v>327.195752</v>
      </c>
      <c r="C64" s="54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+12.3M (ATM 12.3M); full-conv 327.2 / NSS 327.2; value/share pre 0.0 -&gt; post 2.0</v>
      </c>
      <c r="E64" s="22"/>
    </row>
    <row r="65" customFormat="false" ht="15" hidden="false" customHeight="false" outlineLevel="0" collapsed="false">
      <c r="A65" s="0" t="s">
        <v>520</v>
      </c>
      <c r="B65" s="36" t="n">
        <f aca="false">V_SHFFull-V_SHFull+SUM(CF_EqSh)</f>
        <v>98.1216364538248</v>
      </c>
      <c r="C65" s="54" t="n">
        <f aca="false">AuthPct*(AuthBase+V_SHFFull-V_SHFull+SUM(CF_EqSh))</f>
        <v>84.024327290765</v>
      </c>
      <c r="D65" s="3" t="str">
        <f aca="false">IF(V_SHFFull-V_SHFull+SUM(CF_EqSh)&lt;=AuthPct*(AuthBase+V_SHFFull-V_SHFull+SUM(CF_EqSh)),"OK: within base authority","INFO: above base authority - needs treasury shares / EGM approval (not a model cap)")</f>
        <v>INFO: above base authority - needs treasury shares / EGM approval (not a model cap)</v>
      </c>
      <c r="E65" s="22"/>
    </row>
    <row r="66" customFormat="false" ht="15" hidden="false" customHeight="false" outlineLevel="0" collapsed="false">
      <c r="A66" s="0" t="s">
        <v>521</v>
      </c>
      <c r="B66" s="47" t="n">
        <f aca="false">V_BASIC</f>
        <v>308.691154</v>
      </c>
      <c r="C66" s="48" t="n">
        <f aca="false">271.855218+ExchShares+NVDA_W</f>
        <v>308.691154</v>
      </c>
      <c r="D66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6" s="22"/>
    </row>
    <row r="67" customFormat="false" ht="15" hidden="false" customHeight="false" outlineLevel="0" collapsed="false">
      <c r="A67" s="0" t="s">
        <v>522</v>
      </c>
      <c r="B67" s="24" t="n">
        <f aca="false">CapIntFix</f>
        <v>1</v>
      </c>
      <c r="C67" s="51" t="n">
        <f aca="false">1</f>
        <v>1</v>
      </c>
      <c r="D67" s="3" t="str">
        <f aca="false">IF(CapIntFix=1,"OK","FLAG: capitalized interest flows into UFCF tax")</f>
        <v>OK</v>
      </c>
      <c r="E67" s="22"/>
    </row>
    <row r="68" customFormat="false" ht="15" hidden="false" customHeight="false" outlineLevel="0" collapsed="false">
      <c r="A68" s="0" t="s">
        <v>523</v>
      </c>
      <c r="B68" s="33" t="n">
        <f aca="false">V_AV</f>
        <v>0</v>
      </c>
      <c r="C68" s="44" t="n">
        <f aca="false">V_AVAdd</f>
        <v>0</v>
      </c>
      <c r="D68" s="3" t="str">
        <f aca="false">IF(V_AV=0,"OK: Avride $0, burn kept in EBITDA",IF(V_AVAdd&gt;0,"OK: burn added back (no double count)","FLAG: double count"))</f>
        <v>OK: Avride $0, burn kept in EBITDA</v>
      </c>
      <c r="E68" s="22"/>
    </row>
    <row r="69" customFormat="false" ht="15" hidden="false" customHeight="false" outlineLevel="0" collapsed="false">
      <c r="A69" s="0" t="s">
        <v>524</v>
      </c>
      <c r="B69" s="24" t="n">
        <f aca="false">RedSites</f>
        <v>5</v>
      </c>
      <c r="C69" s="51"/>
      <c r="D69" s="3" t="str">
        <f aca="false">"INFO"</f>
        <v>INFO</v>
      </c>
      <c r="E69" s="22"/>
    </row>
    <row r="70" customFormat="false" ht="15" hidden="false" customHeight="false" outlineLevel="0" collapsed="false">
      <c r="A70" s="0" t="s">
        <v>525</v>
      </c>
      <c r="B70" s="33" t="n">
        <f aca="false">SUMIF(Q_Yr,2027,PL_EBIT)</f>
        <v>-1606.96308130411</v>
      </c>
      <c r="C70" s="44" t="n">
        <f aca="false">CHOOSE(MATCH(Life_B,{4,5,6},1),SkEBIT4,SkEBIT5,SkEBIT6)</f>
        <v>1980</v>
      </c>
      <c r="D70" s="3" t="str">
        <f aca="false">"INFO"</f>
        <v>INFO</v>
      </c>
      <c r="E70" s="22" t="s">
        <v>526</v>
      </c>
    </row>
  </sheetData>
  <conditionalFormatting sqref="D4:D71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527</v>
      </c>
    </row>
    <row r="2" customFormat="false" ht="15" hidden="false" customHeight="false" outlineLevel="0" collapsed="false">
      <c r="A2" s="22" t="s">
        <v>528</v>
      </c>
    </row>
    <row r="4" customFormat="false" ht="15" hidden="false" customHeight="false" outlineLevel="0" collapsed="false">
      <c r="A4" s="3" t="s">
        <v>529</v>
      </c>
      <c r="D4" s="57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42" t="s">
        <v>530</v>
      </c>
      <c r="B6" s="42" t="s">
        <v>531</v>
      </c>
      <c r="C6" s="42" t="s">
        <v>102</v>
      </c>
      <c r="D6" s="42" t="s">
        <v>532</v>
      </c>
      <c r="E6" s="42" t="s">
        <v>103</v>
      </c>
      <c r="F6" s="42" t="s">
        <v>533</v>
      </c>
      <c r="G6" s="42"/>
      <c r="H6" s="42"/>
      <c r="I6" s="42"/>
      <c r="J6" s="42" t="s">
        <v>534</v>
      </c>
      <c r="K6" s="42" t="s">
        <v>413</v>
      </c>
      <c r="L6" s="42" t="s">
        <v>535</v>
      </c>
    </row>
    <row r="7" customFormat="false" ht="15" hidden="false" customHeight="false" outlineLevel="0" collapsed="false">
      <c r="A7" s="58" t="s">
        <v>536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customFormat="false" ht="15" hidden="false" customHeight="false" outlineLevel="0" collapsed="false">
      <c r="A8" s="0" t="s">
        <v>537</v>
      </c>
      <c r="B8" s="22" t="s">
        <v>538</v>
      </c>
      <c r="C8" s="0" t="s">
        <v>539</v>
      </c>
      <c r="D8" s="60" t="n">
        <v>46299</v>
      </c>
      <c r="E8" s="0" t="s">
        <v>539</v>
      </c>
      <c r="F8" s="61" t="n">
        <f aca="false">D8</f>
        <v>46299</v>
      </c>
      <c r="J8" s="22" t="s">
        <v>540</v>
      </c>
      <c r="K8" s="22" t="s">
        <v>541</v>
      </c>
      <c r="L8" s="22" t="s">
        <v>542</v>
      </c>
    </row>
    <row r="9" customFormat="false" ht="15" hidden="false" customHeight="false" outlineLevel="0" collapsed="false">
      <c r="A9" s="0" t="s">
        <v>543</v>
      </c>
      <c r="B9" s="22" t="s">
        <v>544</v>
      </c>
      <c r="C9" s="0" t="s">
        <v>539</v>
      </c>
      <c r="D9" s="28" t="n">
        <v>10</v>
      </c>
      <c r="E9" s="0" t="s">
        <v>539</v>
      </c>
      <c r="F9" s="62" t="n">
        <f aca="false">D9</f>
        <v>10</v>
      </c>
      <c r="J9" s="22" t="s">
        <v>540</v>
      </c>
      <c r="K9" s="22" t="s">
        <v>541</v>
      </c>
      <c r="L9" s="22" t="s">
        <v>545</v>
      </c>
    </row>
    <row r="10" customFormat="false" ht="15" hidden="false" customHeight="false" outlineLevel="0" collapsed="false">
      <c r="A10" s="0" t="s">
        <v>546</v>
      </c>
      <c r="B10" s="22" t="s">
        <v>547</v>
      </c>
      <c r="C10" s="0" t="s">
        <v>539</v>
      </c>
      <c r="D10" s="28" t="n">
        <v>2023</v>
      </c>
      <c r="E10" s="0" t="s">
        <v>539</v>
      </c>
      <c r="F10" s="62" t="n">
        <f aca="false">D10</f>
        <v>2023</v>
      </c>
      <c r="J10" s="22" t="s">
        <v>540</v>
      </c>
      <c r="K10" s="22" t="s">
        <v>541</v>
      </c>
      <c r="L10" s="22" t="s">
        <v>548</v>
      </c>
    </row>
    <row r="11" customFormat="false" ht="15" hidden="false" customHeight="false" outlineLevel="0" collapsed="false">
      <c r="A11" s="0" t="s">
        <v>549</v>
      </c>
      <c r="B11" s="22" t="s">
        <v>550</v>
      </c>
      <c r="C11" s="0" t="s">
        <v>539</v>
      </c>
      <c r="D11" s="63" t="n">
        <v>242.81</v>
      </c>
      <c r="E11" s="0" t="s">
        <v>539</v>
      </c>
      <c r="F11" s="64" t="n">
        <f aca="false">D11</f>
        <v>242.81</v>
      </c>
      <c r="J11" s="22" t="s">
        <v>551</v>
      </c>
      <c r="K11" s="22" t="s">
        <v>552</v>
      </c>
      <c r="L11" s="22" t="s">
        <v>553</v>
      </c>
    </row>
    <row r="12" customFormat="false" ht="15" hidden="false" customHeight="false" outlineLevel="0" collapsed="false">
      <c r="A12" s="0" t="s">
        <v>554</v>
      </c>
      <c r="B12" s="22" t="s">
        <v>544</v>
      </c>
      <c r="C12" s="0" t="s">
        <v>539</v>
      </c>
      <c r="D12" s="28" t="n">
        <v>2</v>
      </c>
      <c r="E12" s="0" t="s">
        <v>539</v>
      </c>
      <c r="F12" s="62" t="n">
        <f aca="false">D12</f>
        <v>2</v>
      </c>
      <c r="J12" s="22" t="s">
        <v>540</v>
      </c>
      <c r="K12" s="22" t="s">
        <v>541</v>
      </c>
      <c r="L12" s="22" t="s">
        <v>555</v>
      </c>
    </row>
    <row r="13" customFormat="false" ht="15" hidden="false" customHeight="false" outlineLevel="0" collapsed="false">
      <c r="A13" s="0" t="s">
        <v>556</v>
      </c>
      <c r="B13" s="22" t="s">
        <v>557</v>
      </c>
      <c r="C13" s="29" t="n">
        <v>1</v>
      </c>
      <c r="D13" s="29" t="n">
        <v>1</v>
      </c>
      <c r="E13" s="29" t="n">
        <v>1</v>
      </c>
      <c r="F13" s="62" t="n">
        <f aca="false">CHOOSE(Scen,C13,D13,E13)</f>
        <v>1</v>
      </c>
      <c r="J13" s="22" t="s">
        <v>558</v>
      </c>
      <c r="K13" s="22" t="s">
        <v>559</v>
      </c>
      <c r="L13" s="22" t="s">
        <v>560</v>
      </c>
    </row>
    <row r="14" customFormat="false" ht="15" hidden="false" customHeight="false" outlineLevel="0" collapsed="false">
      <c r="A14" s="0" t="s">
        <v>561</v>
      </c>
      <c r="B14" s="22" t="s">
        <v>544</v>
      </c>
      <c r="C14" s="0" t="s">
        <v>539</v>
      </c>
      <c r="D14" s="28" t="n">
        <v>3</v>
      </c>
      <c r="E14" s="0" t="s">
        <v>539</v>
      </c>
      <c r="F14" s="62" t="n">
        <f aca="false">D14</f>
        <v>3</v>
      </c>
      <c r="J14" s="22" t="s">
        <v>540</v>
      </c>
      <c r="K14" s="22" t="s">
        <v>541</v>
      </c>
      <c r="L14" s="22" t="s">
        <v>562</v>
      </c>
    </row>
    <row r="15" customFormat="false" ht="15" hidden="false" customHeight="false" outlineLevel="0" collapsed="false">
      <c r="A15" s="0" t="s">
        <v>563</v>
      </c>
      <c r="B15" s="22" t="s">
        <v>564</v>
      </c>
      <c r="C15" s="0" t="s">
        <v>539</v>
      </c>
      <c r="D15" s="26" t="n">
        <v>42</v>
      </c>
      <c r="E15" s="0" t="s">
        <v>539</v>
      </c>
      <c r="F15" s="65" t="n">
        <f aca="false">D15</f>
        <v>42</v>
      </c>
      <c r="J15" s="22" t="s">
        <v>558</v>
      </c>
      <c r="K15" s="22" t="s">
        <v>559</v>
      </c>
      <c r="L15" s="22" t="s">
        <v>565</v>
      </c>
    </row>
    <row r="16" customFormat="false" ht="15" hidden="false" customHeight="false" outlineLevel="0" collapsed="false">
      <c r="A16" s="0" t="s">
        <v>566</v>
      </c>
      <c r="B16" s="22" t="s">
        <v>567</v>
      </c>
      <c r="C16" s="0" t="s">
        <v>539</v>
      </c>
      <c r="D16" s="28" t="n">
        <v>1</v>
      </c>
      <c r="E16" s="0" t="s">
        <v>539</v>
      </c>
      <c r="F16" s="62" t="n">
        <f aca="false">D16</f>
        <v>1</v>
      </c>
      <c r="J16" s="22" t="s">
        <v>568</v>
      </c>
      <c r="K16" s="22" t="s">
        <v>541</v>
      </c>
      <c r="L16" s="22"/>
    </row>
    <row r="17" customFormat="false" ht="15" hidden="false" customHeight="false" outlineLevel="0" collapsed="false">
      <c r="A17" s="0" t="s">
        <v>569</v>
      </c>
      <c r="B17" s="22" t="s">
        <v>570</v>
      </c>
      <c r="C17" s="0" t="s">
        <v>539</v>
      </c>
      <c r="D17" s="66" t="n">
        <v>4.5</v>
      </c>
      <c r="E17" s="0" t="s">
        <v>539</v>
      </c>
      <c r="F17" s="6" t="n">
        <f aca="false">D17</f>
        <v>4.5</v>
      </c>
      <c r="J17" s="22" t="s">
        <v>558</v>
      </c>
      <c r="K17" s="22" t="s">
        <v>552</v>
      </c>
      <c r="L17" s="22" t="s">
        <v>571</v>
      </c>
    </row>
    <row r="18" customFormat="false" ht="15" hidden="false" customHeight="false" outlineLevel="0" collapsed="false">
      <c r="A18" s="0" t="s">
        <v>572</v>
      </c>
      <c r="B18" s="22" t="s">
        <v>573</v>
      </c>
      <c r="C18" s="0" t="s">
        <v>539</v>
      </c>
      <c r="D18" s="23" t="n">
        <f aca="false">491/72</f>
        <v>6.81944444444445</v>
      </c>
      <c r="E18" s="0" t="s">
        <v>539</v>
      </c>
      <c r="F18" s="6" t="n">
        <f aca="false">D18</f>
        <v>6.81944444444445</v>
      </c>
      <c r="J18" s="22" t="s">
        <v>558</v>
      </c>
      <c r="K18" s="22" t="s">
        <v>574</v>
      </c>
      <c r="L18" s="22" t="s">
        <v>575</v>
      </c>
    </row>
    <row r="19" customFormat="false" ht="15" hidden="false" customHeight="false" outlineLevel="0" collapsed="false">
      <c r="A19" s="0" t="s">
        <v>576</v>
      </c>
      <c r="B19" s="22" t="s">
        <v>577</v>
      </c>
      <c r="C19" s="0" t="s">
        <v>539</v>
      </c>
      <c r="D19" s="66" t="n">
        <v>6.1</v>
      </c>
      <c r="E19" s="0" t="s">
        <v>539</v>
      </c>
      <c r="F19" s="6" t="n">
        <f aca="false">D19</f>
        <v>6.1</v>
      </c>
      <c r="J19" s="22" t="s">
        <v>558</v>
      </c>
      <c r="K19" s="22" t="s">
        <v>574</v>
      </c>
      <c r="L19" s="22" t="s">
        <v>578</v>
      </c>
    </row>
    <row r="20" customFormat="false" ht="15" hidden="false" customHeight="false" outlineLevel="0" collapsed="false">
      <c r="A20" s="0" t="s">
        <v>579</v>
      </c>
      <c r="B20" s="22" t="s">
        <v>564</v>
      </c>
      <c r="C20" s="0" t="s">
        <v>539</v>
      </c>
      <c r="D20" s="30" t="n">
        <f aca="false">IF(RackOn=1,GB_Racks*GB_RackPx+GB_NetMW+CPM_SP,53)</f>
        <v>49.2875</v>
      </c>
      <c r="E20" s="0" t="s">
        <v>539</v>
      </c>
      <c r="F20" s="65" t="n">
        <f aca="false">D20</f>
        <v>49.2875</v>
      </c>
      <c r="J20" s="22" t="s">
        <v>558</v>
      </c>
      <c r="K20" s="22" t="s">
        <v>574</v>
      </c>
      <c r="L20" s="22" t="s">
        <v>580</v>
      </c>
    </row>
    <row r="21" customFormat="false" ht="15" hidden="false" customHeight="false" outlineLevel="0" collapsed="false">
      <c r="A21" s="0" t="s">
        <v>581</v>
      </c>
      <c r="B21" s="22" t="s">
        <v>564</v>
      </c>
      <c r="C21" s="26" t="n">
        <v>45.8</v>
      </c>
      <c r="D21" s="26" t="n">
        <v>52.6</v>
      </c>
      <c r="E21" s="26" t="n">
        <v>60.7</v>
      </c>
      <c r="F21" s="65" t="n">
        <f aca="false">CHOOSE(Scen,C21,D21,E21)</f>
        <v>52.6</v>
      </c>
      <c r="J21" s="22" t="s">
        <v>558</v>
      </c>
      <c r="K21" s="22" t="s">
        <v>559</v>
      </c>
      <c r="L21" s="22" t="s">
        <v>582</v>
      </c>
    </row>
    <row r="22" customFormat="false" ht="15" hidden="false" customHeight="false" outlineLevel="0" collapsed="false">
      <c r="A22" s="0" t="s">
        <v>583</v>
      </c>
      <c r="B22" s="22" t="s">
        <v>564</v>
      </c>
      <c r="C22" s="0" t="s">
        <v>539</v>
      </c>
      <c r="D22" s="26" t="n">
        <v>42</v>
      </c>
      <c r="E22" s="0" t="s">
        <v>539</v>
      </c>
      <c r="F22" s="65" t="n">
        <f aca="false">D22</f>
        <v>42</v>
      </c>
      <c r="J22" s="22" t="s">
        <v>558</v>
      </c>
      <c r="K22" s="22" t="s">
        <v>559</v>
      </c>
      <c r="L22" s="22" t="s">
        <v>584</v>
      </c>
    </row>
    <row r="23" customFormat="false" ht="15" hidden="false" customHeight="false" outlineLevel="0" collapsed="false">
      <c r="A23" s="0" t="s">
        <v>585</v>
      </c>
      <c r="B23" s="22" t="s">
        <v>564</v>
      </c>
      <c r="C23" s="0" t="s">
        <v>539</v>
      </c>
      <c r="D23" s="26" t="n">
        <v>30</v>
      </c>
      <c r="E23" s="0" t="s">
        <v>539</v>
      </c>
      <c r="F23" s="65" t="n">
        <f aca="false">D23</f>
        <v>30</v>
      </c>
      <c r="J23" s="22" t="s">
        <v>558</v>
      </c>
      <c r="K23" s="22" t="s">
        <v>559</v>
      </c>
      <c r="L23" s="22" t="s">
        <v>586</v>
      </c>
    </row>
    <row r="24" customFormat="false" ht="15" hidden="false" customHeight="false" outlineLevel="0" collapsed="false">
      <c r="A24" s="0" t="s">
        <v>587</v>
      </c>
      <c r="B24" s="22" t="s">
        <v>564</v>
      </c>
      <c r="C24" s="0" t="s">
        <v>539</v>
      </c>
      <c r="D24" s="30" t="n">
        <f aca="false">IF(RackOn=1,GB_Racks*GB_RackPx+GB_NetMW,41)</f>
        <v>36.7875</v>
      </c>
      <c r="E24" s="0" t="s">
        <v>539</v>
      </c>
      <c r="F24" s="65" t="n">
        <f aca="false">D24</f>
        <v>36.7875</v>
      </c>
      <c r="J24" s="22" t="s">
        <v>558</v>
      </c>
      <c r="K24" s="22" t="s">
        <v>574</v>
      </c>
      <c r="L24" s="22" t="s">
        <v>588</v>
      </c>
    </row>
    <row r="25" customFormat="false" ht="15" hidden="false" customHeight="false" outlineLevel="0" collapsed="false">
      <c r="A25" s="0" t="s">
        <v>589</v>
      </c>
      <c r="B25" s="22" t="s">
        <v>564</v>
      </c>
      <c r="C25" s="26" t="n">
        <v>34.3</v>
      </c>
      <c r="D25" s="26" t="n">
        <v>41.1</v>
      </c>
      <c r="E25" s="26" t="n">
        <v>49.2</v>
      </c>
      <c r="F25" s="65" t="n">
        <f aca="false">CHOOSE(Scen,C25,D25,E25)</f>
        <v>41.1</v>
      </c>
      <c r="J25" s="22" t="s">
        <v>590</v>
      </c>
      <c r="K25" s="22" t="s">
        <v>559</v>
      </c>
      <c r="L25" s="22" t="s">
        <v>591</v>
      </c>
    </row>
    <row r="26" customFormat="false" ht="15" hidden="false" customHeight="false" outlineLevel="0" collapsed="false">
      <c r="A26" s="0" t="s">
        <v>592</v>
      </c>
      <c r="B26" s="22" t="s">
        <v>567</v>
      </c>
      <c r="C26" s="0" t="s">
        <v>539</v>
      </c>
      <c r="D26" s="28" t="n">
        <v>1</v>
      </c>
      <c r="E26" s="0" t="s">
        <v>539</v>
      </c>
      <c r="F26" s="62" t="n">
        <f aca="false">D26</f>
        <v>1</v>
      </c>
      <c r="J26" s="22" t="s">
        <v>540</v>
      </c>
      <c r="K26" s="22" t="s">
        <v>541</v>
      </c>
      <c r="L26" s="22" t="s">
        <v>593</v>
      </c>
    </row>
    <row r="27" customFormat="false" ht="15" hidden="false" customHeight="false" outlineLevel="0" collapsed="false">
      <c r="A27" s="0" t="s">
        <v>594</v>
      </c>
      <c r="B27" s="22" t="s">
        <v>595</v>
      </c>
      <c r="C27" s="0" t="s">
        <v>539</v>
      </c>
      <c r="D27" s="28" t="n">
        <v>2</v>
      </c>
      <c r="E27" s="0" t="s">
        <v>539</v>
      </c>
      <c r="F27" s="62" t="n">
        <f aca="false">D27</f>
        <v>2</v>
      </c>
      <c r="J27" s="22" t="s">
        <v>540</v>
      </c>
      <c r="K27" s="22" t="s">
        <v>541</v>
      </c>
      <c r="L27" s="22" t="s">
        <v>596</v>
      </c>
    </row>
    <row r="28" customFormat="false" ht="15" hidden="false" customHeight="false" outlineLevel="0" collapsed="false">
      <c r="A28" s="0" t="s">
        <v>597</v>
      </c>
      <c r="B28" s="22" t="s">
        <v>567</v>
      </c>
      <c r="C28" s="0" t="s">
        <v>539</v>
      </c>
      <c r="D28" s="28" t="n">
        <v>1</v>
      </c>
      <c r="E28" s="0" t="s">
        <v>539</v>
      </c>
      <c r="F28" s="62" t="n">
        <f aca="false">D28</f>
        <v>1</v>
      </c>
      <c r="J28" s="22" t="s">
        <v>540</v>
      </c>
      <c r="K28" s="22" t="s">
        <v>541</v>
      </c>
      <c r="L28" s="22" t="s">
        <v>598</v>
      </c>
    </row>
    <row r="29" customFormat="false" ht="15" hidden="false" customHeight="false" outlineLevel="0" collapsed="false">
      <c r="A29" s="0" t="s">
        <v>599</v>
      </c>
      <c r="B29" s="22" t="s">
        <v>600</v>
      </c>
      <c r="C29" s="0" t="s">
        <v>539</v>
      </c>
      <c r="D29" s="67" t="n">
        <v>0.75</v>
      </c>
      <c r="E29" s="0" t="s">
        <v>539</v>
      </c>
      <c r="F29" s="6" t="n">
        <f aca="false">D29</f>
        <v>0.75</v>
      </c>
      <c r="J29" s="22" t="s">
        <v>558</v>
      </c>
      <c r="K29" s="22" t="s">
        <v>601</v>
      </c>
      <c r="L29" s="22" t="s">
        <v>602</v>
      </c>
    </row>
    <row r="30" customFormat="false" ht="15" hidden="false" customHeight="false" outlineLevel="0" collapsed="false">
      <c r="A30" s="0" t="s">
        <v>603</v>
      </c>
      <c r="B30" s="22" t="s">
        <v>567</v>
      </c>
      <c r="C30" s="0" t="s">
        <v>539</v>
      </c>
      <c r="D30" s="28" t="n">
        <v>1</v>
      </c>
      <c r="E30" s="0" t="s">
        <v>539</v>
      </c>
      <c r="F30" s="62" t="n">
        <f aca="false">D30</f>
        <v>1</v>
      </c>
      <c r="J30" s="22" t="s">
        <v>604</v>
      </c>
      <c r="K30" s="22" t="s">
        <v>541</v>
      </c>
      <c r="L30" s="22"/>
    </row>
    <row r="31" customFormat="false" ht="15" hidden="false" customHeight="false" outlineLevel="0" collapsed="false">
      <c r="A31" s="0" t="s">
        <v>605</v>
      </c>
      <c r="B31" s="22" t="s">
        <v>577</v>
      </c>
      <c r="C31" s="0" t="s">
        <v>539</v>
      </c>
      <c r="D31" s="66" t="n">
        <v>1.6</v>
      </c>
      <c r="E31" s="0" t="s">
        <v>539</v>
      </c>
      <c r="F31" s="6" t="n">
        <f aca="false">D31</f>
        <v>1.6</v>
      </c>
      <c r="J31" s="22" t="s">
        <v>604</v>
      </c>
      <c r="K31" s="22" t="s">
        <v>574</v>
      </c>
      <c r="L31" s="22" t="s">
        <v>606</v>
      </c>
    </row>
    <row r="32" customFormat="false" ht="15" hidden="false" customHeight="false" outlineLevel="0" collapsed="false">
      <c r="A32" s="0" t="s">
        <v>607</v>
      </c>
      <c r="B32" s="22" t="s">
        <v>544</v>
      </c>
      <c r="C32" s="0" t="s">
        <v>539</v>
      </c>
      <c r="D32" s="28" t="n">
        <v>2</v>
      </c>
      <c r="E32" s="0" t="s">
        <v>539</v>
      </c>
      <c r="F32" s="62" t="n">
        <f aca="false">D32</f>
        <v>2</v>
      </c>
      <c r="J32" s="22" t="s">
        <v>604</v>
      </c>
      <c r="K32" s="22" t="s">
        <v>574</v>
      </c>
      <c r="L32" s="22" t="s">
        <v>608</v>
      </c>
    </row>
    <row r="33" customFormat="false" ht="15" hidden="false" customHeight="false" outlineLevel="0" collapsed="false">
      <c r="A33" s="0" t="s">
        <v>609</v>
      </c>
      <c r="B33" s="22" t="s">
        <v>610</v>
      </c>
      <c r="C33" s="0" t="s">
        <v>539</v>
      </c>
      <c r="D33" s="68" t="n">
        <v>1200</v>
      </c>
      <c r="E33" s="0" t="s">
        <v>539</v>
      </c>
      <c r="F33" s="5" t="n">
        <f aca="false">D33</f>
        <v>1200</v>
      </c>
      <c r="J33" s="22" t="s">
        <v>604</v>
      </c>
      <c r="K33" s="22" t="s">
        <v>574</v>
      </c>
      <c r="L33" s="22" t="s">
        <v>611</v>
      </c>
    </row>
    <row r="34" customFormat="false" ht="15" hidden="false" customHeight="false" outlineLevel="0" collapsed="false">
      <c r="A34" s="0" t="s">
        <v>612</v>
      </c>
      <c r="B34" s="22" t="s">
        <v>613</v>
      </c>
      <c r="C34" s="0" t="s">
        <v>539</v>
      </c>
      <c r="D34" s="68" t="n">
        <v>4500</v>
      </c>
      <c r="E34" s="0" t="s">
        <v>539</v>
      </c>
      <c r="F34" s="5" t="n">
        <f aca="false">D34</f>
        <v>4500</v>
      </c>
      <c r="J34" s="22" t="s">
        <v>604</v>
      </c>
      <c r="K34" s="22" t="s">
        <v>574</v>
      </c>
      <c r="L34" s="22" t="s">
        <v>614</v>
      </c>
    </row>
    <row r="35" customFormat="false" ht="15" hidden="false" customHeight="false" outlineLevel="0" collapsed="false">
      <c r="A35" s="0" t="s">
        <v>615</v>
      </c>
      <c r="B35" s="22" t="s">
        <v>616</v>
      </c>
      <c r="C35" s="0" t="s">
        <v>539</v>
      </c>
      <c r="D35" s="29" t="n">
        <v>20</v>
      </c>
      <c r="E35" s="0" t="s">
        <v>539</v>
      </c>
      <c r="F35" s="62" t="n">
        <f aca="false">D35</f>
        <v>20</v>
      </c>
      <c r="J35" s="22" t="s">
        <v>540</v>
      </c>
      <c r="K35" s="22" t="s">
        <v>559</v>
      </c>
      <c r="L35" s="22" t="s">
        <v>617</v>
      </c>
    </row>
    <row r="36" customFormat="false" ht="15" hidden="false" customHeight="false" outlineLevel="0" collapsed="false">
      <c r="A36" s="0" t="s">
        <v>618</v>
      </c>
      <c r="B36" s="22" t="s">
        <v>619</v>
      </c>
      <c r="C36" s="69" t="n">
        <v>0</v>
      </c>
      <c r="D36" s="69" t="n">
        <v>0</v>
      </c>
      <c r="E36" s="69" t="n">
        <v>0.25</v>
      </c>
      <c r="F36" s="43" t="n">
        <f aca="false">CHOOSE(Scen,C36,D36,E36)</f>
        <v>0</v>
      </c>
      <c r="J36" s="22" t="s">
        <v>604</v>
      </c>
      <c r="K36" s="22" t="s">
        <v>601</v>
      </c>
      <c r="L36" s="22" t="s">
        <v>620</v>
      </c>
    </row>
    <row r="37" customFormat="false" ht="15" hidden="false" customHeight="false" outlineLevel="0" collapsed="false">
      <c r="A37" s="0" t="s">
        <v>621</v>
      </c>
      <c r="B37" s="22" t="s">
        <v>567</v>
      </c>
      <c r="C37" s="0" t="s">
        <v>539</v>
      </c>
      <c r="D37" s="28" t="n">
        <v>1</v>
      </c>
      <c r="E37" s="0" t="s">
        <v>539</v>
      </c>
      <c r="F37" s="62" t="n">
        <f aca="false">D37</f>
        <v>1</v>
      </c>
      <c r="J37" s="22" t="s">
        <v>558</v>
      </c>
      <c r="K37" s="22" t="s">
        <v>541</v>
      </c>
      <c r="L37" s="22" t="s">
        <v>622</v>
      </c>
    </row>
    <row r="38" customFormat="false" ht="15" hidden="false" customHeight="false" outlineLevel="0" collapsed="false">
      <c r="A38" s="0" t="s">
        <v>623</v>
      </c>
      <c r="B38" s="22" t="s">
        <v>600</v>
      </c>
      <c r="C38" s="0" t="s">
        <v>539</v>
      </c>
      <c r="D38" s="70" t="n">
        <v>2.25</v>
      </c>
      <c r="E38" s="0" t="s">
        <v>539</v>
      </c>
      <c r="F38" s="6" t="n">
        <f aca="false">D38</f>
        <v>2.25</v>
      </c>
      <c r="J38" s="22" t="s">
        <v>558</v>
      </c>
      <c r="K38" s="22" t="s">
        <v>559</v>
      </c>
      <c r="L38" s="22" t="s">
        <v>624</v>
      </c>
    </row>
    <row r="39" customFormat="false" ht="15" hidden="false" customHeight="false" outlineLevel="0" collapsed="false">
      <c r="A39" s="0" t="s">
        <v>625</v>
      </c>
      <c r="B39" s="22" t="s">
        <v>619</v>
      </c>
      <c r="C39" s="40" t="n">
        <v>0.15</v>
      </c>
      <c r="D39" s="40" t="n">
        <v>0.15</v>
      </c>
      <c r="E39" s="40" t="n">
        <v>0</v>
      </c>
      <c r="F39" s="43" t="n">
        <f aca="false">CHOOSE(Scen,C39,D39,E39)</f>
        <v>0.15</v>
      </c>
      <c r="J39" s="22" t="s">
        <v>626</v>
      </c>
      <c r="K39" s="22" t="s">
        <v>559</v>
      </c>
      <c r="L39" s="22" t="s">
        <v>627</v>
      </c>
    </row>
    <row r="40" customFormat="false" ht="15" hidden="false" customHeight="false" outlineLevel="0" collapsed="false">
      <c r="A40" s="0" t="s">
        <v>628</v>
      </c>
      <c r="B40" s="22" t="s">
        <v>629</v>
      </c>
      <c r="C40" s="0" t="s">
        <v>539</v>
      </c>
      <c r="D40" s="29" t="n">
        <v>18</v>
      </c>
      <c r="E40" s="0" t="s">
        <v>539</v>
      </c>
      <c r="F40" s="62" t="n">
        <f aca="false">D40</f>
        <v>18</v>
      </c>
      <c r="J40" s="22" t="s">
        <v>558</v>
      </c>
      <c r="K40" s="22" t="s">
        <v>559</v>
      </c>
      <c r="L40" s="22" t="s">
        <v>630</v>
      </c>
    </row>
    <row r="41" customFormat="false" ht="15" hidden="false" customHeight="false" outlineLevel="0" collapsed="false">
      <c r="A41" s="0" t="s">
        <v>631</v>
      </c>
      <c r="B41" s="22" t="s">
        <v>567</v>
      </c>
      <c r="C41" s="0" t="s">
        <v>539</v>
      </c>
      <c r="D41" s="28" t="n">
        <v>1</v>
      </c>
      <c r="E41" s="0" t="s">
        <v>539</v>
      </c>
      <c r="F41" s="62" t="n">
        <f aca="false">D41</f>
        <v>1</v>
      </c>
      <c r="J41" s="22" t="s">
        <v>540</v>
      </c>
      <c r="K41" s="22" t="s">
        <v>541</v>
      </c>
      <c r="L41" s="22"/>
    </row>
    <row r="42" customFormat="false" ht="15" hidden="false" customHeight="false" outlineLevel="0" collapsed="false">
      <c r="A42" s="0" t="s">
        <v>632</v>
      </c>
      <c r="B42" s="22" t="s">
        <v>544</v>
      </c>
      <c r="C42" s="0" t="s">
        <v>539</v>
      </c>
      <c r="D42" s="28" t="n">
        <v>2</v>
      </c>
      <c r="E42" s="0" t="s">
        <v>539</v>
      </c>
      <c r="F42" s="62" t="n">
        <f aca="false">D42</f>
        <v>2</v>
      </c>
      <c r="J42" s="22" t="s">
        <v>558</v>
      </c>
      <c r="K42" s="22" t="s">
        <v>541</v>
      </c>
      <c r="L42" s="22" t="s">
        <v>633</v>
      </c>
    </row>
    <row r="43" customFormat="false" ht="15" hidden="false" customHeight="false" outlineLevel="0" collapsed="false">
      <c r="A43" s="0" t="s">
        <v>634</v>
      </c>
      <c r="B43" s="22" t="s">
        <v>635</v>
      </c>
      <c r="C43" s="0" t="s">
        <v>539</v>
      </c>
      <c r="D43" s="71" t="n">
        <v>322</v>
      </c>
      <c r="E43" s="0" t="s">
        <v>539</v>
      </c>
      <c r="F43" s="72" t="n">
        <f aca="false">D43</f>
        <v>322</v>
      </c>
      <c r="J43" s="22" t="s">
        <v>604</v>
      </c>
      <c r="K43" s="22" t="s">
        <v>552</v>
      </c>
      <c r="L43" s="22" t="s">
        <v>636</v>
      </c>
    </row>
    <row r="44" customFormat="false" ht="15" hidden="false" customHeight="false" outlineLevel="0" collapsed="false">
      <c r="A44" s="0" t="s">
        <v>637</v>
      </c>
      <c r="B44" s="22" t="s">
        <v>619</v>
      </c>
      <c r="C44" s="0" t="s">
        <v>539</v>
      </c>
      <c r="D44" s="73" t="n">
        <v>0.2</v>
      </c>
      <c r="E44" s="0" t="s">
        <v>539</v>
      </c>
      <c r="F44" s="43" t="n">
        <f aca="false">D44</f>
        <v>0.2</v>
      </c>
      <c r="J44" s="22" t="s">
        <v>604</v>
      </c>
      <c r="K44" s="22" t="s">
        <v>552</v>
      </c>
      <c r="L44" s="22" t="s">
        <v>638</v>
      </c>
    </row>
    <row r="45" customFormat="false" ht="15" hidden="false" customHeight="false" outlineLevel="0" collapsed="false">
      <c r="A45" s="0" t="s">
        <v>639</v>
      </c>
      <c r="B45" s="22" t="s">
        <v>567</v>
      </c>
      <c r="C45" s="0" t="s">
        <v>539</v>
      </c>
      <c r="D45" s="28" t="n">
        <v>1</v>
      </c>
      <c r="E45" s="0" t="s">
        <v>539</v>
      </c>
      <c r="F45" s="62" t="n">
        <f aca="false">D45</f>
        <v>1</v>
      </c>
      <c r="J45" s="22" t="s">
        <v>626</v>
      </c>
      <c r="K45" s="22" t="s">
        <v>541</v>
      </c>
      <c r="L45" s="22" t="s">
        <v>640</v>
      </c>
    </row>
    <row r="46" customFormat="false" ht="15" hidden="false" customHeight="false" outlineLevel="0" collapsed="false">
      <c r="A46" s="0" t="s">
        <v>641</v>
      </c>
      <c r="B46" s="22" t="s">
        <v>619</v>
      </c>
      <c r="C46" s="0" t="s">
        <v>539</v>
      </c>
      <c r="D46" s="73" t="n">
        <v>0.3</v>
      </c>
      <c r="E46" s="0" t="s">
        <v>539</v>
      </c>
      <c r="F46" s="43" t="n">
        <f aca="false">D46</f>
        <v>0.3</v>
      </c>
      <c r="J46" s="22" t="s">
        <v>604</v>
      </c>
      <c r="K46" s="22" t="s">
        <v>552</v>
      </c>
      <c r="L46" s="22" t="s">
        <v>642</v>
      </c>
    </row>
    <row r="47" customFormat="false" ht="15" hidden="false" customHeight="false" outlineLevel="0" collapsed="false">
      <c r="A47" s="0" t="s">
        <v>643</v>
      </c>
      <c r="B47" s="22" t="s">
        <v>644</v>
      </c>
      <c r="C47" s="0" t="s">
        <v>539</v>
      </c>
      <c r="D47" s="23" t="n">
        <f aca="false">(2*2.95+3.85)/3</f>
        <v>3.25</v>
      </c>
      <c r="E47" s="0" t="s">
        <v>539</v>
      </c>
      <c r="F47" s="6" t="n">
        <f aca="false">D47</f>
        <v>3.25</v>
      </c>
      <c r="J47" s="22" t="s">
        <v>626</v>
      </c>
      <c r="K47" s="22" t="s">
        <v>574</v>
      </c>
      <c r="L47" s="22" t="s">
        <v>645</v>
      </c>
    </row>
    <row r="48" customFormat="false" ht="15" hidden="false" customHeight="false" outlineLevel="0" collapsed="false">
      <c r="A48" s="0" t="s">
        <v>646</v>
      </c>
      <c r="B48" s="22" t="s">
        <v>647</v>
      </c>
      <c r="C48" s="0" t="s">
        <v>539</v>
      </c>
      <c r="D48" s="26" t="n">
        <v>13.3</v>
      </c>
      <c r="E48" s="0" t="s">
        <v>539</v>
      </c>
      <c r="F48" s="65" t="n">
        <f aca="false">D48</f>
        <v>13.3</v>
      </c>
      <c r="J48" s="22" t="s">
        <v>540</v>
      </c>
      <c r="K48" s="22" t="s">
        <v>559</v>
      </c>
      <c r="L48" s="22" t="s">
        <v>648</v>
      </c>
    </row>
    <row r="49" customFormat="false" ht="15" hidden="false" customHeight="false" outlineLevel="0" collapsed="false">
      <c r="A49" s="0" t="s">
        <v>649</v>
      </c>
      <c r="B49" s="22" t="s">
        <v>647</v>
      </c>
      <c r="C49" s="0" t="s">
        <v>539</v>
      </c>
      <c r="D49" s="26" t="n">
        <v>13.5</v>
      </c>
      <c r="E49" s="0" t="s">
        <v>539</v>
      </c>
      <c r="F49" s="65" t="n">
        <f aca="false">D49</f>
        <v>13.5</v>
      </c>
      <c r="J49" s="22" t="s">
        <v>540</v>
      </c>
      <c r="K49" s="22" t="s">
        <v>559</v>
      </c>
      <c r="L49" s="22"/>
    </row>
    <row r="50" customFormat="false" ht="15" hidden="false" customHeight="false" outlineLevel="0" collapsed="false">
      <c r="A50" s="0" t="s">
        <v>650</v>
      </c>
      <c r="B50" s="22" t="s">
        <v>613</v>
      </c>
      <c r="C50" s="0" t="s">
        <v>539</v>
      </c>
      <c r="D50" s="74" t="n">
        <v>650</v>
      </c>
      <c r="E50" s="0" t="s">
        <v>539</v>
      </c>
      <c r="F50" s="5" t="n">
        <f aca="false">D50</f>
        <v>650</v>
      </c>
      <c r="J50" s="22" t="s">
        <v>540</v>
      </c>
      <c r="K50" s="22" t="s">
        <v>559</v>
      </c>
      <c r="L50" s="22" t="s">
        <v>651</v>
      </c>
    </row>
    <row r="51" customFormat="false" ht="15" hidden="false" customHeight="false" outlineLevel="0" collapsed="false">
      <c r="A51" s="0" t="s">
        <v>652</v>
      </c>
      <c r="B51" s="22" t="s">
        <v>613</v>
      </c>
      <c r="C51" s="0" t="s">
        <v>539</v>
      </c>
      <c r="D51" s="74" t="n">
        <v>700</v>
      </c>
      <c r="E51" s="0" t="s">
        <v>539</v>
      </c>
      <c r="F51" s="5" t="n">
        <f aca="false">D51</f>
        <v>700</v>
      </c>
      <c r="J51" s="22" t="s">
        <v>540</v>
      </c>
      <c r="K51" s="22" t="s">
        <v>559</v>
      </c>
      <c r="L51" s="22"/>
    </row>
    <row r="52" customFormat="false" ht="15" hidden="false" customHeight="false" outlineLevel="0" collapsed="false">
      <c r="A52" s="0" t="s">
        <v>653</v>
      </c>
      <c r="B52" s="22" t="s">
        <v>619</v>
      </c>
      <c r="C52" s="0" t="s">
        <v>539</v>
      </c>
      <c r="D52" s="75" t="n">
        <f aca="false">13.98/23</f>
        <v>0.607826086956522</v>
      </c>
      <c r="E52" s="0" t="s">
        <v>539</v>
      </c>
      <c r="F52" s="76" t="n">
        <f aca="false">D52</f>
        <v>0.607826086956522</v>
      </c>
      <c r="J52" s="22" t="s">
        <v>551</v>
      </c>
      <c r="K52" s="22" t="s">
        <v>559</v>
      </c>
      <c r="L52" s="22" t="s">
        <v>654</v>
      </c>
    </row>
    <row r="53" customFormat="false" ht="15" hidden="false" customHeight="false" outlineLevel="0" collapsed="false">
      <c r="A53" s="0" t="s">
        <v>655</v>
      </c>
      <c r="B53" s="22" t="s">
        <v>619</v>
      </c>
      <c r="C53" s="0" t="s">
        <v>539</v>
      </c>
      <c r="D53" s="69" t="n">
        <v>0.62</v>
      </c>
      <c r="E53" s="0" t="s">
        <v>539</v>
      </c>
      <c r="F53" s="43" t="n">
        <f aca="false">D53</f>
        <v>0.62</v>
      </c>
      <c r="J53" s="22" t="s">
        <v>626</v>
      </c>
      <c r="K53" s="22" t="s">
        <v>601</v>
      </c>
      <c r="L53" s="22" t="s">
        <v>656</v>
      </c>
    </row>
    <row r="54" customFormat="false" ht="15" hidden="false" customHeight="false" outlineLevel="0" collapsed="false">
      <c r="A54" s="0" t="s">
        <v>657</v>
      </c>
      <c r="B54" s="22" t="s">
        <v>567</v>
      </c>
      <c r="C54" s="0" t="s">
        <v>539</v>
      </c>
      <c r="D54" s="28" t="n">
        <v>1</v>
      </c>
      <c r="E54" s="0" t="s">
        <v>539</v>
      </c>
      <c r="F54" s="62" t="n">
        <f aca="false">D54</f>
        <v>1</v>
      </c>
      <c r="J54" s="22" t="s">
        <v>540</v>
      </c>
      <c r="K54" s="22" t="s">
        <v>541</v>
      </c>
      <c r="L54" s="22" t="s">
        <v>658</v>
      </c>
    </row>
    <row r="55" customFormat="false" ht="15" hidden="false" customHeight="false" outlineLevel="0" collapsed="false">
      <c r="A55" s="0" t="s">
        <v>659</v>
      </c>
      <c r="B55" s="22" t="s">
        <v>567</v>
      </c>
      <c r="C55" s="0" t="s">
        <v>539</v>
      </c>
      <c r="D55" s="28" t="n">
        <v>1</v>
      </c>
      <c r="E55" s="0" t="s">
        <v>539</v>
      </c>
      <c r="F55" s="62" t="n">
        <f aca="false">D55</f>
        <v>1</v>
      </c>
      <c r="J55" s="22" t="s">
        <v>540</v>
      </c>
      <c r="K55" s="22" t="s">
        <v>541</v>
      </c>
      <c r="L55" s="22" t="s">
        <v>660</v>
      </c>
    </row>
    <row r="56" customFormat="false" ht="15" hidden="false" customHeight="false" outlineLevel="0" collapsed="false">
      <c r="A56" s="0" t="s">
        <v>661</v>
      </c>
      <c r="B56" s="22" t="s">
        <v>544</v>
      </c>
      <c r="C56" s="0" t="s">
        <v>539</v>
      </c>
      <c r="D56" s="28" t="n">
        <v>1</v>
      </c>
      <c r="E56" s="0" t="s">
        <v>539</v>
      </c>
      <c r="F56" s="62" t="n">
        <f aca="false">D56</f>
        <v>1</v>
      </c>
      <c r="J56" s="22" t="s">
        <v>590</v>
      </c>
      <c r="K56" s="22" t="s">
        <v>541</v>
      </c>
      <c r="L56" s="22" t="s">
        <v>662</v>
      </c>
    </row>
    <row r="57" customFormat="false" ht="15" hidden="false" customHeight="false" outlineLevel="0" collapsed="false">
      <c r="A57" s="0" t="s">
        <v>663</v>
      </c>
      <c r="B57" s="22" t="s">
        <v>664</v>
      </c>
      <c r="C57" s="0" t="s">
        <v>539</v>
      </c>
      <c r="D57" s="68" t="n">
        <v>190</v>
      </c>
      <c r="E57" s="0" t="s">
        <v>539</v>
      </c>
      <c r="F57" s="5" t="n">
        <f aca="false">D57</f>
        <v>190</v>
      </c>
      <c r="J57" s="22" t="s">
        <v>604</v>
      </c>
      <c r="K57" s="22" t="s">
        <v>574</v>
      </c>
      <c r="L57" s="22" t="s">
        <v>665</v>
      </c>
    </row>
    <row r="58" customFormat="false" ht="15" hidden="false" customHeight="false" outlineLevel="0" collapsed="false">
      <c r="A58" s="0" t="s">
        <v>666</v>
      </c>
      <c r="B58" s="22" t="s">
        <v>600</v>
      </c>
      <c r="C58" s="0" t="s">
        <v>539</v>
      </c>
      <c r="D58" s="70" t="n">
        <v>2.2</v>
      </c>
      <c r="E58" s="0" t="s">
        <v>539</v>
      </c>
      <c r="F58" s="6" t="n">
        <f aca="false">D58</f>
        <v>2.2</v>
      </c>
      <c r="J58" s="22" t="s">
        <v>558</v>
      </c>
      <c r="K58" s="22" t="s">
        <v>559</v>
      </c>
      <c r="L58" s="22" t="s">
        <v>667</v>
      </c>
    </row>
    <row r="59" customFormat="false" ht="15" hidden="false" customHeight="false" outlineLevel="0" collapsed="false">
      <c r="A59" s="0" t="s">
        <v>668</v>
      </c>
      <c r="B59" s="22" t="s">
        <v>613</v>
      </c>
      <c r="C59" s="0" t="s">
        <v>539</v>
      </c>
      <c r="D59" s="77" t="n">
        <v>0</v>
      </c>
      <c r="E59" s="0" t="s">
        <v>539</v>
      </c>
      <c r="F59" s="5" t="n">
        <f aca="false">D59</f>
        <v>0</v>
      </c>
      <c r="J59" s="22" t="s">
        <v>604</v>
      </c>
      <c r="K59" s="22" t="s">
        <v>601</v>
      </c>
      <c r="L59" s="22" t="s">
        <v>669</v>
      </c>
    </row>
    <row r="60" customFormat="false" ht="15" hidden="false" customHeight="false" outlineLevel="0" collapsed="false">
      <c r="A60" s="0" t="s">
        <v>670</v>
      </c>
      <c r="B60" s="22" t="s">
        <v>567</v>
      </c>
      <c r="C60" s="0" t="s">
        <v>539</v>
      </c>
      <c r="D60" s="78" t="n">
        <v>0</v>
      </c>
      <c r="E60" s="0" t="s">
        <v>539</v>
      </c>
      <c r="F60" s="62" t="n">
        <f aca="false">D60</f>
        <v>0</v>
      </c>
      <c r="J60" s="22" t="s">
        <v>604</v>
      </c>
      <c r="K60" s="22" t="s">
        <v>601</v>
      </c>
      <c r="L60" s="22" t="s">
        <v>671</v>
      </c>
    </row>
    <row r="61" customFormat="false" ht="15" hidden="false" customHeight="false" outlineLevel="0" collapsed="false">
      <c r="A61" s="0" t="s">
        <v>672</v>
      </c>
      <c r="B61" s="22" t="s">
        <v>613</v>
      </c>
      <c r="C61" s="0" t="s">
        <v>539</v>
      </c>
      <c r="D61" s="77" t="n">
        <v>130</v>
      </c>
      <c r="E61" s="0" t="s">
        <v>539</v>
      </c>
      <c r="F61" s="5" t="n">
        <f aca="false">D61</f>
        <v>130</v>
      </c>
      <c r="J61" s="22" t="s">
        <v>604</v>
      </c>
      <c r="K61" s="22" t="s">
        <v>601</v>
      </c>
      <c r="L61" s="22" t="s">
        <v>673</v>
      </c>
    </row>
    <row r="62" customFormat="false" ht="15" hidden="false" customHeight="false" outlineLevel="0" collapsed="false">
      <c r="A62" s="0" t="s">
        <v>674</v>
      </c>
      <c r="B62" s="22" t="s">
        <v>567</v>
      </c>
      <c r="C62" s="0" t="s">
        <v>539</v>
      </c>
      <c r="D62" s="28" t="n">
        <v>0</v>
      </c>
      <c r="E62" s="0" t="s">
        <v>539</v>
      </c>
      <c r="F62" s="62" t="n">
        <f aca="false">D62</f>
        <v>0</v>
      </c>
      <c r="J62" s="22" t="s">
        <v>604</v>
      </c>
      <c r="K62" s="22" t="s">
        <v>541</v>
      </c>
      <c r="L62" s="22" t="s">
        <v>675</v>
      </c>
    </row>
    <row r="63" customFormat="false" ht="15" hidden="false" customHeight="false" outlineLevel="0" collapsed="false">
      <c r="A63" s="0" t="s">
        <v>676</v>
      </c>
      <c r="B63" s="22" t="s">
        <v>677</v>
      </c>
      <c r="C63" s="0" t="s">
        <v>539</v>
      </c>
      <c r="D63" s="74" t="n">
        <v>162</v>
      </c>
      <c r="E63" s="0" t="s">
        <v>539</v>
      </c>
      <c r="F63" s="5" t="n">
        <f aca="false">D63</f>
        <v>162</v>
      </c>
      <c r="J63" s="22" t="s">
        <v>604</v>
      </c>
      <c r="K63" s="22" t="s">
        <v>559</v>
      </c>
      <c r="L63" s="22" t="s">
        <v>678</v>
      </c>
    </row>
    <row r="64" customFormat="false" ht="15" hidden="false" customHeight="false" outlineLevel="0" collapsed="false">
      <c r="A64" s="0" t="s">
        <v>679</v>
      </c>
      <c r="B64" s="22" t="s">
        <v>567</v>
      </c>
      <c r="C64" s="0" t="s">
        <v>539</v>
      </c>
      <c r="D64" s="28" t="n">
        <v>0</v>
      </c>
      <c r="E64" s="0" t="s">
        <v>539</v>
      </c>
      <c r="F64" s="62" t="n">
        <f aca="false">D64</f>
        <v>0</v>
      </c>
      <c r="J64" s="22" t="s">
        <v>626</v>
      </c>
      <c r="K64" s="22" t="s">
        <v>541</v>
      </c>
      <c r="L64" s="22"/>
    </row>
    <row r="65" customFormat="false" ht="15" hidden="false" customHeight="false" outlineLevel="0" collapsed="false">
      <c r="A65" s="0" t="s">
        <v>680</v>
      </c>
      <c r="B65" s="22" t="s">
        <v>547</v>
      </c>
      <c r="C65" s="0" t="s">
        <v>539</v>
      </c>
      <c r="D65" s="28" t="n">
        <v>2028</v>
      </c>
      <c r="E65" s="0" t="s">
        <v>539</v>
      </c>
      <c r="F65" s="62" t="n">
        <f aca="false">D65</f>
        <v>2028</v>
      </c>
      <c r="J65" s="22" t="s">
        <v>540</v>
      </c>
      <c r="K65" s="22" t="s">
        <v>541</v>
      </c>
      <c r="L65" s="22"/>
    </row>
    <row r="66" customFormat="false" ht="15" hidden="false" customHeight="false" outlineLevel="0" collapsed="false">
      <c r="A66" s="0" t="s">
        <v>681</v>
      </c>
      <c r="B66" s="22" t="s">
        <v>544</v>
      </c>
      <c r="C66" s="0" t="s">
        <v>539</v>
      </c>
      <c r="D66" s="29" t="n">
        <v>0</v>
      </c>
      <c r="E66" s="0" t="s">
        <v>539</v>
      </c>
      <c r="F66" s="62" t="n">
        <f aca="false">D66</f>
        <v>0</v>
      </c>
      <c r="J66" s="22" t="s">
        <v>558</v>
      </c>
      <c r="K66" s="22" t="s">
        <v>559</v>
      </c>
      <c r="L66" s="22" t="s">
        <v>682</v>
      </c>
    </row>
    <row r="67" customFormat="false" ht="15" hidden="false" customHeight="false" outlineLevel="0" collapsed="false">
      <c r="A67" s="0" t="s">
        <v>683</v>
      </c>
      <c r="B67" s="22" t="s">
        <v>600</v>
      </c>
      <c r="C67" s="0" t="s">
        <v>539</v>
      </c>
      <c r="D67" s="21" t="n">
        <v>14.5</v>
      </c>
      <c r="E67" s="0" t="s">
        <v>539</v>
      </c>
      <c r="F67" s="65" t="n">
        <f aca="false">D67</f>
        <v>14.5</v>
      </c>
      <c r="J67" s="22" t="s">
        <v>558</v>
      </c>
      <c r="K67" s="22" t="s">
        <v>574</v>
      </c>
      <c r="L67" s="22" t="s">
        <v>684</v>
      </c>
    </row>
    <row r="68" customFormat="false" ht="15" hidden="false" customHeight="false" outlineLevel="0" collapsed="false">
      <c r="A68" s="0" t="s">
        <v>685</v>
      </c>
      <c r="B68" s="22" t="s">
        <v>567</v>
      </c>
      <c r="C68" s="0" t="s">
        <v>539</v>
      </c>
      <c r="D68" s="28" t="n">
        <v>0</v>
      </c>
      <c r="E68" s="0" t="s">
        <v>539</v>
      </c>
      <c r="F68" s="62" t="n">
        <f aca="false">D68</f>
        <v>0</v>
      </c>
      <c r="J68" s="22" t="s">
        <v>558</v>
      </c>
      <c r="K68" s="22" t="s">
        <v>541</v>
      </c>
      <c r="L68" s="22"/>
    </row>
    <row r="69" customFormat="false" ht="15" hidden="false" customHeight="false" outlineLevel="0" collapsed="false">
      <c r="A69" s="0" t="s">
        <v>686</v>
      </c>
      <c r="B69" s="22" t="s">
        <v>567</v>
      </c>
      <c r="C69" s="0" t="s">
        <v>539</v>
      </c>
      <c r="D69" s="28" t="n">
        <v>1</v>
      </c>
      <c r="E69" s="0" t="s">
        <v>539</v>
      </c>
      <c r="F69" s="62" t="n">
        <f aca="false">D69</f>
        <v>1</v>
      </c>
      <c r="J69" s="22" t="s">
        <v>604</v>
      </c>
      <c r="K69" s="22" t="s">
        <v>541</v>
      </c>
      <c r="L69" s="22" t="s">
        <v>687</v>
      </c>
    </row>
    <row r="70" customFormat="false" ht="15" hidden="false" customHeight="false" outlineLevel="0" collapsed="false">
      <c r="A70" s="0" t="s">
        <v>688</v>
      </c>
      <c r="B70" s="22" t="s">
        <v>616</v>
      </c>
      <c r="C70" s="0" t="s">
        <v>539</v>
      </c>
      <c r="D70" s="28" t="n">
        <v>13</v>
      </c>
      <c r="E70" s="0" t="s">
        <v>539</v>
      </c>
      <c r="F70" s="62" t="n">
        <f aca="false">D70</f>
        <v>13</v>
      </c>
      <c r="J70" s="22" t="s">
        <v>604</v>
      </c>
      <c r="K70" s="22" t="s">
        <v>541</v>
      </c>
      <c r="L70" s="22" t="s">
        <v>689</v>
      </c>
    </row>
    <row r="71" customFormat="false" ht="15" hidden="false" customHeight="false" outlineLevel="0" collapsed="false">
      <c r="A71" s="0" t="s">
        <v>690</v>
      </c>
      <c r="B71" s="22" t="s">
        <v>644</v>
      </c>
      <c r="C71" s="35" t="n">
        <v>4.18491755712413</v>
      </c>
      <c r="D71" s="35" t="n">
        <v>3.71992671744367</v>
      </c>
      <c r="E71" s="35" t="n">
        <v>3.37118358768332</v>
      </c>
      <c r="F71" s="79" t="n">
        <f aca="false">CHOOSE(Scen,C71,D71,E71)</f>
        <v>3.71992671744367</v>
      </c>
      <c r="J71" s="22" t="s">
        <v>691</v>
      </c>
      <c r="K71" s="22" t="s">
        <v>559</v>
      </c>
      <c r="L71" s="22" t="s">
        <v>692</v>
      </c>
    </row>
    <row r="72" customFormat="false" ht="15" hidden="false" customHeight="false" outlineLevel="0" collapsed="false">
      <c r="A72" s="0" t="s">
        <v>693</v>
      </c>
      <c r="B72" s="22" t="s">
        <v>694</v>
      </c>
      <c r="C72" s="0" t="s">
        <v>539</v>
      </c>
      <c r="D72" s="74" t="n">
        <v>491</v>
      </c>
      <c r="E72" s="0" t="s">
        <v>539</v>
      </c>
      <c r="F72" s="5" t="n">
        <f aca="false">D72</f>
        <v>491</v>
      </c>
      <c r="J72" s="22" t="s">
        <v>558</v>
      </c>
      <c r="K72" s="22" t="s">
        <v>559</v>
      </c>
      <c r="L72" s="22" t="s">
        <v>695</v>
      </c>
    </row>
    <row r="73" customFormat="false" ht="15" hidden="false" customHeight="false" outlineLevel="0" collapsed="false">
      <c r="A73" s="0" t="s">
        <v>696</v>
      </c>
      <c r="B73" s="22" t="s">
        <v>619</v>
      </c>
      <c r="C73" s="0" t="s">
        <v>539</v>
      </c>
      <c r="D73" s="40" t="n">
        <v>1</v>
      </c>
      <c r="E73" s="0" t="s">
        <v>539</v>
      </c>
      <c r="F73" s="43" t="n">
        <f aca="false">D73</f>
        <v>1</v>
      </c>
      <c r="J73" s="22" t="s">
        <v>604</v>
      </c>
      <c r="K73" s="22" t="s">
        <v>559</v>
      </c>
      <c r="L73" s="22" t="s">
        <v>697</v>
      </c>
    </row>
    <row r="74" customFormat="false" ht="15" hidden="false" customHeight="false" outlineLevel="0" collapsed="false">
      <c r="A74" s="0" t="s">
        <v>698</v>
      </c>
      <c r="B74" s="22" t="s">
        <v>600</v>
      </c>
      <c r="C74" s="0" t="s">
        <v>539</v>
      </c>
      <c r="D74" s="30" t="n">
        <f aca="false">ND_Px*ND_GPUMW_GB*8760*ND_Occ/1000000</f>
        <v>16</v>
      </c>
      <c r="E74" s="0" t="s">
        <v>539</v>
      </c>
      <c r="F74" s="65" t="n">
        <f aca="false">D74</f>
        <v>16</v>
      </c>
      <c r="J74" s="22" t="s">
        <v>604</v>
      </c>
      <c r="K74" s="22" t="s">
        <v>574</v>
      </c>
      <c r="L74" s="22" t="s">
        <v>699</v>
      </c>
    </row>
    <row r="75" customFormat="false" ht="15" hidden="false" customHeight="false" outlineLevel="0" collapsed="false">
      <c r="A75" s="0" t="s">
        <v>700</v>
      </c>
      <c r="B75" s="22" t="s">
        <v>567</v>
      </c>
      <c r="C75" s="0" t="s">
        <v>539</v>
      </c>
      <c r="D75" s="29" t="n">
        <v>1</v>
      </c>
      <c r="E75" s="0" t="s">
        <v>539</v>
      </c>
      <c r="F75" s="62" t="n">
        <f aca="false">D75</f>
        <v>1</v>
      </c>
      <c r="J75" s="22" t="s">
        <v>540</v>
      </c>
      <c r="K75" s="22" t="s">
        <v>559</v>
      </c>
      <c r="L75" s="22" t="s">
        <v>701</v>
      </c>
    </row>
    <row r="76" customFormat="false" ht="15" hidden="false" customHeight="false" outlineLevel="0" collapsed="false">
      <c r="A76" s="0" t="s">
        <v>702</v>
      </c>
      <c r="B76" s="22" t="s">
        <v>703</v>
      </c>
      <c r="C76" s="80" t="n">
        <v>-0.0125</v>
      </c>
      <c r="D76" s="80" t="n">
        <v>-0.03</v>
      </c>
      <c r="E76" s="80" t="n">
        <v>-0.06</v>
      </c>
      <c r="F76" s="81" t="n">
        <f aca="false">CHOOSE(Scen,C76,D76,E76)</f>
        <v>-0.03</v>
      </c>
      <c r="J76" s="22" t="s">
        <v>540</v>
      </c>
      <c r="K76" s="22" t="s">
        <v>559</v>
      </c>
      <c r="L76" s="22" t="s">
        <v>704</v>
      </c>
    </row>
    <row r="77" customFormat="false" ht="15" hidden="false" customHeight="false" outlineLevel="0" collapsed="false">
      <c r="A77" s="0" t="s">
        <v>705</v>
      </c>
      <c r="B77" s="22" t="s">
        <v>616</v>
      </c>
      <c r="C77" s="29" t="n">
        <v>21</v>
      </c>
      <c r="D77" s="29" t="n">
        <v>21</v>
      </c>
      <c r="E77" s="29" t="n">
        <v>13</v>
      </c>
      <c r="F77" s="62" t="n">
        <f aca="false">CHOOSE(Scen,C77,D77,E77)</f>
        <v>21</v>
      </c>
      <c r="J77" s="22" t="s">
        <v>540</v>
      </c>
      <c r="K77" s="22" t="s">
        <v>559</v>
      </c>
      <c r="L77" s="22" t="s">
        <v>706</v>
      </c>
    </row>
    <row r="78" customFormat="false" ht="15" hidden="false" customHeight="false" outlineLevel="0" collapsed="false">
      <c r="A78" s="0" t="s">
        <v>707</v>
      </c>
      <c r="B78" s="22" t="s">
        <v>567</v>
      </c>
      <c r="C78" s="0" t="s">
        <v>539</v>
      </c>
      <c r="D78" s="29" t="n">
        <v>0</v>
      </c>
      <c r="E78" s="0" t="s">
        <v>539</v>
      </c>
      <c r="F78" s="62" t="n">
        <f aca="false">D78</f>
        <v>0</v>
      </c>
      <c r="J78" s="22" t="s">
        <v>551</v>
      </c>
      <c r="K78" s="22" t="s">
        <v>559</v>
      </c>
      <c r="L78" s="22"/>
    </row>
    <row r="79" customFormat="false" ht="15" hidden="false" customHeight="false" outlineLevel="0" collapsed="false">
      <c r="A79" s="0" t="s">
        <v>708</v>
      </c>
      <c r="B79" s="22" t="s">
        <v>619</v>
      </c>
      <c r="C79" s="0" t="s">
        <v>539</v>
      </c>
      <c r="D79" s="40" t="n">
        <v>0.31</v>
      </c>
      <c r="E79" s="0" t="s">
        <v>539</v>
      </c>
      <c r="F79" s="43" t="n">
        <f aca="false">D79</f>
        <v>0.31</v>
      </c>
      <c r="J79" s="22" t="s">
        <v>551</v>
      </c>
      <c r="K79" s="22" t="s">
        <v>559</v>
      </c>
      <c r="L79" s="22"/>
    </row>
    <row r="80" customFormat="false" ht="15" hidden="false" customHeight="false" outlineLevel="0" collapsed="false">
      <c r="A80" s="0" t="s">
        <v>709</v>
      </c>
      <c r="B80" s="22" t="s">
        <v>567</v>
      </c>
      <c r="C80" s="0" t="s">
        <v>539</v>
      </c>
      <c r="D80" s="28" t="n">
        <v>1</v>
      </c>
      <c r="E80" s="0" t="s">
        <v>539</v>
      </c>
      <c r="F80" s="62" t="n">
        <f aca="false">D80</f>
        <v>1</v>
      </c>
      <c r="J80" s="22" t="s">
        <v>540</v>
      </c>
      <c r="K80" s="22" t="s">
        <v>541</v>
      </c>
      <c r="L80" s="22" t="s">
        <v>710</v>
      </c>
    </row>
    <row r="81" customFormat="false" ht="15" hidden="false" customHeight="false" outlineLevel="0" collapsed="false">
      <c r="A81" s="0" t="s">
        <v>711</v>
      </c>
      <c r="B81" s="22" t="s">
        <v>544</v>
      </c>
      <c r="C81" s="0" t="s">
        <v>539</v>
      </c>
      <c r="D81" s="28" t="n">
        <v>1</v>
      </c>
      <c r="E81" s="0" t="s">
        <v>539</v>
      </c>
      <c r="F81" s="62" t="n">
        <f aca="false">D81</f>
        <v>1</v>
      </c>
      <c r="J81" s="22" t="s">
        <v>540</v>
      </c>
      <c r="K81" s="22" t="s">
        <v>541</v>
      </c>
      <c r="L81" s="22" t="s">
        <v>712</v>
      </c>
    </row>
    <row r="82" customFormat="false" ht="15" hidden="false" customHeight="false" outlineLevel="0" collapsed="false">
      <c r="A82" s="0" t="s">
        <v>713</v>
      </c>
      <c r="B82" s="22" t="s">
        <v>600</v>
      </c>
      <c r="C82" s="26" t="n">
        <v>20</v>
      </c>
      <c r="D82" s="26" t="n">
        <v>18</v>
      </c>
      <c r="E82" s="26" t="n">
        <v>16</v>
      </c>
      <c r="F82" s="65" t="n">
        <f aca="false">CHOOSE(Scen,C82,D82,E82)</f>
        <v>18</v>
      </c>
      <c r="J82" s="22" t="s">
        <v>626</v>
      </c>
      <c r="K82" s="22" t="s">
        <v>559</v>
      </c>
      <c r="L82" s="22" t="s">
        <v>714</v>
      </c>
    </row>
    <row r="83" customFormat="false" ht="15" hidden="false" customHeight="false" outlineLevel="0" collapsed="false">
      <c r="A83" s="0" t="s">
        <v>715</v>
      </c>
      <c r="B83" s="22" t="s">
        <v>694</v>
      </c>
      <c r="C83" s="0" t="s">
        <v>539</v>
      </c>
      <c r="D83" s="29" t="n">
        <v>400</v>
      </c>
      <c r="E83" s="0" t="s">
        <v>539</v>
      </c>
      <c r="F83" s="62" t="n">
        <f aca="false">D83</f>
        <v>400</v>
      </c>
      <c r="J83" s="22" t="s">
        <v>558</v>
      </c>
      <c r="K83" s="22" t="s">
        <v>559</v>
      </c>
      <c r="L83" s="22" t="s">
        <v>716</v>
      </c>
    </row>
    <row r="84" customFormat="false" ht="15" hidden="false" customHeight="false" outlineLevel="0" collapsed="false">
      <c r="A84" s="0" t="s">
        <v>717</v>
      </c>
      <c r="B84" s="22" t="s">
        <v>619</v>
      </c>
      <c r="C84" s="0" t="s">
        <v>539</v>
      </c>
      <c r="D84" s="40" t="n">
        <v>0.05</v>
      </c>
      <c r="E84" s="0" t="s">
        <v>539</v>
      </c>
      <c r="F84" s="43" t="n">
        <f aca="false">D84</f>
        <v>0.05</v>
      </c>
      <c r="J84" s="22" t="s">
        <v>626</v>
      </c>
      <c r="K84" s="22" t="s">
        <v>559</v>
      </c>
      <c r="L84" s="22" t="s">
        <v>718</v>
      </c>
    </row>
    <row r="85" customFormat="false" ht="15" hidden="false" customHeight="false" outlineLevel="0" collapsed="false">
      <c r="A85" s="0" t="s">
        <v>719</v>
      </c>
      <c r="B85" s="22" t="s">
        <v>567</v>
      </c>
      <c r="C85" s="0" t="s">
        <v>539</v>
      </c>
      <c r="D85" s="28" t="n">
        <v>1</v>
      </c>
      <c r="E85" s="0" t="s">
        <v>539</v>
      </c>
      <c r="F85" s="62" t="n">
        <f aca="false">D85</f>
        <v>1</v>
      </c>
      <c r="J85" s="22" t="s">
        <v>540</v>
      </c>
      <c r="K85" s="22" t="s">
        <v>541</v>
      </c>
      <c r="L85" s="22"/>
    </row>
    <row r="86" customFormat="false" ht="15" hidden="false" customHeight="false" outlineLevel="0" collapsed="false">
      <c r="A86" s="0" t="s">
        <v>720</v>
      </c>
      <c r="B86" s="22" t="s">
        <v>567</v>
      </c>
      <c r="C86" s="0" t="s">
        <v>539</v>
      </c>
      <c r="D86" s="28" t="n">
        <v>1</v>
      </c>
      <c r="E86" s="0" t="s">
        <v>539</v>
      </c>
      <c r="F86" s="62" t="n">
        <f aca="false">D86</f>
        <v>1</v>
      </c>
      <c r="J86" s="22" t="s">
        <v>540</v>
      </c>
      <c r="K86" s="22" t="s">
        <v>541</v>
      </c>
      <c r="L86" s="22"/>
    </row>
    <row r="87" customFormat="false" ht="15" hidden="false" customHeight="false" outlineLevel="0" collapsed="false">
      <c r="A87" s="0" t="s">
        <v>721</v>
      </c>
      <c r="B87" s="22" t="s">
        <v>619</v>
      </c>
      <c r="C87" s="0" t="s">
        <v>539</v>
      </c>
      <c r="D87" s="40" t="n">
        <v>0.85</v>
      </c>
      <c r="E87" s="0" t="s">
        <v>539</v>
      </c>
      <c r="F87" s="43" t="n">
        <f aca="false">D87</f>
        <v>0.85</v>
      </c>
      <c r="J87" s="22" t="s">
        <v>626</v>
      </c>
      <c r="K87" s="22" t="s">
        <v>559</v>
      </c>
      <c r="L87" s="22" t="s">
        <v>722</v>
      </c>
    </row>
    <row r="88" customFormat="false" ht="15" hidden="false" customHeight="false" outlineLevel="0" collapsed="false">
      <c r="A88" s="0" t="s">
        <v>723</v>
      </c>
      <c r="B88" s="22" t="s">
        <v>600</v>
      </c>
      <c r="C88" s="0" t="s">
        <v>539</v>
      </c>
      <c r="D88" s="82" t="n">
        <f aca="false">MYRate</f>
        <v>16</v>
      </c>
      <c r="E88" s="0" t="s">
        <v>539</v>
      </c>
      <c r="F88" s="65" t="n">
        <f aca="false">D88</f>
        <v>16</v>
      </c>
      <c r="J88" s="22" t="s">
        <v>551</v>
      </c>
      <c r="K88" s="22" t="s">
        <v>559</v>
      </c>
      <c r="L88" s="22" t="s">
        <v>724</v>
      </c>
    </row>
    <row r="89" customFormat="false" ht="15" hidden="false" customHeight="false" outlineLevel="0" collapsed="false">
      <c r="A89" s="0" t="s">
        <v>725</v>
      </c>
      <c r="B89" s="22" t="s">
        <v>613</v>
      </c>
      <c r="C89" s="0" t="s">
        <v>539</v>
      </c>
      <c r="D89" s="68" t="n">
        <v>37490</v>
      </c>
      <c r="E89" s="0" t="s">
        <v>539</v>
      </c>
      <c r="F89" s="5" t="n">
        <f aca="false">D89</f>
        <v>37490</v>
      </c>
      <c r="J89" s="22" t="s">
        <v>604</v>
      </c>
      <c r="K89" s="22" t="s">
        <v>552</v>
      </c>
      <c r="L89" s="22" t="s">
        <v>726</v>
      </c>
    </row>
    <row r="90" customFormat="false" ht="15" hidden="false" customHeight="false" outlineLevel="0" collapsed="false">
      <c r="A90" s="0" t="s">
        <v>727</v>
      </c>
      <c r="B90" s="22" t="s">
        <v>619</v>
      </c>
      <c r="C90" s="0" t="s">
        <v>539</v>
      </c>
      <c r="D90" s="73" t="n">
        <v>0.36</v>
      </c>
      <c r="E90" s="0" t="s">
        <v>539</v>
      </c>
      <c r="F90" s="43" t="n">
        <f aca="false">D90</f>
        <v>0.36</v>
      </c>
      <c r="J90" s="22" t="s">
        <v>604</v>
      </c>
      <c r="K90" s="22" t="s">
        <v>552</v>
      </c>
      <c r="L90" s="22" t="s">
        <v>728</v>
      </c>
    </row>
    <row r="91" customFormat="false" ht="15" hidden="false" customHeight="false" outlineLevel="0" collapsed="false">
      <c r="A91" s="0" t="s">
        <v>729</v>
      </c>
      <c r="B91" s="22" t="s">
        <v>613</v>
      </c>
      <c r="C91" s="0" t="s">
        <v>539</v>
      </c>
      <c r="D91" s="71" t="n">
        <v>979.4</v>
      </c>
      <c r="E91" s="0" t="s">
        <v>539</v>
      </c>
      <c r="F91" s="72" t="n">
        <f aca="false">D91</f>
        <v>979.4</v>
      </c>
      <c r="J91" s="22" t="s">
        <v>604</v>
      </c>
      <c r="K91" s="22" t="s">
        <v>552</v>
      </c>
      <c r="L91" s="22" t="s">
        <v>730</v>
      </c>
    </row>
    <row r="92" customFormat="false" ht="15" hidden="false" customHeight="false" outlineLevel="0" collapsed="false">
      <c r="A92" s="0" t="s">
        <v>731</v>
      </c>
      <c r="B92" s="22" t="s">
        <v>613</v>
      </c>
      <c r="C92" s="0" t="s">
        <v>539</v>
      </c>
      <c r="D92" s="74" t="n">
        <v>2250</v>
      </c>
      <c r="E92" s="0" t="s">
        <v>539</v>
      </c>
      <c r="F92" s="5" t="n">
        <f aca="false">D92</f>
        <v>2250</v>
      </c>
      <c r="J92" s="22" t="s">
        <v>604</v>
      </c>
      <c r="K92" s="22" t="s">
        <v>559</v>
      </c>
      <c r="L92" s="22" t="s">
        <v>732</v>
      </c>
    </row>
    <row r="93" customFormat="false" ht="15" hidden="false" customHeight="false" outlineLevel="0" collapsed="false">
      <c r="A93" s="0" t="s">
        <v>733</v>
      </c>
      <c r="B93" s="22" t="s">
        <v>557</v>
      </c>
      <c r="C93" s="0" t="s">
        <v>539</v>
      </c>
      <c r="D93" s="29" t="n">
        <v>12</v>
      </c>
      <c r="E93" s="0" t="s">
        <v>539</v>
      </c>
      <c r="F93" s="62" t="n">
        <f aca="false">D93</f>
        <v>12</v>
      </c>
      <c r="J93" s="22" t="s">
        <v>604</v>
      </c>
      <c r="K93" s="22" t="s">
        <v>559</v>
      </c>
      <c r="L93" s="22" t="s">
        <v>734</v>
      </c>
    </row>
    <row r="94" customFormat="false" ht="15" hidden="false" customHeight="false" outlineLevel="0" collapsed="false">
      <c r="A94" s="0" t="s">
        <v>735</v>
      </c>
      <c r="B94" s="22" t="s">
        <v>544</v>
      </c>
      <c r="C94" s="0" t="s">
        <v>539</v>
      </c>
      <c r="D94" s="29" t="n">
        <v>1</v>
      </c>
      <c r="E94" s="0" t="s">
        <v>539</v>
      </c>
      <c r="F94" s="62" t="n">
        <f aca="false">D94</f>
        <v>1</v>
      </c>
      <c r="J94" s="22" t="s">
        <v>604</v>
      </c>
      <c r="K94" s="22" t="s">
        <v>559</v>
      </c>
      <c r="L94" s="22"/>
    </row>
    <row r="95" customFormat="false" ht="15" hidden="false" customHeight="false" outlineLevel="0" collapsed="false">
      <c r="A95" s="0" t="s">
        <v>736</v>
      </c>
      <c r="B95" s="22" t="s">
        <v>737</v>
      </c>
      <c r="C95" s="0" t="s">
        <v>539</v>
      </c>
      <c r="D95" s="35" t="n">
        <v>1.20048899755501</v>
      </c>
      <c r="E95" s="0" t="s">
        <v>539</v>
      </c>
      <c r="F95" s="79" t="n">
        <f aca="false">D95</f>
        <v>1.20048899755501</v>
      </c>
      <c r="J95" s="22" t="s">
        <v>558</v>
      </c>
      <c r="K95" s="22" t="s">
        <v>559</v>
      </c>
      <c r="L95" s="22" t="s">
        <v>738</v>
      </c>
    </row>
    <row r="96" customFormat="false" ht="15" hidden="false" customHeight="false" outlineLevel="0" collapsed="false">
      <c r="A96" s="0" t="s">
        <v>739</v>
      </c>
      <c r="B96" s="22" t="s">
        <v>600</v>
      </c>
      <c r="C96" s="21" t="n">
        <v>50</v>
      </c>
      <c r="D96" s="21" t="n">
        <v>45</v>
      </c>
      <c r="E96" s="21" t="n">
        <v>40</v>
      </c>
      <c r="F96" s="65" t="n">
        <f aca="false">CHOOSE(Scen,C96,D96,E96)</f>
        <v>45</v>
      </c>
      <c r="J96" s="22" t="s">
        <v>604</v>
      </c>
      <c r="K96" s="22" t="s">
        <v>552</v>
      </c>
      <c r="L96" s="22" t="s">
        <v>740</v>
      </c>
    </row>
    <row r="97" customFormat="false" ht="15" hidden="false" customHeight="false" outlineLevel="0" collapsed="false">
      <c r="A97" s="0" t="s">
        <v>741</v>
      </c>
      <c r="B97" s="22" t="s">
        <v>567</v>
      </c>
      <c r="C97" s="0" t="s">
        <v>539</v>
      </c>
      <c r="D97" s="28" t="n">
        <v>1</v>
      </c>
      <c r="E97" s="0" t="s">
        <v>539</v>
      </c>
      <c r="F97" s="62" t="n">
        <f aca="false">D97</f>
        <v>1</v>
      </c>
      <c r="J97" s="22" t="s">
        <v>604</v>
      </c>
      <c r="K97" s="22" t="s">
        <v>541</v>
      </c>
      <c r="L97" s="22" t="s">
        <v>742</v>
      </c>
    </row>
    <row r="98" customFormat="false" ht="15" hidden="false" customHeight="false" outlineLevel="0" collapsed="false">
      <c r="A98" s="0" t="s">
        <v>743</v>
      </c>
      <c r="B98" s="22" t="s">
        <v>567</v>
      </c>
      <c r="C98" s="29" t="n">
        <v>1</v>
      </c>
      <c r="D98" s="29" t="n">
        <v>1</v>
      </c>
      <c r="E98" s="29" t="n">
        <v>0</v>
      </c>
      <c r="F98" s="62" t="n">
        <f aca="false">CHOOSE(Scen,C98,D98,E98)</f>
        <v>1</v>
      </c>
      <c r="J98" s="22" t="s">
        <v>626</v>
      </c>
      <c r="K98" s="22" t="s">
        <v>559</v>
      </c>
      <c r="L98" s="22" t="s">
        <v>744</v>
      </c>
    </row>
    <row r="99" customFormat="false" ht="15" hidden="false" customHeight="false" outlineLevel="0" collapsed="false">
      <c r="A99" s="0" t="s">
        <v>745</v>
      </c>
      <c r="B99" s="22" t="s">
        <v>567</v>
      </c>
      <c r="C99" s="0" t="s">
        <v>539</v>
      </c>
      <c r="D99" s="28" t="n">
        <v>1</v>
      </c>
      <c r="E99" s="0" t="s">
        <v>539</v>
      </c>
      <c r="F99" s="62" t="n">
        <f aca="false">D99</f>
        <v>1</v>
      </c>
      <c r="J99" s="22" t="s">
        <v>604</v>
      </c>
      <c r="K99" s="22" t="s">
        <v>552</v>
      </c>
      <c r="L99" s="22" t="s">
        <v>746</v>
      </c>
    </row>
    <row r="100" customFormat="false" ht="15" hidden="false" customHeight="false" outlineLevel="0" collapsed="false">
      <c r="A100" s="0" t="s">
        <v>747</v>
      </c>
      <c r="B100" s="22" t="s">
        <v>567</v>
      </c>
      <c r="C100" s="0" t="s">
        <v>539</v>
      </c>
      <c r="D100" s="29" t="n">
        <v>1</v>
      </c>
      <c r="E100" s="0" t="s">
        <v>539</v>
      </c>
      <c r="F100" s="62" t="n">
        <f aca="false">D100</f>
        <v>1</v>
      </c>
      <c r="J100" s="22" t="s">
        <v>551</v>
      </c>
      <c r="K100" s="22" t="s">
        <v>559</v>
      </c>
      <c r="L100" s="22" t="s">
        <v>748</v>
      </c>
    </row>
    <row r="101" customFormat="false" ht="15" hidden="false" customHeight="false" outlineLevel="0" collapsed="false">
      <c r="A101" s="0" t="s">
        <v>749</v>
      </c>
      <c r="B101" s="22" t="s">
        <v>619</v>
      </c>
      <c r="C101" s="38" t="n">
        <v>0.385</v>
      </c>
      <c r="D101" s="38" t="n">
        <v>0.385</v>
      </c>
      <c r="E101" s="38" t="n">
        <v>0</v>
      </c>
      <c r="F101" s="76" t="n">
        <f aca="false">CHOOSE(Scen,C101,D101,E101)</f>
        <v>0.385</v>
      </c>
      <c r="J101" s="22" t="s">
        <v>551</v>
      </c>
      <c r="K101" s="22" t="s">
        <v>559</v>
      </c>
      <c r="L101" s="22" t="s">
        <v>750</v>
      </c>
    </row>
    <row r="102" customFormat="false" ht="15" hidden="false" customHeight="false" outlineLevel="0" collapsed="false">
      <c r="A102" s="0" t="s">
        <v>751</v>
      </c>
      <c r="B102" s="22" t="s">
        <v>619</v>
      </c>
      <c r="C102" s="38" t="n">
        <v>0.385</v>
      </c>
      <c r="D102" s="38" t="n">
        <v>0.225</v>
      </c>
      <c r="E102" s="38" t="n">
        <v>0</v>
      </c>
      <c r="F102" s="76" t="n">
        <f aca="false">CHOOSE(Scen,C102,D102,E102)</f>
        <v>0.225</v>
      </c>
      <c r="J102" s="22" t="s">
        <v>551</v>
      </c>
      <c r="K102" s="22" t="s">
        <v>559</v>
      </c>
      <c r="L102" s="22" t="s">
        <v>752</v>
      </c>
    </row>
    <row r="103" customFormat="false" ht="15" hidden="false" customHeight="false" outlineLevel="0" collapsed="false">
      <c r="A103" s="0" t="s">
        <v>753</v>
      </c>
      <c r="B103" s="22" t="s">
        <v>616</v>
      </c>
      <c r="C103" s="0" t="s">
        <v>539</v>
      </c>
      <c r="D103" s="29" t="n">
        <v>17</v>
      </c>
      <c r="E103" s="0" t="s">
        <v>539</v>
      </c>
      <c r="F103" s="62" t="n">
        <f aca="false">D103</f>
        <v>17</v>
      </c>
      <c r="J103" s="22" t="s">
        <v>551</v>
      </c>
      <c r="K103" s="22" t="s">
        <v>559</v>
      </c>
      <c r="L103" s="22" t="s">
        <v>83</v>
      </c>
    </row>
    <row r="104" customFormat="false" ht="15" hidden="false" customHeight="false" outlineLevel="0" collapsed="false">
      <c r="A104" s="0" t="s">
        <v>754</v>
      </c>
      <c r="B104" s="22" t="s">
        <v>619</v>
      </c>
      <c r="C104" s="40" t="n">
        <v>0.4</v>
      </c>
      <c r="D104" s="40" t="n">
        <v>0.3</v>
      </c>
      <c r="E104" s="40" t="n">
        <v>0</v>
      </c>
      <c r="F104" s="43" t="n">
        <f aca="false">CHOOSE(Scen,C104,D104,E104)</f>
        <v>0.3</v>
      </c>
      <c r="J104" s="22" t="s">
        <v>626</v>
      </c>
      <c r="K104" s="22" t="s">
        <v>559</v>
      </c>
      <c r="L104" s="22" t="s">
        <v>755</v>
      </c>
    </row>
    <row r="105" customFormat="false" ht="15" hidden="false" customHeight="false" outlineLevel="0" collapsed="false">
      <c r="A105" s="0" t="s">
        <v>756</v>
      </c>
      <c r="B105" s="22" t="s">
        <v>567</v>
      </c>
      <c r="C105" s="0" t="s">
        <v>539</v>
      </c>
      <c r="D105" s="28" t="n">
        <v>1</v>
      </c>
      <c r="E105" s="0" t="s">
        <v>539</v>
      </c>
      <c r="F105" s="62" t="n">
        <f aca="false">D105</f>
        <v>1</v>
      </c>
      <c r="J105" s="22" t="s">
        <v>540</v>
      </c>
      <c r="K105" s="22" t="s">
        <v>541</v>
      </c>
      <c r="L105" s="22" t="s">
        <v>757</v>
      </c>
    </row>
    <row r="106" customFormat="false" ht="15" hidden="false" customHeight="false" outlineLevel="0" collapsed="false">
      <c r="A106" s="0" t="s">
        <v>758</v>
      </c>
      <c r="B106" s="22" t="s">
        <v>567</v>
      </c>
      <c r="C106" s="0" t="s">
        <v>539</v>
      </c>
      <c r="D106" s="28" t="n">
        <v>1</v>
      </c>
      <c r="E106" s="0" t="s">
        <v>539</v>
      </c>
      <c r="F106" s="62" t="n">
        <f aca="false">D106</f>
        <v>1</v>
      </c>
      <c r="J106" s="22" t="s">
        <v>540</v>
      </c>
      <c r="K106" s="22" t="s">
        <v>541</v>
      </c>
      <c r="L106" s="22"/>
    </row>
    <row r="107" customFormat="false" ht="15" hidden="false" customHeight="false" outlineLevel="0" collapsed="false">
      <c r="A107" s="0" t="s">
        <v>759</v>
      </c>
      <c r="B107" s="22" t="s">
        <v>567</v>
      </c>
      <c r="C107" s="0" t="s">
        <v>539</v>
      </c>
      <c r="D107" s="28" t="n">
        <v>1</v>
      </c>
      <c r="E107" s="0" t="s">
        <v>539</v>
      </c>
      <c r="F107" s="62" t="n">
        <f aca="false">D107</f>
        <v>1</v>
      </c>
      <c r="J107" s="22" t="s">
        <v>604</v>
      </c>
      <c r="K107" s="22" t="s">
        <v>541</v>
      </c>
      <c r="L107" s="22"/>
    </row>
    <row r="108" customFormat="false" ht="15" hidden="false" customHeight="false" outlineLevel="0" collapsed="false">
      <c r="A108" s="0" t="s">
        <v>760</v>
      </c>
      <c r="B108" s="22" t="s">
        <v>567</v>
      </c>
      <c r="C108" s="0" t="s">
        <v>539</v>
      </c>
      <c r="D108" s="28" t="n">
        <v>1</v>
      </c>
      <c r="E108" s="0" t="s">
        <v>539</v>
      </c>
      <c r="F108" s="62" t="n">
        <f aca="false">D108</f>
        <v>1</v>
      </c>
      <c r="J108" s="22" t="s">
        <v>604</v>
      </c>
      <c r="K108" s="22" t="s">
        <v>552</v>
      </c>
      <c r="L108" s="22" t="s">
        <v>761</v>
      </c>
    </row>
    <row r="109" customFormat="false" ht="15" hidden="false" customHeight="false" outlineLevel="0" collapsed="false">
      <c r="A109" s="0" t="s">
        <v>762</v>
      </c>
      <c r="B109" s="22" t="s">
        <v>763</v>
      </c>
      <c r="C109" s="0" t="s">
        <v>539</v>
      </c>
      <c r="D109" s="68" t="n">
        <v>30000</v>
      </c>
      <c r="E109" s="0" t="s">
        <v>539</v>
      </c>
      <c r="F109" s="5" t="n">
        <f aca="false">D109</f>
        <v>30000</v>
      </c>
      <c r="J109" s="22" t="s">
        <v>604</v>
      </c>
      <c r="K109" s="22" t="s">
        <v>552</v>
      </c>
      <c r="L109" s="22" t="s">
        <v>764</v>
      </c>
    </row>
    <row r="110" customFormat="false" ht="15" hidden="false" customHeight="false" outlineLevel="0" collapsed="false">
      <c r="A110" s="0" t="s">
        <v>765</v>
      </c>
      <c r="B110" s="22" t="s">
        <v>567</v>
      </c>
      <c r="C110" s="28" t="n">
        <v>0</v>
      </c>
      <c r="D110" s="28" t="n">
        <v>0</v>
      </c>
      <c r="E110" s="28" t="n">
        <v>1</v>
      </c>
      <c r="F110" s="62" t="n">
        <f aca="false">CHOOSE(Scen,C110,D110,E110)</f>
        <v>0</v>
      </c>
      <c r="J110" s="22" t="s">
        <v>540</v>
      </c>
      <c r="K110" s="22" t="s">
        <v>541</v>
      </c>
      <c r="L110" s="22" t="s">
        <v>766</v>
      </c>
    </row>
    <row r="111" customFormat="false" ht="15" hidden="false" customHeight="false" outlineLevel="0" collapsed="false">
      <c r="A111" s="0" t="s">
        <v>767</v>
      </c>
      <c r="B111" s="22" t="s">
        <v>567</v>
      </c>
      <c r="C111" s="0" t="s">
        <v>539</v>
      </c>
      <c r="D111" s="28" t="n">
        <v>0</v>
      </c>
      <c r="E111" s="0" t="s">
        <v>539</v>
      </c>
      <c r="F111" s="62" t="n">
        <f aca="false">D111</f>
        <v>0</v>
      </c>
      <c r="J111" s="22" t="s">
        <v>540</v>
      </c>
      <c r="K111" s="22" t="s">
        <v>541</v>
      </c>
      <c r="L111" s="22" t="s">
        <v>768</v>
      </c>
    </row>
    <row r="112" customFormat="false" ht="15" hidden="false" customHeight="false" outlineLevel="0" collapsed="false">
      <c r="A112" s="0" t="s">
        <v>769</v>
      </c>
      <c r="B112" s="22" t="s">
        <v>567</v>
      </c>
      <c r="C112" s="0" t="s">
        <v>539</v>
      </c>
      <c r="D112" s="28" t="n">
        <v>1</v>
      </c>
      <c r="E112" s="0" t="s">
        <v>539</v>
      </c>
      <c r="F112" s="62" t="n">
        <f aca="false">D112</f>
        <v>1</v>
      </c>
      <c r="J112" s="22" t="s">
        <v>540</v>
      </c>
      <c r="K112" s="22" t="s">
        <v>541</v>
      </c>
      <c r="L112" s="22"/>
    </row>
    <row r="113" customFormat="false" ht="15" hidden="false" customHeight="false" outlineLevel="0" collapsed="false">
      <c r="A113" s="0" t="s">
        <v>770</v>
      </c>
      <c r="B113" s="22" t="s">
        <v>771</v>
      </c>
      <c r="C113" s="0" t="s">
        <v>539</v>
      </c>
      <c r="D113" s="38" t="n">
        <v>0.125</v>
      </c>
      <c r="E113" s="0" t="s">
        <v>539</v>
      </c>
      <c r="F113" s="76" t="n">
        <f aca="false">D113</f>
        <v>0.125</v>
      </c>
      <c r="J113" s="22" t="s">
        <v>626</v>
      </c>
      <c r="K113" s="22" t="s">
        <v>559</v>
      </c>
      <c r="L113" s="22" t="s">
        <v>772</v>
      </c>
    </row>
    <row r="114" customFormat="false" ht="15" hidden="false" customHeight="false" outlineLevel="0" collapsed="false">
      <c r="A114" s="0" t="s">
        <v>773</v>
      </c>
      <c r="B114" s="22" t="s">
        <v>616</v>
      </c>
      <c r="C114" s="0" t="s">
        <v>539</v>
      </c>
      <c r="D114" s="29" t="n">
        <v>11</v>
      </c>
      <c r="E114" s="0" t="s">
        <v>539</v>
      </c>
      <c r="F114" s="62" t="n">
        <f aca="false">D114</f>
        <v>11</v>
      </c>
      <c r="J114" s="22" t="s">
        <v>626</v>
      </c>
      <c r="K114" s="22" t="s">
        <v>559</v>
      </c>
      <c r="L114" s="22" t="s">
        <v>689</v>
      </c>
    </row>
    <row r="115" customFormat="false" ht="15" hidden="false" customHeight="false" outlineLevel="0" collapsed="false">
      <c r="A115" s="0" t="s">
        <v>774</v>
      </c>
      <c r="B115" s="22" t="s">
        <v>775</v>
      </c>
      <c r="C115" s="0" t="s">
        <v>539</v>
      </c>
      <c r="D115" s="83" t="s">
        <v>50</v>
      </c>
      <c r="E115" s="0" t="s">
        <v>539</v>
      </c>
      <c r="F115" s="4" t="str">
        <f aca="false">D115</f>
        <v>Q4'27</v>
      </c>
      <c r="J115" s="22" t="s">
        <v>551</v>
      </c>
      <c r="K115" s="22" t="s">
        <v>559</v>
      </c>
      <c r="L115" s="22" t="s">
        <v>776</v>
      </c>
    </row>
    <row r="116" customFormat="false" ht="15" hidden="false" customHeight="false" outlineLevel="0" collapsed="false">
      <c r="A116" s="0" t="s">
        <v>777</v>
      </c>
      <c r="B116" s="22" t="s">
        <v>778</v>
      </c>
      <c r="C116" s="0" t="s">
        <v>539</v>
      </c>
      <c r="D116" s="70" t="n">
        <v>-0.15</v>
      </c>
      <c r="E116" s="0" t="s">
        <v>539</v>
      </c>
      <c r="F116" s="6" t="n">
        <f aca="false">D116</f>
        <v>-0.15</v>
      </c>
      <c r="J116" s="22" t="s">
        <v>551</v>
      </c>
      <c r="K116" s="22" t="s">
        <v>559</v>
      </c>
      <c r="L116" s="22"/>
    </row>
    <row r="117" customFormat="false" ht="15" hidden="false" customHeight="false" outlineLevel="0" collapsed="false">
      <c r="A117" s="0" t="s">
        <v>779</v>
      </c>
      <c r="B117" s="22" t="s">
        <v>778</v>
      </c>
      <c r="C117" s="0" t="s">
        <v>539</v>
      </c>
      <c r="D117" s="26" t="n">
        <v>-6.8</v>
      </c>
      <c r="E117" s="0" t="s">
        <v>539</v>
      </c>
      <c r="F117" s="65" t="n">
        <f aca="false">D117</f>
        <v>-6.8</v>
      </c>
      <c r="J117" s="22" t="s">
        <v>551</v>
      </c>
      <c r="K117" s="22" t="s">
        <v>559</v>
      </c>
      <c r="L117" s="22"/>
    </row>
    <row r="118" customFormat="false" ht="15" hidden="false" customHeight="false" outlineLevel="0" collapsed="false">
      <c r="A118" s="0" t="s">
        <v>780</v>
      </c>
      <c r="B118" s="22" t="s">
        <v>775</v>
      </c>
      <c r="C118" s="0" t="s">
        <v>539</v>
      </c>
      <c r="D118" s="83" t="s">
        <v>781</v>
      </c>
      <c r="E118" s="0" t="s">
        <v>539</v>
      </c>
      <c r="F118" s="4" t="str">
        <f aca="false">D118</f>
        <v>never thru 2030</v>
      </c>
      <c r="J118" s="22" t="s">
        <v>551</v>
      </c>
      <c r="K118" s="22" t="s">
        <v>559</v>
      </c>
      <c r="L118" s="22"/>
    </row>
    <row r="119" customFormat="false" ht="15" hidden="false" customHeight="false" outlineLevel="0" collapsed="false">
      <c r="A119" s="0" t="s">
        <v>782</v>
      </c>
      <c r="B119" s="22" t="s">
        <v>778</v>
      </c>
      <c r="C119" s="0" t="s">
        <v>539</v>
      </c>
      <c r="D119" s="26" t="n">
        <v>7.1</v>
      </c>
      <c r="E119" s="0" t="s">
        <v>539</v>
      </c>
      <c r="F119" s="65" t="n">
        <f aca="false">D119</f>
        <v>7.1</v>
      </c>
      <c r="J119" s="22" t="s">
        <v>551</v>
      </c>
      <c r="K119" s="22" t="s">
        <v>559</v>
      </c>
      <c r="L119" s="22"/>
    </row>
    <row r="120" customFormat="false" ht="15" hidden="false" customHeight="false" outlineLevel="0" collapsed="false">
      <c r="A120" s="0" t="s">
        <v>783</v>
      </c>
      <c r="B120" s="22" t="s">
        <v>778</v>
      </c>
      <c r="C120" s="0" t="s">
        <v>539</v>
      </c>
      <c r="D120" s="26" t="n">
        <v>1.5</v>
      </c>
      <c r="E120" s="0" t="s">
        <v>539</v>
      </c>
      <c r="F120" s="65" t="n">
        <f aca="false">D120</f>
        <v>1.5</v>
      </c>
      <c r="J120" s="22" t="s">
        <v>551</v>
      </c>
      <c r="K120" s="22" t="s">
        <v>559</v>
      </c>
      <c r="L120" s="22"/>
    </row>
    <row r="121" customFormat="false" ht="15" hidden="false" customHeight="false" outlineLevel="0" collapsed="false">
      <c r="A121" s="0" t="s">
        <v>784</v>
      </c>
      <c r="B121" s="22" t="s">
        <v>775</v>
      </c>
      <c r="C121" s="0" t="s">
        <v>539</v>
      </c>
      <c r="D121" s="83" t="s">
        <v>60</v>
      </c>
      <c r="E121" s="0" t="s">
        <v>539</v>
      </c>
      <c r="F121" s="4" t="str">
        <f aca="false">D121</f>
        <v>Q3'27</v>
      </c>
      <c r="J121" s="22" t="s">
        <v>551</v>
      </c>
      <c r="K121" s="22" t="s">
        <v>559</v>
      </c>
      <c r="L121" s="22"/>
    </row>
    <row r="122" customFormat="false" ht="15" hidden="false" customHeight="false" outlineLevel="0" collapsed="false">
      <c r="A122" s="0" t="s">
        <v>785</v>
      </c>
      <c r="B122" s="22" t="s">
        <v>778</v>
      </c>
      <c r="C122" s="0" t="s">
        <v>539</v>
      </c>
      <c r="D122" s="26" t="n">
        <v>-7.4</v>
      </c>
      <c r="E122" s="0" t="s">
        <v>539</v>
      </c>
      <c r="F122" s="65" t="n">
        <f aca="false">D122</f>
        <v>-7.4</v>
      </c>
      <c r="J122" s="22" t="s">
        <v>551</v>
      </c>
      <c r="K122" s="22" t="s">
        <v>559</v>
      </c>
      <c r="L122" s="22"/>
    </row>
    <row r="123" customFormat="false" ht="15" hidden="false" customHeight="false" outlineLevel="0" collapsed="false">
      <c r="A123" s="0" t="s">
        <v>786</v>
      </c>
      <c r="B123" s="22" t="s">
        <v>778</v>
      </c>
      <c r="C123" s="0" t="s">
        <v>539</v>
      </c>
      <c r="D123" s="26" t="n">
        <v>-15.6</v>
      </c>
      <c r="E123" s="0" t="s">
        <v>539</v>
      </c>
      <c r="F123" s="65" t="n">
        <f aca="false">D123</f>
        <v>-15.6</v>
      </c>
      <c r="J123" s="22" t="s">
        <v>551</v>
      </c>
      <c r="K123" s="22" t="s">
        <v>559</v>
      </c>
      <c r="L123" s="22"/>
    </row>
    <row r="124" customFormat="false" ht="15" hidden="false" customHeight="false" outlineLevel="0" collapsed="false">
      <c r="A124" s="0" t="s">
        <v>787</v>
      </c>
      <c r="B124" s="22" t="s">
        <v>775</v>
      </c>
      <c r="C124" s="0" t="s">
        <v>539</v>
      </c>
      <c r="D124" s="83" t="s">
        <v>58</v>
      </c>
      <c r="E124" s="0" t="s">
        <v>539</v>
      </c>
      <c r="F124" s="4" t="str">
        <f aca="false">D124</f>
        <v>Q2'27</v>
      </c>
      <c r="J124" s="22" t="s">
        <v>551</v>
      </c>
      <c r="K124" s="22" t="s">
        <v>559</v>
      </c>
      <c r="L124" s="22"/>
    </row>
    <row r="125" customFormat="false" ht="15" hidden="false" customHeight="false" outlineLevel="0" collapsed="false">
      <c r="A125" s="0" t="s">
        <v>788</v>
      </c>
      <c r="B125" s="22" t="s">
        <v>778</v>
      </c>
      <c r="C125" s="0" t="s">
        <v>539</v>
      </c>
      <c r="D125" s="26" t="n">
        <v>-9.9</v>
      </c>
      <c r="E125" s="0" t="s">
        <v>539</v>
      </c>
      <c r="F125" s="65" t="n">
        <f aca="false">D125</f>
        <v>-9.9</v>
      </c>
      <c r="J125" s="22" t="s">
        <v>551</v>
      </c>
      <c r="K125" s="22" t="s">
        <v>559</v>
      </c>
      <c r="L125" s="22"/>
    </row>
    <row r="126" customFormat="false" ht="15" hidden="false" customHeight="false" outlineLevel="0" collapsed="false">
      <c r="A126" s="0" t="s">
        <v>789</v>
      </c>
      <c r="B126" s="22" t="s">
        <v>778</v>
      </c>
      <c r="C126" s="0" t="s">
        <v>539</v>
      </c>
      <c r="D126" s="83" t="s">
        <v>790</v>
      </c>
      <c r="E126" s="0" t="s">
        <v>539</v>
      </c>
      <c r="F126" s="4" t="str">
        <f aca="false">D126</f>
        <v>negative</v>
      </c>
      <c r="J126" s="22" t="s">
        <v>551</v>
      </c>
      <c r="K126" s="22" t="s">
        <v>559</v>
      </c>
      <c r="L126" s="22"/>
    </row>
    <row r="127" customFormat="false" ht="15" hidden="false" customHeight="false" outlineLevel="0" collapsed="false">
      <c r="A127" s="0" t="s">
        <v>791</v>
      </c>
      <c r="B127" s="22" t="s">
        <v>778</v>
      </c>
      <c r="C127" s="0" t="s">
        <v>539</v>
      </c>
      <c r="D127" s="26" t="n">
        <v>2.3</v>
      </c>
      <c r="E127" s="0" t="s">
        <v>539</v>
      </c>
      <c r="F127" s="65" t="n">
        <f aca="false">D127</f>
        <v>2.3</v>
      </c>
      <c r="J127" s="22" t="s">
        <v>551</v>
      </c>
      <c r="K127" s="22" t="s">
        <v>559</v>
      </c>
      <c r="L127" s="22" t="s">
        <v>792</v>
      </c>
    </row>
    <row r="128" customFormat="false" ht="15" hidden="false" customHeight="false" outlineLevel="0" collapsed="false">
      <c r="A128" s="0" t="s">
        <v>793</v>
      </c>
      <c r="B128" s="22" t="s">
        <v>778</v>
      </c>
      <c r="C128" s="0" t="s">
        <v>539</v>
      </c>
      <c r="D128" s="26" t="n">
        <v>16.3</v>
      </c>
      <c r="E128" s="0" t="s">
        <v>539</v>
      </c>
      <c r="F128" s="65" t="n">
        <f aca="false">D128</f>
        <v>16.3</v>
      </c>
      <c r="J128" s="22" t="s">
        <v>551</v>
      </c>
      <c r="K128" s="22" t="s">
        <v>559</v>
      </c>
      <c r="L128" s="22"/>
    </row>
    <row r="129" customFormat="false" ht="15" hidden="false" customHeight="false" outlineLevel="0" collapsed="false">
      <c r="A129" s="0" t="s">
        <v>794</v>
      </c>
      <c r="B129" s="22" t="s">
        <v>613</v>
      </c>
      <c r="C129" s="0" t="s">
        <v>539</v>
      </c>
      <c r="D129" s="74" t="n">
        <v>-340</v>
      </c>
      <c r="E129" s="0" t="s">
        <v>539</v>
      </c>
      <c r="F129" s="5" t="n">
        <f aca="false">D129</f>
        <v>-340</v>
      </c>
      <c r="J129" s="22" t="s">
        <v>551</v>
      </c>
      <c r="K129" s="22" t="s">
        <v>559</v>
      </c>
      <c r="L129" s="22"/>
    </row>
    <row r="130" customFormat="false" ht="15" hidden="false" customHeight="false" outlineLevel="0" collapsed="false">
      <c r="A130" s="0" t="s">
        <v>795</v>
      </c>
      <c r="B130" s="22" t="s">
        <v>613</v>
      </c>
      <c r="C130" s="0" t="s">
        <v>539</v>
      </c>
      <c r="D130" s="74" t="n">
        <v>-782</v>
      </c>
      <c r="E130" s="0" t="s">
        <v>539</v>
      </c>
      <c r="F130" s="5" t="n">
        <f aca="false">D130</f>
        <v>-782</v>
      </c>
      <c r="J130" s="22" t="s">
        <v>551</v>
      </c>
      <c r="K130" s="22" t="s">
        <v>559</v>
      </c>
      <c r="L130" s="22"/>
    </row>
    <row r="131" customFormat="false" ht="15" hidden="false" customHeight="false" outlineLevel="0" collapsed="false">
      <c r="A131" s="0" t="s">
        <v>796</v>
      </c>
      <c r="B131" s="22" t="s">
        <v>613</v>
      </c>
      <c r="C131" s="0" t="s">
        <v>539</v>
      </c>
      <c r="D131" s="74" t="n">
        <v>-1600</v>
      </c>
      <c r="E131" s="0" t="s">
        <v>539</v>
      </c>
      <c r="F131" s="5" t="n">
        <f aca="false">D131</f>
        <v>-1600</v>
      </c>
      <c r="J131" s="22" t="s">
        <v>551</v>
      </c>
      <c r="K131" s="22" t="s">
        <v>559</v>
      </c>
      <c r="L131" s="22"/>
    </row>
    <row r="132" customFormat="false" ht="15" hidden="false" customHeight="false" outlineLevel="0" collapsed="false">
      <c r="A132" s="0" t="s">
        <v>797</v>
      </c>
      <c r="B132" s="22" t="s">
        <v>798</v>
      </c>
      <c r="C132" s="0" t="s">
        <v>539</v>
      </c>
      <c r="D132" s="74" t="n">
        <v>45000</v>
      </c>
      <c r="E132" s="0" t="s">
        <v>539</v>
      </c>
      <c r="F132" s="5" t="n">
        <f aca="false">D132</f>
        <v>45000</v>
      </c>
      <c r="J132" s="22" t="s">
        <v>558</v>
      </c>
      <c r="K132" s="22" t="s">
        <v>559</v>
      </c>
      <c r="L132" s="22" t="s">
        <v>799</v>
      </c>
    </row>
    <row r="133" customFormat="false" ht="15" hidden="false" customHeight="false" outlineLevel="0" collapsed="false">
      <c r="A133" s="0" t="s">
        <v>800</v>
      </c>
      <c r="B133" s="22" t="s">
        <v>798</v>
      </c>
      <c r="C133" s="0" t="s">
        <v>539</v>
      </c>
      <c r="D133" s="74" t="n">
        <v>60000</v>
      </c>
      <c r="E133" s="0" t="s">
        <v>539</v>
      </c>
      <c r="F133" s="5" t="n">
        <f aca="false">D133</f>
        <v>60000</v>
      </c>
      <c r="J133" s="22" t="s">
        <v>558</v>
      </c>
      <c r="K133" s="22" t="s">
        <v>559</v>
      </c>
      <c r="L133" s="22"/>
    </row>
    <row r="134" customFormat="false" ht="15" hidden="false" customHeight="false" outlineLevel="0" collapsed="false">
      <c r="A134" s="0" t="s">
        <v>801</v>
      </c>
      <c r="B134" s="22" t="s">
        <v>564</v>
      </c>
      <c r="C134" s="0" t="s">
        <v>539</v>
      </c>
      <c r="D134" s="66" t="n">
        <v>12.5</v>
      </c>
      <c r="E134" s="0" t="s">
        <v>539</v>
      </c>
      <c r="F134" s="6" t="n">
        <f aca="false">D134</f>
        <v>12.5</v>
      </c>
      <c r="J134" s="22" t="s">
        <v>558</v>
      </c>
      <c r="K134" s="22" t="s">
        <v>574</v>
      </c>
      <c r="L134" s="22" t="s">
        <v>802</v>
      </c>
    </row>
    <row r="135" customFormat="false" ht="15" hidden="false" customHeight="false" outlineLevel="0" collapsed="false">
      <c r="A135" s="0" t="s">
        <v>803</v>
      </c>
      <c r="B135" s="22" t="s">
        <v>567</v>
      </c>
      <c r="C135" s="28" t="n">
        <v>1</v>
      </c>
      <c r="D135" s="28" t="n">
        <v>1</v>
      </c>
      <c r="E135" s="28" t="n">
        <v>1</v>
      </c>
      <c r="F135" s="62" t="n">
        <f aca="false">CHOOSE(Scen,C135,D135,E135)</f>
        <v>1</v>
      </c>
      <c r="J135" s="22" t="s">
        <v>626</v>
      </c>
      <c r="K135" s="22" t="s">
        <v>541</v>
      </c>
      <c r="L135" s="22" t="s">
        <v>804</v>
      </c>
    </row>
    <row r="136" customFormat="false" ht="15" hidden="false" customHeight="false" outlineLevel="0" collapsed="false">
      <c r="A136" s="0" t="s">
        <v>805</v>
      </c>
      <c r="B136" s="22" t="s">
        <v>619</v>
      </c>
      <c r="C136" s="80" t="n">
        <v>0.0625</v>
      </c>
      <c r="D136" s="80" t="n">
        <v>0.22</v>
      </c>
      <c r="E136" s="80" t="n">
        <v>0.31</v>
      </c>
      <c r="F136" s="81" t="n">
        <f aca="false">CHOOSE(Scen,C136,D136,E136)</f>
        <v>0.22</v>
      </c>
      <c r="J136" s="22" t="s">
        <v>626</v>
      </c>
      <c r="K136" s="22" t="s">
        <v>559</v>
      </c>
      <c r="L136" s="22" t="s">
        <v>806</v>
      </c>
    </row>
    <row r="137" customFormat="false" ht="15" hidden="false" customHeight="false" outlineLevel="0" collapsed="false">
      <c r="A137" s="0" t="s">
        <v>807</v>
      </c>
      <c r="B137" s="22" t="s">
        <v>616</v>
      </c>
      <c r="C137" s="0" t="s">
        <v>539</v>
      </c>
      <c r="D137" s="29" t="n">
        <v>13</v>
      </c>
      <c r="E137" s="0" t="s">
        <v>539</v>
      </c>
      <c r="F137" s="62" t="n">
        <f aca="false">D137</f>
        <v>13</v>
      </c>
      <c r="J137" s="22" t="s">
        <v>626</v>
      </c>
      <c r="K137" s="22" t="s">
        <v>559</v>
      </c>
      <c r="L137" s="22" t="s">
        <v>808</v>
      </c>
    </row>
    <row r="138" customFormat="false" ht="15" hidden="false" customHeight="false" outlineLevel="0" collapsed="false">
      <c r="A138" s="58" t="s">
        <v>809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</row>
    <row r="139" customFormat="false" ht="15" hidden="false" customHeight="false" outlineLevel="0" collapsed="false">
      <c r="A139" s="0" t="s">
        <v>810</v>
      </c>
      <c r="B139" s="22" t="s">
        <v>737</v>
      </c>
      <c r="C139" s="84" t="n">
        <v>1</v>
      </c>
      <c r="D139" s="84" t="n">
        <v>1</v>
      </c>
      <c r="E139" s="84" t="n">
        <v>0.85</v>
      </c>
      <c r="F139" s="64" t="n">
        <f aca="false">CHOOSE(Scen,C139,D139,E139)</f>
        <v>1</v>
      </c>
      <c r="J139" s="22" t="s">
        <v>551</v>
      </c>
      <c r="K139" s="22" t="s">
        <v>601</v>
      </c>
      <c r="L139" s="22" t="s">
        <v>811</v>
      </c>
    </row>
    <row r="140" customFormat="false" ht="15" hidden="false" customHeight="false" outlineLevel="0" collapsed="false">
      <c r="A140" s="0" t="s">
        <v>812</v>
      </c>
      <c r="B140" s="22" t="s">
        <v>557</v>
      </c>
      <c r="C140" s="78" t="n">
        <v>0</v>
      </c>
      <c r="D140" s="78" t="n">
        <v>0</v>
      </c>
      <c r="E140" s="78" t="n">
        <v>0</v>
      </c>
      <c r="F140" s="62" t="n">
        <f aca="false">CHOOSE(Scen,C140,D140,E140)</f>
        <v>0</v>
      </c>
      <c r="J140" s="22" t="s">
        <v>551</v>
      </c>
      <c r="K140" s="22" t="s">
        <v>601</v>
      </c>
      <c r="L140" s="22" t="s">
        <v>813</v>
      </c>
    </row>
    <row r="141" customFormat="false" ht="15" hidden="false" customHeight="false" outlineLevel="0" collapsed="false">
      <c r="A141" s="0" t="s">
        <v>814</v>
      </c>
      <c r="B141" s="22" t="s">
        <v>737</v>
      </c>
      <c r="C141" s="85" t="n">
        <v>1.2</v>
      </c>
      <c r="D141" s="85" t="n">
        <v>1.25</v>
      </c>
      <c r="E141" s="85" t="n">
        <v>1.35</v>
      </c>
      <c r="F141" s="64" t="n">
        <f aca="false">CHOOSE(Scen,C141,D141,E141)</f>
        <v>1.25</v>
      </c>
      <c r="J141" s="22" t="s">
        <v>558</v>
      </c>
      <c r="K141" s="22" t="s">
        <v>559</v>
      </c>
      <c r="L141" s="22" t="s">
        <v>815</v>
      </c>
    </row>
    <row r="142" customFormat="false" ht="15" hidden="false" customHeight="false" outlineLevel="0" collapsed="false">
      <c r="A142" s="0" t="s">
        <v>816</v>
      </c>
      <c r="B142" s="22" t="s">
        <v>619</v>
      </c>
      <c r="C142" s="0" t="s">
        <v>539</v>
      </c>
      <c r="D142" s="69" t="n">
        <v>0.8</v>
      </c>
      <c r="E142" s="0" t="s">
        <v>539</v>
      </c>
      <c r="F142" s="43" t="n">
        <f aca="false">D142</f>
        <v>0.8</v>
      </c>
      <c r="J142" s="22" t="s">
        <v>558</v>
      </c>
      <c r="K142" s="22" t="s">
        <v>601</v>
      </c>
      <c r="L142" s="22" t="s">
        <v>817</v>
      </c>
    </row>
    <row r="143" customFormat="false" ht="15" hidden="false" customHeight="false" outlineLevel="0" collapsed="false">
      <c r="A143" s="0" t="s">
        <v>818</v>
      </c>
      <c r="B143" s="22" t="s">
        <v>694</v>
      </c>
      <c r="C143" s="0" t="s">
        <v>539</v>
      </c>
      <c r="D143" s="74" t="n">
        <v>713</v>
      </c>
      <c r="E143" s="0" t="s">
        <v>539</v>
      </c>
      <c r="F143" s="5" t="n">
        <f aca="false">D143</f>
        <v>713</v>
      </c>
      <c r="J143" s="22" t="s">
        <v>558</v>
      </c>
      <c r="K143" s="22" t="s">
        <v>559</v>
      </c>
      <c r="L143" s="22" t="s">
        <v>819</v>
      </c>
    </row>
    <row r="144" customFormat="false" ht="15" hidden="false" customHeight="false" outlineLevel="0" collapsed="false">
      <c r="A144" s="0" t="s">
        <v>820</v>
      </c>
      <c r="B144" s="22" t="s">
        <v>694</v>
      </c>
      <c r="C144" s="0" t="s">
        <v>539</v>
      </c>
      <c r="D144" s="74" t="n">
        <v>500</v>
      </c>
      <c r="E144" s="0" t="s">
        <v>539</v>
      </c>
      <c r="F144" s="5" t="n">
        <f aca="false">D144</f>
        <v>500</v>
      </c>
      <c r="J144" s="22" t="s">
        <v>558</v>
      </c>
      <c r="K144" s="22" t="s">
        <v>559</v>
      </c>
      <c r="L144" s="22" t="s">
        <v>821</v>
      </c>
    </row>
    <row r="145" customFormat="false" ht="15" hidden="false" customHeight="false" outlineLevel="0" collapsed="false">
      <c r="A145" s="0" t="s">
        <v>822</v>
      </c>
      <c r="B145" s="22" t="s">
        <v>694</v>
      </c>
      <c r="C145" s="0" t="s">
        <v>539</v>
      </c>
      <c r="D145" s="77" t="n">
        <v>320</v>
      </c>
      <c r="E145" s="0" t="s">
        <v>539</v>
      </c>
      <c r="F145" s="5" t="n">
        <f aca="false">D145</f>
        <v>320</v>
      </c>
      <c r="J145" s="22" t="s">
        <v>558</v>
      </c>
      <c r="K145" s="22" t="s">
        <v>601</v>
      </c>
      <c r="L145" s="22" t="s">
        <v>823</v>
      </c>
    </row>
    <row r="146" customFormat="false" ht="15" hidden="false" customHeight="false" outlineLevel="0" collapsed="false">
      <c r="A146" s="58" t="s">
        <v>824</v>
      </c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</row>
    <row r="147" customFormat="false" ht="15" hidden="false" customHeight="false" outlineLevel="0" collapsed="false">
      <c r="A147" s="0" t="s">
        <v>825</v>
      </c>
      <c r="B147" s="22" t="s">
        <v>619</v>
      </c>
      <c r="C147" s="73" t="n">
        <v>0.25</v>
      </c>
      <c r="D147" s="73" t="n">
        <v>0.35</v>
      </c>
      <c r="E147" s="73" t="n">
        <v>0.35</v>
      </c>
      <c r="F147" s="43" t="n">
        <f aca="false">CHOOSE(Scen,C147,D147,E147)</f>
        <v>0.35</v>
      </c>
      <c r="J147" s="22" t="s">
        <v>626</v>
      </c>
      <c r="K147" s="22" t="s">
        <v>574</v>
      </c>
      <c r="L147" s="22" t="s">
        <v>826</v>
      </c>
    </row>
    <row r="148" customFormat="false" ht="15" hidden="false" customHeight="false" outlineLevel="0" collapsed="false">
      <c r="A148" s="0" t="s">
        <v>827</v>
      </c>
      <c r="B148" s="22" t="s">
        <v>737</v>
      </c>
      <c r="C148" s="84" t="n">
        <v>1.05</v>
      </c>
      <c r="D148" s="84" t="n">
        <v>1</v>
      </c>
      <c r="E148" s="84" t="n">
        <v>0.9</v>
      </c>
      <c r="F148" s="64" t="n">
        <f aca="false">CHOOSE(Scen,C148,D148,E148)</f>
        <v>1</v>
      </c>
      <c r="J148" s="22" t="s">
        <v>626</v>
      </c>
      <c r="K148" s="22" t="s">
        <v>601</v>
      </c>
      <c r="L148" s="22" t="s">
        <v>828</v>
      </c>
    </row>
    <row r="149" customFormat="false" ht="15" hidden="false" customHeight="false" outlineLevel="0" collapsed="false">
      <c r="A149" s="0" t="s">
        <v>829</v>
      </c>
      <c r="B149" s="22" t="s">
        <v>567</v>
      </c>
      <c r="C149" s="0" t="s">
        <v>539</v>
      </c>
      <c r="D149" s="28" t="n">
        <v>1</v>
      </c>
      <c r="E149" s="0" t="s">
        <v>539</v>
      </c>
      <c r="F149" s="62" t="n">
        <f aca="false">D149</f>
        <v>1</v>
      </c>
      <c r="J149" s="22" t="s">
        <v>626</v>
      </c>
      <c r="K149" s="22" t="s">
        <v>541</v>
      </c>
      <c r="L149" s="22"/>
    </row>
    <row r="150" customFormat="false" ht="15" hidden="false" customHeight="false" outlineLevel="0" collapsed="false">
      <c r="A150" s="0" t="s">
        <v>830</v>
      </c>
      <c r="B150" s="22" t="s">
        <v>567</v>
      </c>
      <c r="C150" s="0" t="s">
        <v>539</v>
      </c>
      <c r="D150" s="78" t="n">
        <v>0</v>
      </c>
      <c r="E150" s="0" t="s">
        <v>539</v>
      </c>
      <c r="F150" s="62" t="n">
        <f aca="false">D150</f>
        <v>0</v>
      </c>
      <c r="J150" s="22" t="s">
        <v>551</v>
      </c>
      <c r="K150" s="22" t="s">
        <v>601</v>
      </c>
      <c r="L150" s="22" t="s">
        <v>831</v>
      </c>
    </row>
    <row r="151" customFormat="false" ht="15" hidden="false" customHeight="false" outlineLevel="0" collapsed="false">
      <c r="A151" s="0" t="s">
        <v>832</v>
      </c>
      <c r="B151" s="22" t="s">
        <v>703</v>
      </c>
      <c r="C151" s="0" t="s">
        <v>539</v>
      </c>
      <c r="D151" s="69" t="n">
        <v>-0.15</v>
      </c>
      <c r="E151" s="0" t="s">
        <v>539</v>
      </c>
      <c r="F151" s="43" t="n">
        <f aca="false">D151</f>
        <v>-0.15</v>
      </c>
      <c r="J151" s="22" t="s">
        <v>551</v>
      </c>
      <c r="K151" s="22" t="s">
        <v>601</v>
      </c>
      <c r="L151" s="22" t="s">
        <v>833</v>
      </c>
    </row>
    <row r="152" customFormat="false" ht="15" hidden="false" customHeight="false" outlineLevel="0" collapsed="false">
      <c r="A152" s="0" t="s">
        <v>834</v>
      </c>
      <c r="B152" s="22" t="s">
        <v>616</v>
      </c>
      <c r="C152" s="0" t="s">
        <v>539</v>
      </c>
      <c r="D152" s="78" t="n">
        <v>17</v>
      </c>
      <c r="E152" s="0" t="s">
        <v>539</v>
      </c>
      <c r="F152" s="62" t="n">
        <f aca="false">D152</f>
        <v>17</v>
      </c>
      <c r="J152" s="22" t="s">
        <v>551</v>
      </c>
      <c r="K152" s="22" t="s">
        <v>601</v>
      </c>
      <c r="L152" s="22" t="s">
        <v>83</v>
      </c>
    </row>
    <row r="153" customFormat="false" ht="15" hidden="false" customHeight="false" outlineLevel="0" collapsed="false">
      <c r="A153" s="0" t="s">
        <v>835</v>
      </c>
      <c r="B153" s="22" t="s">
        <v>703</v>
      </c>
      <c r="C153" s="69" t="n">
        <v>-0.05</v>
      </c>
      <c r="D153" s="69" t="n">
        <v>-0.15</v>
      </c>
      <c r="E153" s="69" t="n">
        <v>-0.3</v>
      </c>
      <c r="F153" s="43" t="n">
        <f aca="false">CHOOSE(Scen,C153,D153,E153)</f>
        <v>-0.15</v>
      </c>
      <c r="J153" s="22" t="s">
        <v>626</v>
      </c>
      <c r="K153" s="22" t="s">
        <v>601</v>
      </c>
      <c r="L153" s="22" t="s">
        <v>836</v>
      </c>
    </row>
    <row r="154" customFormat="false" ht="15" hidden="false" customHeight="false" outlineLevel="0" collapsed="false">
      <c r="A154" s="0" t="s">
        <v>837</v>
      </c>
      <c r="B154" s="22" t="s">
        <v>703</v>
      </c>
      <c r="C154" s="38" t="n">
        <v>-0.025</v>
      </c>
      <c r="D154" s="38" t="n">
        <v>-0.06</v>
      </c>
      <c r="E154" s="38" t="n">
        <v>-0.095</v>
      </c>
      <c r="F154" s="76" t="n">
        <f aca="false">CHOOSE(Scen,C154,D154,E154)</f>
        <v>-0.06</v>
      </c>
      <c r="J154" s="22" t="s">
        <v>626</v>
      </c>
      <c r="K154" s="22" t="s">
        <v>559</v>
      </c>
      <c r="L154" s="22" t="s">
        <v>838</v>
      </c>
    </row>
    <row r="155" customFormat="false" ht="15" hidden="false" customHeight="false" outlineLevel="0" collapsed="false">
      <c r="A155" s="0" t="s">
        <v>839</v>
      </c>
      <c r="B155" s="22" t="s">
        <v>703</v>
      </c>
      <c r="C155" s="38" t="n">
        <v>-0.025</v>
      </c>
      <c r="D155" s="38" t="n">
        <v>-0.06</v>
      </c>
      <c r="E155" s="38" t="n">
        <v>-0.095</v>
      </c>
      <c r="F155" s="76" t="n">
        <f aca="false">CHOOSE(Scen,C155,D155,E155)</f>
        <v>-0.06</v>
      </c>
      <c r="J155" s="22" t="s">
        <v>626</v>
      </c>
      <c r="K155" s="22" t="s">
        <v>559</v>
      </c>
      <c r="L155" s="22" t="s">
        <v>840</v>
      </c>
    </row>
    <row r="156" customFormat="false" ht="15" hidden="false" customHeight="false" outlineLevel="0" collapsed="false">
      <c r="A156" s="0" t="s">
        <v>841</v>
      </c>
      <c r="B156" s="22" t="s">
        <v>616</v>
      </c>
      <c r="C156" s="0" t="s">
        <v>539</v>
      </c>
      <c r="D156" s="28" t="n">
        <v>12</v>
      </c>
      <c r="E156" s="0" t="s">
        <v>539</v>
      </c>
      <c r="F156" s="62" t="n">
        <f aca="false">D156</f>
        <v>12</v>
      </c>
      <c r="J156" s="22" t="s">
        <v>626</v>
      </c>
      <c r="K156" s="22" t="s">
        <v>552</v>
      </c>
      <c r="L156" s="22" t="s">
        <v>842</v>
      </c>
    </row>
    <row r="157" customFormat="false" ht="15" hidden="false" customHeight="false" outlineLevel="0" collapsed="false">
      <c r="A157" s="0" t="s">
        <v>843</v>
      </c>
      <c r="B157" s="22" t="s">
        <v>737</v>
      </c>
      <c r="C157" s="0" t="s">
        <v>539</v>
      </c>
      <c r="D157" s="63" t="n">
        <v>1.22</v>
      </c>
      <c r="E157" s="0" t="s">
        <v>539</v>
      </c>
      <c r="F157" s="64" t="n">
        <f aca="false">D157</f>
        <v>1.22</v>
      </c>
      <c r="J157" s="22" t="s">
        <v>626</v>
      </c>
      <c r="K157" s="22" t="s">
        <v>574</v>
      </c>
      <c r="L157" s="22" t="s">
        <v>844</v>
      </c>
    </row>
    <row r="158" customFormat="false" ht="15" hidden="false" customHeight="false" outlineLevel="0" collapsed="false">
      <c r="A158" s="0" t="s">
        <v>845</v>
      </c>
      <c r="B158" s="22" t="s">
        <v>737</v>
      </c>
      <c r="C158" s="0" t="s">
        <v>539</v>
      </c>
      <c r="D158" s="70" t="n">
        <v>1.2</v>
      </c>
      <c r="E158" s="0" t="s">
        <v>539</v>
      </c>
      <c r="F158" s="6" t="n">
        <f aca="false">D158</f>
        <v>1.2</v>
      </c>
      <c r="J158" s="22" t="s">
        <v>626</v>
      </c>
      <c r="K158" s="22" t="s">
        <v>559</v>
      </c>
      <c r="L158" s="22" t="s">
        <v>846</v>
      </c>
    </row>
    <row r="159" customFormat="false" ht="15" hidden="false" customHeight="false" outlineLevel="0" collapsed="false">
      <c r="A159" s="0" t="s">
        <v>847</v>
      </c>
      <c r="B159" s="22" t="s">
        <v>567</v>
      </c>
      <c r="C159" s="0" t="s">
        <v>539</v>
      </c>
      <c r="D159" s="28" t="n">
        <v>1</v>
      </c>
      <c r="E159" s="0" t="s">
        <v>539</v>
      </c>
      <c r="F159" s="62" t="n">
        <f aca="false">D159</f>
        <v>1</v>
      </c>
      <c r="J159" s="22" t="s">
        <v>626</v>
      </c>
      <c r="K159" s="22" t="s">
        <v>541</v>
      </c>
      <c r="L159" s="22" t="s">
        <v>848</v>
      </c>
    </row>
    <row r="160" customFormat="false" ht="15" hidden="false" customHeight="false" outlineLevel="0" collapsed="false">
      <c r="A160" s="0" t="s">
        <v>849</v>
      </c>
      <c r="B160" s="22" t="s">
        <v>619</v>
      </c>
      <c r="C160" s="0" t="s">
        <v>539</v>
      </c>
      <c r="D160" s="73" t="n">
        <v>0</v>
      </c>
      <c r="E160" s="0" t="s">
        <v>539</v>
      </c>
      <c r="F160" s="43" t="n">
        <f aca="false">D160</f>
        <v>0</v>
      </c>
      <c r="J160" s="22" t="s">
        <v>626</v>
      </c>
      <c r="K160" s="22" t="s">
        <v>574</v>
      </c>
      <c r="L160" s="22" t="s">
        <v>850</v>
      </c>
    </row>
    <row r="161" customFormat="false" ht="15" hidden="false" customHeight="false" outlineLevel="0" collapsed="false">
      <c r="A161" s="0" t="s">
        <v>851</v>
      </c>
      <c r="B161" s="22" t="s">
        <v>852</v>
      </c>
      <c r="C161" s="0" t="s">
        <v>539</v>
      </c>
      <c r="D161" s="28" t="n">
        <v>0</v>
      </c>
      <c r="E161" s="0" t="s">
        <v>539</v>
      </c>
      <c r="F161" s="62" t="n">
        <f aca="false">D161</f>
        <v>0</v>
      </c>
      <c r="J161" s="22" t="s">
        <v>626</v>
      </c>
      <c r="K161" s="22" t="s">
        <v>574</v>
      </c>
      <c r="L161" s="22" t="s">
        <v>853</v>
      </c>
    </row>
    <row r="162" customFormat="false" ht="15" hidden="false" customHeight="false" outlineLevel="0" collapsed="false">
      <c r="A162" s="0" t="s">
        <v>854</v>
      </c>
      <c r="B162" s="22" t="s">
        <v>616</v>
      </c>
      <c r="C162" s="0" t="s">
        <v>539</v>
      </c>
      <c r="D162" s="29" t="n">
        <v>13</v>
      </c>
      <c r="E162" s="0" t="s">
        <v>539</v>
      </c>
      <c r="F162" s="62" t="n">
        <f aca="false">D162</f>
        <v>13</v>
      </c>
      <c r="J162" s="22" t="s">
        <v>626</v>
      </c>
      <c r="K162" s="22" t="s">
        <v>559</v>
      </c>
      <c r="L162" s="22" t="s">
        <v>855</v>
      </c>
    </row>
    <row r="163" customFormat="false" ht="15" hidden="false" customHeight="false" outlineLevel="0" collapsed="false">
      <c r="A163" s="0" t="s">
        <v>856</v>
      </c>
      <c r="B163" s="22" t="s">
        <v>557</v>
      </c>
      <c r="C163" s="28" t="n">
        <v>3</v>
      </c>
      <c r="D163" s="28" t="n">
        <v>4</v>
      </c>
      <c r="E163" s="28" t="n">
        <v>5</v>
      </c>
      <c r="F163" s="62" t="n">
        <f aca="false">CHOOSE(Scen,C163,D163,E163)</f>
        <v>4</v>
      </c>
      <c r="J163" s="22" t="s">
        <v>857</v>
      </c>
      <c r="K163" s="22" t="s">
        <v>574</v>
      </c>
      <c r="L163" s="22" t="s">
        <v>858</v>
      </c>
    </row>
    <row r="164" customFormat="false" ht="15" hidden="false" customHeight="false" outlineLevel="0" collapsed="false">
      <c r="A164" s="0" t="s">
        <v>859</v>
      </c>
      <c r="B164" s="22" t="s">
        <v>737</v>
      </c>
      <c r="C164" s="70" t="n">
        <v>1</v>
      </c>
      <c r="D164" s="70" t="n">
        <v>0.95</v>
      </c>
      <c r="E164" s="70" t="n">
        <v>0.85</v>
      </c>
      <c r="F164" s="6" t="n">
        <f aca="false">CHOOSE(Scen,C164,D164,E164)</f>
        <v>0.95</v>
      </c>
      <c r="J164" s="22" t="s">
        <v>626</v>
      </c>
      <c r="K164" s="22" t="s">
        <v>559</v>
      </c>
      <c r="L164" s="22" t="s">
        <v>860</v>
      </c>
    </row>
    <row r="165" customFormat="false" ht="15" hidden="false" customHeight="false" outlineLevel="0" collapsed="false">
      <c r="A165" s="0" t="s">
        <v>861</v>
      </c>
      <c r="B165" s="22" t="s">
        <v>737</v>
      </c>
      <c r="C165" s="70" t="n">
        <v>0.85</v>
      </c>
      <c r="D165" s="70" t="n">
        <v>0.72</v>
      </c>
      <c r="E165" s="70" t="n">
        <v>0.65</v>
      </c>
      <c r="F165" s="6" t="n">
        <f aca="false">CHOOSE(Scen,C165,D165,E165)</f>
        <v>0.72</v>
      </c>
      <c r="J165" s="22" t="s">
        <v>626</v>
      </c>
      <c r="K165" s="22" t="s">
        <v>559</v>
      </c>
      <c r="L165" s="22" t="s">
        <v>862</v>
      </c>
    </row>
    <row r="166" customFormat="false" ht="15" hidden="false" customHeight="false" outlineLevel="0" collapsed="false">
      <c r="A166" s="0" t="s">
        <v>863</v>
      </c>
      <c r="B166" s="22" t="s">
        <v>619</v>
      </c>
      <c r="C166" s="69" t="n">
        <v>0.9</v>
      </c>
      <c r="D166" s="69" t="n">
        <f aca="false">IF(UtilQ2&gt;1,1,IF(UtilQ2&lt;0.4,0.4,UtilQ2))</f>
        <v>0.750319556751226</v>
      </c>
      <c r="E166" s="69" t="n">
        <v>0.65</v>
      </c>
      <c r="F166" s="43" t="n">
        <f aca="false">CHOOSE(Scen,C166,D166,E166)</f>
        <v>0.750319556751226</v>
      </c>
      <c r="J166" s="22" t="s">
        <v>626</v>
      </c>
      <c r="K166" s="22" t="s">
        <v>601</v>
      </c>
      <c r="L166" s="22" t="s">
        <v>864</v>
      </c>
    </row>
    <row r="167" customFormat="false" ht="15" hidden="false" customHeight="false" outlineLevel="0" collapsed="false">
      <c r="A167" s="0" t="s">
        <v>865</v>
      </c>
      <c r="B167" s="22" t="s">
        <v>619</v>
      </c>
      <c r="C167" s="69" t="n">
        <v>0.95</v>
      </c>
      <c r="D167" s="69" t="n">
        <f aca="false">IF(UtilQ2&gt;1,1,IF(UtilQ2&lt;0.4,0.4,UtilQ2))</f>
        <v>0.750319556751226</v>
      </c>
      <c r="E167" s="69" t="n">
        <v>0.75</v>
      </c>
      <c r="F167" s="43" t="n">
        <f aca="false">CHOOSE(Scen,C167,D167,E167)</f>
        <v>0.750319556751226</v>
      </c>
      <c r="J167" s="22" t="s">
        <v>626</v>
      </c>
      <c r="K167" s="22" t="s">
        <v>601</v>
      </c>
      <c r="L167" s="22" t="s">
        <v>866</v>
      </c>
    </row>
    <row r="168" customFormat="false" ht="15" hidden="false" customHeight="false" outlineLevel="0" collapsed="false">
      <c r="A168" s="0" t="s">
        <v>867</v>
      </c>
      <c r="B168" s="22" t="s">
        <v>619</v>
      </c>
      <c r="C168" s="69" t="n">
        <v>0.5</v>
      </c>
      <c r="D168" s="69" t="n">
        <v>0.4</v>
      </c>
      <c r="E168" s="69" t="n">
        <v>0.3</v>
      </c>
      <c r="F168" s="43" t="n">
        <f aca="false">CHOOSE(Scen,C168,D168,E168)</f>
        <v>0.4</v>
      </c>
      <c r="J168" s="22" t="s">
        <v>626</v>
      </c>
      <c r="K168" s="22" t="s">
        <v>601</v>
      </c>
      <c r="L168" s="22"/>
    </row>
    <row r="169" customFormat="false" ht="15" hidden="false" customHeight="false" outlineLevel="0" collapsed="false">
      <c r="A169" s="0" t="s">
        <v>868</v>
      </c>
      <c r="B169" s="22" t="s">
        <v>619</v>
      </c>
      <c r="C169" s="69" t="n">
        <v>0.7</v>
      </c>
      <c r="D169" s="69" t="n">
        <v>0.65</v>
      </c>
      <c r="E169" s="69" t="n">
        <v>0.6</v>
      </c>
      <c r="F169" s="43" t="n">
        <f aca="false">CHOOSE(Scen,C169,D169,E169)</f>
        <v>0.65</v>
      </c>
      <c r="J169" s="22" t="s">
        <v>869</v>
      </c>
      <c r="K169" s="22" t="s">
        <v>601</v>
      </c>
      <c r="L169" s="22" t="s">
        <v>870</v>
      </c>
    </row>
    <row r="170" customFormat="false" ht="15" hidden="false" customHeight="false" outlineLevel="0" collapsed="false">
      <c r="A170" s="58" t="s">
        <v>871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</row>
    <row r="171" customFormat="false" ht="15" hidden="false" customHeight="false" outlineLevel="0" collapsed="false">
      <c r="A171" s="0" t="s">
        <v>872</v>
      </c>
      <c r="B171" s="22" t="s">
        <v>613</v>
      </c>
      <c r="C171" s="0" t="s">
        <v>539</v>
      </c>
      <c r="D171" s="63" t="n">
        <v>17392.9</v>
      </c>
      <c r="E171" s="0" t="s">
        <v>539</v>
      </c>
      <c r="F171" s="64" t="n">
        <f aca="false">D171</f>
        <v>17392.9</v>
      </c>
      <c r="J171" s="22" t="s">
        <v>604</v>
      </c>
      <c r="K171" s="22" t="s">
        <v>552</v>
      </c>
      <c r="L171" s="22" t="s">
        <v>873</v>
      </c>
    </row>
    <row r="172" customFormat="false" ht="15" hidden="false" customHeight="false" outlineLevel="0" collapsed="false">
      <c r="A172" s="0" t="s">
        <v>874</v>
      </c>
      <c r="B172" s="22" t="s">
        <v>664</v>
      </c>
      <c r="C172" s="0" t="s">
        <v>539</v>
      </c>
      <c r="D172" s="74" t="n">
        <v>240</v>
      </c>
      <c r="E172" s="0" t="s">
        <v>539</v>
      </c>
      <c r="F172" s="5" t="n">
        <f aca="false">D172</f>
        <v>240</v>
      </c>
      <c r="J172" s="22" t="s">
        <v>558</v>
      </c>
      <c r="K172" s="22" t="s">
        <v>559</v>
      </c>
      <c r="L172" s="22" t="s">
        <v>875</v>
      </c>
    </row>
    <row r="173" customFormat="false" ht="15" hidden="false" customHeight="false" outlineLevel="0" collapsed="false">
      <c r="A173" s="0" t="s">
        <v>876</v>
      </c>
      <c r="B173" s="22" t="s">
        <v>544</v>
      </c>
      <c r="C173" s="0" t="s">
        <v>539</v>
      </c>
      <c r="D173" s="28" t="n">
        <v>9</v>
      </c>
      <c r="E173" s="0" t="s">
        <v>539</v>
      </c>
      <c r="F173" s="62" t="n">
        <f aca="false">D173</f>
        <v>9</v>
      </c>
      <c r="J173" s="22" t="s">
        <v>604</v>
      </c>
      <c r="K173" s="22" t="s">
        <v>552</v>
      </c>
      <c r="L173" s="22" t="s">
        <v>877</v>
      </c>
    </row>
    <row r="174" customFormat="false" ht="15" hidden="false" customHeight="false" outlineLevel="0" collapsed="false">
      <c r="A174" s="0" t="s">
        <v>878</v>
      </c>
      <c r="B174" s="22" t="s">
        <v>647</v>
      </c>
      <c r="C174" s="0" t="s">
        <v>539</v>
      </c>
      <c r="D174" s="63" t="n">
        <v>12</v>
      </c>
      <c r="E174" s="0" t="s">
        <v>539</v>
      </c>
      <c r="F174" s="64" t="n">
        <f aca="false">D174</f>
        <v>12</v>
      </c>
      <c r="J174" s="22" t="s">
        <v>604</v>
      </c>
      <c r="K174" s="22" t="s">
        <v>552</v>
      </c>
      <c r="L174" s="22" t="s">
        <v>879</v>
      </c>
    </row>
    <row r="175" customFormat="false" ht="15" hidden="false" customHeight="false" outlineLevel="0" collapsed="false">
      <c r="A175" s="0" t="s">
        <v>880</v>
      </c>
      <c r="B175" s="22" t="s">
        <v>647</v>
      </c>
      <c r="C175" s="0" t="s">
        <v>539</v>
      </c>
      <c r="D175" s="63" t="n">
        <v>22.5</v>
      </c>
      <c r="E175" s="0" t="s">
        <v>539</v>
      </c>
      <c r="F175" s="64" t="n">
        <f aca="false">D175</f>
        <v>22.5</v>
      </c>
      <c r="J175" s="22" t="s">
        <v>604</v>
      </c>
      <c r="K175" s="22" t="s">
        <v>574</v>
      </c>
      <c r="L175" s="22" t="s">
        <v>881</v>
      </c>
    </row>
    <row r="176" customFormat="false" ht="15" hidden="false" customHeight="false" outlineLevel="0" collapsed="false">
      <c r="A176" s="0" t="s">
        <v>882</v>
      </c>
      <c r="B176" s="22" t="s">
        <v>737</v>
      </c>
      <c r="C176" s="0" t="s">
        <v>539</v>
      </c>
      <c r="D176" s="85" t="n">
        <v>0.5</v>
      </c>
      <c r="E176" s="0" t="s">
        <v>539</v>
      </c>
      <c r="F176" s="64" t="n">
        <f aca="false">D176</f>
        <v>0.5</v>
      </c>
      <c r="J176" s="22" t="s">
        <v>540</v>
      </c>
      <c r="K176" s="22" t="s">
        <v>559</v>
      </c>
      <c r="L176" s="22" t="s">
        <v>883</v>
      </c>
    </row>
    <row r="177" customFormat="false" ht="15" hidden="false" customHeight="false" outlineLevel="0" collapsed="false">
      <c r="A177" s="0" t="s">
        <v>884</v>
      </c>
      <c r="B177" s="22" t="s">
        <v>664</v>
      </c>
      <c r="C177" s="0" t="s">
        <v>539</v>
      </c>
      <c r="D177" s="86" t="n">
        <v>122.9</v>
      </c>
      <c r="E177" s="0" t="s">
        <v>539</v>
      </c>
      <c r="F177" s="72" t="n">
        <f aca="false">D177</f>
        <v>122.9</v>
      </c>
      <c r="J177" s="22" t="s">
        <v>558</v>
      </c>
      <c r="K177" s="22" t="s">
        <v>559</v>
      </c>
      <c r="L177" s="22" t="s">
        <v>885</v>
      </c>
    </row>
    <row r="178" customFormat="false" ht="15" hidden="false" customHeight="false" outlineLevel="0" collapsed="false">
      <c r="A178" s="0" t="s">
        <v>886</v>
      </c>
      <c r="B178" s="22" t="s">
        <v>567</v>
      </c>
      <c r="C178" s="0" t="s">
        <v>539</v>
      </c>
      <c r="D178" s="28" t="n">
        <v>1</v>
      </c>
      <c r="E178" s="0" t="s">
        <v>539</v>
      </c>
      <c r="F178" s="62" t="n">
        <f aca="false">D178</f>
        <v>1</v>
      </c>
      <c r="J178" s="22" t="s">
        <v>558</v>
      </c>
      <c r="K178" s="22" t="s">
        <v>541</v>
      </c>
      <c r="L178" s="22" t="s">
        <v>887</v>
      </c>
    </row>
    <row r="179" customFormat="false" ht="15" hidden="false" customHeight="false" outlineLevel="0" collapsed="false">
      <c r="A179" s="0" t="s">
        <v>888</v>
      </c>
      <c r="B179" s="22" t="s">
        <v>616</v>
      </c>
      <c r="C179" s="29" t="n">
        <v>13</v>
      </c>
      <c r="D179" s="29" t="n">
        <v>14</v>
      </c>
      <c r="E179" s="29" t="n">
        <v>15</v>
      </c>
      <c r="F179" s="62" t="n">
        <f aca="false">CHOOSE(Scen,C179,D179,E179)</f>
        <v>14</v>
      </c>
      <c r="J179" s="22" t="s">
        <v>558</v>
      </c>
      <c r="K179" s="22" t="s">
        <v>559</v>
      </c>
      <c r="L179" s="22" t="s">
        <v>889</v>
      </c>
    </row>
    <row r="180" customFormat="false" ht="15" hidden="false" customHeight="false" outlineLevel="0" collapsed="false">
      <c r="A180" s="0" t="s">
        <v>890</v>
      </c>
      <c r="B180" s="22" t="s">
        <v>610</v>
      </c>
      <c r="C180" s="0" t="s">
        <v>539</v>
      </c>
      <c r="D180" s="74" t="n">
        <v>350</v>
      </c>
      <c r="E180" s="0" t="s">
        <v>539</v>
      </c>
      <c r="F180" s="5" t="n">
        <f aca="false">D180</f>
        <v>350</v>
      </c>
      <c r="J180" s="22" t="s">
        <v>590</v>
      </c>
      <c r="K180" s="22" t="s">
        <v>559</v>
      </c>
      <c r="L180" s="22" t="s">
        <v>891</v>
      </c>
    </row>
    <row r="181" customFormat="false" ht="15" hidden="false" customHeight="false" outlineLevel="0" collapsed="false">
      <c r="A181" s="0" t="s">
        <v>892</v>
      </c>
      <c r="B181" s="22" t="s">
        <v>544</v>
      </c>
      <c r="C181" s="0" t="s">
        <v>539</v>
      </c>
      <c r="D181" s="28" t="n">
        <v>1</v>
      </c>
      <c r="E181" s="0" t="s">
        <v>539</v>
      </c>
      <c r="F181" s="62" t="n">
        <f aca="false">D181</f>
        <v>1</v>
      </c>
      <c r="J181" s="22" t="s">
        <v>604</v>
      </c>
      <c r="K181" s="22" t="s">
        <v>541</v>
      </c>
      <c r="L181" s="22" t="s">
        <v>893</v>
      </c>
    </row>
    <row r="182" customFormat="false" ht="15" hidden="false" customHeight="false" outlineLevel="0" collapsed="false">
      <c r="A182" s="0" t="s">
        <v>894</v>
      </c>
      <c r="B182" s="22" t="s">
        <v>610</v>
      </c>
      <c r="C182" s="0" t="s">
        <v>539</v>
      </c>
      <c r="D182" s="36" t="n">
        <f aca="false">IF(TopCust=1,0.21,0.24)*574.9</f>
        <v>120.729</v>
      </c>
      <c r="E182" s="0" t="s">
        <v>539</v>
      </c>
      <c r="F182" s="72" t="n">
        <f aca="false">D182</f>
        <v>120.729</v>
      </c>
      <c r="J182" s="22" t="s">
        <v>604</v>
      </c>
      <c r="K182" s="22" t="s">
        <v>574</v>
      </c>
      <c r="L182" s="22" t="s">
        <v>895</v>
      </c>
    </row>
    <row r="183" customFormat="false" ht="15" hidden="false" customHeight="false" outlineLevel="0" collapsed="false">
      <c r="A183" s="0" t="s">
        <v>896</v>
      </c>
      <c r="B183" s="22" t="s">
        <v>610</v>
      </c>
      <c r="C183" s="0" t="s">
        <v>539</v>
      </c>
      <c r="D183" s="36" t="n">
        <f aca="false">2880.7/20</f>
        <v>144.035</v>
      </c>
      <c r="E183" s="0" t="s">
        <v>539</v>
      </c>
      <c r="F183" s="72" t="n">
        <f aca="false">D183</f>
        <v>144.035</v>
      </c>
      <c r="J183" s="22" t="s">
        <v>604</v>
      </c>
      <c r="K183" s="22" t="s">
        <v>574</v>
      </c>
      <c r="L183" s="22" t="s">
        <v>897</v>
      </c>
    </row>
    <row r="184" customFormat="false" ht="15" hidden="false" customHeight="false" outlineLevel="0" collapsed="false">
      <c r="A184" s="0" t="s">
        <v>898</v>
      </c>
      <c r="B184" s="22" t="s">
        <v>610</v>
      </c>
      <c r="C184" s="0" t="s">
        <v>539</v>
      </c>
      <c r="D184" s="68" t="n">
        <v>40</v>
      </c>
      <c r="E184" s="0" t="s">
        <v>539</v>
      </c>
      <c r="F184" s="5" t="n">
        <f aca="false">D184</f>
        <v>40</v>
      </c>
      <c r="J184" s="22" t="s">
        <v>626</v>
      </c>
      <c r="K184" s="22" t="s">
        <v>574</v>
      </c>
      <c r="L184" s="22" t="s">
        <v>899</v>
      </c>
    </row>
    <row r="185" customFormat="false" ht="15" hidden="false" customHeight="false" outlineLevel="0" collapsed="false">
      <c r="A185" s="0" t="s">
        <v>900</v>
      </c>
      <c r="B185" s="22" t="s">
        <v>610</v>
      </c>
      <c r="C185" s="0" t="s">
        <v>539</v>
      </c>
      <c r="D185" s="68" t="n">
        <v>125</v>
      </c>
      <c r="E185" s="0" t="s">
        <v>539</v>
      </c>
      <c r="F185" s="5" t="n">
        <f aca="false">D185</f>
        <v>125</v>
      </c>
      <c r="J185" s="22" t="s">
        <v>626</v>
      </c>
      <c r="K185" s="22" t="s">
        <v>574</v>
      </c>
      <c r="L185" s="22"/>
    </row>
    <row r="186" customFormat="false" ht="15" hidden="false" customHeight="false" outlineLevel="0" collapsed="false">
      <c r="A186" s="0" t="s">
        <v>901</v>
      </c>
      <c r="B186" s="22" t="s">
        <v>664</v>
      </c>
      <c r="C186" s="77" t="n">
        <v>0</v>
      </c>
      <c r="D186" s="77" t="n">
        <v>0</v>
      </c>
      <c r="E186" s="77" t="n">
        <v>0</v>
      </c>
      <c r="F186" s="5" t="n">
        <f aca="false">CHOOSE(Scen,C186,D186,E186)</f>
        <v>0</v>
      </c>
      <c r="J186" s="22" t="s">
        <v>558</v>
      </c>
      <c r="K186" s="22" t="s">
        <v>601</v>
      </c>
      <c r="L186" s="22" t="s">
        <v>902</v>
      </c>
    </row>
    <row r="187" customFormat="false" ht="15" hidden="false" customHeight="false" outlineLevel="0" collapsed="false">
      <c r="A187" s="0" t="s">
        <v>903</v>
      </c>
      <c r="B187" s="22" t="s">
        <v>664</v>
      </c>
      <c r="C187" s="77" t="n">
        <v>0</v>
      </c>
      <c r="D187" s="77" t="n">
        <v>0</v>
      </c>
      <c r="E187" s="77" t="n">
        <v>0</v>
      </c>
      <c r="F187" s="5" t="n">
        <f aca="false">CHOOSE(Scen,C187,D187,E187)</f>
        <v>0</v>
      </c>
      <c r="J187" s="22" t="s">
        <v>558</v>
      </c>
      <c r="K187" s="22" t="s">
        <v>601</v>
      </c>
      <c r="L187" s="22" t="s">
        <v>904</v>
      </c>
    </row>
    <row r="188" customFormat="false" ht="15" hidden="false" customHeight="false" outlineLevel="0" collapsed="false">
      <c r="A188" s="0" t="s">
        <v>905</v>
      </c>
      <c r="B188" s="22" t="s">
        <v>664</v>
      </c>
      <c r="C188" s="77" t="n">
        <v>0</v>
      </c>
      <c r="D188" s="77" t="n">
        <v>0</v>
      </c>
      <c r="E188" s="77" t="n">
        <v>0</v>
      </c>
      <c r="F188" s="5" t="n">
        <f aca="false">CHOOSE(Scen,C188,D188,E188)</f>
        <v>0</v>
      </c>
      <c r="J188" s="22" t="s">
        <v>558</v>
      </c>
      <c r="K188" s="22" t="s">
        <v>601</v>
      </c>
      <c r="L188" s="22" t="s">
        <v>904</v>
      </c>
    </row>
    <row r="189" customFormat="false" ht="15" hidden="false" customHeight="false" outlineLevel="0" collapsed="false">
      <c r="A189" s="0" t="s">
        <v>906</v>
      </c>
      <c r="B189" s="22" t="s">
        <v>737</v>
      </c>
      <c r="C189" s="0" t="s">
        <v>539</v>
      </c>
      <c r="D189" s="85" t="n">
        <v>1.2</v>
      </c>
      <c r="E189" s="0" t="s">
        <v>539</v>
      </c>
      <c r="F189" s="64" t="n">
        <f aca="false">D189</f>
        <v>1.2</v>
      </c>
      <c r="J189" s="22" t="s">
        <v>558</v>
      </c>
      <c r="K189" s="22" t="s">
        <v>559</v>
      </c>
      <c r="L189" s="22" t="s">
        <v>907</v>
      </c>
    </row>
    <row r="190" customFormat="false" ht="15" hidden="false" customHeight="false" outlineLevel="0" collapsed="false">
      <c r="A190" s="0" t="s">
        <v>908</v>
      </c>
      <c r="B190" s="22" t="s">
        <v>557</v>
      </c>
      <c r="C190" s="29" t="n">
        <v>2</v>
      </c>
      <c r="D190" s="29" t="n">
        <v>4</v>
      </c>
      <c r="E190" s="29" t="n">
        <v>6</v>
      </c>
      <c r="F190" s="62" t="n">
        <f aca="false">CHOOSE(Scen,C190,D190,E190)</f>
        <v>4</v>
      </c>
      <c r="J190" s="22" t="s">
        <v>626</v>
      </c>
      <c r="K190" s="22" t="s">
        <v>559</v>
      </c>
      <c r="L190" s="22" t="s">
        <v>909</v>
      </c>
    </row>
    <row r="191" customFormat="false" ht="15" hidden="false" customHeight="false" outlineLevel="0" collapsed="false">
      <c r="A191" s="0" t="s">
        <v>910</v>
      </c>
      <c r="B191" s="22" t="s">
        <v>619</v>
      </c>
      <c r="C191" s="0" t="s">
        <v>539</v>
      </c>
      <c r="D191" s="40" t="n">
        <v>0.45</v>
      </c>
      <c r="E191" s="0" t="s">
        <v>539</v>
      </c>
      <c r="F191" s="43" t="n">
        <f aca="false">D191</f>
        <v>0.45</v>
      </c>
      <c r="J191" s="22" t="s">
        <v>626</v>
      </c>
      <c r="K191" s="22" t="s">
        <v>559</v>
      </c>
      <c r="L191" s="22" t="s">
        <v>911</v>
      </c>
    </row>
    <row r="192" customFormat="false" ht="15" hidden="false" customHeight="false" outlineLevel="0" collapsed="false">
      <c r="A192" s="0" t="s">
        <v>912</v>
      </c>
      <c r="B192" s="22" t="s">
        <v>619</v>
      </c>
      <c r="C192" s="0" t="s">
        <v>539</v>
      </c>
      <c r="D192" s="40" t="n">
        <v>0.5</v>
      </c>
      <c r="E192" s="0" t="s">
        <v>539</v>
      </c>
      <c r="F192" s="43" t="n">
        <f aca="false">D192</f>
        <v>0.5</v>
      </c>
      <c r="J192" s="22" t="s">
        <v>626</v>
      </c>
      <c r="K192" s="22" t="s">
        <v>559</v>
      </c>
      <c r="L192" s="22" t="s">
        <v>913</v>
      </c>
    </row>
    <row r="193" customFormat="false" ht="15" hidden="false" customHeight="false" outlineLevel="0" collapsed="false">
      <c r="A193" s="0" t="s">
        <v>914</v>
      </c>
      <c r="B193" s="22" t="s">
        <v>619</v>
      </c>
      <c r="C193" s="0" t="s">
        <v>539</v>
      </c>
      <c r="D193" s="40" t="n">
        <v>0.04</v>
      </c>
      <c r="E193" s="0" t="s">
        <v>539</v>
      </c>
      <c r="F193" s="43" t="n">
        <f aca="false">D193</f>
        <v>0.04</v>
      </c>
      <c r="J193" s="22" t="s">
        <v>626</v>
      </c>
      <c r="K193" s="22" t="s">
        <v>559</v>
      </c>
      <c r="L193" s="22" t="s">
        <v>915</v>
      </c>
    </row>
    <row r="194" customFormat="false" ht="15" hidden="false" customHeight="false" outlineLevel="0" collapsed="false">
      <c r="A194" s="0" t="s">
        <v>916</v>
      </c>
      <c r="B194" s="22" t="s">
        <v>664</v>
      </c>
      <c r="C194" s="0" t="s">
        <v>539</v>
      </c>
      <c r="D194" s="74" t="n">
        <v>83</v>
      </c>
      <c r="E194" s="0" t="s">
        <v>539</v>
      </c>
      <c r="F194" s="5" t="n">
        <f aca="false">D194</f>
        <v>83</v>
      </c>
      <c r="J194" s="22" t="s">
        <v>917</v>
      </c>
      <c r="K194" s="22" t="s">
        <v>559</v>
      </c>
      <c r="L194" s="22" t="s">
        <v>918</v>
      </c>
    </row>
    <row r="195" customFormat="false" ht="15" hidden="false" customHeight="false" outlineLevel="0" collapsed="false">
      <c r="A195" s="0" t="s">
        <v>919</v>
      </c>
      <c r="B195" s="22" t="s">
        <v>664</v>
      </c>
      <c r="C195" s="0" t="s">
        <v>539</v>
      </c>
      <c r="D195" s="74" t="n">
        <v>200</v>
      </c>
      <c r="E195" s="0" t="s">
        <v>539</v>
      </c>
      <c r="F195" s="5" t="n">
        <f aca="false">D195</f>
        <v>200</v>
      </c>
      <c r="J195" s="22" t="s">
        <v>917</v>
      </c>
      <c r="K195" s="22" t="s">
        <v>559</v>
      </c>
      <c r="L195" s="22"/>
    </row>
    <row r="196" customFormat="false" ht="15" hidden="false" customHeight="false" outlineLevel="0" collapsed="false">
      <c r="A196" s="0" t="s">
        <v>920</v>
      </c>
      <c r="B196" s="22" t="s">
        <v>619</v>
      </c>
      <c r="C196" s="0" t="s">
        <v>539</v>
      </c>
      <c r="D196" s="40" t="n">
        <v>0.35</v>
      </c>
      <c r="E196" s="0" t="s">
        <v>539</v>
      </c>
      <c r="F196" s="43" t="n">
        <f aca="false">D196</f>
        <v>0.35</v>
      </c>
      <c r="J196" s="22" t="s">
        <v>551</v>
      </c>
      <c r="K196" s="22" t="s">
        <v>559</v>
      </c>
      <c r="L196" s="22" t="s">
        <v>921</v>
      </c>
    </row>
    <row r="197" customFormat="false" ht="15" hidden="false" customHeight="false" outlineLevel="0" collapsed="false">
      <c r="A197" s="0" t="s">
        <v>922</v>
      </c>
      <c r="B197" s="22" t="s">
        <v>619</v>
      </c>
      <c r="C197" s="0" t="s">
        <v>539</v>
      </c>
      <c r="D197" s="69" t="n">
        <v>0</v>
      </c>
      <c r="E197" s="0" t="s">
        <v>539</v>
      </c>
      <c r="F197" s="43" t="n">
        <f aca="false">D197</f>
        <v>0</v>
      </c>
      <c r="J197" s="22" t="s">
        <v>917</v>
      </c>
      <c r="K197" s="22" t="s">
        <v>601</v>
      </c>
      <c r="L197" s="22" t="s">
        <v>923</v>
      </c>
    </row>
    <row r="198" customFormat="false" ht="15" hidden="false" customHeight="false" outlineLevel="0" collapsed="false">
      <c r="A198" s="58" t="s">
        <v>924</v>
      </c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</row>
    <row r="199" customFormat="false" ht="15" hidden="false" customHeight="false" outlineLevel="0" collapsed="false">
      <c r="A199" s="0" t="s">
        <v>925</v>
      </c>
      <c r="B199" s="22" t="s">
        <v>771</v>
      </c>
      <c r="C199" s="87" t="n">
        <v>0.03</v>
      </c>
      <c r="D199" s="87" t="n">
        <v>0.02</v>
      </c>
      <c r="E199" s="87" t="n">
        <v>0</v>
      </c>
      <c r="F199" s="76" t="n">
        <f aca="false">CHOOSE(Scen,C199,D199,E199)</f>
        <v>0.02</v>
      </c>
      <c r="J199" s="22" t="s">
        <v>604</v>
      </c>
      <c r="K199" s="22" t="s">
        <v>601</v>
      </c>
      <c r="L199" s="22" t="s">
        <v>926</v>
      </c>
    </row>
    <row r="200" customFormat="false" ht="15" hidden="false" customHeight="false" outlineLevel="0" collapsed="false">
      <c r="A200" s="58" t="s">
        <v>927</v>
      </c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</row>
    <row r="201" customFormat="false" ht="15" hidden="false" customHeight="false" outlineLevel="0" collapsed="false">
      <c r="A201" s="0" t="s">
        <v>928</v>
      </c>
      <c r="B201" s="22" t="s">
        <v>929</v>
      </c>
      <c r="C201" s="77" t="n">
        <v>65</v>
      </c>
      <c r="D201" s="77" t="n">
        <v>75</v>
      </c>
      <c r="E201" s="77" t="n">
        <v>90</v>
      </c>
      <c r="F201" s="5" t="n">
        <f aca="false">CHOOSE(Scen,C201,D201,E201)</f>
        <v>75</v>
      </c>
      <c r="J201" s="22" t="s">
        <v>558</v>
      </c>
      <c r="K201" s="22" t="s">
        <v>601</v>
      </c>
      <c r="L201" s="22" t="s">
        <v>930</v>
      </c>
    </row>
    <row r="202" customFormat="false" ht="15" hidden="false" customHeight="false" outlineLevel="0" collapsed="false">
      <c r="A202" s="0" t="s">
        <v>931</v>
      </c>
      <c r="B202" s="22" t="s">
        <v>932</v>
      </c>
      <c r="C202" s="85" t="n">
        <v>2</v>
      </c>
      <c r="D202" s="85" t="n">
        <v>2.25</v>
      </c>
      <c r="E202" s="85" t="n">
        <v>2.5</v>
      </c>
      <c r="F202" s="64" t="n">
        <f aca="false">CHOOSE(Scen,C202,D202,E202)</f>
        <v>2.25</v>
      </c>
      <c r="J202" s="22" t="s">
        <v>558</v>
      </c>
      <c r="K202" s="22" t="s">
        <v>559</v>
      </c>
      <c r="L202" s="22" t="s">
        <v>933</v>
      </c>
    </row>
    <row r="203" customFormat="false" ht="15" hidden="false" customHeight="false" outlineLevel="0" collapsed="false">
      <c r="A203" s="0" t="s">
        <v>934</v>
      </c>
      <c r="B203" s="22" t="s">
        <v>932</v>
      </c>
      <c r="C203" s="63" t="n">
        <v>0.9</v>
      </c>
      <c r="D203" s="63" t="n">
        <v>1.1</v>
      </c>
      <c r="E203" s="63" t="n">
        <v>1.6</v>
      </c>
      <c r="F203" s="64" t="n">
        <f aca="false">CHOOSE(Scen,C203,D203,E203)</f>
        <v>1.1</v>
      </c>
      <c r="J203" s="22" t="s">
        <v>558</v>
      </c>
      <c r="K203" s="22" t="s">
        <v>574</v>
      </c>
      <c r="L203" s="22" t="s">
        <v>935</v>
      </c>
    </row>
    <row r="204" customFormat="false" ht="15" hidden="false" customHeight="false" outlineLevel="0" collapsed="false">
      <c r="A204" s="0" t="s">
        <v>936</v>
      </c>
      <c r="B204" s="22" t="s">
        <v>937</v>
      </c>
      <c r="C204" s="87" t="n">
        <v>0.05</v>
      </c>
      <c r="D204" s="87" t="n">
        <v>0.06</v>
      </c>
      <c r="E204" s="87" t="n">
        <v>0.08</v>
      </c>
      <c r="F204" s="76" t="n">
        <f aca="false">CHOOSE(Scen,C204,D204,E204)</f>
        <v>0.06</v>
      </c>
      <c r="J204" s="22" t="s">
        <v>540</v>
      </c>
      <c r="K204" s="22" t="s">
        <v>601</v>
      </c>
      <c r="L204" s="22" t="s">
        <v>938</v>
      </c>
    </row>
    <row r="205" customFormat="false" ht="15" hidden="false" customHeight="false" outlineLevel="0" collapsed="false">
      <c r="A205" s="0" t="s">
        <v>939</v>
      </c>
      <c r="B205" s="22" t="s">
        <v>937</v>
      </c>
      <c r="C205" s="0" t="s">
        <v>539</v>
      </c>
      <c r="D205" s="38" t="n">
        <v>0.04</v>
      </c>
      <c r="E205" s="0" t="s">
        <v>539</v>
      </c>
      <c r="F205" s="76" t="n">
        <f aca="false">D205</f>
        <v>0.04</v>
      </c>
      <c r="J205" s="22" t="s">
        <v>604</v>
      </c>
      <c r="K205" s="22" t="s">
        <v>559</v>
      </c>
      <c r="L205" s="22" t="s">
        <v>940</v>
      </c>
    </row>
    <row r="206" customFormat="false" ht="15" hidden="false" customHeight="false" outlineLevel="0" collapsed="false">
      <c r="A206" s="58" t="s">
        <v>941</v>
      </c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</row>
    <row r="207" customFormat="false" ht="15" hidden="false" customHeight="false" outlineLevel="0" collapsed="false">
      <c r="A207" s="0" t="s">
        <v>942</v>
      </c>
      <c r="B207" s="22" t="s">
        <v>798</v>
      </c>
      <c r="C207" s="0" t="s">
        <v>539</v>
      </c>
      <c r="D207" s="77" t="n">
        <v>35000</v>
      </c>
      <c r="E207" s="0" t="s">
        <v>539</v>
      </c>
      <c r="F207" s="5" t="n">
        <f aca="false">D207</f>
        <v>35000</v>
      </c>
      <c r="J207" s="22" t="s">
        <v>626</v>
      </c>
      <c r="K207" s="22" t="s">
        <v>601</v>
      </c>
      <c r="L207" s="22" t="s">
        <v>943</v>
      </c>
    </row>
    <row r="208" customFormat="false" ht="15" hidden="false" customHeight="false" outlineLevel="0" collapsed="false">
      <c r="A208" s="0" t="s">
        <v>944</v>
      </c>
      <c r="B208" s="22" t="s">
        <v>798</v>
      </c>
      <c r="C208" s="0" t="s">
        <v>539</v>
      </c>
      <c r="D208" s="77" t="n">
        <v>60000</v>
      </c>
      <c r="E208" s="0" t="s">
        <v>539</v>
      </c>
      <c r="F208" s="5" t="n">
        <f aca="false">D208</f>
        <v>60000</v>
      </c>
      <c r="J208" s="22" t="s">
        <v>626</v>
      </c>
      <c r="K208" s="22" t="s">
        <v>601</v>
      </c>
      <c r="L208" s="22" t="s">
        <v>945</v>
      </c>
    </row>
    <row r="209" customFormat="false" ht="15" hidden="false" customHeight="false" outlineLevel="0" collapsed="false">
      <c r="A209" s="0" t="s">
        <v>946</v>
      </c>
      <c r="B209" s="22" t="s">
        <v>798</v>
      </c>
      <c r="C209" s="0" t="s">
        <v>539</v>
      </c>
      <c r="D209" s="77" t="n">
        <v>90000</v>
      </c>
      <c r="E209" s="0" t="s">
        <v>539</v>
      </c>
      <c r="F209" s="5" t="n">
        <f aca="false">D209</f>
        <v>90000</v>
      </c>
      <c r="J209" s="22" t="s">
        <v>626</v>
      </c>
      <c r="K209" s="22" t="s">
        <v>601</v>
      </c>
      <c r="L209" s="22"/>
    </row>
    <row r="210" customFormat="false" ht="15" hidden="false" customHeight="false" outlineLevel="0" collapsed="false">
      <c r="A210" s="0" t="s">
        <v>947</v>
      </c>
      <c r="B210" s="22" t="s">
        <v>564</v>
      </c>
      <c r="C210" s="0" t="s">
        <v>539</v>
      </c>
      <c r="D210" s="85" t="n">
        <v>30</v>
      </c>
      <c r="E210" s="0" t="s">
        <v>539</v>
      </c>
      <c r="F210" s="64" t="n">
        <f aca="false">D210</f>
        <v>30</v>
      </c>
      <c r="J210" s="22" t="s">
        <v>558</v>
      </c>
      <c r="K210" s="22" t="s">
        <v>559</v>
      </c>
      <c r="L210" s="22" t="s">
        <v>948</v>
      </c>
    </row>
    <row r="211" customFormat="false" ht="15" hidden="false" customHeight="false" outlineLevel="0" collapsed="false">
      <c r="A211" s="0" t="s">
        <v>949</v>
      </c>
      <c r="B211" s="22" t="s">
        <v>564</v>
      </c>
      <c r="C211" s="0" t="s">
        <v>539</v>
      </c>
      <c r="D211" s="84" t="n">
        <v>3.75</v>
      </c>
      <c r="E211" s="0" t="s">
        <v>539</v>
      </c>
      <c r="F211" s="64" t="n">
        <f aca="false">D211</f>
        <v>3.75</v>
      </c>
      <c r="J211" s="22" t="s">
        <v>558</v>
      </c>
      <c r="K211" s="22" t="s">
        <v>601</v>
      </c>
      <c r="L211" s="22" t="s">
        <v>950</v>
      </c>
    </row>
    <row r="212" customFormat="false" ht="15" hidden="false" customHeight="false" outlineLevel="0" collapsed="false">
      <c r="A212" s="0" t="s">
        <v>951</v>
      </c>
      <c r="B212" s="22" t="s">
        <v>564</v>
      </c>
      <c r="C212" s="0" t="s">
        <v>539</v>
      </c>
      <c r="D212" s="84" t="n">
        <v>8.75</v>
      </c>
      <c r="E212" s="0" t="s">
        <v>539</v>
      </c>
      <c r="F212" s="64" t="n">
        <f aca="false">D212</f>
        <v>8.75</v>
      </c>
      <c r="J212" s="22" t="s">
        <v>558</v>
      </c>
      <c r="K212" s="22" t="s">
        <v>601</v>
      </c>
      <c r="L212" s="22" t="s">
        <v>952</v>
      </c>
    </row>
    <row r="213" customFormat="false" ht="15" hidden="false" customHeight="false" outlineLevel="0" collapsed="false">
      <c r="A213" s="0" t="s">
        <v>953</v>
      </c>
      <c r="B213" s="22" t="s">
        <v>557</v>
      </c>
      <c r="C213" s="0" t="s">
        <v>539</v>
      </c>
      <c r="D213" s="29" t="n">
        <v>2</v>
      </c>
      <c r="E213" s="0" t="s">
        <v>539</v>
      </c>
      <c r="F213" s="62" t="n">
        <f aca="false">D213</f>
        <v>2</v>
      </c>
      <c r="J213" s="22" t="s">
        <v>558</v>
      </c>
      <c r="K213" s="22" t="s">
        <v>559</v>
      </c>
      <c r="L213" s="22" t="s">
        <v>954</v>
      </c>
    </row>
    <row r="214" customFormat="false" ht="15" hidden="false" customHeight="false" outlineLevel="0" collapsed="false">
      <c r="A214" s="0" t="s">
        <v>955</v>
      </c>
      <c r="B214" s="22" t="s">
        <v>557</v>
      </c>
      <c r="C214" s="29" t="n">
        <v>1</v>
      </c>
      <c r="D214" s="29" t="n">
        <v>1</v>
      </c>
      <c r="E214" s="29" t="n">
        <v>0</v>
      </c>
      <c r="F214" s="62" t="n">
        <f aca="false">CHOOSE(Scen,C214,D214,E214)</f>
        <v>1</v>
      </c>
      <c r="J214" s="22" t="s">
        <v>956</v>
      </c>
      <c r="K214" s="22" t="s">
        <v>559</v>
      </c>
      <c r="L214" s="22" t="s">
        <v>957</v>
      </c>
    </row>
    <row r="215" customFormat="false" ht="15" hidden="false" customHeight="false" outlineLevel="0" collapsed="false">
      <c r="A215" s="0" t="s">
        <v>958</v>
      </c>
      <c r="B215" s="22" t="s">
        <v>557</v>
      </c>
      <c r="C215" s="29" t="n">
        <v>1</v>
      </c>
      <c r="D215" s="29" t="n">
        <v>1</v>
      </c>
      <c r="E215" s="29" t="n">
        <v>2</v>
      </c>
      <c r="F215" s="62" t="n">
        <f aca="false">CHOOSE(Scen,C215,D215,E215)</f>
        <v>1</v>
      </c>
      <c r="J215" s="22" t="s">
        <v>558</v>
      </c>
      <c r="K215" s="22" t="s">
        <v>559</v>
      </c>
      <c r="L215" s="22" t="s">
        <v>959</v>
      </c>
    </row>
    <row r="216" customFormat="false" ht="15" hidden="false" customHeight="false" outlineLevel="0" collapsed="false">
      <c r="A216" s="0" t="s">
        <v>960</v>
      </c>
      <c r="B216" s="22" t="s">
        <v>613</v>
      </c>
      <c r="C216" s="0" t="s">
        <v>539</v>
      </c>
      <c r="D216" s="71" t="n">
        <v>167.6</v>
      </c>
      <c r="E216" s="0" t="s">
        <v>539</v>
      </c>
      <c r="F216" s="72" t="n">
        <f aca="false">D216</f>
        <v>167.6</v>
      </c>
      <c r="J216" s="22" t="s">
        <v>604</v>
      </c>
      <c r="K216" s="22" t="s">
        <v>552</v>
      </c>
      <c r="L216" s="22" t="s">
        <v>961</v>
      </c>
    </row>
    <row r="217" customFormat="false" ht="15" hidden="false" customHeight="false" outlineLevel="0" collapsed="false">
      <c r="A217" s="0" t="s">
        <v>962</v>
      </c>
      <c r="B217" s="22" t="s">
        <v>616</v>
      </c>
      <c r="C217" s="0" t="s">
        <v>539</v>
      </c>
      <c r="D217" s="28" t="n">
        <v>5</v>
      </c>
      <c r="E217" s="0" t="s">
        <v>539</v>
      </c>
      <c r="F217" s="62" t="n">
        <f aca="false">D217</f>
        <v>5</v>
      </c>
      <c r="J217" s="22" t="s">
        <v>626</v>
      </c>
      <c r="K217" s="22" t="s">
        <v>552</v>
      </c>
      <c r="L217" s="22"/>
    </row>
    <row r="218" customFormat="false" ht="15" hidden="false" customHeight="false" outlineLevel="0" collapsed="false">
      <c r="A218" s="0" t="s">
        <v>963</v>
      </c>
      <c r="B218" s="22" t="s">
        <v>616</v>
      </c>
      <c r="C218" s="0" t="s">
        <v>539</v>
      </c>
      <c r="D218" s="28" t="n">
        <v>6</v>
      </c>
      <c r="E218" s="0" t="s">
        <v>539</v>
      </c>
      <c r="F218" s="62" t="n">
        <f aca="false">D218</f>
        <v>6</v>
      </c>
      <c r="J218" s="22" t="s">
        <v>626</v>
      </c>
      <c r="K218" s="22" t="s">
        <v>552</v>
      </c>
      <c r="L218" s="22"/>
    </row>
    <row r="219" customFormat="false" ht="15" hidden="false" customHeight="false" outlineLevel="0" collapsed="false">
      <c r="A219" s="0" t="s">
        <v>964</v>
      </c>
      <c r="B219" s="22" t="s">
        <v>616</v>
      </c>
      <c r="C219" s="0" t="s">
        <v>539</v>
      </c>
      <c r="D219" s="28" t="n">
        <v>8</v>
      </c>
      <c r="E219" s="0" t="s">
        <v>539</v>
      </c>
      <c r="F219" s="62" t="n">
        <f aca="false">D219</f>
        <v>8</v>
      </c>
      <c r="J219" s="22" t="s">
        <v>626</v>
      </c>
      <c r="K219" s="22" t="s">
        <v>552</v>
      </c>
      <c r="L219" s="22"/>
    </row>
    <row r="220" customFormat="false" ht="15" hidden="false" customHeight="false" outlineLevel="0" collapsed="false">
      <c r="A220" s="0" t="s">
        <v>965</v>
      </c>
      <c r="B220" s="22" t="s">
        <v>616</v>
      </c>
      <c r="C220" s="0" t="s">
        <v>539</v>
      </c>
      <c r="D220" s="78" t="n">
        <v>14</v>
      </c>
      <c r="E220" s="0" t="s">
        <v>539</v>
      </c>
      <c r="F220" s="62" t="n">
        <f aca="false">D220</f>
        <v>14</v>
      </c>
      <c r="J220" s="22" t="s">
        <v>626</v>
      </c>
      <c r="K220" s="22" t="s">
        <v>601</v>
      </c>
      <c r="L220" s="22" t="s">
        <v>966</v>
      </c>
    </row>
    <row r="221" customFormat="false" ht="15" hidden="false" customHeight="false" outlineLevel="0" collapsed="false">
      <c r="A221" s="0" t="s">
        <v>967</v>
      </c>
      <c r="B221" s="22" t="s">
        <v>613</v>
      </c>
      <c r="C221" s="0" t="s">
        <v>539</v>
      </c>
      <c r="D221" s="74" t="n">
        <v>1450</v>
      </c>
      <c r="E221" s="0" t="s">
        <v>539</v>
      </c>
      <c r="F221" s="5" t="n">
        <f aca="false">D221</f>
        <v>1450</v>
      </c>
      <c r="J221" s="22" t="s">
        <v>551</v>
      </c>
      <c r="K221" s="22" t="s">
        <v>559</v>
      </c>
      <c r="L221" s="22" t="s">
        <v>968</v>
      </c>
    </row>
    <row r="222" customFormat="false" ht="15" hidden="false" customHeight="false" outlineLevel="0" collapsed="false">
      <c r="A222" s="0" t="s">
        <v>969</v>
      </c>
      <c r="B222" s="22" t="s">
        <v>613</v>
      </c>
      <c r="C222" s="0" t="s">
        <v>539</v>
      </c>
      <c r="D222" s="71" t="n">
        <v>582.3</v>
      </c>
      <c r="E222" s="0" t="s">
        <v>539</v>
      </c>
      <c r="F222" s="72" t="n">
        <f aca="false">D222</f>
        <v>582.3</v>
      </c>
      <c r="J222" s="22" t="s">
        <v>604</v>
      </c>
      <c r="K222" s="22" t="s">
        <v>552</v>
      </c>
      <c r="L222" s="22" t="s">
        <v>970</v>
      </c>
    </row>
    <row r="223" customFormat="false" ht="15" hidden="false" customHeight="false" outlineLevel="0" collapsed="false">
      <c r="A223" s="0" t="s">
        <v>971</v>
      </c>
      <c r="B223" s="22" t="s">
        <v>647</v>
      </c>
      <c r="C223" s="0" t="s">
        <v>539</v>
      </c>
      <c r="D223" s="21" t="n">
        <v>20</v>
      </c>
      <c r="E223" s="0" t="s">
        <v>539</v>
      </c>
      <c r="F223" s="65" t="n">
        <f aca="false">D223</f>
        <v>20</v>
      </c>
      <c r="J223" s="22" t="s">
        <v>626</v>
      </c>
      <c r="K223" s="22" t="s">
        <v>574</v>
      </c>
      <c r="L223" s="22"/>
    </row>
    <row r="224" customFormat="false" ht="15" hidden="false" customHeight="false" outlineLevel="0" collapsed="false">
      <c r="A224" s="0" t="s">
        <v>972</v>
      </c>
      <c r="B224" s="22" t="s">
        <v>647</v>
      </c>
      <c r="C224" s="0" t="s">
        <v>539</v>
      </c>
      <c r="D224" s="21" t="n">
        <v>25</v>
      </c>
      <c r="E224" s="0" t="s">
        <v>539</v>
      </c>
      <c r="F224" s="65" t="n">
        <f aca="false">D224</f>
        <v>25</v>
      </c>
      <c r="J224" s="22" t="s">
        <v>626</v>
      </c>
      <c r="K224" s="22" t="s">
        <v>574</v>
      </c>
      <c r="L224" s="22"/>
    </row>
    <row r="225" customFormat="false" ht="15" hidden="false" customHeight="false" outlineLevel="0" collapsed="false">
      <c r="A225" s="0" t="s">
        <v>973</v>
      </c>
      <c r="B225" s="22" t="s">
        <v>647</v>
      </c>
      <c r="C225" s="0" t="s">
        <v>539</v>
      </c>
      <c r="D225" s="21" t="n">
        <v>12</v>
      </c>
      <c r="E225" s="0" t="s">
        <v>539</v>
      </c>
      <c r="F225" s="65" t="n">
        <f aca="false">D225</f>
        <v>12</v>
      </c>
      <c r="J225" s="22" t="s">
        <v>626</v>
      </c>
      <c r="K225" s="22" t="s">
        <v>574</v>
      </c>
      <c r="L225" s="22"/>
    </row>
    <row r="226" customFormat="false" ht="15" hidden="false" customHeight="false" outlineLevel="0" collapsed="false">
      <c r="A226" s="0" t="s">
        <v>974</v>
      </c>
      <c r="B226" s="22" t="s">
        <v>544</v>
      </c>
      <c r="C226" s="0" t="s">
        <v>539</v>
      </c>
      <c r="D226" s="28" t="n">
        <v>2</v>
      </c>
      <c r="E226" s="0" t="s">
        <v>539</v>
      </c>
      <c r="F226" s="62" t="n">
        <f aca="false">D226</f>
        <v>2</v>
      </c>
      <c r="J226" s="22" t="s">
        <v>540</v>
      </c>
      <c r="K226" s="22" t="s">
        <v>541</v>
      </c>
      <c r="L226" s="22" t="s">
        <v>975</v>
      </c>
    </row>
    <row r="227" customFormat="false" ht="15" hidden="false" customHeight="false" outlineLevel="0" collapsed="false">
      <c r="A227" s="0" t="s">
        <v>976</v>
      </c>
      <c r="B227" s="22" t="s">
        <v>619</v>
      </c>
      <c r="C227" s="88" t="n">
        <v>0.374</v>
      </c>
      <c r="D227" s="88" t="n">
        <v>0.374</v>
      </c>
      <c r="E227" s="88" t="n">
        <v>0.374</v>
      </c>
      <c r="F227" s="76" t="n">
        <f aca="false">CHOOSE(Scen,C227,D227,E227)</f>
        <v>0.374</v>
      </c>
      <c r="J227" s="22" t="s">
        <v>604</v>
      </c>
      <c r="K227" s="22" t="s">
        <v>574</v>
      </c>
      <c r="L227" s="22" t="s">
        <v>977</v>
      </c>
    </row>
    <row r="228" customFormat="false" ht="15" hidden="false" customHeight="false" outlineLevel="0" collapsed="false">
      <c r="A228" s="0" t="s">
        <v>978</v>
      </c>
      <c r="B228" s="22" t="s">
        <v>629</v>
      </c>
      <c r="C228" s="0" t="s">
        <v>539</v>
      </c>
      <c r="D228" s="29" t="n">
        <v>5</v>
      </c>
      <c r="E228" s="0" t="s">
        <v>539</v>
      </c>
      <c r="F228" s="62" t="n">
        <f aca="false">D228</f>
        <v>5</v>
      </c>
      <c r="J228" s="22" t="s">
        <v>540</v>
      </c>
      <c r="K228" s="22" t="s">
        <v>559</v>
      </c>
      <c r="L228" s="22" t="s">
        <v>979</v>
      </c>
    </row>
    <row r="229" customFormat="false" ht="15" hidden="false" customHeight="false" outlineLevel="0" collapsed="false">
      <c r="A229" s="0" t="s">
        <v>980</v>
      </c>
      <c r="B229" s="22" t="s">
        <v>619</v>
      </c>
      <c r="C229" s="0" t="s">
        <v>539</v>
      </c>
      <c r="D229" s="40" t="n">
        <v>0.6</v>
      </c>
      <c r="E229" s="0" t="s">
        <v>539</v>
      </c>
      <c r="F229" s="43" t="n">
        <f aca="false">D229</f>
        <v>0.6</v>
      </c>
      <c r="J229" s="22" t="s">
        <v>981</v>
      </c>
      <c r="K229" s="22" t="s">
        <v>559</v>
      </c>
      <c r="L229" s="22" t="s">
        <v>982</v>
      </c>
    </row>
    <row r="230" customFormat="false" ht="15" hidden="false" customHeight="false" outlineLevel="0" collapsed="false">
      <c r="A230" s="0" t="s">
        <v>983</v>
      </c>
      <c r="B230" s="22" t="s">
        <v>619</v>
      </c>
      <c r="C230" s="0" t="s">
        <v>539</v>
      </c>
      <c r="D230" s="40" t="n">
        <v>0.4</v>
      </c>
      <c r="E230" s="0" t="s">
        <v>539</v>
      </c>
      <c r="F230" s="43" t="n">
        <f aca="false">D230</f>
        <v>0.4</v>
      </c>
      <c r="J230" s="22" t="s">
        <v>981</v>
      </c>
      <c r="K230" s="22" t="s">
        <v>559</v>
      </c>
      <c r="L230" s="22"/>
    </row>
    <row r="231" customFormat="false" ht="15" hidden="false" customHeight="false" outlineLevel="0" collapsed="false">
      <c r="A231" s="0" t="s">
        <v>984</v>
      </c>
      <c r="B231" s="22" t="s">
        <v>613</v>
      </c>
      <c r="C231" s="0" t="s">
        <v>539</v>
      </c>
      <c r="D231" s="77"/>
      <c r="E231" s="0" t="s">
        <v>539</v>
      </c>
      <c r="F231" s="5" t="n">
        <f aca="false">D231</f>
        <v>0</v>
      </c>
      <c r="J231" s="22" t="s">
        <v>604</v>
      </c>
      <c r="K231" s="22" t="s">
        <v>601</v>
      </c>
      <c r="L231" s="22" t="s">
        <v>985</v>
      </c>
    </row>
    <row r="232" customFormat="false" ht="15" hidden="false" customHeight="false" outlineLevel="0" collapsed="false">
      <c r="A232" s="0" t="s">
        <v>986</v>
      </c>
      <c r="B232" s="22" t="s">
        <v>613</v>
      </c>
      <c r="C232" s="0" t="s">
        <v>539</v>
      </c>
      <c r="D232" s="74" t="n">
        <v>3000</v>
      </c>
      <c r="E232" s="0" t="s">
        <v>539</v>
      </c>
      <c r="F232" s="5" t="n">
        <f aca="false">D232</f>
        <v>3000</v>
      </c>
      <c r="J232" s="22" t="s">
        <v>604</v>
      </c>
      <c r="K232" s="22" t="s">
        <v>559</v>
      </c>
      <c r="L232" s="22" t="s">
        <v>987</v>
      </c>
    </row>
    <row r="233" customFormat="false" ht="15" hidden="false" customHeight="false" outlineLevel="0" collapsed="false">
      <c r="A233" s="0" t="s">
        <v>988</v>
      </c>
      <c r="B233" s="22" t="s">
        <v>557</v>
      </c>
      <c r="C233" s="0" t="s">
        <v>539</v>
      </c>
      <c r="D233" s="29" t="n">
        <v>3</v>
      </c>
      <c r="E233" s="0" t="s">
        <v>539</v>
      </c>
      <c r="F233" s="62" t="n">
        <f aca="false">D233</f>
        <v>3</v>
      </c>
      <c r="J233" s="22" t="s">
        <v>558</v>
      </c>
      <c r="K233" s="22" t="s">
        <v>559</v>
      </c>
      <c r="L233" s="22" t="s">
        <v>989</v>
      </c>
    </row>
    <row r="234" customFormat="false" ht="15" hidden="false" customHeight="false" outlineLevel="0" collapsed="false">
      <c r="A234" s="0" t="s">
        <v>990</v>
      </c>
      <c r="B234" s="22" t="s">
        <v>937</v>
      </c>
      <c r="C234" s="0" t="s">
        <v>539</v>
      </c>
      <c r="D234" s="87" t="n">
        <v>0.02</v>
      </c>
      <c r="E234" s="0" t="s">
        <v>539</v>
      </c>
      <c r="F234" s="76" t="n">
        <f aca="false">D234</f>
        <v>0.02</v>
      </c>
      <c r="J234" s="22" t="s">
        <v>540</v>
      </c>
      <c r="K234" s="22" t="s">
        <v>601</v>
      </c>
      <c r="L234" s="22"/>
    </row>
    <row r="235" customFormat="false" ht="15" hidden="false" customHeight="false" outlineLevel="0" collapsed="false">
      <c r="A235" s="0" t="s">
        <v>991</v>
      </c>
      <c r="B235" s="22" t="s">
        <v>619</v>
      </c>
      <c r="C235" s="0" t="s">
        <v>539</v>
      </c>
      <c r="D235" s="69" t="n">
        <v>0.8</v>
      </c>
      <c r="E235" s="0" t="s">
        <v>539</v>
      </c>
      <c r="F235" s="43" t="n">
        <f aca="false">D235</f>
        <v>0.8</v>
      </c>
      <c r="J235" s="22" t="s">
        <v>604</v>
      </c>
      <c r="K235" s="22" t="s">
        <v>601</v>
      </c>
      <c r="L235" s="22" t="s">
        <v>992</v>
      </c>
    </row>
    <row r="236" customFormat="false" ht="15" hidden="false" customHeight="false" outlineLevel="0" collapsed="false">
      <c r="A236" s="0" t="s">
        <v>993</v>
      </c>
      <c r="B236" s="22" t="s">
        <v>619</v>
      </c>
      <c r="C236" s="0" t="s">
        <v>539</v>
      </c>
      <c r="D236" s="69" t="n">
        <v>0.08</v>
      </c>
      <c r="E236" s="0" t="s">
        <v>539</v>
      </c>
      <c r="F236" s="43" t="n">
        <f aca="false">D236</f>
        <v>0.08</v>
      </c>
      <c r="J236" s="22" t="s">
        <v>604</v>
      </c>
      <c r="K236" s="22" t="s">
        <v>601</v>
      </c>
      <c r="L236" s="22"/>
    </row>
    <row r="237" customFormat="false" ht="15" hidden="false" customHeight="false" outlineLevel="0" collapsed="false">
      <c r="A237" s="0" t="s">
        <v>994</v>
      </c>
      <c r="B237" s="22" t="s">
        <v>619</v>
      </c>
      <c r="C237" s="0" t="s">
        <v>539</v>
      </c>
      <c r="D237" s="69" t="n">
        <v>0.12</v>
      </c>
      <c r="E237" s="0" t="s">
        <v>539</v>
      </c>
      <c r="F237" s="43" t="n">
        <f aca="false">D237</f>
        <v>0.12</v>
      </c>
      <c r="J237" s="22" t="s">
        <v>604</v>
      </c>
      <c r="K237" s="22" t="s">
        <v>601</v>
      </c>
      <c r="L237" s="22"/>
    </row>
    <row r="238" customFormat="false" ht="15" hidden="false" customHeight="false" outlineLevel="0" collapsed="false">
      <c r="A238" s="0" t="s">
        <v>995</v>
      </c>
      <c r="B238" s="22" t="s">
        <v>629</v>
      </c>
      <c r="C238" s="21" t="n">
        <v>6</v>
      </c>
      <c r="D238" s="21" t="n">
        <v>5</v>
      </c>
      <c r="E238" s="21" t="n">
        <v>4</v>
      </c>
      <c r="F238" s="65" t="n">
        <f aca="false">CHOOSE(Scen,C238,D238,E238)</f>
        <v>5</v>
      </c>
      <c r="J238" s="22" t="s">
        <v>956</v>
      </c>
      <c r="K238" s="22" t="s">
        <v>552</v>
      </c>
      <c r="L238" s="22" t="s">
        <v>996</v>
      </c>
    </row>
    <row r="239" customFormat="false" ht="15" hidden="false" customHeight="false" outlineLevel="0" collapsed="false">
      <c r="A239" s="0" t="s">
        <v>997</v>
      </c>
      <c r="B239" s="22" t="s">
        <v>629</v>
      </c>
      <c r="C239" s="21" t="n">
        <v>6</v>
      </c>
      <c r="D239" s="21" t="n">
        <v>5</v>
      </c>
      <c r="E239" s="21" t="n">
        <v>4</v>
      </c>
      <c r="F239" s="65" t="n">
        <f aca="false">CHOOSE(Scen,C239,D239,E239)</f>
        <v>5</v>
      </c>
      <c r="J239" s="22" t="s">
        <v>956</v>
      </c>
      <c r="K239" s="22" t="s">
        <v>552</v>
      </c>
      <c r="L239" s="22" t="s">
        <v>998</v>
      </c>
    </row>
    <row r="240" customFormat="false" ht="15" hidden="false" customHeight="false" outlineLevel="0" collapsed="false">
      <c r="A240" s="0" t="s">
        <v>999</v>
      </c>
      <c r="B240" s="22" t="s">
        <v>629</v>
      </c>
      <c r="C240" s="21" t="n">
        <v>6</v>
      </c>
      <c r="D240" s="21" t="n">
        <v>5</v>
      </c>
      <c r="E240" s="21" t="n">
        <v>4</v>
      </c>
      <c r="F240" s="65" t="n">
        <f aca="false">CHOOSE(Scen,C240,D240,E240)</f>
        <v>5</v>
      </c>
      <c r="J240" s="22" t="s">
        <v>956</v>
      </c>
      <c r="K240" s="22" t="s">
        <v>552</v>
      </c>
      <c r="L240" s="22" t="s">
        <v>1000</v>
      </c>
    </row>
    <row r="241" customFormat="false" ht="15" hidden="false" customHeight="false" outlineLevel="0" collapsed="false">
      <c r="A241" s="0" t="s">
        <v>1001</v>
      </c>
      <c r="B241" s="22" t="s">
        <v>629</v>
      </c>
      <c r="C241" s="0" t="s">
        <v>539</v>
      </c>
      <c r="D241" s="28" t="n">
        <v>0</v>
      </c>
      <c r="E241" s="0" t="s">
        <v>539</v>
      </c>
      <c r="F241" s="62" t="n">
        <f aca="false">D241</f>
        <v>0</v>
      </c>
      <c r="J241" s="22" t="s">
        <v>540</v>
      </c>
      <c r="K241" s="22" t="s">
        <v>541</v>
      </c>
      <c r="L241" s="22" t="s">
        <v>1002</v>
      </c>
    </row>
    <row r="242" customFormat="false" ht="15" hidden="false" customHeight="false" outlineLevel="0" collapsed="false">
      <c r="A242" s="0" t="s">
        <v>1003</v>
      </c>
      <c r="B242" s="22" t="s">
        <v>629</v>
      </c>
      <c r="C242" s="0" t="s">
        <v>539</v>
      </c>
      <c r="D242" s="28" t="n">
        <v>20</v>
      </c>
      <c r="E242" s="0" t="s">
        <v>539</v>
      </c>
      <c r="F242" s="62" t="n">
        <f aca="false">D242</f>
        <v>20</v>
      </c>
      <c r="J242" s="22" t="s">
        <v>604</v>
      </c>
      <c r="K242" s="22" t="s">
        <v>552</v>
      </c>
      <c r="L242" s="22" t="s">
        <v>1004</v>
      </c>
    </row>
    <row r="243" customFormat="false" ht="15" hidden="false" customHeight="false" outlineLevel="0" collapsed="false">
      <c r="A243" s="0" t="s">
        <v>1005</v>
      </c>
      <c r="B243" s="22" t="s">
        <v>629</v>
      </c>
      <c r="C243" s="0" t="s">
        <v>539</v>
      </c>
      <c r="D243" s="29" t="n">
        <v>10</v>
      </c>
      <c r="E243" s="0" t="s">
        <v>539</v>
      </c>
      <c r="F243" s="62" t="n">
        <f aca="false">D243</f>
        <v>10</v>
      </c>
      <c r="J243" s="22" t="s">
        <v>604</v>
      </c>
      <c r="K243" s="22" t="s">
        <v>559</v>
      </c>
      <c r="L243" s="22" t="s">
        <v>1006</v>
      </c>
    </row>
    <row r="244" customFormat="false" ht="15" hidden="false" customHeight="false" outlineLevel="0" collapsed="false">
      <c r="A244" s="0" t="s">
        <v>1007</v>
      </c>
      <c r="B244" s="22" t="s">
        <v>629</v>
      </c>
      <c r="C244" s="0" t="s">
        <v>539</v>
      </c>
      <c r="D244" s="29" t="n">
        <v>5</v>
      </c>
      <c r="E244" s="0" t="s">
        <v>539</v>
      </c>
      <c r="F244" s="62" t="n">
        <f aca="false">D244</f>
        <v>5</v>
      </c>
      <c r="J244" s="22" t="s">
        <v>540</v>
      </c>
      <c r="K244" s="22" t="s">
        <v>559</v>
      </c>
      <c r="L244" s="22"/>
    </row>
    <row r="245" customFormat="false" ht="15" hidden="false" customHeight="false" outlineLevel="0" collapsed="false">
      <c r="A245" s="0" t="s">
        <v>1008</v>
      </c>
      <c r="B245" s="22" t="s">
        <v>616</v>
      </c>
      <c r="C245" s="0" t="s">
        <v>539</v>
      </c>
      <c r="D245" s="78" t="n">
        <v>0</v>
      </c>
      <c r="E245" s="0" t="s">
        <v>539</v>
      </c>
      <c r="F245" s="62" t="n">
        <f aca="false">D245</f>
        <v>0</v>
      </c>
      <c r="J245" s="22" t="s">
        <v>551</v>
      </c>
      <c r="K245" s="22" t="s">
        <v>601</v>
      </c>
      <c r="L245" s="22" t="s">
        <v>1009</v>
      </c>
    </row>
    <row r="246" customFormat="false" ht="15" hidden="false" customHeight="false" outlineLevel="0" collapsed="false">
      <c r="A246" s="0" t="s">
        <v>1010</v>
      </c>
      <c r="B246" s="22" t="s">
        <v>619</v>
      </c>
      <c r="C246" s="0" t="s">
        <v>539</v>
      </c>
      <c r="D246" s="69" t="n">
        <v>0</v>
      </c>
      <c r="E246" s="0" t="s">
        <v>539</v>
      </c>
      <c r="F246" s="43" t="n">
        <f aca="false">D246</f>
        <v>0</v>
      </c>
      <c r="J246" s="22" t="s">
        <v>551</v>
      </c>
      <c r="K246" s="22" t="s">
        <v>601</v>
      </c>
      <c r="L246" s="22"/>
    </row>
    <row r="247" customFormat="false" ht="15" hidden="false" customHeight="false" outlineLevel="0" collapsed="false">
      <c r="A247" s="0" t="s">
        <v>1011</v>
      </c>
      <c r="B247" s="22" t="s">
        <v>616</v>
      </c>
      <c r="C247" s="0" t="s">
        <v>539</v>
      </c>
      <c r="D247" s="78" t="n">
        <v>0</v>
      </c>
      <c r="E247" s="0" t="s">
        <v>539</v>
      </c>
      <c r="F247" s="62" t="n">
        <f aca="false">D247</f>
        <v>0</v>
      </c>
      <c r="J247" s="22" t="s">
        <v>551</v>
      </c>
      <c r="K247" s="22" t="s">
        <v>601</v>
      </c>
      <c r="L247" s="22"/>
    </row>
    <row r="248" customFormat="false" ht="15" hidden="false" customHeight="false" outlineLevel="0" collapsed="false">
      <c r="A248" s="0" t="s">
        <v>1012</v>
      </c>
      <c r="B248" s="22" t="s">
        <v>619</v>
      </c>
      <c r="C248" s="0" t="s">
        <v>539</v>
      </c>
      <c r="D248" s="69" t="n">
        <v>0</v>
      </c>
      <c r="E248" s="0" t="s">
        <v>539</v>
      </c>
      <c r="F248" s="43" t="n">
        <f aca="false">D248</f>
        <v>0</v>
      </c>
      <c r="J248" s="22" t="s">
        <v>551</v>
      </c>
      <c r="K248" s="22" t="s">
        <v>601</v>
      </c>
      <c r="L248" s="22"/>
    </row>
    <row r="249" customFormat="false" ht="15" hidden="false" customHeight="false" outlineLevel="0" collapsed="false">
      <c r="A249" s="0" t="s">
        <v>1013</v>
      </c>
      <c r="B249" s="22" t="s">
        <v>616</v>
      </c>
      <c r="C249" s="0" t="s">
        <v>539</v>
      </c>
      <c r="D249" s="78" t="n">
        <v>0</v>
      </c>
      <c r="E249" s="0" t="s">
        <v>539</v>
      </c>
      <c r="F249" s="62" t="n">
        <f aca="false">D249</f>
        <v>0</v>
      </c>
      <c r="J249" s="22" t="s">
        <v>551</v>
      </c>
      <c r="K249" s="22" t="s">
        <v>601</v>
      </c>
      <c r="L249" s="22"/>
    </row>
    <row r="250" customFormat="false" ht="15" hidden="false" customHeight="false" outlineLevel="0" collapsed="false">
      <c r="A250" s="0" t="s">
        <v>1014</v>
      </c>
      <c r="B250" s="22" t="s">
        <v>619</v>
      </c>
      <c r="C250" s="0" t="s">
        <v>539</v>
      </c>
      <c r="D250" s="69" t="n">
        <v>0</v>
      </c>
      <c r="E250" s="0" t="s">
        <v>539</v>
      </c>
      <c r="F250" s="43" t="n">
        <f aca="false">D250</f>
        <v>0</v>
      </c>
      <c r="J250" s="22" t="s">
        <v>551</v>
      </c>
      <c r="K250" s="22" t="s">
        <v>601</v>
      </c>
      <c r="L250" s="22"/>
    </row>
    <row r="251" customFormat="false" ht="15" hidden="false" customHeight="false" outlineLevel="0" collapsed="false">
      <c r="A251" s="0" t="s">
        <v>1015</v>
      </c>
      <c r="B251" s="22" t="s">
        <v>613</v>
      </c>
      <c r="C251" s="0" t="s">
        <v>539</v>
      </c>
      <c r="D251" s="63" t="n">
        <v>142.4</v>
      </c>
      <c r="E251" s="0" t="s">
        <v>539</v>
      </c>
      <c r="F251" s="64" t="n">
        <f aca="false">D251</f>
        <v>142.4</v>
      </c>
      <c r="J251" s="22" t="s">
        <v>604</v>
      </c>
      <c r="K251" s="22" t="s">
        <v>574</v>
      </c>
      <c r="L251" s="22" t="s">
        <v>1016</v>
      </c>
    </row>
    <row r="252" customFormat="false" ht="15" hidden="false" customHeight="false" outlineLevel="0" collapsed="false">
      <c r="A252" s="0" t="s">
        <v>1017</v>
      </c>
      <c r="B252" s="22" t="s">
        <v>610</v>
      </c>
      <c r="C252" s="0" t="s">
        <v>539</v>
      </c>
      <c r="D252" s="84" t="n">
        <v>5</v>
      </c>
      <c r="E252" s="0" t="s">
        <v>539</v>
      </c>
      <c r="F252" s="64" t="n">
        <f aca="false">D252</f>
        <v>5</v>
      </c>
      <c r="J252" s="22" t="s">
        <v>604</v>
      </c>
      <c r="K252" s="22" t="s">
        <v>601</v>
      </c>
      <c r="L252" s="22" t="s">
        <v>1018</v>
      </c>
    </row>
    <row r="253" customFormat="false" ht="15" hidden="false" customHeight="false" outlineLevel="0" collapsed="false">
      <c r="A253" s="58" t="s">
        <v>1019</v>
      </c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</row>
    <row r="254" customFormat="false" ht="15" hidden="false" customHeight="false" outlineLevel="0" collapsed="false">
      <c r="A254" s="0" t="s">
        <v>1020</v>
      </c>
      <c r="B254" s="22" t="s">
        <v>613</v>
      </c>
      <c r="C254" s="0" t="s">
        <v>539</v>
      </c>
      <c r="D254" s="63" t="n">
        <v>5975.2</v>
      </c>
      <c r="E254" s="0" t="s">
        <v>539</v>
      </c>
      <c r="F254" s="64" t="n">
        <f aca="false">D254</f>
        <v>5975.2</v>
      </c>
      <c r="J254" s="22" t="s">
        <v>604</v>
      </c>
      <c r="K254" s="22" t="s">
        <v>552</v>
      </c>
      <c r="L254" s="22" t="s">
        <v>1021</v>
      </c>
    </row>
    <row r="255" customFormat="false" ht="15" hidden="false" customHeight="false" outlineLevel="0" collapsed="false">
      <c r="A255" s="0" t="s">
        <v>1022</v>
      </c>
      <c r="B255" s="22" t="s">
        <v>613</v>
      </c>
      <c r="C255" s="0" t="s">
        <v>539</v>
      </c>
      <c r="D255" s="63" t="n">
        <v>1577.5</v>
      </c>
      <c r="E255" s="0" t="s">
        <v>539</v>
      </c>
      <c r="F255" s="64" t="n">
        <f aca="false">D255</f>
        <v>1577.5</v>
      </c>
      <c r="J255" s="22" t="s">
        <v>604</v>
      </c>
      <c r="K255" s="22" t="s">
        <v>552</v>
      </c>
      <c r="L255" s="22" t="s">
        <v>1023</v>
      </c>
    </row>
    <row r="256" customFormat="false" ht="15" hidden="false" customHeight="false" outlineLevel="0" collapsed="false">
      <c r="A256" s="0" t="s">
        <v>1024</v>
      </c>
      <c r="B256" s="22" t="s">
        <v>613</v>
      </c>
      <c r="C256" s="0" t="s">
        <v>539</v>
      </c>
      <c r="D256" s="63" t="n">
        <v>9000</v>
      </c>
      <c r="E256" s="0" t="s">
        <v>539</v>
      </c>
      <c r="F256" s="64" t="n">
        <f aca="false">D256</f>
        <v>9000</v>
      </c>
      <c r="J256" s="22" t="s">
        <v>604</v>
      </c>
      <c r="K256" s="22" t="s">
        <v>552</v>
      </c>
      <c r="L256" s="22" t="s">
        <v>1025</v>
      </c>
    </row>
    <row r="257" customFormat="false" ht="15" hidden="false" customHeight="false" outlineLevel="0" collapsed="false">
      <c r="A257" s="0" t="s">
        <v>1026</v>
      </c>
      <c r="B257" s="22" t="s">
        <v>619</v>
      </c>
      <c r="C257" s="88" t="n">
        <v>0.45</v>
      </c>
      <c r="D257" s="88" t="n">
        <v>0.385</v>
      </c>
      <c r="E257" s="88" t="n">
        <v>0.25</v>
      </c>
      <c r="F257" s="76" t="n">
        <f aca="false">CHOOSE(Scen,C257,D257,E257)</f>
        <v>0.385</v>
      </c>
      <c r="J257" s="22" t="s">
        <v>956</v>
      </c>
      <c r="K257" s="22" t="s">
        <v>574</v>
      </c>
      <c r="L257" s="22" t="s">
        <v>1027</v>
      </c>
    </row>
    <row r="258" customFormat="false" ht="15" hidden="false" customHeight="false" outlineLevel="0" collapsed="false">
      <c r="A258" s="0" t="s">
        <v>1028</v>
      </c>
      <c r="B258" s="22" t="s">
        <v>557</v>
      </c>
      <c r="C258" s="0" t="s">
        <v>539</v>
      </c>
      <c r="D258" s="29" t="n">
        <v>16</v>
      </c>
      <c r="E258" s="0" t="s">
        <v>539</v>
      </c>
      <c r="F258" s="62" t="n">
        <f aca="false">D258</f>
        <v>16</v>
      </c>
      <c r="J258" s="22" t="s">
        <v>540</v>
      </c>
      <c r="K258" s="22" t="s">
        <v>559</v>
      </c>
      <c r="L258" s="22" t="s">
        <v>1029</v>
      </c>
    </row>
    <row r="259" customFormat="false" ht="15" hidden="false" customHeight="false" outlineLevel="0" collapsed="false">
      <c r="A259" s="58" t="s">
        <v>1030</v>
      </c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</row>
    <row r="260" customFormat="false" ht="15" hidden="false" customHeight="false" outlineLevel="0" collapsed="false">
      <c r="A260" s="0" t="s">
        <v>1031</v>
      </c>
      <c r="B260" s="22" t="s">
        <v>567</v>
      </c>
      <c r="C260" s="0" t="s">
        <v>539</v>
      </c>
      <c r="D260" s="28" t="n">
        <v>0</v>
      </c>
      <c r="E260" s="0" t="s">
        <v>539</v>
      </c>
      <c r="F260" s="62" t="n">
        <f aca="false">D260</f>
        <v>0</v>
      </c>
      <c r="J260" s="22" t="s">
        <v>604</v>
      </c>
      <c r="K260" s="22" t="s">
        <v>541</v>
      </c>
      <c r="L260" s="22" t="s">
        <v>1032</v>
      </c>
    </row>
    <row r="261" customFormat="false" ht="15" hidden="false" customHeight="false" outlineLevel="0" collapsed="false">
      <c r="A261" s="0" t="s">
        <v>1033</v>
      </c>
      <c r="B261" s="22" t="s">
        <v>567</v>
      </c>
      <c r="C261" s="0" t="s">
        <v>539</v>
      </c>
      <c r="D261" s="28" t="n">
        <v>0</v>
      </c>
      <c r="E261" s="0" t="s">
        <v>539</v>
      </c>
      <c r="F261" s="62" t="n">
        <f aca="false">D261</f>
        <v>0</v>
      </c>
      <c r="J261" s="22" t="s">
        <v>604</v>
      </c>
      <c r="K261" s="22" t="s">
        <v>541</v>
      </c>
      <c r="L261" s="22" t="s">
        <v>1034</v>
      </c>
    </row>
    <row r="262" customFormat="false" ht="15" hidden="false" customHeight="false" outlineLevel="0" collapsed="false">
      <c r="A262" s="0" t="s">
        <v>1035</v>
      </c>
      <c r="B262" s="22" t="s">
        <v>613</v>
      </c>
      <c r="C262" s="0" t="s">
        <v>539</v>
      </c>
      <c r="D262" s="68" t="n">
        <v>5750</v>
      </c>
      <c r="E262" s="0" t="s">
        <v>539</v>
      </c>
      <c r="F262" s="5" t="n">
        <f aca="false">D262</f>
        <v>5750</v>
      </c>
      <c r="J262" s="22" t="s">
        <v>604</v>
      </c>
      <c r="K262" s="22" t="s">
        <v>552</v>
      </c>
      <c r="L262" s="22" t="s">
        <v>1036</v>
      </c>
    </row>
    <row r="263" customFormat="false" ht="15" hidden="false" customHeight="false" outlineLevel="0" collapsed="false">
      <c r="A263" s="0" t="s">
        <v>1037</v>
      </c>
      <c r="B263" s="22" t="s">
        <v>613</v>
      </c>
      <c r="C263" s="0" t="s">
        <v>539</v>
      </c>
      <c r="D263" s="71" t="n">
        <v>8042.1</v>
      </c>
      <c r="E263" s="0" t="s">
        <v>539</v>
      </c>
      <c r="F263" s="72" t="n">
        <f aca="false">D263</f>
        <v>8042.1</v>
      </c>
      <c r="J263" s="22" t="s">
        <v>604</v>
      </c>
      <c r="K263" s="22" t="s">
        <v>552</v>
      </c>
      <c r="L263" s="22" t="s">
        <v>1038</v>
      </c>
    </row>
    <row r="264" customFormat="false" ht="15" hidden="false" customHeight="false" outlineLevel="0" collapsed="false">
      <c r="A264" s="0" t="s">
        <v>1039</v>
      </c>
      <c r="B264" s="22" t="s">
        <v>613</v>
      </c>
      <c r="C264" s="0" t="s">
        <v>539</v>
      </c>
      <c r="D264" s="68" t="n">
        <v>1056</v>
      </c>
      <c r="E264" s="0" t="s">
        <v>539</v>
      </c>
      <c r="F264" s="5" t="n">
        <f aca="false">D264</f>
        <v>1056</v>
      </c>
      <c r="J264" s="22" t="s">
        <v>604</v>
      </c>
      <c r="K264" s="22" t="s">
        <v>552</v>
      </c>
      <c r="L264" s="22"/>
    </row>
    <row r="265" customFormat="false" ht="15" hidden="false" customHeight="false" outlineLevel="0" collapsed="false">
      <c r="A265" s="0" t="s">
        <v>1040</v>
      </c>
      <c r="B265" s="22" t="s">
        <v>613</v>
      </c>
      <c r="C265" s="0" t="s">
        <v>539</v>
      </c>
      <c r="D265" s="71" t="n">
        <v>7697.1</v>
      </c>
      <c r="E265" s="0" t="s">
        <v>539</v>
      </c>
      <c r="F265" s="72" t="n">
        <f aca="false">D265</f>
        <v>7697.1</v>
      </c>
      <c r="J265" s="22" t="s">
        <v>604</v>
      </c>
      <c r="K265" s="22" t="s">
        <v>574</v>
      </c>
      <c r="L265" s="22" t="s">
        <v>1041</v>
      </c>
    </row>
    <row r="266" customFormat="false" ht="15" hidden="false" customHeight="false" outlineLevel="0" collapsed="false">
      <c r="A266" s="0" t="s">
        <v>1042</v>
      </c>
      <c r="B266" s="22" t="s">
        <v>613</v>
      </c>
      <c r="C266" s="0" t="s">
        <v>539</v>
      </c>
      <c r="D266" s="71" t="n">
        <v>46.7</v>
      </c>
      <c r="E266" s="0" t="s">
        <v>539</v>
      </c>
      <c r="F266" s="72" t="n">
        <f aca="false">D266</f>
        <v>46.7</v>
      </c>
      <c r="J266" s="22" t="s">
        <v>604</v>
      </c>
      <c r="K266" s="22" t="s">
        <v>552</v>
      </c>
      <c r="L266" s="22"/>
    </row>
    <row r="267" customFormat="false" ht="15" hidden="false" customHeight="false" outlineLevel="0" collapsed="false">
      <c r="A267" s="0" t="s">
        <v>1043</v>
      </c>
      <c r="B267" s="22" t="s">
        <v>778</v>
      </c>
      <c r="C267" s="0" t="s">
        <v>539</v>
      </c>
      <c r="D267" s="26" t="n">
        <v>14.6</v>
      </c>
      <c r="E267" s="0" t="s">
        <v>539</v>
      </c>
      <c r="F267" s="65" t="n">
        <f aca="false">D267</f>
        <v>14.6</v>
      </c>
      <c r="J267" s="22" t="s">
        <v>551</v>
      </c>
      <c r="K267" s="22" t="s">
        <v>559</v>
      </c>
      <c r="L267" s="22" t="s">
        <v>1044</v>
      </c>
    </row>
    <row r="268" customFormat="false" ht="15" hidden="false" customHeight="false" outlineLevel="0" collapsed="false">
      <c r="A268" s="0" t="s">
        <v>1045</v>
      </c>
      <c r="B268" s="22" t="s">
        <v>778</v>
      </c>
      <c r="C268" s="0" t="s">
        <v>539</v>
      </c>
      <c r="D268" s="26" t="n">
        <v>1.1</v>
      </c>
      <c r="E268" s="0" t="s">
        <v>539</v>
      </c>
      <c r="F268" s="65" t="n">
        <f aca="false">D268</f>
        <v>1.1</v>
      </c>
      <c r="J268" s="22" t="s">
        <v>551</v>
      </c>
      <c r="K268" s="22" t="s">
        <v>559</v>
      </c>
      <c r="L268" s="22"/>
    </row>
    <row r="269" customFormat="false" ht="15" hidden="false" customHeight="false" outlineLevel="0" collapsed="false">
      <c r="A269" s="0" t="s">
        <v>1046</v>
      </c>
      <c r="B269" s="22" t="s">
        <v>778</v>
      </c>
      <c r="C269" s="0" t="s">
        <v>539</v>
      </c>
      <c r="D269" s="26" t="n">
        <v>-2.7</v>
      </c>
      <c r="E269" s="0" t="s">
        <v>539</v>
      </c>
      <c r="F269" s="65" t="n">
        <f aca="false">D269</f>
        <v>-2.7</v>
      </c>
      <c r="J269" s="22" t="s">
        <v>551</v>
      </c>
      <c r="K269" s="22" t="s">
        <v>559</v>
      </c>
      <c r="L269" s="22"/>
    </row>
    <row r="270" customFormat="false" ht="15" hidden="false" customHeight="false" outlineLevel="0" collapsed="false">
      <c r="A270" s="0" t="s">
        <v>1047</v>
      </c>
      <c r="B270" s="22" t="s">
        <v>778</v>
      </c>
      <c r="C270" s="0" t="s">
        <v>539</v>
      </c>
      <c r="D270" s="26" t="n">
        <v>-9.9</v>
      </c>
      <c r="E270" s="0" t="s">
        <v>539</v>
      </c>
      <c r="F270" s="65" t="n">
        <f aca="false">D270</f>
        <v>-9.9</v>
      </c>
      <c r="J270" s="22" t="s">
        <v>551</v>
      </c>
      <c r="K270" s="22" t="s">
        <v>559</v>
      </c>
      <c r="L270" s="22"/>
    </row>
    <row r="271" customFormat="false" ht="15" hidden="false" customHeight="false" outlineLevel="0" collapsed="false">
      <c r="A271" s="0" t="s">
        <v>1048</v>
      </c>
      <c r="B271" s="22" t="s">
        <v>613</v>
      </c>
      <c r="C271" s="0" t="s">
        <v>539</v>
      </c>
      <c r="D271" s="74" t="n">
        <v>7000</v>
      </c>
      <c r="E271" s="0" t="s">
        <v>539</v>
      </c>
      <c r="F271" s="5" t="n">
        <f aca="false">D271</f>
        <v>7000</v>
      </c>
      <c r="J271" s="22" t="s">
        <v>551</v>
      </c>
      <c r="K271" s="22" t="s">
        <v>559</v>
      </c>
      <c r="L271" s="22"/>
    </row>
    <row r="272" customFormat="false" ht="15" hidden="false" customHeight="false" outlineLevel="0" collapsed="false">
      <c r="A272" s="0" t="s">
        <v>1049</v>
      </c>
      <c r="B272" s="22" t="s">
        <v>613</v>
      </c>
      <c r="C272" s="0" t="s">
        <v>539</v>
      </c>
      <c r="D272" s="74" t="n">
        <v>9900</v>
      </c>
      <c r="E272" s="0" t="s">
        <v>539</v>
      </c>
      <c r="F272" s="5" t="n">
        <f aca="false">D272</f>
        <v>9900</v>
      </c>
      <c r="J272" s="22" t="s">
        <v>551</v>
      </c>
      <c r="K272" s="22" t="s">
        <v>559</v>
      </c>
      <c r="L272" s="22"/>
    </row>
    <row r="273" customFormat="false" ht="15" hidden="false" customHeight="false" outlineLevel="0" collapsed="false">
      <c r="A273" s="0" t="s">
        <v>1050</v>
      </c>
      <c r="B273" s="22" t="s">
        <v>613</v>
      </c>
      <c r="C273" s="0" t="s">
        <v>539</v>
      </c>
      <c r="D273" s="74" t="n">
        <v>12900</v>
      </c>
      <c r="E273" s="0" t="s">
        <v>539</v>
      </c>
      <c r="F273" s="5" t="n">
        <f aca="false">D273</f>
        <v>12900</v>
      </c>
      <c r="J273" s="22" t="s">
        <v>551</v>
      </c>
      <c r="K273" s="22" t="s">
        <v>559</v>
      </c>
      <c r="L273" s="22"/>
    </row>
    <row r="274" customFormat="false" ht="15" hidden="false" customHeight="false" outlineLevel="0" collapsed="false">
      <c r="A274" s="0" t="s">
        <v>1051</v>
      </c>
      <c r="B274" s="22" t="s">
        <v>613</v>
      </c>
      <c r="C274" s="0" t="s">
        <v>539</v>
      </c>
      <c r="D274" s="74" t="n">
        <v>7600</v>
      </c>
      <c r="E274" s="0" t="s">
        <v>539</v>
      </c>
      <c r="F274" s="5" t="n">
        <f aca="false">D274</f>
        <v>7600</v>
      </c>
      <c r="J274" s="22" t="s">
        <v>551</v>
      </c>
      <c r="K274" s="22" t="s">
        <v>559</v>
      </c>
      <c r="L274" s="22"/>
    </row>
    <row r="275" customFormat="false" ht="15" hidden="false" customHeight="false" outlineLevel="0" collapsed="false">
      <c r="A275" s="0" t="s">
        <v>1052</v>
      </c>
      <c r="B275" s="22" t="s">
        <v>613</v>
      </c>
      <c r="C275" s="0" t="s">
        <v>539</v>
      </c>
      <c r="D275" s="74" t="n">
        <v>25300</v>
      </c>
      <c r="E275" s="0" t="s">
        <v>539</v>
      </c>
      <c r="F275" s="5" t="n">
        <f aca="false">D275</f>
        <v>25300</v>
      </c>
      <c r="J275" s="22" t="s">
        <v>551</v>
      </c>
      <c r="K275" s="22" t="s">
        <v>559</v>
      </c>
      <c r="L275" s="22"/>
    </row>
    <row r="276" customFormat="false" ht="15" hidden="false" customHeight="false" outlineLevel="0" collapsed="false">
      <c r="A276" s="0" t="s">
        <v>1053</v>
      </c>
      <c r="B276" s="22" t="s">
        <v>737</v>
      </c>
      <c r="C276" s="0" t="s">
        <v>539</v>
      </c>
      <c r="D276" s="26" t="n">
        <v>11.1</v>
      </c>
      <c r="E276" s="0" t="s">
        <v>539</v>
      </c>
      <c r="F276" s="65" t="n">
        <f aca="false">D276</f>
        <v>11.1</v>
      </c>
      <c r="J276" s="22" t="s">
        <v>551</v>
      </c>
      <c r="K276" s="22" t="s">
        <v>559</v>
      </c>
      <c r="L276" s="22"/>
    </row>
    <row r="277" customFormat="false" ht="15" hidden="false" customHeight="false" outlineLevel="0" collapsed="false">
      <c r="A277" s="0" t="s">
        <v>1054</v>
      </c>
      <c r="B277" s="22" t="s">
        <v>737</v>
      </c>
      <c r="C277" s="0" t="s">
        <v>539</v>
      </c>
      <c r="D277" s="26" t="n">
        <v>4.8</v>
      </c>
      <c r="E277" s="0" t="s">
        <v>539</v>
      </c>
      <c r="F277" s="65" t="n">
        <f aca="false">D277</f>
        <v>4.8</v>
      </c>
      <c r="J277" s="22" t="s">
        <v>551</v>
      </c>
      <c r="K277" s="22" t="s">
        <v>559</v>
      </c>
      <c r="L277" s="22"/>
    </row>
    <row r="278" customFormat="false" ht="15" hidden="false" customHeight="false" outlineLevel="0" collapsed="false">
      <c r="A278" s="0" t="s">
        <v>1055</v>
      </c>
      <c r="B278" s="22" t="s">
        <v>644</v>
      </c>
      <c r="C278" s="0" t="s">
        <v>539</v>
      </c>
      <c r="D278" s="66" t="n">
        <v>3.27</v>
      </c>
      <c r="E278" s="0" t="s">
        <v>539</v>
      </c>
      <c r="F278" s="6" t="n">
        <f aca="false">D278</f>
        <v>3.27</v>
      </c>
      <c r="J278" s="22" t="s">
        <v>626</v>
      </c>
      <c r="K278" s="22" t="s">
        <v>574</v>
      </c>
      <c r="L278" s="22" t="s">
        <v>1056</v>
      </c>
    </row>
    <row r="279" customFormat="false" ht="15" hidden="false" customHeight="false" outlineLevel="0" collapsed="false">
      <c r="A279" s="0" t="s">
        <v>1057</v>
      </c>
      <c r="B279" s="22" t="s">
        <v>737</v>
      </c>
      <c r="C279" s="0" t="s">
        <v>539</v>
      </c>
      <c r="D279" s="66" t="n">
        <v>0.46</v>
      </c>
      <c r="E279" s="0" t="s">
        <v>539</v>
      </c>
      <c r="F279" s="6" t="n">
        <f aca="false">D279</f>
        <v>0.46</v>
      </c>
      <c r="J279" s="22" t="s">
        <v>604</v>
      </c>
      <c r="K279" s="22" t="s">
        <v>574</v>
      </c>
      <c r="L279" s="22" t="s">
        <v>1058</v>
      </c>
    </row>
    <row r="280" customFormat="false" ht="15" hidden="false" customHeight="false" outlineLevel="0" collapsed="false">
      <c r="A280" s="0" t="s">
        <v>1059</v>
      </c>
      <c r="B280" s="22" t="s">
        <v>613</v>
      </c>
      <c r="C280" s="0" t="s">
        <v>539</v>
      </c>
      <c r="D280" s="68" t="n">
        <v>5197.7</v>
      </c>
      <c r="E280" s="0" t="s">
        <v>539</v>
      </c>
      <c r="F280" s="5" t="n">
        <f aca="false">D280</f>
        <v>5197.7</v>
      </c>
      <c r="J280" s="22" t="s">
        <v>604</v>
      </c>
      <c r="K280" s="22" t="s">
        <v>552</v>
      </c>
      <c r="L280" s="22" t="s">
        <v>1060</v>
      </c>
    </row>
    <row r="281" customFormat="false" ht="15" hidden="false" customHeight="false" outlineLevel="0" collapsed="false">
      <c r="A281" s="0" t="s">
        <v>1061</v>
      </c>
      <c r="B281" s="22" t="s">
        <v>647</v>
      </c>
      <c r="C281" s="0" t="s">
        <v>539</v>
      </c>
      <c r="D281" s="21" t="n">
        <v>13</v>
      </c>
      <c r="E281" s="0" t="s">
        <v>539</v>
      </c>
      <c r="F281" s="65" t="n">
        <f aca="false">D281</f>
        <v>13</v>
      </c>
      <c r="J281" s="22" t="s">
        <v>568</v>
      </c>
      <c r="K281" s="22" t="s">
        <v>574</v>
      </c>
      <c r="L281" s="22" t="s">
        <v>1062</v>
      </c>
    </row>
    <row r="282" customFormat="false" ht="15" hidden="false" customHeight="false" outlineLevel="0" collapsed="false">
      <c r="A282" s="0" t="s">
        <v>1063</v>
      </c>
      <c r="B282" s="22" t="s">
        <v>613</v>
      </c>
      <c r="C282" s="0" t="s">
        <v>539</v>
      </c>
      <c r="D282" s="77" t="n">
        <v>2000</v>
      </c>
      <c r="E282" s="0" t="s">
        <v>539</v>
      </c>
      <c r="F282" s="5" t="n">
        <f aca="false">D282</f>
        <v>2000</v>
      </c>
      <c r="J282" s="22" t="s">
        <v>540</v>
      </c>
      <c r="K282" s="22" t="s">
        <v>601</v>
      </c>
      <c r="L282" s="22" t="s">
        <v>1064</v>
      </c>
    </row>
    <row r="283" customFormat="false" ht="15" hidden="false" customHeight="false" outlineLevel="0" collapsed="false">
      <c r="A283" s="0" t="s">
        <v>1065</v>
      </c>
      <c r="B283" s="22" t="s">
        <v>619</v>
      </c>
      <c r="C283" s="0" t="s">
        <v>539</v>
      </c>
      <c r="D283" s="89" t="n">
        <v>0.035</v>
      </c>
      <c r="E283" s="0" t="s">
        <v>539</v>
      </c>
      <c r="F283" s="81" t="n">
        <f aca="false">D283</f>
        <v>0.035</v>
      </c>
      <c r="J283" s="22" t="s">
        <v>540</v>
      </c>
      <c r="K283" s="22" t="s">
        <v>601</v>
      </c>
      <c r="L283" s="22"/>
    </row>
    <row r="284" customFormat="false" ht="15" hidden="false" customHeight="false" outlineLevel="0" collapsed="false">
      <c r="A284" s="0" t="s">
        <v>1066</v>
      </c>
      <c r="B284" s="22" t="s">
        <v>619</v>
      </c>
      <c r="C284" s="0" t="s">
        <v>539</v>
      </c>
      <c r="D284" s="89" t="n">
        <v>0.04</v>
      </c>
      <c r="E284" s="0" t="s">
        <v>539</v>
      </c>
      <c r="F284" s="81" t="n">
        <f aca="false">D284</f>
        <v>0.04</v>
      </c>
      <c r="J284" s="22" t="s">
        <v>604</v>
      </c>
      <c r="K284" s="22" t="s">
        <v>601</v>
      </c>
      <c r="L284" s="22"/>
    </row>
    <row r="285" customFormat="false" ht="15" hidden="false" customHeight="false" outlineLevel="0" collapsed="false">
      <c r="A285" s="0" t="s">
        <v>1067</v>
      </c>
      <c r="B285" s="22" t="s">
        <v>619</v>
      </c>
      <c r="C285" s="0" t="s">
        <v>539</v>
      </c>
      <c r="D285" s="90" t="n">
        <v>0.025</v>
      </c>
      <c r="E285" s="0" t="s">
        <v>539</v>
      </c>
      <c r="F285" s="81" t="n">
        <f aca="false">D285</f>
        <v>0.025</v>
      </c>
      <c r="J285" s="22" t="s">
        <v>604</v>
      </c>
      <c r="K285" s="22" t="s">
        <v>552</v>
      </c>
      <c r="L285" s="22" t="s">
        <v>1068</v>
      </c>
    </row>
    <row r="286" customFormat="false" ht="15" hidden="false" customHeight="false" outlineLevel="0" collapsed="false">
      <c r="A286" s="0" t="s">
        <v>1069</v>
      </c>
      <c r="B286" s="22" t="s">
        <v>613</v>
      </c>
      <c r="C286" s="0" t="s">
        <v>539</v>
      </c>
      <c r="D286" s="68" t="n">
        <v>775</v>
      </c>
      <c r="E286" s="0" t="s">
        <v>539</v>
      </c>
      <c r="F286" s="5" t="n">
        <f aca="false">D286</f>
        <v>775</v>
      </c>
      <c r="J286" s="22" t="s">
        <v>604</v>
      </c>
      <c r="K286" s="22" t="s">
        <v>552</v>
      </c>
      <c r="L286" s="22" t="s">
        <v>1070</v>
      </c>
    </row>
    <row r="287" customFormat="false" ht="15" hidden="false" customHeight="false" outlineLevel="0" collapsed="false">
      <c r="A287" s="0" t="s">
        <v>1071</v>
      </c>
      <c r="B287" s="22" t="s">
        <v>616</v>
      </c>
      <c r="C287" s="0" t="s">
        <v>539</v>
      </c>
      <c r="D287" s="28" t="n">
        <v>11</v>
      </c>
      <c r="E287" s="0" t="s">
        <v>539</v>
      </c>
      <c r="F287" s="62" t="n">
        <f aca="false">D287</f>
        <v>11</v>
      </c>
      <c r="J287" s="22" t="s">
        <v>604</v>
      </c>
      <c r="K287" s="22" t="s">
        <v>552</v>
      </c>
      <c r="L287" s="22" t="s">
        <v>1072</v>
      </c>
    </row>
    <row r="288" customFormat="false" ht="15" hidden="false" customHeight="false" outlineLevel="0" collapsed="false">
      <c r="A288" s="0" t="s">
        <v>1073</v>
      </c>
      <c r="B288" s="22" t="s">
        <v>616</v>
      </c>
      <c r="C288" s="0" t="s">
        <v>539</v>
      </c>
      <c r="D288" s="28" t="n">
        <v>28</v>
      </c>
      <c r="E288" s="0" t="s">
        <v>539</v>
      </c>
      <c r="F288" s="62" t="n">
        <f aca="false">D288</f>
        <v>28</v>
      </c>
      <c r="J288" s="22" t="s">
        <v>604</v>
      </c>
      <c r="K288" s="22" t="s">
        <v>552</v>
      </c>
      <c r="L288" s="22" t="s">
        <v>1074</v>
      </c>
    </row>
    <row r="289" customFormat="false" ht="15" hidden="false" customHeight="false" outlineLevel="0" collapsed="false">
      <c r="A289" s="0" t="s">
        <v>1075</v>
      </c>
      <c r="B289" s="22" t="s">
        <v>619</v>
      </c>
      <c r="C289" s="0" t="s">
        <v>539</v>
      </c>
      <c r="D289" s="89" t="n">
        <v>0.03</v>
      </c>
      <c r="E289" s="0" t="s">
        <v>539</v>
      </c>
      <c r="F289" s="81" t="n">
        <f aca="false">D289</f>
        <v>0.03</v>
      </c>
      <c r="J289" s="22" t="s">
        <v>604</v>
      </c>
      <c r="K289" s="22" t="s">
        <v>601</v>
      </c>
      <c r="L289" s="22"/>
    </row>
    <row r="290" customFormat="false" ht="15" hidden="false" customHeight="false" outlineLevel="0" collapsed="false">
      <c r="A290" s="0" t="s">
        <v>1076</v>
      </c>
      <c r="B290" s="22" t="s">
        <v>619</v>
      </c>
      <c r="C290" s="69" t="n">
        <v>0.6</v>
      </c>
      <c r="D290" s="69" t="n">
        <v>0.5</v>
      </c>
      <c r="E290" s="69" t="n">
        <v>0.3</v>
      </c>
      <c r="F290" s="43" t="n">
        <f aca="false">CHOOSE(Scen,C290,D290,E290)</f>
        <v>0.5</v>
      </c>
      <c r="J290" s="22" t="s">
        <v>540</v>
      </c>
      <c r="K290" s="22" t="s">
        <v>601</v>
      </c>
      <c r="L290" s="22"/>
    </row>
    <row r="291" customFormat="false" ht="15" hidden="false" customHeight="false" outlineLevel="0" collapsed="false">
      <c r="A291" s="0" t="s">
        <v>1077</v>
      </c>
      <c r="B291" s="22" t="s">
        <v>619</v>
      </c>
      <c r="C291" s="0" t="s">
        <v>539</v>
      </c>
      <c r="D291" s="69" t="n">
        <v>0.03</v>
      </c>
      <c r="E291" s="0" t="s">
        <v>539</v>
      </c>
      <c r="F291" s="43" t="n">
        <f aca="false">D291</f>
        <v>0.03</v>
      </c>
      <c r="J291" s="22" t="s">
        <v>540</v>
      </c>
      <c r="K291" s="22" t="s">
        <v>601</v>
      </c>
      <c r="L291" s="22"/>
    </row>
    <row r="292" customFormat="false" ht="15" hidden="false" customHeight="false" outlineLevel="0" collapsed="false">
      <c r="A292" s="0" t="s">
        <v>1078</v>
      </c>
      <c r="B292" s="22" t="s">
        <v>613</v>
      </c>
      <c r="C292" s="0" t="s">
        <v>539</v>
      </c>
      <c r="D292" s="68" t="n">
        <v>5680</v>
      </c>
      <c r="E292" s="0" t="s">
        <v>539</v>
      </c>
      <c r="F292" s="5" t="n">
        <f aca="false">D292</f>
        <v>5680</v>
      </c>
      <c r="J292" s="22" t="s">
        <v>604</v>
      </c>
      <c r="K292" s="22" t="s">
        <v>552</v>
      </c>
      <c r="L292" s="22" t="s">
        <v>1079</v>
      </c>
    </row>
    <row r="293" customFormat="false" ht="15" hidden="false" customHeight="false" outlineLevel="0" collapsed="false">
      <c r="A293" s="0" t="s">
        <v>1080</v>
      </c>
      <c r="B293" s="22" t="s">
        <v>635</v>
      </c>
      <c r="C293" s="0" t="s">
        <v>539</v>
      </c>
      <c r="D293" s="63" t="n">
        <v>15.77</v>
      </c>
      <c r="E293" s="0" t="s">
        <v>539</v>
      </c>
      <c r="F293" s="64" t="n">
        <f aca="false">D293</f>
        <v>15.77</v>
      </c>
      <c r="J293" s="22" t="s">
        <v>604</v>
      </c>
      <c r="K293" s="22" t="s">
        <v>552</v>
      </c>
      <c r="L293" s="22" t="s">
        <v>1081</v>
      </c>
    </row>
    <row r="294" customFormat="false" ht="15" hidden="false" customHeight="false" outlineLevel="0" collapsed="false">
      <c r="A294" s="0" t="s">
        <v>1082</v>
      </c>
      <c r="B294" s="22" t="s">
        <v>616</v>
      </c>
      <c r="C294" s="0" t="s">
        <v>539</v>
      </c>
      <c r="D294" s="28" t="n">
        <v>11</v>
      </c>
      <c r="E294" s="0" t="s">
        <v>539</v>
      </c>
      <c r="F294" s="62" t="n">
        <f aca="false">D294</f>
        <v>11</v>
      </c>
      <c r="J294" s="22" t="s">
        <v>604</v>
      </c>
      <c r="K294" s="22" t="s">
        <v>552</v>
      </c>
      <c r="L294" s="22" t="s">
        <v>1083</v>
      </c>
    </row>
    <row r="295" customFormat="false" ht="15" hidden="false" customHeight="false" outlineLevel="0" collapsed="false">
      <c r="A295" s="0" t="s">
        <v>1084</v>
      </c>
      <c r="B295" s="22" t="s">
        <v>635</v>
      </c>
      <c r="C295" s="0" t="s">
        <v>539</v>
      </c>
      <c r="D295" s="84" t="n">
        <v>0</v>
      </c>
      <c r="E295" s="0" t="s">
        <v>539</v>
      </c>
      <c r="F295" s="64" t="n">
        <f aca="false">D295</f>
        <v>0</v>
      </c>
      <c r="J295" s="22" t="s">
        <v>604</v>
      </c>
      <c r="K295" s="22" t="s">
        <v>1085</v>
      </c>
      <c r="L295" s="22" t="s">
        <v>1086</v>
      </c>
    </row>
    <row r="296" customFormat="false" ht="15" hidden="false" customHeight="false" outlineLevel="0" collapsed="false">
      <c r="A296" s="0" t="s">
        <v>1087</v>
      </c>
      <c r="B296" s="22" t="s">
        <v>544</v>
      </c>
      <c r="C296" s="0" t="s">
        <v>539</v>
      </c>
      <c r="D296" s="28" t="n">
        <v>2</v>
      </c>
      <c r="E296" s="0" t="s">
        <v>539</v>
      </c>
      <c r="F296" s="62" t="n">
        <f aca="false">D296</f>
        <v>2</v>
      </c>
      <c r="J296" s="22" t="s">
        <v>540</v>
      </c>
      <c r="K296" s="22" t="s">
        <v>541</v>
      </c>
      <c r="L296" s="22" t="s">
        <v>1088</v>
      </c>
    </row>
    <row r="297" customFormat="false" ht="15" hidden="false" customHeight="false" outlineLevel="0" collapsed="false">
      <c r="A297" s="0" t="s">
        <v>1089</v>
      </c>
      <c r="B297" s="22" t="s">
        <v>635</v>
      </c>
      <c r="C297" s="0" t="s">
        <v>539</v>
      </c>
      <c r="D297" s="91" t="n">
        <v>21.065936</v>
      </c>
      <c r="E297" s="0" t="s">
        <v>539</v>
      </c>
      <c r="F297" s="79" t="n">
        <f aca="false">D297</f>
        <v>21.065936</v>
      </c>
      <c r="J297" s="22" t="s">
        <v>604</v>
      </c>
      <c r="K297" s="22" t="s">
        <v>552</v>
      </c>
      <c r="L297" s="22" t="s">
        <v>1090</v>
      </c>
    </row>
    <row r="298" customFormat="false" ht="15" hidden="false" customHeight="false" outlineLevel="0" collapsed="false">
      <c r="A298" s="0" t="s">
        <v>1091</v>
      </c>
      <c r="B298" s="22" t="s">
        <v>616</v>
      </c>
      <c r="C298" s="0" t="s">
        <v>539</v>
      </c>
      <c r="D298" s="28" t="n">
        <v>9</v>
      </c>
      <c r="E298" s="0" t="s">
        <v>539</v>
      </c>
      <c r="F298" s="62" t="n">
        <f aca="false">D298</f>
        <v>9</v>
      </c>
      <c r="J298" s="22" t="s">
        <v>604</v>
      </c>
      <c r="K298" s="22" t="s">
        <v>552</v>
      </c>
      <c r="L298" s="22" t="s">
        <v>1092</v>
      </c>
    </row>
    <row r="299" customFormat="false" ht="15" hidden="false" customHeight="false" outlineLevel="0" collapsed="false">
      <c r="A299" s="0" t="s">
        <v>1093</v>
      </c>
      <c r="B299" s="22" t="s">
        <v>635</v>
      </c>
      <c r="C299" s="0" t="s">
        <v>539</v>
      </c>
      <c r="D299" s="91" t="n">
        <v>6.7406</v>
      </c>
      <c r="E299" s="0" t="s">
        <v>539</v>
      </c>
      <c r="F299" s="79" t="n">
        <f aca="false">D299</f>
        <v>6.7406</v>
      </c>
      <c r="J299" s="22" t="s">
        <v>604</v>
      </c>
      <c r="K299" s="22" t="s">
        <v>552</v>
      </c>
      <c r="L299" s="22" t="s">
        <v>1094</v>
      </c>
    </row>
    <row r="300" customFormat="false" ht="15" hidden="false" customHeight="false" outlineLevel="0" collapsed="false">
      <c r="A300" s="0" t="s">
        <v>1095</v>
      </c>
      <c r="B300" s="22" t="s">
        <v>550</v>
      </c>
      <c r="C300" s="0" t="s">
        <v>539</v>
      </c>
      <c r="D300" s="63" t="n">
        <v>88.65</v>
      </c>
      <c r="E300" s="0" t="s">
        <v>539</v>
      </c>
      <c r="F300" s="64" t="n">
        <f aca="false">D300</f>
        <v>88.65</v>
      </c>
      <c r="J300" s="22" t="s">
        <v>604</v>
      </c>
      <c r="K300" s="22" t="s">
        <v>552</v>
      </c>
      <c r="L300" s="22"/>
    </row>
    <row r="301" customFormat="false" ht="15" hidden="false" customHeight="false" outlineLevel="0" collapsed="false">
      <c r="A301" s="0" t="s">
        <v>1096</v>
      </c>
      <c r="B301" s="22" t="s">
        <v>635</v>
      </c>
      <c r="C301" s="0" t="s">
        <v>539</v>
      </c>
      <c r="D301" s="91" t="n">
        <v>6.234091</v>
      </c>
      <c r="E301" s="0" t="s">
        <v>539</v>
      </c>
      <c r="F301" s="79" t="n">
        <f aca="false">D301</f>
        <v>6.234091</v>
      </c>
      <c r="J301" s="22" t="s">
        <v>604</v>
      </c>
      <c r="K301" s="22" t="s">
        <v>552</v>
      </c>
      <c r="L301" s="22" t="s">
        <v>1097</v>
      </c>
    </row>
    <row r="302" customFormat="false" ht="15" hidden="false" customHeight="false" outlineLevel="0" collapsed="false">
      <c r="A302" s="0" t="s">
        <v>1098</v>
      </c>
      <c r="B302" s="22" t="s">
        <v>635</v>
      </c>
      <c r="C302" s="0" t="s">
        <v>539</v>
      </c>
      <c r="D302" s="91" t="n">
        <v>2.743655</v>
      </c>
      <c r="E302" s="0" t="s">
        <v>539</v>
      </c>
      <c r="F302" s="79" t="n">
        <f aca="false">D302</f>
        <v>2.743655</v>
      </c>
      <c r="J302" s="22" t="s">
        <v>604</v>
      </c>
      <c r="K302" s="22" t="s">
        <v>552</v>
      </c>
      <c r="L302" s="22" t="s">
        <v>1099</v>
      </c>
    </row>
    <row r="303" customFormat="false" ht="15" hidden="false" customHeight="false" outlineLevel="0" collapsed="false">
      <c r="A303" s="0" t="s">
        <v>1100</v>
      </c>
      <c r="B303" s="22" t="s">
        <v>567</v>
      </c>
      <c r="C303" s="0" t="s">
        <v>539</v>
      </c>
      <c r="D303" s="28" t="n">
        <v>0</v>
      </c>
      <c r="E303" s="0" t="s">
        <v>539</v>
      </c>
      <c r="F303" s="62" t="n">
        <f aca="false">D303</f>
        <v>0</v>
      </c>
      <c r="J303" s="22" t="s">
        <v>540</v>
      </c>
      <c r="K303" s="22" t="s">
        <v>541</v>
      </c>
      <c r="L303" s="22"/>
    </row>
    <row r="304" customFormat="false" ht="15" hidden="false" customHeight="false" outlineLevel="0" collapsed="false">
      <c r="A304" s="0" t="s">
        <v>1101</v>
      </c>
      <c r="B304" s="22" t="s">
        <v>635</v>
      </c>
      <c r="C304" s="0" t="s">
        <v>539</v>
      </c>
      <c r="D304" s="91" t="n">
        <v>12.270507</v>
      </c>
      <c r="E304" s="0" t="s">
        <v>539</v>
      </c>
      <c r="F304" s="79" t="n">
        <f aca="false">D304</f>
        <v>12.270507</v>
      </c>
      <c r="J304" s="22" t="s">
        <v>604</v>
      </c>
      <c r="K304" s="22" t="s">
        <v>552</v>
      </c>
      <c r="L304" s="22" t="s">
        <v>1102</v>
      </c>
    </row>
    <row r="305" customFormat="false" ht="15" hidden="false" customHeight="false" outlineLevel="0" collapsed="false">
      <c r="A305" s="0" t="s">
        <v>1103</v>
      </c>
      <c r="B305" s="22" t="s">
        <v>635</v>
      </c>
      <c r="C305" s="0" t="s">
        <v>539</v>
      </c>
      <c r="D305" s="21" t="n">
        <v>369.2</v>
      </c>
      <c r="E305" s="0" t="s">
        <v>539</v>
      </c>
      <c r="F305" s="65" t="n">
        <f aca="false">D305</f>
        <v>369.2</v>
      </c>
      <c r="J305" s="22" t="s">
        <v>604</v>
      </c>
      <c r="K305" s="22" t="s">
        <v>552</v>
      </c>
      <c r="L305" s="22" t="s">
        <v>1104</v>
      </c>
    </row>
    <row r="306" customFormat="false" ht="15" hidden="false" customHeight="false" outlineLevel="0" collapsed="false">
      <c r="A306" s="0" t="s">
        <v>1105</v>
      </c>
      <c r="B306" s="22" t="s">
        <v>635</v>
      </c>
      <c r="C306" s="0" t="s">
        <v>539</v>
      </c>
      <c r="D306" s="21" t="n">
        <v>381.5</v>
      </c>
      <c r="E306" s="0" t="s">
        <v>539</v>
      </c>
      <c r="F306" s="65" t="n">
        <f aca="false">D306</f>
        <v>381.5</v>
      </c>
      <c r="J306" s="22" t="s">
        <v>604</v>
      </c>
      <c r="K306" s="22" t="s">
        <v>552</v>
      </c>
      <c r="L306" s="22" t="s">
        <v>1106</v>
      </c>
    </row>
    <row r="307" customFormat="false" ht="15" hidden="false" customHeight="false" outlineLevel="0" collapsed="false">
      <c r="A307" s="0" t="s">
        <v>1107</v>
      </c>
      <c r="B307" s="22" t="s">
        <v>635</v>
      </c>
      <c r="C307" s="0" t="s">
        <v>539</v>
      </c>
      <c r="D307" s="66" t="n">
        <v>50.03</v>
      </c>
      <c r="E307" s="0" t="s">
        <v>539</v>
      </c>
      <c r="F307" s="6" t="n">
        <f aca="false">D307</f>
        <v>50.03</v>
      </c>
      <c r="J307" s="22" t="s">
        <v>604</v>
      </c>
      <c r="K307" s="22" t="s">
        <v>552</v>
      </c>
      <c r="L307" s="22" t="s">
        <v>1108</v>
      </c>
    </row>
    <row r="308" customFormat="false" ht="15" hidden="false" customHeight="false" outlineLevel="0" collapsed="false">
      <c r="A308" s="0" t="s">
        <v>1109</v>
      </c>
      <c r="B308" s="22" t="s">
        <v>613</v>
      </c>
      <c r="C308" s="0" t="s">
        <v>539</v>
      </c>
      <c r="D308" s="68" t="n">
        <v>7680</v>
      </c>
      <c r="E308" s="0" t="s">
        <v>539</v>
      </c>
      <c r="F308" s="5" t="n">
        <f aca="false">D308</f>
        <v>7680</v>
      </c>
      <c r="J308" s="22" t="s">
        <v>604</v>
      </c>
      <c r="K308" s="22" t="s">
        <v>552</v>
      </c>
      <c r="L308" s="22"/>
    </row>
    <row r="309" customFormat="false" ht="15" hidden="false" customHeight="false" outlineLevel="0" collapsed="false">
      <c r="A309" s="0" t="s">
        <v>1110</v>
      </c>
      <c r="B309" s="22" t="s">
        <v>613</v>
      </c>
      <c r="C309" s="0" t="s">
        <v>539</v>
      </c>
      <c r="D309" s="68" t="n">
        <v>79500</v>
      </c>
      <c r="E309" s="0" t="s">
        <v>539</v>
      </c>
      <c r="F309" s="5" t="n">
        <f aca="false">D309</f>
        <v>79500</v>
      </c>
      <c r="J309" s="22" t="s">
        <v>626</v>
      </c>
      <c r="K309" s="22" t="s">
        <v>574</v>
      </c>
      <c r="L309" s="22" t="s">
        <v>1111</v>
      </c>
    </row>
    <row r="310" customFormat="false" ht="15" hidden="false" customHeight="false" outlineLevel="0" collapsed="false">
      <c r="A310" s="0" t="s">
        <v>1112</v>
      </c>
      <c r="B310" s="22" t="s">
        <v>664</v>
      </c>
      <c r="C310" s="0" t="s">
        <v>539</v>
      </c>
      <c r="D310" s="68" t="n">
        <v>1500</v>
      </c>
      <c r="E310" s="0" t="s">
        <v>539</v>
      </c>
      <c r="F310" s="5" t="n">
        <f aca="false">D310</f>
        <v>1500</v>
      </c>
      <c r="J310" s="22" t="s">
        <v>626</v>
      </c>
      <c r="K310" s="22" t="s">
        <v>574</v>
      </c>
      <c r="L310" s="22"/>
    </row>
    <row r="311" customFormat="false" ht="15" hidden="false" customHeight="false" outlineLevel="0" collapsed="false">
      <c r="A311" s="0" t="s">
        <v>1113</v>
      </c>
      <c r="B311" s="22" t="s">
        <v>664</v>
      </c>
      <c r="C311" s="0" t="s">
        <v>539</v>
      </c>
      <c r="D311" s="68" t="n">
        <v>3700</v>
      </c>
      <c r="E311" s="0" t="s">
        <v>539</v>
      </c>
      <c r="F311" s="5" t="n">
        <f aca="false">D311</f>
        <v>3700</v>
      </c>
      <c r="J311" s="22" t="s">
        <v>626</v>
      </c>
      <c r="K311" s="22" t="s">
        <v>574</v>
      </c>
      <c r="L311" s="22"/>
    </row>
    <row r="312" customFormat="false" ht="15" hidden="false" customHeight="false" outlineLevel="0" collapsed="false">
      <c r="A312" s="0" t="s">
        <v>1114</v>
      </c>
      <c r="B312" s="22" t="s">
        <v>613</v>
      </c>
      <c r="C312" s="0" t="s">
        <v>539</v>
      </c>
      <c r="D312" s="77" t="n">
        <v>0</v>
      </c>
      <c r="E312" s="0" t="s">
        <v>539</v>
      </c>
      <c r="F312" s="5" t="n">
        <f aca="false">D312</f>
        <v>0</v>
      </c>
      <c r="J312" s="22" t="s">
        <v>626</v>
      </c>
      <c r="K312" s="22" t="s">
        <v>601</v>
      </c>
      <c r="L312" s="22"/>
    </row>
    <row r="313" customFormat="false" ht="15" hidden="false" customHeight="false" outlineLevel="0" collapsed="false">
      <c r="A313" s="0" t="s">
        <v>1115</v>
      </c>
      <c r="B313" s="22" t="s">
        <v>613</v>
      </c>
      <c r="C313" s="0" t="s">
        <v>539</v>
      </c>
      <c r="D313" s="77" t="n">
        <v>0</v>
      </c>
      <c r="E313" s="0" t="s">
        <v>539</v>
      </c>
      <c r="F313" s="5" t="n">
        <f aca="false">D313</f>
        <v>0</v>
      </c>
      <c r="J313" s="22" t="s">
        <v>626</v>
      </c>
      <c r="K313" s="22" t="s">
        <v>601</v>
      </c>
      <c r="L313" s="22"/>
    </row>
    <row r="314" customFormat="false" ht="15" hidden="false" customHeight="false" outlineLevel="0" collapsed="false">
      <c r="A314" s="0" t="s">
        <v>1116</v>
      </c>
      <c r="B314" s="22" t="s">
        <v>544</v>
      </c>
      <c r="C314" s="0" t="s">
        <v>539</v>
      </c>
      <c r="D314" s="28" t="n">
        <v>2</v>
      </c>
      <c r="E314" s="0" t="s">
        <v>539</v>
      </c>
      <c r="F314" s="62" t="n">
        <f aca="false">D314</f>
        <v>2</v>
      </c>
      <c r="J314" s="22" t="s">
        <v>540</v>
      </c>
      <c r="K314" s="22" t="s">
        <v>541</v>
      </c>
      <c r="L314" s="22" t="s">
        <v>1117</v>
      </c>
    </row>
    <row r="315" customFormat="false" ht="15" hidden="false" customHeight="false" outlineLevel="0" collapsed="false">
      <c r="A315" s="0" t="s">
        <v>1118</v>
      </c>
      <c r="B315" s="22" t="s">
        <v>771</v>
      </c>
      <c r="C315" s="0" t="s">
        <v>539</v>
      </c>
      <c r="D315" s="89" t="n">
        <v>0</v>
      </c>
      <c r="E315" s="0" t="s">
        <v>539</v>
      </c>
      <c r="F315" s="81" t="n">
        <f aca="false">D315</f>
        <v>0</v>
      </c>
      <c r="J315" s="22" t="s">
        <v>604</v>
      </c>
      <c r="K315" s="22" t="s">
        <v>601</v>
      </c>
      <c r="L315" s="22" t="s">
        <v>1119</v>
      </c>
    </row>
    <row r="316" customFormat="false" ht="15" hidden="false" customHeight="false" outlineLevel="0" collapsed="false">
      <c r="A316" s="0" t="s">
        <v>1120</v>
      </c>
      <c r="B316" s="22" t="s">
        <v>619</v>
      </c>
      <c r="C316" s="0" t="s">
        <v>539</v>
      </c>
      <c r="D316" s="38" t="n">
        <v>0.258</v>
      </c>
      <c r="E316" s="0" t="s">
        <v>539</v>
      </c>
      <c r="F316" s="76" t="n">
        <f aca="false">D316</f>
        <v>0.258</v>
      </c>
      <c r="J316" s="22" t="s">
        <v>604</v>
      </c>
      <c r="K316" s="22" t="s">
        <v>559</v>
      </c>
      <c r="L316" s="22" t="s">
        <v>1121</v>
      </c>
    </row>
    <row r="317" customFormat="false" ht="15" hidden="false" customHeight="false" outlineLevel="0" collapsed="false">
      <c r="A317" s="0" t="s">
        <v>1122</v>
      </c>
      <c r="B317" s="22" t="s">
        <v>544</v>
      </c>
      <c r="C317" s="0" t="s">
        <v>539</v>
      </c>
      <c r="D317" s="28" t="n">
        <v>3</v>
      </c>
      <c r="E317" s="0" t="s">
        <v>539</v>
      </c>
      <c r="F317" s="62" t="n">
        <f aca="false">D317</f>
        <v>3</v>
      </c>
      <c r="J317" s="22" t="s">
        <v>604</v>
      </c>
      <c r="K317" s="22" t="s">
        <v>541</v>
      </c>
      <c r="L317" s="22" t="s">
        <v>1123</v>
      </c>
    </row>
    <row r="318" customFormat="false" ht="15" hidden="false" customHeight="false" outlineLevel="0" collapsed="false">
      <c r="A318" s="58" t="s">
        <v>1124</v>
      </c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</row>
    <row r="319" customFormat="false" ht="15" hidden="false" customHeight="false" outlineLevel="0" collapsed="false">
      <c r="A319" s="0" t="s">
        <v>1125</v>
      </c>
      <c r="B319" s="22" t="s">
        <v>567</v>
      </c>
      <c r="C319" s="0" t="s">
        <v>539</v>
      </c>
      <c r="D319" s="29" t="n">
        <v>1</v>
      </c>
      <c r="E319" s="0" t="s">
        <v>539</v>
      </c>
      <c r="F319" s="62" t="n">
        <f aca="false">D319</f>
        <v>1</v>
      </c>
      <c r="J319" s="22" t="s">
        <v>540</v>
      </c>
      <c r="K319" s="22" t="s">
        <v>559</v>
      </c>
      <c r="L319" s="22" t="s">
        <v>1126</v>
      </c>
    </row>
    <row r="320" customFormat="false" ht="15" hidden="false" customHeight="false" outlineLevel="0" collapsed="false">
      <c r="A320" s="0" t="s">
        <v>1127</v>
      </c>
      <c r="B320" s="22" t="s">
        <v>544</v>
      </c>
      <c r="C320" s="29" t="n">
        <v>1</v>
      </c>
      <c r="D320" s="29" t="n">
        <v>1</v>
      </c>
      <c r="E320" s="29" t="n">
        <v>2</v>
      </c>
      <c r="F320" s="62" t="n">
        <f aca="false">CHOOSE(Scen,C320,D320,E320)</f>
        <v>1</v>
      </c>
      <c r="J320" s="22" t="s">
        <v>540</v>
      </c>
      <c r="K320" s="22" t="s">
        <v>559</v>
      </c>
      <c r="L320" s="22" t="s">
        <v>1128</v>
      </c>
    </row>
    <row r="321" customFormat="false" ht="15" hidden="false" customHeight="false" outlineLevel="0" collapsed="false">
      <c r="A321" s="0" t="s">
        <v>1129</v>
      </c>
      <c r="B321" s="22" t="s">
        <v>616</v>
      </c>
      <c r="C321" s="0" t="s">
        <v>539</v>
      </c>
      <c r="D321" s="29" t="n">
        <v>12</v>
      </c>
      <c r="E321" s="0" t="s">
        <v>539</v>
      </c>
      <c r="F321" s="62" t="n">
        <f aca="false">D321</f>
        <v>12</v>
      </c>
      <c r="J321" s="22" t="s">
        <v>540</v>
      </c>
      <c r="K321" s="22" t="s">
        <v>559</v>
      </c>
      <c r="L321" s="22" t="s">
        <v>345</v>
      </c>
    </row>
    <row r="322" customFormat="false" ht="15" hidden="false" customHeight="false" outlineLevel="0" collapsed="false">
      <c r="A322" s="0" t="s">
        <v>1130</v>
      </c>
      <c r="B322" s="22" t="s">
        <v>619</v>
      </c>
      <c r="C322" s="40" t="n">
        <v>0</v>
      </c>
      <c r="D322" s="40" t="n">
        <v>0</v>
      </c>
      <c r="E322" s="40" t="n">
        <v>0.4</v>
      </c>
      <c r="F322" s="43" t="n">
        <f aca="false">CHOOSE(Scen,C322,D322,E322)</f>
        <v>0</v>
      </c>
      <c r="J322" s="22" t="s">
        <v>540</v>
      </c>
      <c r="K322" s="22" t="s">
        <v>559</v>
      </c>
      <c r="L322" s="22" t="s">
        <v>1131</v>
      </c>
    </row>
    <row r="323" customFormat="false" ht="15" hidden="false" customHeight="false" outlineLevel="0" collapsed="false">
      <c r="A323" s="0" t="s">
        <v>1132</v>
      </c>
      <c r="B323" s="22" t="s">
        <v>613</v>
      </c>
      <c r="C323" s="74" t="n">
        <v>0</v>
      </c>
      <c r="D323" s="74" t="n">
        <v>0</v>
      </c>
      <c r="E323" s="74" t="n">
        <v>9000</v>
      </c>
      <c r="F323" s="5" t="n">
        <f aca="false">CHOOSE(Scen,C323,D323,E323)</f>
        <v>0</v>
      </c>
      <c r="J323" s="22" t="s">
        <v>540</v>
      </c>
      <c r="K323" s="22" t="s">
        <v>559</v>
      </c>
      <c r="L323" s="22" t="s">
        <v>1133</v>
      </c>
    </row>
    <row r="324" customFormat="false" ht="15" hidden="false" customHeight="false" outlineLevel="0" collapsed="false">
      <c r="A324" s="0" t="s">
        <v>1134</v>
      </c>
      <c r="B324" s="22" t="s">
        <v>550</v>
      </c>
      <c r="C324" s="0" t="s">
        <v>539</v>
      </c>
      <c r="D324" s="23" t="n">
        <f aca="false">SharePx*(1-FP_ATMDisc)</f>
        <v>242.81</v>
      </c>
      <c r="E324" s="0" t="s">
        <v>539</v>
      </c>
      <c r="F324" s="6" t="n">
        <f aca="false">D324</f>
        <v>242.81</v>
      </c>
      <c r="J324" s="22" t="s">
        <v>540</v>
      </c>
      <c r="K324" s="22" t="s">
        <v>574</v>
      </c>
      <c r="L324" s="22"/>
    </row>
    <row r="325" customFormat="false" ht="15" hidden="false" customHeight="false" outlineLevel="0" collapsed="false">
      <c r="A325" s="0" t="s">
        <v>1135</v>
      </c>
      <c r="B325" s="22" t="s">
        <v>635</v>
      </c>
      <c r="C325" s="0" t="s">
        <v>539</v>
      </c>
      <c r="D325" s="55" t="n">
        <f aca="false">FP_On*IF(FP_ATMMode=1,ATM_Rem,FP_ATMAmt/FP_ATMPx)</f>
        <v>12.270507</v>
      </c>
      <c r="E325" s="0" t="s">
        <v>539</v>
      </c>
      <c r="F325" s="79" t="n">
        <f aca="false">D325</f>
        <v>12.270507</v>
      </c>
      <c r="J325" s="22" t="s">
        <v>540</v>
      </c>
      <c r="K325" s="22" t="s">
        <v>574</v>
      </c>
      <c r="L325" s="22"/>
    </row>
    <row r="326" customFormat="false" ht="15" hidden="false" customHeight="false" outlineLevel="0" collapsed="false">
      <c r="A326" s="0" t="s">
        <v>1136</v>
      </c>
      <c r="B326" s="22" t="s">
        <v>613</v>
      </c>
      <c r="C326" s="0" t="s">
        <v>539</v>
      </c>
      <c r="D326" s="33" t="n">
        <f aca="false">FP_ATMSh*FP_ATMPx</f>
        <v>2979.40180467</v>
      </c>
      <c r="E326" s="0" t="s">
        <v>539</v>
      </c>
      <c r="F326" s="5" t="n">
        <f aca="false">D326</f>
        <v>2979.40180467</v>
      </c>
      <c r="J326" s="22" t="s">
        <v>540</v>
      </c>
      <c r="K326" s="22" t="s">
        <v>574</v>
      </c>
      <c r="L326" s="22" t="s">
        <v>1137</v>
      </c>
    </row>
    <row r="327" customFormat="false" ht="15" hidden="false" customHeight="false" outlineLevel="0" collapsed="false">
      <c r="A327" s="0" t="s">
        <v>1138</v>
      </c>
      <c r="B327" s="22" t="s">
        <v>567</v>
      </c>
      <c r="C327" s="29" t="n">
        <v>1</v>
      </c>
      <c r="D327" s="29" t="n">
        <v>1</v>
      </c>
      <c r="E327" s="29" t="n">
        <v>0</v>
      </c>
      <c r="F327" s="62" t="n">
        <f aca="false">CHOOSE(Scen,C327,D327,E327)</f>
        <v>1</v>
      </c>
      <c r="J327" s="22" t="s">
        <v>540</v>
      </c>
      <c r="K327" s="22" t="s">
        <v>559</v>
      </c>
      <c r="L327" s="22" t="s">
        <v>1139</v>
      </c>
    </row>
    <row r="328" customFormat="false" ht="15" hidden="false" customHeight="false" outlineLevel="0" collapsed="false">
      <c r="A328" s="0" t="s">
        <v>1140</v>
      </c>
      <c r="B328" s="22" t="s">
        <v>616</v>
      </c>
      <c r="C328" s="0" t="s">
        <v>539</v>
      </c>
      <c r="D328" s="29" t="n">
        <v>13</v>
      </c>
      <c r="E328" s="0" t="s">
        <v>539</v>
      </c>
      <c r="F328" s="62" t="n">
        <f aca="false">D328</f>
        <v>13</v>
      </c>
      <c r="J328" s="22" t="s">
        <v>540</v>
      </c>
      <c r="K328" s="22" t="s">
        <v>559</v>
      </c>
      <c r="L328" s="22" t="s">
        <v>1141</v>
      </c>
    </row>
    <row r="329" customFormat="false" ht="15" hidden="false" customHeight="false" outlineLevel="0" collapsed="false">
      <c r="A329" s="0" t="s">
        <v>1142</v>
      </c>
      <c r="B329" s="22" t="s">
        <v>616</v>
      </c>
      <c r="C329" s="0" t="s">
        <v>539</v>
      </c>
      <c r="D329" s="29" t="n">
        <v>15</v>
      </c>
      <c r="E329" s="0" t="s">
        <v>539</v>
      </c>
      <c r="F329" s="62" t="n">
        <f aca="false">D329</f>
        <v>15</v>
      </c>
      <c r="J329" s="22" t="s">
        <v>540</v>
      </c>
      <c r="K329" s="22" t="s">
        <v>559</v>
      </c>
      <c r="L329" s="22" t="s">
        <v>60</v>
      </c>
    </row>
    <row r="330" customFormat="false" ht="15" hidden="false" customHeight="false" outlineLevel="0" collapsed="false">
      <c r="A330" s="0" t="s">
        <v>1143</v>
      </c>
      <c r="B330" s="22" t="s">
        <v>613</v>
      </c>
      <c r="C330" s="0" t="s">
        <v>539</v>
      </c>
      <c r="D330" s="74" t="n">
        <v>6400</v>
      </c>
      <c r="E330" s="0" t="s">
        <v>539</v>
      </c>
      <c r="F330" s="5" t="n">
        <f aca="false">D330</f>
        <v>6400</v>
      </c>
      <c r="J330" s="22" t="s">
        <v>540</v>
      </c>
      <c r="K330" s="22" t="s">
        <v>559</v>
      </c>
      <c r="L330" s="22" t="s">
        <v>1144</v>
      </c>
    </row>
    <row r="331" customFormat="false" ht="15" hidden="false" customHeight="false" outlineLevel="0" collapsed="false">
      <c r="A331" s="0" t="s">
        <v>1145</v>
      </c>
      <c r="B331" s="22" t="s">
        <v>613</v>
      </c>
      <c r="C331" s="0" t="s">
        <v>539</v>
      </c>
      <c r="D331" s="74" t="n">
        <v>6400</v>
      </c>
      <c r="E331" s="0" t="s">
        <v>539</v>
      </c>
      <c r="F331" s="5" t="n">
        <f aca="false">D331</f>
        <v>6400</v>
      </c>
      <c r="J331" s="22" t="s">
        <v>540</v>
      </c>
      <c r="K331" s="22" t="s">
        <v>559</v>
      </c>
      <c r="L331" s="22"/>
    </row>
    <row r="332" customFormat="false" ht="15" hidden="false" customHeight="false" outlineLevel="0" collapsed="false">
      <c r="A332" s="0" t="s">
        <v>1146</v>
      </c>
      <c r="B332" s="22" t="s">
        <v>619</v>
      </c>
      <c r="C332" s="0" t="s">
        <v>539</v>
      </c>
      <c r="D332" s="73" t="n">
        <v>0.6</v>
      </c>
      <c r="E332" s="0" t="s">
        <v>539</v>
      </c>
      <c r="F332" s="43" t="n">
        <f aca="false">D332</f>
        <v>0.6</v>
      </c>
      <c r="J332" s="22" t="s">
        <v>604</v>
      </c>
      <c r="K332" s="22" t="s">
        <v>574</v>
      </c>
      <c r="L332" s="22" t="s">
        <v>1147</v>
      </c>
    </row>
    <row r="333" customFormat="false" ht="15" hidden="false" customHeight="false" outlineLevel="0" collapsed="false">
      <c r="A333" s="0" t="s">
        <v>1148</v>
      </c>
      <c r="B333" s="22" t="s">
        <v>619</v>
      </c>
      <c r="C333" s="0" t="s">
        <v>539</v>
      </c>
      <c r="D333" s="90" t="n">
        <v>0.005</v>
      </c>
      <c r="E333" s="0" t="s">
        <v>539</v>
      </c>
      <c r="F333" s="81" t="n">
        <f aca="false">D333</f>
        <v>0.005</v>
      </c>
      <c r="J333" s="22" t="s">
        <v>604</v>
      </c>
      <c r="K333" s="22" t="s">
        <v>552</v>
      </c>
      <c r="L333" s="22" t="s">
        <v>1149</v>
      </c>
    </row>
    <row r="334" customFormat="false" ht="15" hidden="false" customHeight="false" outlineLevel="0" collapsed="false">
      <c r="A334" s="0" t="s">
        <v>1150</v>
      </c>
      <c r="B334" s="22" t="s">
        <v>619</v>
      </c>
      <c r="C334" s="0" t="s">
        <v>539</v>
      </c>
      <c r="D334" s="90" t="n">
        <v>0.045</v>
      </c>
      <c r="E334" s="0" t="s">
        <v>539</v>
      </c>
      <c r="F334" s="81" t="n">
        <f aca="false">D334</f>
        <v>0.045</v>
      </c>
      <c r="J334" s="22" t="s">
        <v>604</v>
      </c>
      <c r="K334" s="22" t="s">
        <v>552</v>
      </c>
      <c r="L334" s="22" t="s">
        <v>1151</v>
      </c>
    </row>
    <row r="335" customFormat="false" ht="15" hidden="false" customHeight="false" outlineLevel="0" collapsed="false">
      <c r="A335" s="0" t="s">
        <v>1152</v>
      </c>
      <c r="B335" s="22" t="s">
        <v>737</v>
      </c>
      <c r="C335" s="0" t="s">
        <v>539</v>
      </c>
      <c r="D335" s="66" t="n">
        <v>1.1</v>
      </c>
      <c r="E335" s="0" t="s">
        <v>539</v>
      </c>
      <c r="F335" s="6" t="n">
        <f aca="false">D335</f>
        <v>1.1</v>
      </c>
      <c r="J335" s="22" t="s">
        <v>604</v>
      </c>
      <c r="K335" s="22" t="s">
        <v>552</v>
      </c>
      <c r="L335" s="22" t="s">
        <v>1153</v>
      </c>
    </row>
    <row r="336" customFormat="false" ht="15" hidden="false" customHeight="false" outlineLevel="0" collapsed="false">
      <c r="A336" s="0" t="s">
        <v>1154</v>
      </c>
      <c r="B336" s="22" t="s">
        <v>737</v>
      </c>
      <c r="C336" s="0" t="s">
        <v>539</v>
      </c>
      <c r="D336" s="66" t="n">
        <v>1.25</v>
      </c>
      <c r="E336" s="0" t="s">
        <v>539</v>
      </c>
      <c r="F336" s="6" t="n">
        <f aca="false">D336</f>
        <v>1.25</v>
      </c>
      <c r="J336" s="22" t="s">
        <v>604</v>
      </c>
      <c r="K336" s="22" t="s">
        <v>552</v>
      </c>
      <c r="L336" s="22" t="s">
        <v>1155</v>
      </c>
    </row>
    <row r="337" customFormat="false" ht="15" hidden="false" customHeight="false" outlineLevel="0" collapsed="false">
      <c r="A337" s="0" t="s">
        <v>1156</v>
      </c>
      <c r="B337" s="22" t="s">
        <v>619</v>
      </c>
      <c r="C337" s="0" t="s">
        <v>539</v>
      </c>
      <c r="D337" s="73" t="n">
        <v>0.4</v>
      </c>
      <c r="E337" s="0" t="s">
        <v>539</v>
      </c>
      <c r="F337" s="43" t="n">
        <f aca="false">D337</f>
        <v>0.4</v>
      </c>
      <c r="J337" s="22" t="s">
        <v>604</v>
      </c>
      <c r="K337" s="22" t="s">
        <v>574</v>
      </c>
      <c r="L337" s="22" t="s">
        <v>1157</v>
      </c>
    </row>
    <row r="338" customFormat="false" ht="15" hidden="false" customHeight="false" outlineLevel="0" collapsed="false">
      <c r="A338" s="0" t="s">
        <v>1158</v>
      </c>
      <c r="B338" s="22" t="s">
        <v>619</v>
      </c>
      <c r="C338" s="0" t="s">
        <v>539</v>
      </c>
      <c r="D338" s="73" t="n">
        <v>0.45</v>
      </c>
      <c r="E338" s="0" t="s">
        <v>539</v>
      </c>
      <c r="F338" s="43" t="n">
        <f aca="false">D338</f>
        <v>0.45</v>
      </c>
      <c r="J338" s="22" t="s">
        <v>604</v>
      </c>
      <c r="K338" s="22" t="s">
        <v>574</v>
      </c>
      <c r="L338" s="22" t="s">
        <v>1159</v>
      </c>
    </row>
    <row r="339" customFormat="false" ht="15" hidden="false" customHeight="false" outlineLevel="0" collapsed="false">
      <c r="A339" s="0" t="s">
        <v>1160</v>
      </c>
      <c r="B339" s="22" t="s">
        <v>629</v>
      </c>
      <c r="C339" s="0" t="s">
        <v>539</v>
      </c>
      <c r="D339" s="21" t="n">
        <v>3.5</v>
      </c>
      <c r="E339" s="0" t="s">
        <v>539</v>
      </c>
      <c r="F339" s="65" t="n">
        <f aca="false">D339</f>
        <v>3.5</v>
      </c>
      <c r="J339" s="22" t="s">
        <v>604</v>
      </c>
      <c r="K339" s="22" t="s">
        <v>574</v>
      </c>
      <c r="L339" s="22" t="s">
        <v>1161</v>
      </c>
    </row>
    <row r="340" customFormat="false" ht="15" hidden="false" customHeight="false" outlineLevel="0" collapsed="false">
      <c r="A340" s="0" t="s">
        <v>1162</v>
      </c>
      <c r="B340" s="22" t="s">
        <v>629</v>
      </c>
      <c r="C340" s="0" t="s">
        <v>539</v>
      </c>
      <c r="D340" s="21" t="n">
        <v>7.5</v>
      </c>
      <c r="E340" s="0" t="s">
        <v>539</v>
      </c>
      <c r="F340" s="65" t="n">
        <f aca="false">D340</f>
        <v>7.5</v>
      </c>
      <c r="J340" s="22" t="s">
        <v>604</v>
      </c>
      <c r="K340" s="22" t="s">
        <v>574</v>
      </c>
      <c r="L340" s="22" t="s">
        <v>1163</v>
      </c>
    </row>
    <row r="341" customFormat="false" ht="15" hidden="false" customHeight="false" outlineLevel="0" collapsed="false">
      <c r="A341" s="0" t="s">
        <v>1164</v>
      </c>
      <c r="B341" s="22" t="s">
        <v>550</v>
      </c>
      <c r="C341" s="0" t="s">
        <v>539</v>
      </c>
      <c r="D341" s="92" t="n">
        <f aca="false">SharePx</f>
        <v>242.81</v>
      </c>
      <c r="E341" s="0" t="s">
        <v>539</v>
      </c>
      <c r="F341" s="6" t="n">
        <f aca="false">D341</f>
        <v>242.81</v>
      </c>
      <c r="J341" s="22" t="s">
        <v>540</v>
      </c>
      <c r="K341" s="22" t="s">
        <v>559</v>
      </c>
      <c r="L341" s="22" t="s">
        <v>1165</v>
      </c>
    </row>
    <row r="342" customFormat="false" ht="15" hidden="false" customHeight="false" outlineLevel="0" collapsed="false">
      <c r="A342" s="0" t="s">
        <v>1166</v>
      </c>
      <c r="B342" s="22" t="s">
        <v>619</v>
      </c>
      <c r="C342" s="0" t="s">
        <v>539</v>
      </c>
      <c r="D342" s="27" t="n">
        <f aca="false">1-AugNet/AugGross</f>
        <v>0.0121739130434783</v>
      </c>
      <c r="E342" s="0" t="s">
        <v>539</v>
      </c>
      <c r="F342" s="76" t="n">
        <f aca="false">D342</f>
        <v>0.0121739130434783</v>
      </c>
      <c r="J342" s="22" t="s">
        <v>604</v>
      </c>
      <c r="K342" s="22" t="s">
        <v>574</v>
      </c>
      <c r="L342" s="22" t="s">
        <v>1167</v>
      </c>
    </row>
    <row r="343" customFormat="false" ht="15" hidden="false" customHeight="false" outlineLevel="0" collapsed="false">
      <c r="A343" s="0" t="s">
        <v>1168</v>
      </c>
      <c r="B343" s="22" t="s">
        <v>616</v>
      </c>
      <c r="C343" s="0" t="s">
        <v>539</v>
      </c>
      <c r="D343" s="28" t="n">
        <v>16</v>
      </c>
      <c r="E343" s="0" t="s">
        <v>539</v>
      </c>
      <c r="F343" s="62" t="n">
        <f aca="false">D343</f>
        <v>16</v>
      </c>
      <c r="J343" s="22" t="s">
        <v>540</v>
      </c>
      <c r="K343" s="22" t="s">
        <v>541</v>
      </c>
      <c r="L343" s="22" t="s">
        <v>1169</v>
      </c>
    </row>
    <row r="344" customFormat="false" ht="15" hidden="false" customHeight="false" outlineLevel="0" collapsed="false">
      <c r="A344" s="0" t="s">
        <v>1170</v>
      </c>
      <c r="B344" s="22" t="s">
        <v>613</v>
      </c>
      <c r="C344" s="0" t="s">
        <v>539</v>
      </c>
      <c r="D344" s="71" t="n">
        <v>-37.1</v>
      </c>
      <c r="E344" s="0" t="s">
        <v>539</v>
      </c>
      <c r="F344" s="72" t="n">
        <f aca="false">D344</f>
        <v>-37.1</v>
      </c>
      <c r="J344" s="22" t="s">
        <v>604</v>
      </c>
      <c r="K344" s="22" t="s">
        <v>552</v>
      </c>
      <c r="L344" s="22" t="s">
        <v>1171</v>
      </c>
    </row>
    <row r="345" customFormat="false" ht="15" hidden="false" customHeight="false" outlineLevel="0" collapsed="false">
      <c r="A345" s="0" t="s">
        <v>1172</v>
      </c>
      <c r="B345" s="22" t="s">
        <v>567</v>
      </c>
      <c r="C345" s="0" t="s">
        <v>539</v>
      </c>
      <c r="D345" s="28" t="n">
        <v>1</v>
      </c>
      <c r="E345" s="0" t="s">
        <v>539</v>
      </c>
      <c r="F345" s="62" t="n">
        <f aca="false">D345</f>
        <v>1</v>
      </c>
      <c r="J345" s="22" t="s">
        <v>540</v>
      </c>
      <c r="K345" s="22" t="s">
        <v>541</v>
      </c>
      <c r="L345" s="22" t="s">
        <v>1173</v>
      </c>
    </row>
    <row r="346" customFormat="false" ht="15" hidden="false" customHeight="false" outlineLevel="0" collapsed="false">
      <c r="A346" s="58" t="s">
        <v>1174</v>
      </c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</row>
    <row r="347" customFormat="false" ht="15" hidden="false" customHeight="false" outlineLevel="0" collapsed="false">
      <c r="A347" s="0" t="s">
        <v>1175</v>
      </c>
      <c r="B347" s="22" t="s">
        <v>619</v>
      </c>
      <c r="C347" s="38" t="n">
        <v>0.1</v>
      </c>
      <c r="D347" s="38" t="n">
        <v>0.11</v>
      </c>
      <c r="E347" s="38" t="n">
        <v>0.13</v>
      </c>
      <c r="F347" s="76" t="n">
        <f aca="false">CHOOSE(Scen,C347,D347,E347)</f>
        <v>0.11</v>
      </c>
      <c r="J347" s="22" t="s">
        <v>540</v>
      </c>
      <c r="K347" s="22" t="s">
        <v>559</v>
      </c>
      <c r="L347" s="22"/>
    </row>
    <row r="348" customFormat="false" ht="15" hidden="false" customHeight="false" outlineLevel="0" collapsed="false">
      <c r="A348" s="0" t="s">
        <v>1176</v>
      </c>
      <c r="B348" s="22" t="s">
        <v>619</v>
      </c>
      <c r="C348" s="38" t="n">
        <v>0.12</v>
      </c>
      <c r="D348" s="38" t="n">
        <v>0.13</v>
      </c>
      <c r="E348" s="38" t="n">
        <v>0.15</v>
      </c>
      <c r="F348" s="76" t="n">
        <f aca="false">CHOOSE(Scen,C348,D348,E348)</f>
        <v>0.13</v>
      </c>
      <c r="J348" s="22" t="s">
        <v>540</v>
      </c>
      <c r="K348" s="22" t="s">
        <v>559</v>
      </c>
      <c r="L348" s="22"/>
    </row>
    <row r="349" customFormat="false" ht="15" hidden="false" customHeight="false" outlineLevel="0" collapsed="false">
      <c r="A349" s="0" t="s">
        <v>1177</v>
      </c>
      <c r="B349" s="22" t="s">
        <v>619</v>
      </c>
      <c r="C349" s="38" t="n">
        <v>0.035</v>
      </c>
      <c r="D349" s="38" t="n">
        <v>0.03</v>
      </c>
      <c r="E349" s="38" t="n">
        <v>0.02</v>
      </c>
      <c r="F349" s="76" t="n">
        <f aca="false">CHOOSE(Scen,C349,D349,E349)</f>
        <v>0.03</v>
      </c>
      <c r="J349" s="22" t="s">
        <v>540</v>
      </c>
      <c r="K349" s="22" t="s">
        <v>559</v>
      </c>
      <c r="L349" s="22"/>
    </row>
    <row r="350" customFormat="false" ht="15" hidden="false" customHeight="false" outlineLevel="0" collapsed="false">
      <c r="A350" s="0" t="s">
        <v>1178</v>
      </c>
      <c r="B350" s="22" t="s">
        <v>567</v>
      </c>
      <c r="C350" s="0" t="s">
        <v>539</v>
      </c>
      <c r="D350" s="28" t="n">
        <v>1</v>
      </c>
      <c r="E350" s="0" t="s">
        <v>539</v>
      </c>
      <c r="F350" s="62" t="n">
        <f aca="false">D350</f>
        <v>1</v>
      </c>
      <c r="J350" s="22" t="s">
        <v>551</v>
      </c>
      <c r="K350" s="22" t="s">
        <v>541</v>
      </c>
      <c r="L350" s="22" t="s">
        <v>1179</v>
      </c>
    </row>
    <row r="351" customFormat="false" ht="15" hidden="false" customHeight="false" outlineLevel="0" collapsed="false">
      <c r="A351" s="0" t="s">
        <v>1180</v>
      </c>
      <c r="B351" s="22" t="s">
        <v>619</v>
      </c>
      <c r="C351" s="38" t="n">
        <v>0.14</v>
      </c>
      <c r="D351" s="38" t="n">
        <v>0.12</v>
      </c>
      <c r="E351" s="38" t="n">
        <v>0.1</v>
      </c>
      <c r="F351" s="76" t="n">
        <f aca="false">CHOOSE(Scen,C351,D351,E351)</f>
        <v>0.12</v>
      </c>
      <c r="J351" s="22" t="s">
        <v>551</v>
      </c>
      <c r="K351" s="22" t="s">
        <v>559</v>
      </c>
      <c r="L351" s="22" t="s">
        <v>1181</v>
      </c>
    </row>
    <row r="352" customFormat="false" ht="15" hidden="false" customHeight="false" outlineLevel="0" collapsed="false">
      <c r="A352" s="0" t="s">
        <v>1182</v>
      </c>
      <c r="B352" s="22" t="s">
        <v>619</v>
      </c>
      <c r="C352" s="38" t="n">
        <v>0.25</v>
      </c>
      <c r="D352" s="38" t="n">
        <v>0.25</v>
      </c>
      <c r="E352" s="38" t="n">
        <v>0.2</v>
      </c>
      <c r="F352" s="76" t="n">
        <f aca="false">CHOOSE(Scen,C352,D352,E352)</f>
        <v>0.25</v>
      </c>
      <c r="J352" s="22" t="s">
        <v>551</v>
      </c>
      <c r="K352" s="22" t="s">
        <v>559</v>
      </c>
      <c r="L352" s="22" t="s">
        <v>1183</v>
      </c>
    </row>
    <row r="353" customFormat="false" ht="15" hidden="false" customHeight="false" outlineLevel="0" collapsed="false">
      <c r="A353" s="0" t="s">
        <v>1184</v>
      </c>
      <c r="B353" s="22" t="s">
        <v>619</v>
      </c>
      <c r="C353" s="0" t="s">
        <v>539</v>
      </c>
      <c r="D353" s="38" t="n">
        <v>0.04</v>
      </c>
      <c r="E353" s="0" t="s">
        <v>539</v>
      </c>
      <c r="F353" s="76" t="n">
        <f aca="false">D353</f>
        <v>0.04</v>
      </c>
      <c r="J353" s="22" t="s">
        <v>540</v>
      </c>
      <c r="K353" s="22" t="s">
        <v>559</v>
      </c>
      <c r="L353" s="22"/>
    </row>
    <row r="354" customFormat="false" ht="15" hidden="false" customHeight="false" outlineLevel="0" collapsed="false">
      <c r="A354" s="0" t="s">
        <v>1185</v>
      </c>
      <c r="B354" s="22" t="s">
        <v>737</v>
      </c>
      <c r="C354" s="93" t="n">
        <v>18</v>
      </c>
      <c r="D354" s="93" t="n">
        <v>14</v>
      </c>
      <c r="E354" s="93" t="n">
        <v>9</v>
      </c>
      <c r="F354" s="94" t="n">
        <f aca="false">CHOOSE(Scen,C354,D354,E354)</f>
        <v>14</v>
      </c>
      <c r="J354" s="22" t="s">
        <v>626</v>
      </c>
      <c r="K354" s="22" t="s">
        <v>601</v>
      </c>
      <c r="L354" s="22" t="s">
        <v>1186</v>
      </c>
    </row>
    <row r="355" customFormat="false" ht="15" hidden="false" customHeight="false" outlineLevel="0" collapsed="false">
      <c r="A355" s="0" t="s">
        <v>1187</v>
      </c>
      <c r="B355" s="22" t="s">
        <v>619</v>
      </c>
      <c r="C355" s="0" t="s">
        <v>539</v>
      </c>
      <c r="D355" s="73" t="n">
        <v>1</v>
      </c>
      <c r="E355" s="0" t="s">
        <v>539</v>
      </c>
      <c r="F355" s="43" t="n">
        <f aca="false">D355</f>
        <v>1</v>
      </c>
      <c r="J355" s="22" t="s">
        <v>540</v>
      </c>
      <c r="K355" s="22" t="s">
        <v>541</v>
      </c>
      <c r="L355" s="22" t="s">
        <v>1188</v>
      </c>
    </row>
    <row r="356" customFormat="false" ht="15" hidden="false" customHeight="false" outlineLevel="0" collapsed="false">
      <c r="A356" s="0" t="s">
        <v>1189</v>
      </c>
      <c r="B356" s="22" t="s">
        <v>737</v>
      </c>
      <c r="C356" s="0" t="s">
        <v>539</v>
      </c>
      <c r="D356" s="85" t="n">
        <v>1</v>
      </c>
      <c r="E356" s="0" t="s">
        <v>539</v>
      </c>
      <c r="F356" s="64" t="n">
        <f aca="false">D356</f>
        <v>1</v>
      </c>
      <c r="J356" s="22" t="s">
        <v>540</v>
      </c>
      <c r="K356" s="22" t="s">
        <v>559</v>
      </c>
      <c r="L356" s="22"/>
    </row>
    <row r="357" customFormat="false" ht="15" hidden="false" customHeight="false" outlineLevel="0" collapsed="false">
      <c r="A357" s="0" t="s">
        <v>1190</v>
      </c>
      <c r="B357" s="22" t="s">
        <v>564</v>
      </c>
      <c r="C357" s="0" t="s">
        <v>539</v>
      </c>
      <c r="D357" s="84" t="n">
        <v>0</v>
      </c>
      <c r="E357" s="0" t="s">
        <v>539</v>
      </c>
      <c r="F357" s="64" t="n">
        <f aca="false">D357</f>
        <v>0</v>
      </c>
      <c r="J357" s="22" t="s">
        <v>626</v>
      </c>
      <c r="K357" s="22" t="s">
        <v>601</v>
      </c>
      <c r="L357" s="22" t="s">
        <v>1191</v>
      </c>
    </row>
    <row r="358" customFormat="false" ht="15" hidden="false" customHeight="false" outlineLevel="0" collapsed="false">
      <c r="A358" s="0" t="s">
        <v>1192</v>
      </c>
      <c r="B358" s="22" t="s">
        <v>613</v>
      </c>
      <c r="C358" s="0" t="s">
        <v>539</v>
      </c>
      <c r="D358" s="71" t="n">
        <v>1517.7</v>
      </c>
      <c r="E358" s="0" t="s">
        <v>539</v>
      </c>
      <c r="F358" s="72" t="n">
        <f aca="false">D358</f>
        <v>1517.7</v>
      </c>
      <c r="J358" s="22" t="s">
        <v>604</v>
      </c>
      <c r="K358" s="22" t="s">
        <v>552</v>
      </c>
      <c r="L358" s="22" t="s">
        <v>1193</v>
      </c>
    </row>
    <row r="359" customFormat="false" ht="15" hidden="false" customHeight="false" outlineLevel="0" collapsed="false">
      <c r="A359" s="0" t="s">
        <v>1194</v>
      </c>
      <c r="B359" s="22" t="s">
        <v>613</v>
      </c>
      <c r="C359" s="0" t="s">
        <v>539</v>
      </c>
      <c r="D359" s="74" t="n">
        <v>4200</v>
      </c>
      <c r="E359" s="0" t="s">
        <v>539</v>
      </c>
      <c r="F359" s="5" t="n">
        <f aca="false">D359</f>
        <v>4200</v>
      </c>
      <c r="J359" s="22" t="s">
        <v>604</v>
      </c>
      <c r="K359" s="22" t="s">
        <v>559</v>
      </c>
      <c r="L359" s="22" t="s">
        <v>1195</v>
      </c>
    </row>
    <row r="360" customFormat="false" ht="15" hidden="false" customHeight="false" outlineLevel="0" collapsed="false">
      <c r="A360" s="0" t="s">
        <v>1196</v>
      </c>
      <c r="B360" s="22" t="s">
        <v>613</v>
      </c>
      <c r="C360" s="0" t="s">
        <v>539</v>
      </c>
      <c r="D360" s="71" t="n">
        <v>130.6</v>
      </c>
      <c r="E360" s="0" t="s">
        <v>539</v>
      </c>
      <c r="F360" s="72" t="n">
        <f aca="false">D360</f>
        <v>130.6</v>
      </c>
      <c r="J360" s="22" t="s">
        <v>604</v>
      </c>
      <c r="K360" s="22" t="s">
        <v>552</v>
      </c>
      <c r="L360" s="22" t="s">
        <v>1197</v>
      </c>
    </row>
    <row r="361" customFormat="false" ht="15" hidden="false" customHeight="false" outlineLevel="0" collapsed="false">
      <c r="A361" s="0" t="s">
        <v>1198</v>
      </c>
      <c r="B361" s="22" t="s">
        <v>613</v>
      </c>
      <c r="C361" s="0" t="s">
        <v>539</v>
      </c>
      <c r="D361" s="71" t="n">
        <v>130.6</v>
      </c>
      <c r="E361" s="0" t="s">
        <v>539</v>
      </c>
      <c r="F361" s="72" t="n">
        <f aca="false">D361</f>
        <v>130.6</v>
      </c>
      <c r="J361" s="22" t="s">
        <v>604</v>
      </c>
      <c r="K361" s="22" t="s">
        <v>552</v>
      </c>
      <c r="L361" s="22" t="s">
        <v>1199</v>
      </c>
    </row>
    <row r="362" customFormat="false" ht="15" hidden="false" customHeight="false" outlineLevel="0" collapsed="false">
      <c r="A362" s="0" t="s">
        <v>1200</v>
      </c>
      <c r="B362" s="22" t="s">
        <v>613</v>
      </c>
      <c r="C362" s="0" t="s">
        <v>539</v>
      </c>
      <c r="D362" s="68" t="n">
        <v>0</v>
      </c>
      <c r="E362" s="0" t="s">
        <v>539</v>
      </c>
      <c r="F362" s="5" t="n">
        <f aca="false">D362</f>
        <v>0</v>
      </c>
      <c r="J362" s="22" t="s">
        <v>604</v>
      </c>
      <c r="K362" s="22" t="s">
        <v>552</v>
      </c>
      <c r="L362" s="22" t="s">
        <v>1201</v>
      </c>
    </row>
    <row r="363" customFormat="false" ht="15" hidden="false" customHeight="false" outlineLevel="0" collapsed="false">
      <c r="A363" s="0" t="s">
        <v>1202</v>
      </c>
      <c r="B363" s="22" t="s">
        <v>613</v>
      </c>
      <c r="C363" s="0" t="s">
        <v>539</v>
      </c>
      <c r="D363" s="74" t="n">
        <v>2750</v>
      </c>
      <c r="E363" s="0" t="s">
        <v>539</v>
      </c>
      <c r="F363" s="5" t="n">
        <f aca="false">D363</f>
        <v>2750</v>
      </c>
      <c r="J363" s="22" t="s">
        <v>604</v>
      </c>
      <c r="K363" s="22" t="s">
        <v>559</v>
      </c>
      <c r="L363" s="22" t="s">
        <v>1203</v>
      </c>
    </row>
    <row r="364" customFormat="false" ht="15" hidden="false" customHeight="false" outlineLevel="0" collapsed="false">
      <c r="A364" s="0" t="s">
        <v>1204</v>
      </c>
      <c r="B364" s="22" t="s">
        <v>737</v>
      </c>
      <c r="C364" s="0" t="s">
        <v>539</v>
      </c>
      <c r="D364" s="21" t="n">
        <v>0</v>
      </c>
      <c r="E364" s="0" t="s">
        <v>539</v>
      </c>
      <c r="F364" s="65" t="n">
        <f aca="false">D364</f>
        <v>0</v>
      </c>
      <c r="J364" s="22" t="s">
        <v>540</v>
      </c>
      <c r="K364" s="22" t="s">
        <v>541</v>
      </c>
      <c r="L364" s="22" t="s">
        <v>1205</v>
      </c>
    </row>
    <row r="365" customFormat="false" ht="15" hidden="false" customHeight="false" outlineLevel="0" collapsed="false">
      <c r="A365" s="0" t="s">
        <v>1206</v>
      </c>
      <c r="B365" s="22" t="s">
        <v>613</v>
      </c>
      <c r="C365" s="0" t="s">
        <v>539</v>
      </c>
      <c r="D365" s="71" t="n">
        <v>16.3</v>
      </c>
      <c r="E365" s="0" t="s">
        <v>539</v>
      </c>
      <c r="F365" s="72" t="n">
        <f aca="false">D365</f>
        <v>16.3</v>
      </c>
      <c r="J365" s="22" t="s">
        <v>604</v>
      </c>
      <c r="K365" s="22" t="s">
        <v>552</v>
      </c>
      <c r="L365" s="22" t="s">
        <v>1207</v>
      </c>
    </row>
    <row r="366" customFormat="false" ht="15" hidden="false" customHeight="false" outlineLevel="0" collapsed="false">
      <c r="A366" s="0" t="s">
        <v>1208</v>
      </c>
      <c r="B366" s="22" t="s">
        <v>737</v>
      </c>
      <c r="C366" s="21" t="n">
        <v>1</v>
      </c>
      <c r="D366" s="21" t="n">
        <v>0.5</v>
      </c>
      <c r="E366" s="21" t="n">
        <v>0</v>
      </c>
      <c r="F366" s="65" t="n">
        <f aca="false">CHOOSE(Scen,C366,D366,E366)</f>
        <v>0.5</v>
      </c>
      <c r="J366" s="22" t="s">
        <v>540</v>
      </c>
      <c r="K366" s="22" t="s">
        <v>541</v>
      </c>
      <c r="L366" s="22" t="s">
        <v>1209</v>
      </c>
    </row>
    <row r="367" customFormat="false" ht="15" hidden="false" customHeight="false" outlineLevel="0" collapsed="false">
      <c r="A367" s="0" t="s">
        <v>1210</v>
      </c>
      <c r="B367" s="22" t="s">
        <v>613</v>
      </c>
      <c r="C367" s="0" t="s">
        <v>539</v>
      </c>
      <c r="D367" s="68" t="n">
        <v>5320</v>
      </c>
      <c r="E367" s="0" t="s">
        <v>539</v>
      </c>
      <c r="F367" s="5" t="n">
        <f aca="false">D367</f>
        <v>5320</v>
      </c>
      <c r="J367" s="22" t="s">
        <v>604</v>
      </c>
      <c r="K367" s="22" t="s">
        <v>552</v>
      </c>
      <c r="L367" s="22" t="s">
        <v>1211</v>
      </c>
    </row>
    <row r="368" customFormat="false" ht="15" hidden="false" customHeight="false" outlineLevel="0" collapsed="false">
      <c r="A368" s="0" t="s">
        <v>1212</v>
      </c>
      <c r="B368" s="22" t="s">
        <v>613</v>
      </c>
      <c r="C368" s="0" t="s">
        <v>539</v>
      </c>
      <c r="D368" s="68" t="n">
        <v>12050</v>
      </c>
      <c r="E368" s="0" t="s">
        <v>539</v>
      </c>
      <c r="F368" s="5" t="n">
        <f aca="false">D368</f>
        <v>12050</v>
      </c>
      <c r="J368" s="22" t="s">
        <v>604</v>
      </c>
      <c r="K368" s="22" t="s">
        <v>552</v>
      </c>
      <c r="L368" s="22" t="s">
        <v>1213</v>
      </c>
    </row>
    <row r="369" customFormat="false" ht="15" hidden="false" customHeight="false" outlineLevel="0" collapsed="false">
      <c r="A369" s="0" t="s">
        <v>1214</v>
      </c>
      <c r="B369" s="22" t="s">
        <v>613</v>
      </c>
      <c r="C369" s="0" t="s">
        <v>539</v>
      </c>
      <c r="D369" s="68" t="n">
        <v>1625</v>
      </c>
      <c r="E369" s="0" t="s">
        <v>539</v>
      </c>
      <c r="F369" s="5" t="n">
        <f aca="false">D369</f>
        <v>1625</v>
      </c>
      <c r="J369" s="22" t="s">
        <v>604</v>
      </c>
      <c r="K369" s="22" t="s">
        <v>552</v>
      </c>
      <c r="L369" s="22" t="s">
        <v>1215</v>
      </c>
    </row>
    <row r="370" customFormat="false" ht="15" hidden="false" customHeight="false" outlineLevel="0" collapsed="false">
      <c r="A370" s="0" t="s">
        <v>1216</v>
      </c>
      <c r="B370" s="22" t="s">
        <v>619</v>
      </c>
      <c r="C370" s="0" t="s">
        <v>539</v>
      </c>
      <c r="D370" s="73" t="n">
        <v>0.5</v>
      </c>
      <c r="E370" s="0" t="s">
        <v>539</v>
      </c>
      <c r="F370" s="43" t="n">
        <f aca="false">D370</f>
        <v>0.5</v>
      </c>
      <c r="J370" s="22" t="s">
        <v>540</v>
      </c>
      <c r="K370" s="22" t="s">
        <v>541</v>
      </c>
      <c r="L370" s="22" t="s">
        <v>1217</v>
      </c>
    </row>
    <row r="371" customFormat="false" ht="15" hidden="false" customHeight="false" outlineLevel="0" collapsed="false">
      <c r="A371" s="0" t="s">
        <v>1218</v>
      </c>
      <c r="B371" s="22" t="s">
        <v>613</v>
      </c>
      <c r="C371" s="0" t="s">
        <v>539</v>
      </c>
      <c r="D371" s="74" t="n">
        <v>820</v>
      </c>
      <c r="E371" s="0" t="s">
        <v>539</v>
      </c>
      <c r="F371" s="5" t="n">
        <f aca="false">D371</f>
        <v>820</v>
      </c>
      <c r="J371" s="22" t="s">
        <v>551</v>
      </c>
      <c r="K371" s="22" t="s">
        <v>559</v>
      </c>
      <c r="L371" s="22" t="s">
        <v>1219</v>
      </c>
    </row>
    <row r="372" customFormat="false" ht="15" hidden="false" customHeight="false" outlineLevel="0" collapsed="false">
      <c r="A372" s="0" t="s">
        <v>1220</v>
      </c>
      <c r="B372" s="22" t="s">
        <v>613</v>
      </c>
      <c r="C372" s="0" t="s">
        <v>539</v>
      </c>
      <c r="D372" s="74" t="n">
        <v>1980</v>
      </c>
      <c r="E372" s="0" t="s">
        <v>539</v>
      </c>
      <c r="F372" s="5" t="n">
        <f aca="false">D372</f>
        <v>1980</v>
      </c>
      <c r="J372" s="22" t="s">
        <v>551</v>
      </c>
      <c r="K372" s="22" t="s">
        <v>559</v>
      </c>
      <c r="L372" s="22"/>
    </row>
    <row r="373" customFormat="false" ht="15" hidden="false" customHeight="false" outlineLevel="0" collapsed="false">
      <c r="A373" s="0" t="s">
        <v>1221</v>
      </c>
      <c r="B373" s="22" t="s">
        <v>613</v>
      </c>
      <c r="C373" s="0" t="s">
        <v>539</v>
      </c>
      <c r="D373" s="74" t="n">
        <v>2750</v>
      </c>
      <c r="E373" s="0" t="s">
        <v>539</v>
      </c>
      <c r="F373" s="5" t="n">
        <f aca="false">D373</f>
        <v>2750</v>
      </c>
      <c r="J373" s="22" t="s">
        <v>551</v>
      </c>
      <c r="K373" s="22" t="s">
        <v>559</v>
      </c>
      <c r="L373" s="22"/>
    </row>
    <row r="374" customFormat="false" ht="15" hidden="false" customHeight="false" outlineLevel="0" collapsed="false">
      <c r="A374" s="0" t="s">
        <v>1222</v>
      </c>
      <c r="B374" s="22" t="s">
        <v>619</v>
      </c>
      <c r="C374" s="40" t="n">
        <v>0.15</v>
      </c>
      <c r="D374" s="40" t="n">
        <v>0.25</v>
      </c>
      <c r="E374" s="40" t="n">
        <v>0.4</v>
      </c>
      <c r="F374" s="43" t="n">
        <f aca="false">CHOOSE(Scen,C374,D374,E374)</f>
        <v>0.25</v>
      </c>
      <c r="J374" s="22" t="s">
        <v>540</v>
      </c>
      <c r="K374" s="22" t="s">
        <v>559</v>
      </c>
      <c r="L374" s="22"/>
    </row>
    <row r="376" customFormat="false" ht="15" hidden="false" customHeight="false" outlineLevel="0" collapsed="false">
      <c r="A376" s="58" t="s">
        <v>1223</v>
      </c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</row>
    <row r="377" customFormat="false" ht="15" hidden="false" customHeight="false" outlineLevel="0" collapsed="false">
      <c r="A377" s="42" t="s">
        <v>1224</v>
      </c>
      <c r="B377" s="42" t="s">
        <v>531</v>
      </c>
      <c r="C377" s="42" t="n">
        <v>2024</v>
      </c>
      <c r="D377" s="42" t="n">
        <v>2025</v>
      </c>
      <c r="E377" s="42" t="n">
        <v>2026</v>
      </c>
      <c r="F377" s="42" t="n">
        <v>2027</v>
      </c>
      <c r="G377" s="42" t="n">
        <v>2028</v>
      </c>
      <c r="H377" s="42" t="n">
        <v>2029</v>
      </c>
      <c r="I377" s="42" t="n">
        <v>2030</v>
      </c>
      <c r="J377" s="42" t="s">
        <v>534</v>
      </c>
      <c r="K377" s="42" t="s">
        <v>413</v>
      </c>
      <c r="L377" s="42" t="s">
        <v>535</v>
      </c>
    </row>
    <row r="378" customFormat="false" ht="15" hidden="false" customHeight="false" outlineLevel="0" collapsed="false">
      <c r="A378" s="0" t="s">
        <v>1225</v>
      </c>
      <c r="B378" s="22" t="s">
        <v>619</v>
      </c>
      <c r="C378" s="40" t="n">
        <v>0.3</v>
      </c>
      <c r="D378" s="40" t="n">
        <v>0.3</v>
      </c>
      <c r="E378" s="40" t="n">
        <v>0.3</v>
      </c>
      <c r="F378" s="40" t="n">
        <v>0.5</v>
      </c>
      <c r="G378" s="40" t="n">
        <v>0.65</v>
      </c>
      <c r="H378" s="40" t="n">
        <v>0.7</v>
      </c>
      <c r="I378" s="40" t="n">
        <v>0.75</v>
      </c>
      <c r="J378" s="22" t="s">
        <v>558</v>
      </c>
      <c r="K378" s="22" t="s">
        <v>559</v>
      </c>
      <c r="L378" s="22" t="s">
        <v>1226</v>
      </c>
    </row>
    <row r="379" customFormat="false" ht="15" hidden="false" customHeight="false" outlineLevel="0" collapsed="false">
      <c r="A379" s="0" t="s">
        <v>1227</v>
      </c>
      <c r="B379" s="22" t="s">
        <v>619</v>
      </c>
      <c r="C379" s="69" t="n">
        <v>1</v>
      </c>
      <c r="D379" s="69" t="n">
        <v>0.6</v>
      </c>
      <c r="E379" s="69" t="n">
        <v>0.1</v>
      </c>
      <c r="F379" s="69" t="n">
        <v>0</v>
      </c>
      <c r="G379" s="69" t="n">
        <v>0</v>
      </c>
      <c r="H379" s="69" t="n">
        <v>0</v>
      </c>
      <c r="I379" s="69" t="n">
        <v>0</v>
      </c>
      <c r="J379" s="22" t="s">
        <v>626</v>
      </c>
      <c r="K379" s="22" t="s">
        <v>601</v>
      </c>
      <c r="L379" s="22"/>
    </row>
    <row r="380" customFormat="false" ht="15" hidden="false" customHeight="false" outlineLevel="0" collapsed="false">
      <c r="A380" s="0" t="s">
        <v>1228</v>
      </c>
      <c r="B380" s="22" t="s">
        <v>619</v>
      </c>
      <c r="C380" s="69" t="n">
        <v>0</v>
      </c>
      <c r="D380" s="69" t="n">
        <v>0.4</v>
      </c>
      <c r="E380" s="69" t="n">
        <v>0.9</v>
      </c>
      <c r="F380" s="69" t="n">
        <v>0.6</v>
      </c>
      <c r="G380" s="69" t="n">
        <v>0.3</v>
      </c>
      <c r="H380" s="69" t="n">
        <v>0.1</v>
      </c>
      <c r="I380" s="69" t="n">
        <v>0</v>
      </c>
      <c r="J380" s="22" t="s">
        <v>626</v>
      </c>
      <c r="K380" s="22" t="s">
        <v>601</v>
      </c>
      <c r="L380" s="22"/>
    </row>
    <row r="381" customFormat="false" ht="15" hidden="false" customHeight="false" outlineLevel="0" collapsed="false">
      <c r="A381" s="0" t="s">
        <v>1229</v>
      </c>
      <c r="B381" s="22" t="s">
        <v>619</v>
      </c>
      <c r="C381" s="69" t="n">
        <v>0</v>
      </c>
      <c r="D381" s="69" t="n">
        <v>0</v>
      </c>
      <c r="E381" s="69" t="n">
        <v>0</v>
      </c>
      <c r="F381" s="69" t="n">
        <v>0.4</v>
      </c>
      <c r="G381" s="69" t="n">
        <v>0.7</v>
      </c>
      <c r="H381" s="69" t="n">
        <v>0.9</v>
      </c>
      <c r="I381" s="69" t="n">
        <v>1</v>
      </c>
      <c r="J381" s="22" t="s">
        <v>626</v>
      </c>
      <c r="K381" s="22" t="s">
        <v>601</v>
      </c>
      <c r="L381" s="22" t="s">
        <v>1230</v>
      </c>
    </row>
    <row r="382" customFormat="false" ht="15" hidden="false" customHeight="false" outlineLevel="0" collapsed="false">
      <c r="A382" s="0" t="s">
        <v>1231</v>
      </c>
      <c r="B382" s="22" t="s">
        <v>619</v>
      </c>
      <c r="C382" s="40" t="n">
        <v>0.85</v>
      </c>
      <c r="D382" s="40" t="n">
        <v>0.88</v>
      </c>
      <c r="E382" s="40" t="n">
        <v>0.9</v>
      </c>
      <c r="F382" s="40" t="n">
        <v>0.9</v>
      </c>
      <c r="G382" s="40" t="n">
        <v>0.9</v>
      </c>
      <c r="H382" s="40" t="n">
        <v>0.9</v>
      </c>
      <c r="I382" s="40" t="n">
        <v>0.9</v>
      </c>
      <c r="J382" s="22" t="s">
        <v>626</v>
      </c>
      <c r="K382" s="22" t="s">
        <v>559</v>
      </c>
      <c r="L382" s="22" t="s">
        <v>1232</v>
      </c>
    </row>
    <row r="383" customFormat="false" ht="15" hidden="false" customHeight="false" outlineLevel="0" collapsed="false">
      <c r="A383" s="0" t="s">
        <v>1233</v>
      </c>
      <c r="B383" s="22" t="s">
        <v>619</v>
      </c>
      <c r="C383" s="69" t="n">
        <v>0.1</v>
      </c>
      <c r="D383" s="69" t="n">
        <v>0.1</v>
      </c>
      <c r="E383" s="69" t="n">
        <v>0.1</v>
      </c>
      <c r="F383" s="69" t="n">
        <v>0.1</v>
      </c>
      <c r="G383" s="69" t="n">
        <v>0.1</v>
      </c>
      <c r="H383" s="69" t="n">
        <v>0.1</v>
      </c>
      <c r="I383" s="69" t="n">
        <v>0.1</v>
      </c>
      <c r="J383" s="22" t="s">
        <v>626</v>
      </c>
      <c r="K383" s="22" t="s">
        <v>601</v>
      </c>
      <c r="L383" s="22"/>
    </row>
    <row r="384" customFormat="false" ht="15" hidden="false" customHeight="false" outlineLevel="0" collapsed="false">
      <c r="A384" s="0" t="s">
        <v>1234</v>
      </c>
      <c r="B384" s="22" t="s">
        <v>619</v>
      </c>
      <c r="C384" s="69" t="n">
        <v>0.05</v>
      </c>
      <c r="D384" s="69" t="n">
        <v>0.05</v>
      </c>
      <c r="E384" s="69" t="n">
        <v>0.1</v>
      </c>
      <c r="F384" s="69" t="n">
        <v>0.15</v>
      </c>
      <c r="G384" s="69" t="n">
        <v>0.2</v>
      </c>
      <c r="H384" s="69" t="n">
        <v>0.2</v>
      </c>
      <c r="I384" s="69" t="n">
        <v>0.2</v>
      </c>
      <c r="J384" s="22" t="s">
        <v>626</v>
      </c>
      <c r="K384" s="22" t="s">
        <v>601</v>
      </c>
      <c r="L384" s="22" t="s">
        <v>1235</v>
      </c>
    </row>
    <row r="385" customFormat="false" ht="15" hidden="false" customHeight="false" outlineLevel="0" collapsed="false">
      <c r="A385" s="0" t="s">
        <v>1236</v>
      </c>
      <c r="B385" s="22" t="s">
        <v>1237</v>
      </c>
      <c r="C385" s="77" t="n">
        <v>0</v>
      </c>
      <c r="D385" s="77" t="n">
        <v>0</v>
      </c>
      <c r="E385" s="77" t="n">
        <v>0</v>
      </c>
      <c r="F385" s="77" t="n">
        <v>0</v>
      </c>
      <c r="G385" s="77" t="n">
        <v>0</v>
      </c>
      <c r="H385" s="77" t="n">
        <v>0</v>
      </c>
      <c r="I385" s="77" t="n">
        <v>0</v>
      </c>
      <c r="J385" s="22" t="s">
        <v>626</v>
      </c>
      <c r="K385" s="22" t="s">
        <v>601</v>
      </c>
      <c r="L385" s="22" t="s">
        <v>1238</v>
      </c>
    </row>
    <row r="386" customFormat="false" ht="15" hidden="false" customHeight="false" outlineLevel="0" collapsed="false">
      <c r="A386" s="0" t="s">
        <v>1239</v>
      </c>
      <c r="B386" s="22" t="s">
        <v>613</v>
      </c>
      <c r="C386" s="74"/>
      <c r="D386" s="74"/>
      <c r="E386" s="74" t="n">
        <v>3340</v>
      </c>
      <c r="F386" s="74" t="n">
        <v>12300</v>
      </c>
      <c r="G386" s="74" t="n">
        <v>23000</v>
      </c>
      <c r="H386" s="74"/>
      <c r="I386" s="74"/>
      <c r="J386" s="22" t="s">
        <v>551</v>
      </c>
      <c r="K386" s="22" t="s">
        <v>559</v>
      </c>
      <c r="L386" s="22" t="s">
        <v>1240</v>
      </c>
    </row>
    <row r="387" customFormat="false" ht="15" hidden="false" customHeight="false" outlineLevel="0" collapsed="false">
      <c r="A387" s="0" t="s">
        <v>1241</v>
      </c>
      <c r="B387" s="22" t="s">
        <v>613</v>
      </c>
      <c r="C387" s="74"/>
      <c r="D387" s="74"/>
      <c r="E387" s="74" t="n">
        <v>1390</v>
      </c>
      <c r="F387" s="74" t="n">
        <v>6730</v>
      </c>
      <c r="G387" s="74" t="n">
        <v>13980</v>
      </c>
      <c r="H387" s="74"/>
      <c r="I387" s="74"/>
      <c r="J387" s="22" t="s">
        <v>551</v>
      </c>
      <c r="K387" s="22" t="s">
        <v>559</v>
      </c>
      <c r="L387" s="22" t="s">
        <v>1242</v>
      </c>
    </row>
    <row r="388" customFormat="false" ht="15" hidden="false" customHeight="false" outlineLevel="0" collapsed="false">
      <c r="A388" s="0" t="s">
        <v>390</v>
      </c>
      <c r="B388" s="22" t="s">
        <v>613</v>
      </c>
      <c r="C388" s="74"/>
      <c r="D388" s="74"/>
      <c r="E388" s="74"/>
      <c r="F388" s="74" t="n">
        <v>29100</v>
      </c>
      <c r="G388" s="74"/>
      <c r="H388" s="74"/>
      <c r="I388" s="74"/>
      <c r="J388" s="22" t="s">
        <v>551</v>
      </c>
      <c r="K388" s="22" t="s">
        <v>559</v>
      </c>
      <c r="L388" s="22" t="s">
        <v>1243</v>
      </c>
    </row>
    <row r="389" customFormat="false" ht="15" hidden="false" customHeight="false" outlineLevel="0" collapsed="false">
      <c r="A389" s="0" t="s">
        <v>1244</v>
      </c>
      <c r="B389" s="22" t="s">
        <v>937</v>
      </c>
      <c r="C389" s="69" t="n">
        <v>0.11</v>
      </c>
      <c r="D389" s="69" t="n">
        <v>0.11</v>
      </c>
      <c r="E389" s="69" t="n">
        <v>0.11</v>
      </c>
      <c r="F389" s="69" t="n">
        <v>0.09</v>
      </c>
      <c r="G389" s="69" t="n">
        <v>0.08</v>
      </c>
      <c r="H389" s="69" t="n">
        <v>0.07</v>
      </c>
      <c r="I389" s="69" t="n">
        <v>0.06</v>
      </c>
      <c r="J389" s="22" t="s">
        <v>540</v>
      </c>
      <c r="K389" s="22" t="s">
        <v>601</v>
      </c>
      <c r="L389" s="22" t="s">
        <v>1245</v>
      </c>
    </row>
    <row r="390" customFormat="false" ht="15" hidden="false" customHeight="false" outlineLevel="0" collapsed="false">
      <c r="A390" s="0" t="s">
        <v>1246</v>
      </c>
      <c r="B390" s="22" t="s">
        <v>937</v>
      </c>
      <c r="C390" s="69" t="n">
        <v>0.22</v>
      </c>
      <c r="D390" s="69" t="n">
        <v>0.22</v>
      </c>
      <c r="E390" s="69" t="n">
        <v>0.22</v>
      </c>
      <c r="F390" s="69" t="n">
        <v>0.14</v>
      </c>
      <c r="G390" s="69" t="n">
        <v>0.1</v>
      </c>
      <c r="H390" s="69" t="n">
        <v>0.08</v>
      </c>
      <c r="I390" s="69" t="n">
        <v>0.07</v>
      </c>
      <c r="J390" s="22" t="s">
        <v>540</v>
      </c>
      <c r="K390" s="22" t="s">
        <v>601</v>
      </c>
      <c r="L390" s="22" t="s">
        <v>1247</v>
      </c>
    </row>
    <row r="392" customFormat="false" ht="15" hidden="false" customHeight="false" outlineLevel="0" collapsed="false">
      <c r="A392" s="3" t="s">
        <v>1248</v>
      </c>
    </row>
    <row r="393" customFormat="false" ht="15" hidden="false" customHeight="false" outlineLevel="0" collapsed="false">
      <c r="C393" s="42" t="s">
        <v>1249</v>
      </c>
      <c r="D393" s="42" t="s">
        <v>1250</v>
      </c>
      <c r="E393" s="42" t="s">
        <v>1251</v>
      </c>
      <c r="F393" s="42" t="s">
        <v>1252</v>
      </c>
      <c r="G393" s="42" t="s">
        <v>1253</v>
      </c>
      <c r="H393" s="42" t="s">
        <v>1254</v>
      </c>
      <c r="I393" s="42" t="s">
        <v>1255</v>
      </c>
      <c r="J393" s="42" t="s">
        <v>1256</v>
      </c>
    </row>
    <row r="394" customFormat="false" ht="15" hidden="false" customHeight="false" outlineLevel="0" collapsed="false">
      <c r="A394" s="0" t="s">
        <v>1257</v>
      </c>
      <c r="C394" s="66" t="n">
        <v>3.5275</v>
      </c>
      <c r="D394" s="66" t="n">
        <v>3.1796</v>
      </c>
      <c r="E394" s="66" t="n">
        <v>3.717</v>
      </c>
      <c r="J394" s="0" t="s">
        <v>626</v>
      </c>
      <c r="K394" s="0" t="s">
        <v>574</v>
      </c>
      <c r="L394" s="0" t="s">
        <v>1258</v>
      </c>
    </row>
    <row r="395" customFormat="false" ht="15" hidden="false" customHeight="false" outlineLevel="0" collapsed="false">
      <c r="A395" s="0" t="s">
        <v>1259</v>
      </c>
      <c r="C395" s="25" t="n">
        <f aca="false">1</f>
        <v>1</v>
      </c>
      <c r="D395" s="25" t="n">
        <f aca="false">D394/C394</f>
        <v>0.901374911410347</v>
      </c>
      <c r="E395" s="25" t="n">
        <f aca="false">E394/C394</f>
        <v>1.0537207654146</v>
      </c>
      <c r="F395" s="69" t="n">
        <v>0.85</v>
      </c>
      <c r="G395" s="69" t="n">
        <v>0.7</v>
      </c>
      <c r="H395" s="69" t="n">
        <v>0.55</v>
      </c>
      <c r="I395" s="69" t="n">
        <v>0.45</v>
      </c>
      <c r="J395" s="69" t="s">
        <v>626</v>
      </c>
      <c r="K395" s="0" t="s">
        <v>601</v>
      </c>
    </row>
    <row r="396" customFormat="false" ht="15" hidden="false" customHeight="false" outlineLevel="0" collapsed="false">
      <c r="A396" s="0" t="s">
        <v>1260</v>
      </c>
      <c r="C396" s="95" t="n">
        <f aca="false">1-ResidBearCut*0/4</f>
        <v>1</v>
      </c>
      <c r="D396" s="95" t="n">
        <f aca="false">1-ResidBearCut*1/4</f>
        <v>0.9125</v>
      </c>
      <c r="E396" s="95" t="n">
        <f aca="false">1-ResidBearCut*2/4</f>
        <v>0.825</v>
      </c>
      <c r="F396" s="95" t="n">
        <f aca="false">1-ResidBearCut*3/4</f>
        <v>0.7375</v>
      </c>
      <c r="G396" s="95" t="n">
        <f aca="false">1-ResidBearCut*4/4</f>
        <v>0.65</v>
      </c>
      <c r="H396" s="95" t="n">
        <f aca="false">(1-ResidBearCut)*(1-ResidBearCut/4)^1</f>
        <v>0.593125</v>
      </c>
      <c r="I396" s="95" t="n">
        <f aca="false">(1-ResidBearCut)*(1-ResidBearCut/4)^2</f>
        <v>0.5412265625</v>
      </c>
      <c r="J396" s="95" t="s">
        <v>551</v>
      </c>
      <c r="K396" s="0" t="s">
        <v>601</v>
      </c>
    </row>
    <row r="397" customFormat="false" ht="15" hidden="false" customHeight="false" outlineLevel="0" collapsed="false">
      <c r="A397" s="0" t="s">
        <v>1261</v>
      </c>
      <c r="C397" s="43" t="n">
        <f aca="false">IF(Scen=3,C396,C395)</f>
        <v>1</v>
      </c>
      <c r="D397" s="43" t="n">
        <f aca="false">IF(Scen=3,D396,D395)</f>
        <v>0.901374911410347</v>
      </c>
      <c r="E397" s="43" t="n">
        <f aca="false">IF(Scen=3,E396,E395)</f>
        <v>1.0537207654146</v>
      </c>
      <c r="F397" s="43" t="n">
        <f aca="false">IF(Scen=3,F396,F395)</f>
        <v>0.85</v>
      </c>
      <c r="G397" s="43" t="n">
        <f aca="false">IF(Scen=3,G396,G395)</f>
        <v>0.7</v>
      </c>
      <c r="H397" s="43" t="n">
        <f aca="false">IF(Scen=3,H396,H395)</f>
        <v>0.55</v>
      </c>
      <c r="I397" s="43" t="n">
        <f aca="false">IF(Scen=3,I396,I395)</f>
        <v>0.45</v>
      </c>
      <c r="J397" s="43" t="str">
        <f aca="false">IF(Scen=3,J396,J395)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1262</v>
      </c>
    </row>
    <row r="3" customFormat="false" ht="15" hidden="false" customHeight="false" outlineLevel="0" collapsed="false">
      <c r="A3" s="3" t="s">
        <v>311</v>
      </c>
      <c r="F3" s="0" t="s">
        <v>1263</v>
      </c>
      <c r="G3" s="0" t="s">
        <v>1264</v>
      </c>
      <c r="H3" s="0" t="s">
        <v>1265</v>
      </c>
      <c r="I3" s="0" t="s">
        <v>1266</v>
      </c>
      <c r="J3" s="0" t="s">
        <v>1267</v>
      </c>
      <c r="K3" s="0" t="s">
        <v>1268</v>
      </c>
      <c r="L3" s="0" t="s">
        <v>1269</v>
      </c>
      <c r="M3" s="0" t="s">
        <v>1270</v>
      </c>
      <c r="N3" s="0" t="s">
        <v>1092</v>
      </c>
      <c r="O3" s="0" t="s">
        <v>1271</v>
      </c>
      <c r="P3" s="0" t="s">
        <v>1072</v>
      </c>
      <c r="Q3" s="0" t="s">
        <v>345</v>
      </c>
      <c r="R3" s="0" t="s">
        <v>689</v>
      </c>
      <c r="S3" s="0" t="s">
        <v>58</v>
      </c>
      <c r="T3" s="0" t="s">
        <v>60</v>
      </c>
      <c r="U3" s="0" t="s">
        <v>50</v>
      </c>
      <c r="V3" s="0" t="s">
        <v>83</v>
      </c>
      <c r="W3" s="0" t="s">
        <v>1272</v>
      </c>
      <c r="X3" s="0" t="s">
        <v>1273</v>
      </c>
      <c r="Y3" s="0" t="s">
        <v>1274</v>
      </c>
      <c r="Z3" s="0" t="s">
        <v>1275</v>
      </c>
      <c r="AA3" s="0" t="s">
        <v>1276</v>
      </c>
      <c r="AB3" s="0" t="s">
        <v>1277</v>
      </c>
      <c r="AC3" s="0" t="s">
        <v>1278</v>
      </c>
      <c r="AD3" s="0" t="s">
        <v>1279</v>
      </c>
      <c r="AE3" s="0" t="s">
        <v>1280</v>
      </c>
      <c r="AF3" s="0" t="s">
        <v>1281</v>
      </c>
      <c r="AG3" s="0" t="s">
        <v>1282</v>
      </c>
    </row>
    <row r="4" customFormat="false" ht="15" hidden="false" customHeight="false" outlineLevel="0" collapsed="false">
      <c r="A4" s="3" t="s">
        <v>1283</v>
      </c>
      <c r="E4" s="96" t="n">
        <v>45291</v>
      </c>
      <c r="F4" s="96" t="n">
        <v>45382</v>
      </c>
      <c r="G4" s="96" t="n">
        <v>45473</v>
      </c>
      <c r="H4" s="96" t="n">
        <v>45565</v>
      </c>
      <c r="I4" s="96" t="n">
        <v>45657</v>
      </c>
      <c r="J4" s="96" t="n">
        <v>45747</v>
      </c>
      <c r="K4" s="96" t="n">
        <v>45838</v>
      </c>
      <c r="L4" s="96" t="n">
        <v>45930</v>
      </c>
      <c r="M4" s="96" t="n">
        <v>46022</v>
      </c>
      <c r="N4" s="96" t="n">
        <v>46112</v>
      </c>
      <c r="O4" s="96" t="n">
        <v>46203</v>
      </c>
      <c r="P4" s="96" t="n">
        <v>46295</v>
      </c>
      <c r="Q4" s="96" t="n">
        <v>46387</v>
      </c>
      <c r="R4" s="96" t="n">
        <v>46477</v>
      </c>
      <c r="S4" s="96" t="n">
        <v>46568</v>
      </c>
      <c r="T4" s="96" t="n">
        <v>46660</v>
      </c>
      <c r="U4" s="96" t="n">
        <v>46752</v>
      </c>
      <c r="V4" s="96" t="n">
        <v>46843</v>
      </c>
      <c r="W4" s="96" t="n">
        <v>46934</v>
      </c>
      <c r="X4" s="96" t="n">
        <v>47026</v>
      </c>
      <c r="Y4" s="96" t="n">
        <v>47118</v>
      </c>
      <c r="Z4" s="96" t="n">
        <v>47208</v>
      </c>
      <c r="AA4" s="96" t="n">
        <v>47299</v>
      </c>
      <c r="AB4" s="96" t="n">
        <v>47391</v>
      </c>
      <c r="AC4" s="96" t="n">
        <v>47483</v>
      </c>
      <c r="AD4" s="96" t="n">
        <v>47573</v>
      </c>
      <c r="AE4" s="96" t="n">
        <v>47664</v>
      </c>
      <c r="AF4" s="96" t="n">
        <v>47756</v>
      </c>
      <c r="AG4" s="96" t="n">
        <v>47848</v>
      </c>
    </row>
    <row r="5" customFormat="false" ht="15" hidden="false" customHeight="false" outlineLevel="0" collapsed="false">
      <c r="A5" s="3" t="s">
        <v>1284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1285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1286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1287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1288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1289</v>
      </c>
    </row>
    <row r="2" customFormat="false" ht="15" hidden="false" customHeight="false" outlineLevel="0" collapsed="false">
      <c r="A2" s="22" t="s">
        <v>1290</v>
      </c>
    </row>
    <row r="3" customFormat="false" ht="15" hidden="false" customHeight="false" outlineLevel="0" collapsed="false">
      <c r="A3" s="42" t="s">
        <v>305</v>
      </c>
      <c r="B3" s="42" t="s">
        <v>531</v>
      </c>
      <c r="C3" s="42" t="s">
        <v>534</v>
      </c>
      <c r="D3" s="42" t="s">
        <v>1291</v>
      </c>
      <c r="E3" s="42"/>
      <c r="F3" s="42" t="s">
        <v>1263</v>
      </c>
      <c r="G3" s="42" t="s">
        <v>1264</v>
      </c>
      <c r="H3" s="42" t="s">
        <v>1265</v>
      </c>
      <c r="I3" s="42" t="s">
        <v>1266</v>
      </c>
      <c r="J3" s="42" t="s">
        <v>1267</v>
      </c>
      <c r="K3" s="42" t="s">
        <v>1268</v>
      </c>
      <c r="L3" s="42" t="s">
        <v>1269</v>
      </c>
      <c r="M3" s="42" t="s">
        <v>1270</v>
      </c>
      <c r="N3" s="42" t="s">
        <v>1092</v>
      </c>
      <c r="O3" s="42" t="s">
        <v>1271</v>
      </c>
    </row>
    <row r="4" customFormat="false" ht="15" hidden="false" customHeight="false" outlineLevel="0" collapsed="false">
      <c r="F4" s="97" t="n">
        <v>45382</v>
      </c>
      <c r="G4" s="97" t="n">
        <v>45473</v>
      </c>
      <c r="H4" s="97" t="n">
        <v>45565</v>
      </c>
      <c r="I4" s="97" t="n">
        <v>45657</v>
      </c>
      <c r="J4" s="97" t="n">
        <v>45747</v>
      </c>
      <c r="K4" s="97" t="n">
        <v>45838</v>
      </c>
      <c r="L4" s="97" t="n">
        <v>45930</v>
      </c>
      <c r="M4" s="97" t="n">
        <v>46022</v>
      </c>
      <c r="N4" s="97" t="n">
        <v>46112</v>
      </c>
      <c r="O4" s="97" t="n">
        <v>46203</v>
      </c>
    </row>
    <row r="6" customFormat="false" ht="22.35" hidden="false" customHeight="false" outlineLevel="0" collapsed="false">
      <c r="A6" s="3" t="s">
        <v>1292</v>
      </c>
      <c r="B6" s="0" t="s">
        <v>613</v>
      </c>
      <c r="C6" s="0" t="s">
        <v>604</v>
      </c>
      <c r="D6" s="32" t="s">
        <v>1293</v>
      </c>
      <c r="F6" s="98" t="n">
        <v>11.4</v>
      </c>
      <c r="G6" s="98" t="n">
        <v>14.5</v>
      </c>
      <c r="H6" s="98" t="n">
        <v>32.1</v>
      </c>
      <c r="I6" s="98" t="n">
        <v>35.2</v>
      </c>
      <c r="J6" s="98" t="n">
        <v>50.9</v>
      </c>
      <c r="K6" s="98" t="n">
        <v>105.1</v>
      </c>
      <c r="L6" s="98" t="n">
        <v>146.1</v>
      </c>
      <c r="M6" s="98" t="n">
        <v>227.7</v>
      </c>
      <c r="N6" s="98" t="n">
        <v>399</v>
      </c>
      <c r="O6" s="98" t="n">
        <v>582.3</v>
      </c>
    </row>
    <row r="7" customFormat="false" ht="15" hidden="false" customHeight="false" outlineLevel="0" collapsed="false">
      <c r="A7" s="22" t="s">
        <v>1294</v>
      </c>
      <c r="F7" s="57" t="s">
        <v>552</v>
      </c>
      <c r="G7" s="57" t="s">
        <v>552</v>
      </c>
      <c r="H7" s="57" t="s">
        <v>552</v>
      </c>
      <c r="I7" s="57" t="s">
        <v>552</v>
      </c>
      <c r="J7" s="57" t="s">
        <v>552</v>
      </c>
      <c r="K7" s="57" t="s">
        <v>552</v>
      </c>
      <c r="L7" s="57" t="s">
        <v>552</v>
      </c>
      <c r="M7" s="57" t="s">
        <v>552</v>
      </c>
      <c r="N7" s="57" t="s">
        <v>552</v>
      </c>
      <c r="O7" s="57" t="s">
        <v>552</v>
      </c>
    </row>
    <row r="8" customFormat="false" ht="15" hidden="false" customHeight="false" outlineLevel="0" collapsed="false">
      <c r="A8" s="22" t="s">
        <v>1295</v>
      </c>
    </row>
    <row r="9" customFormat="false" ht="15" hidden="false" customHeight="false" outlineLevel="0" collapsed="false">
      <c r="A9" s="22" t="s">
        <v>1296</v>
      </c>
      <c r="F9" s="22" t="s">
        <v>1297</v>
      </c>
      <c r="G9" s="22" t="s">
        <v>1298</v>
      </c>
      <c r="H9" s="22" t="s">
        <v>1299</v>
      </c>
      <c r="I9" s="22" t="s">
        <v>1300</v>
      </c>
      <c r="J9" s="22" t="s">
        <v>1301</v>
      </c>
      <c r="K9" s="22" t="s">
        <v>1302</v>
      </c>
      <c r="L9" s="22" t="s">
        <v>1303</v>
      </c>
      <c r="M9" s="22" t="s">
        <v>1304</v>
      </c>
      <c r="N9" s="22" t="s">
        <v>1305</v>
      </c>
      <c r="O9" s="22" t="s">
        <v>1306</v>
      </c>
    </row>
    <row r="10" customFormat="false" ht="15" hidden="false" customHeight="false" outlineLevel="0" collapsed="false">
      <c r="A10" s="3" t="s">
        <v>1307</v>
      </c>
      <c r="F10" s="99" t="n">
        <f aca="false">IF(F7="Not disclosed",F8,F6)</f>
        <v>11.4</v>
      </c>
      <c r="G10" s="99" t="n">
        <f aca="false">IF(G7="Not disclosed",G8,G6)</f>
        <v>14.5</v>
      </c>
      <c r="H10" s="99" t="n">
        <f aca="false">IF(H7="Not disclosed",H8,H6)</f>
        <v>32.1</v>
      </c>
      <c r="I10" s="99" t="n">
        <f aca="false">IF(I7="Not disclosed",I8,I6)</f>
        <v>35.2</v>
      </c>
      <c r="J10" s="99" t="n">
        <f aca="false">IF(J7="Not disclosed",J8,J6)</f>
        <v>50.9</v>
      </c>
      <c r="K10" s="99" t="n">
        <f aca="false">IF(K7="Not disclosed",K8,K6)</f>
        <v>105.1</v>
      </c>
      <c r="L10" s="99" t="n">
        <f aca="false">IF(L7="Not disclosed",L8,L6)</f>
        <v>146.1</v>
      </c>
      <c r="M10" s="99" t="n">
        <f aca="false">IF(M7="Not disclosed",M8,M6)</f>
        <v>227.7</v>
      </c>
      <c r="N10" s="99" t="n">
        <f aca="false">IF(N7="Not disclosed",N8,N6)</f>
        <v>399</v>
      </c>
      <c r="O10" s="99" t="n">
        <f aca="false">IF(O7="Not disclosed",O8,O6)</f>
        <v>582.3</v>
      </c>
    </row>
    <row r="12" customFormat="false" ht="22.35" hidden="false" customHeight="false" outlineLevel="0" collapsed="false">
      <c r="A12" s="3" t="s">
        <v>1308</v>
      </c>
      <c r="B12" s="0" t="s">
        <v>613</v>
      </c>
      <c r="C12" s="0" t="s">
        <v>604</v>
      </c>
      <c r="D12" s="32" t="s">
        <v>1309</v>
      </c>
      <c r="F12" s="22" t="s">
        <v>1310</v>
      </c>
      <c r="G12" s="22" t="s">
        <v>1310</v>
      </c>
      <c r="H12" s="22" t="s">
        <v>1310</v>
      </c>
      <c r="I12" s="22" t="s">
        <v>1310</v>
      </c>
      <c r="J12" s="98" t="n">
        <v>41.4</v>
      </c>
      <c r="K12" s="98" t="n">
        <v>93.6</v>
      </c>
      <c r="L12" s="22" t="s">
        <v>1310</v>
      </c>
      <c r="M12" s="98" t="n">
        <v>214.2</v>
      </c>
      <c r="N12" s="98" t="n">
        <v>389.7</v>
      </c>
      <c r="O12" s="98" t="n">
        <v>574.9</v>
      </c>
    </row>
    <row r="13" customFormat="false" ht="15" hidden="false" customHeight="false" outlineLevel="0" collapsed="false">
      <c r="A13" s="22" t="s">
        <v>1294</v>
      </c>
      <c r="F13" s="100" t="s">
        <v>1085</v>
      </c>
      <c r="G13" s="100" t="s">
        <v>1085</v>
      </c>
      <c r="H13" s="100" t="s">
        <v>1085</v>
      </c>
      <c r="I13" s="100" t="s">
        <v>1085</v>
      </c>
      <c r="J13" s="57" t="s">
        <v>574</v>
      </c>
      <c r="K13" s="57" t="s">
        <v>574</v>
      </c>
      <c r="L13" s="100" t="s">
        <v>1085</v>
      </c>
      <c r="M13" s="57" t="s">
        <v>552</v>
      </c>
      <c r="N13" s="57" t="s">
        <v>552</v>
      </c>
      <c r="O13" s="57" t="s">
        <v>552</v>
      </c>
    </row>
    <row r="14" customFormat="false" ht="15" hidden="false" customHeight="false" outlineLevel="0" collapsed="false">
      <c r="A14" s="22" t="s">
        <v>1295</v>
      </c>
      <c r="F14" s="101" t="n">
        <v>10.3</v>
      </c>
      <c r="G14" s="101" t="n">
        <v>13.1</v>
      </c>
      <c r="H14" s="101" t="n">
        <v>28.9</v>
      </c>
      <c r="I14" s="101" t="n">
        <v>31.7</v>
      </c>
      <c r="L14" s="101" t="n">
        <v>138.8</v>
      </c>
    </row>
    <row r="15" customFormat="false" ht="15" hidden="false" customHeight="false" outlineLevel="0" collapsed="false">
      <c r="A15" s="22" t="s">
        <v>1296</v>
      </c>
      <c r="F15" s="22" t="s">
        <v>1311</v>
      </c>
      <c r="G15" s="22" t="s">
        <v>1311</v>
      </c>
      <c r="H15" s="22" t="s">
        <v>1311</v>
      </c>
      <c r="I15" s="22" t="s">
        <v>1311</v>
      </c>
      <c r="J15" s="22" t="s">
        <v>1312</v>
      </c>
      <c r="K15" s="22" t="s">
        <v>1313</v>
      </c>
      <c r="L15" s="22" t="s">
        <v>1314</v>
      </c>
      <c r="M15" s="22" t="s">
        <v>1315</v>
      </c>
      <c r="N15" s="22" t="s">
        <v>1316</v>
      </c>
      <c r="O15" s="22" t="s">
        <v>1317</v>
      </c>
    </row>
    <row r="16" customFormat="false" ht="15" hidden="false" customHeight="false" outlineLevel="0" collapsed="false">
      <c r="A16" s="3" t="s">
        <v>1307</v>
      </c>
      <c r="F16" s="99" t="n">
        <f aca="false">IF(F13="Not disclosed",F14,F12)</f>
        <v>10.3</v>
      </c>
      <c r="G16" s="99" t="n">
        <f aca="false">IF(G13="Not disclosed",G14,G12)</f>
        <v>13.1</v>
      </c>
      <c r="H16" s="99" t="n">
        <f aca="false">IF(H13="Not disclosed",H14,H12)</f>
        <v>28.9</v>
      </c>
      <c r="I16" s="99" t="n">
        <f aca="false">IF(I13="Not disclosed",I14,I12)</f>
        <v>31.7</v>
      </c>
      <c r="J16" s="99" t="n">
        <f aca="false">IF(J13="Not disclosed",J14,J12)</f>
        <v>41.4</v>
      </c>
      <c r="K16" s="99" t="n">
        <f aca="false">IF(K13="Not disclosed",K14,K12)</f>
        <v>93.6</v>
      </c>
      <c r="L16" s="99" t="n">
        <f aca="false">IF(L13="Not disclosed",L14,L12)</f>
        <v>138.8</v>
      </c>
      <c r="M16" s="99" t="n">
        <f aca="false">IF(M13="Not disclosed",M14,M12)</f>
        <v>214.2</v>
      </c>
      <c r="N16" s="99" t="n">
        <f aca="false">IF(N13="Not disclosed",N14,N12)</f>
        <v>389.7</v>
      </c>
      <c r="O16" s="99" t="n">
        <f aca="false">IF(O13="Not disclosed",O14,O12)</f>
        <v>574.9</v>
      </c>
    </row>
    <row r="18" customFormat="false" ht="15" hidden="false" customHeight="false" outlineLevel="0" collapsed="false">
      <c r="A18" s="3" t="s">
        <v>1318</v>
      </c>
      <c r="B18" s="0" t="s">
        <v>613</v>
      </c>
      <c r="C18" s="0" t="s">
        <v>604</v>
      </c>
      <c r="D18" s="32" t="s">
        <v>1319</v>
      </c>
      <c r="F18" s="22" t="s">
        <v>1310</v>
      </c>
      <c r="G18" s="22" t="s">
        <v>1310</v>
      </c>
      <c r="H18" s="22" t="s">
        <v>1310</v>
      </c>
      <c r="I18" s="98" t="n">
        <v>90</v>
      </c>
      <c r="J18" s="98" t="n">
        <v>248</v>
      </c>
      <c r="K18" s="98" t="n">
        <v>430</v>
      </c>
      <c r="L18" s="98" t="n">
        <v>551</v>
      </c>
      <c r="M18" s="98" t="n">
        <v>1250</v>
      </c>
      <c r="N18" s="98" t="n">
        <v>1920</v>
      </c>
      <c r="O18" s="98" t="n">
        <v>3000</v>
      </c>
    </row>
    <row r="19" customFormat="false" ht="15" hidden="false" customHeight="false" outlineLevel="0" collapsed="false">
      <c r="A19" s="22" t="s">
        <v>1294</v>
      </c>
      <c r="F19" s="100" t="s">
        <v>1085</v>
      </c>
      <c r="G19" s="100" t="s">
        <v>1085</v>
      </c>
      <c r="H19" s="100" t="s">
        <v>1085</v>
      </c>
      <c r="I19" s="57" t="s">
        <v>552</v>
      </c>
      <c r="J19" s="57" t="s">
        <v>574</v>
      </c>
      <c r="K19" s="57" t="s">
        <v>574</v>
      </c>
      <c r="L19" s="57" t="s">
        <v>552</v>
      </c>
      <c r="M19" s="57" t="s">
        <v>552</v>
      </c>
      <c r="N19" s="57" t="s">
        <v>552</v>
      </c>
      <c r="O19" s="57" t="s">
        <v>552</v>
      </c>
    </row>
    <row r="20" customFormat="false" ht="15" hidden="false" customHeight="false" outlineLevel="0" collapsed="false">
      <c r="A20" s="22" t="s">
        <v>1295</v>
      </c>
      <c r="F20" s="86" t="n">
        <v>41.04</v>
      </c>
      <c r="G20" s="86" t="n">
        <v>52.2</v>
      </c>
      <c r="H20" s="86" t="n">
        <v>115.56</v>
      </c>
    </row>
    <row r="21" customFormat="false" ht="15" hidden="false" customHeight="false" outlineLevel="0" collapsed="false">
      <c r="A21" s="22" t="s">
        <v>1296</v>
      </c>
      <c r="F21" s="22" t="s">
        <v>1320</v>
      </c>
      <c r="G21" s="22" t="s">
        <v>1320</v>
      </c>
      <c r="H21" s="22" t="s">
        <v>1320</v>
      </c>
      <c r="I21" s="22" t="s">
        <v>1321</v>
      </c>
      <c r="J21" s="22" t="s">
        <v>1322</v>
      </c>
      <c r="K21" s="22" t="s">
        <v>1323</v>
      </c>
      <c r="L21" s="22" t="s">
        <v>1324</v>
      </c>
      <c r="M21" s="22" t="s">
        <v>1315</v>
      </c>
      <c r="N21" s="22" t="s">
        <v>1325</v>
      </c>
      <c r="O21" s="22" t="s">
        <v>1317</v>
      </c>
    </row>
    <row r="22" customFormat="false" ht="15" hidden="false" customHeight="false" outlineLevel="0" collapsed="false">
      <c r="A22" s="3" t="s">
        <v>1307</v>
      </c>
      <c r="F22" s="99" t="n">
        <f aca="false">IF(F19="Not disclosed",F20,F18)</f>
        <v>41.04</v>
      </c>
      <c r="G22" s="99" t="n">
        <f aca="false">IF(G19="Not disclosed",G20,G18)</f>
        <v>52.2</v>
      </c>
      <c r="H22" s="99" t="n">
        <f aca="false">IF(H19="Not disclosed",H20,H18)</f>
        <v>115.56</v>
      </c>
      <c r="I22" s="99" t="n">
        <f aca="false">IF(I19="Not disclosed",I20,I18)</f>
        <v>90</v>
      </c>
      <c r="J22" s="99" t="n">
        <f aca="false">IF(J19="Not disclosed",J20,J18)</f>
        <v>248</v>
      </c>
      <c r="K22" s="99" t="n">
        <f aca="false">IF(K19="Not disclosed",K20,K18)</f>
        <v>430</v>
      </c>
      <c r="L22" s="99" t="n">
        <f aca="false">IF(L19="Not disclosed",L20,L18)</f>
        <v>551</v>
      </c>
      <c r="M22" s="99" t="n">
        <f aca="false">IF(M19="Not disclosed",M20,M18)</f>
        <v>1250</v>
      </c>
      <c r="N22" s="99" t="n">
        <f aca="false">IF(N19="Not disclosed",N20,N18)</f>
        <v>1920</v>
      </c>
      <c r="O22" s="99" t="n">
        <f aca="false">IF(O19="Not disclosed",O20,O18)</f>
        <v>3000</v>
      </c>
    </row>
    <row r="24" customFormat="false" ht="22.35" hidden="false" customHeight="false" outlineLevel="0" collapsed="false">
      <c r="A24" s="3" t="s">
        <v>1326</v>
      </c>
      <c r="B24" s="0" t="s">
        <v>613</v>
      </c>
      <c r="C24" s="0" t="s">
        <v>604</v>
      </c>
      <c r="D24" s="32" t="s">
        <v>1327</v>
      </c>
      <c r="F24" s="22" t="s">
        <v>1310</v>
      </c>
      <c r="G24" s="22" t="s">
        <v>1310</v>
      </c>
      <c r="H24" s="98" t="n">
        <v>9.9</v>
      </c>
      <c r="I24" s="98" t="n">
        <v>21.1</v>
      </c>
      <c r="J24" s="98" t="n">
        <v>24.7</v>
      </c>
      <c r="K24" s="98" t="n">
        <v>30.1</v>
      </c>
      <c r="L24" s="98" t="n">
        <v>42.9</v>
      </c>
      <c r="M24" s="98" t="n">
        <v>68.5</v>
      </c>
      <c r="N24" s="98" t="n">
        <v>103.8</v>
      </c>
      <c r="O24" s="98" t="n">
        <v>133.6</v>
      </c>
    </row>
    <row r="25" customFormat="false" ht="15" hidden="false" customHeight="false" outlineLevel="0" collapsed="false">
      <c r="A25" s="22" t="s">
        <v>1294</v>
      </c>
      <c r="F25" s="100" t="s">
        <v>1085</v>
      </c>
      <c r="G25" s="100" t="s">
        <v>1085</v>
      </c>
      <c r="H25" s="57" t="s">
        <v>552</v>
      </c>
      <c r="I25" s="57" t="s">
        <v>552</v>
      </c>
      <c r="J25" s="57" t="s">
        <v>552</v>
      </c>
      <c r="K25" s="57" t="s">
        <v>552</v>
      </c>
      <c r="L25" s="57" t="s">
        <v>552</v>
      </c>
      <c r="M25" s="57" t="s">
        <v>552</v>
      </c>
      <c r="N25" s="57" t="s">
        <v>552</v>
      </c>
      <c r="O25" s="57" t="s">
        <v>552</v>
      </c>
    </row>
    <row r="26" customFormat="false" ht="15" hidden="false" customHeight="false" outlineLevel="0" collapsed="false">
      <c r="A26" s="22" t="s">
        <v>1295</v>
      </c>
      <c r="F26" s="101" t="n">
        <v>9.1</v>
      </c>
      <c r="G26" s="101" t="n">
        <v>8.1</v>
      </c>
    </row>
    <row r="27" customFormat="false" ht="15" hidden="false" customHeight="false" outlineLevel="0" collapsed="false">
      <c r="A27" s="22" t="s">
        <v>1296</v>
      </c>
      <c r="F27" s="22" t="s">
        <v>1328</v>
      </c>
      <c r="G27" s="22" t="s">
        <v>1328</v>
      </c>
      <c r="H27" s="22" t="s">
        <v>1299</v>
      </c>
      <c r="I27" s="22" t="s">
        <v>1300</v>
      </c>
      <c r="J27" s="22" t="s">
        <v>1301</v>
      </c>
      <c r="K27" s="22" t="s">
        <v>1302</v>
      </c>
      <c r="L27" s="22" t="s">
        <v>1303</v>
      </c>
      <c r="M27" s="22" t="s">
        <v>1304</v>
      </c>
      <c r="N27" s="22" t="s">
        <v>1305</v>
      </c>
      <c r="O27" s="22" t="s">
        <v>1306</v>
      </c>
    </row>
    <row r="28" customFormat="false" ht="15" hidden="false" customHeight="false" outlineLevel="0" collapsed="false">
      <c r="A28" s="3" t="s">
        <v>1307</v>
      </c>
      <c r="F28" s="99" t="n">
        <f aca="false">IF(F25="Not disclosed",F26,F24)</f>
        <v>9.1</v>
      </c>
      <c r="G28" s="99" t="n">
        <f aca="false">IF(G25="Not disclosed",G26,G24)</f>
        <v>8.1</v>
      </c>
      <c r="H28" s="99" t="n">
        <f aca="false">IF(H25="Not disclosed",H26,H24)</f>
        <v>9.9</v>
      </c>
      <c r="I28" s="99" t="n">
        <f aca="false">IF(I25="Not disclosed",I26,I24)</f>
        <v>21.1</v>
      </c>
      <c r="J28" s="99" t="n">
        <f aca="false">IF(J25="Not disclosed",J26,J24)</f>
        <v>24.7</v>
      </c>
      <c r="K28" s="99" t="n">
        <f aca="false">IF(K25="Not disclosed",K26,K24)</f>
        <v>30.1</v>
      </c>
      <c r="L28" s="99" t="n">
        <f aca="false">IF(L25="Not disclosed",L26,L24)</f>
        <v>42.9</v>
      </c>
      <c r="M28" s="99" t="n">
        <f aca="false">IF(M25="Not disclosed",M26,M24)</f>
        <v>68.5</v>
      </c>
      <c r="N28" s="99" t="n">
        <f aca="false">IF(N25="Not disclosed",N26,N24)</f>
        <v>103.8</v>
      </c>
      <c r="O28" s="99" t="n">
        <f aca="false">IF(O25="Not disclosed",O26,O24)</f>
        <v>133.6</v>
      </c>
    </row>
    <row r="30" customFormat="false" ht="22.35" hidden="false" customHeight="false" outlineLevel="0" collapsed="false">
      <c r="A30" s="3" t="s">
        <v>1329</v>
      </c>
      <c r="B30" s="0" t="s">
        <v>613</v>
      </c>
      <c r="C30" s="0" t="s">
        <v>604</v>
      </c>
      <c r="D30" s="32" t="s">
        <v>1330</v>
      </c>
      <c r="F30" s="22" t="s">
        <v>1310</v>
      </c>
      <c r="G30" s="22" t="s">
        <v>1310</v>
      </c>
      <c r="H30" s="98" t="n">
        <v>31.4</v>
      </c>
      <c r="I30" s="98" t="n">
        <v>31.9</v>
      </c>
      <c r="J30" s="98" t="n">
        <v>36.5</v>
      </c>
      <c r="K30" s="98" t="n">
        <v>42.8</v>
      </c>
      <c r="L30" s="98" t="n">
        <v>44.9</v>
      </c>
      <c r="M30" s="98" t="n">
        <v>53.1</v>
      </c>
      <c r="N30" s="98" t="n">
        <v>67.4</v>
      </c>
      <c r="O30" s="98" t="n">
        <v>191</v>
      </c>
    </row>
    <row r="31" customFormat="false" ht="15" hidden="false" customHeight="false" outlineLevel="0" collapsed="false">
      <c r="A31" s="22" t="s">
        <v>1294</v>
      </c>
      <c r="F31" s="100" t="s">
        <v>1085</v>
      </c>
      <c r="G31" s="100" t="s">
        <v>1085</v>
      </c>
      <c r="H31" s="57" t="s">
        <v>552</v>
      </c>
      <c r="I31" s="57" t="s">
        <v>552</v>
      </c>
      <c r="J31" s="57" t="s">
        <v>552</v>
      </c>
      <c r="K31" s="57" t="s">
        <v>552</v>
      </c>
      <c r="L31" s="57" t="s">
        <v>552</v>
      </c>
      <c r="M31" s="57" t="s">
        <v>552</v>
      </c>
      <c r="N31" s="57" t="s">
        <v>552</v>
      </c>
      <c r="O31" s="57" t="s">
        <v>552</v>
      </c>
    </row>
    <row r="32" customFormat="false" ht="15" hidden="false" customHeight="false" outlineLevel="0" collapsed="false">
      <c r="A32" s="22" t="s">
        <v>1295</v>
      </c>
      <c r="F32" s="101" t="n">
        <v>29</v>
      </c>
      <c r="G32" s="101" t="n">
        <v>25.6</v>
      </c>
    </row>
    <row r="33" customFormat="false" ht="15" hidden="false" customHeight="false" outlineLevel="0" collapsed="false">
      <c r="A33" s="22" t="s">
        <v>1296</v>
      </c>
      <c r="F33" s="22" t="s">
        <v>1331</v>
      </c>
      <c r="G33" s="22" t="s">
        <v>1331</v>
      </c>
      <c r="H33" s="22" t="s">
        <v>1299</v>
      </c>
      <c r="I33" s="22" t="s">
        <v>1300</v>
      </c>
      <c r="J33" s="22" t="s">
        <v>1301</v>
      </c>
      <c r="K33" s="22" t="s">
        <v>1302</v>
      </c>
      <c r="L33" s="22" t="s">
        <v>1303</v>
      </c>
      <c r="M33" s="22" t="s">
        <v>1304</v>
      </c>
      <c r="N33" s="22" t="s">
        <v>1305</v>
      </c>
      <c r="O33" s="22" t="s">
        <v>1306</v>
      </c>
    </row>
    <row r="34" customFormat="false" ht="15" hidden="false" customHeight="false" outlineLevel="0" collapsed="false">
      <c r="A34" s="3" t="s">
        <v>1307</v>
      </c>
      <c r="F34" s="99" t="n">
        <f aca="false">IF(F31="Not disclosed",F32,F30)</f>
        <v>29</v>
      </c>
      <c r="G34" s="99" t="n">
        <f aca="false">IF(G31="Not disclosed",G32,G30)</f>
        <v>25.6</v>
      </c>
      <c r="H34" s="99" t="n">
        <f aca="false">IF(H31="Not disclosed",H32,H30)</f>
        <v>31.4</v>
      </c>
      <c r="I34" s="99" t="n">
        <f aca="false">IF(I31="Not disclosed",I32,I30)</f>
        <v>31.9</v>
      </c>
      <c r="J34" s="99" t="n">
        <f aca="false">IF(J31="Not disclosed",J32,J30)</f>
        <v>36.5</v>
      </c>
      <c r="K34" s="99" t="n">
        <f aca="false">IF(K31="Not disclosed",K32,K30)</f>
        <v>42.8</v>
      </c>
      <c r="L34" s="99" t="n">
        <f aca="false">IF(L31="Not disclosed",L32,L30)</f>
        <v>44.9</v>
      </c>
      <c r="M34" s="99" t="n">
        <f aca="false">IF(M31="Not disclosed",M32,M30)</f>
        <v>53.1</v>
      </c>
      <c r="N34" s="99" t="n">
        <f aca="false">IF(N31="Not disclosed",N32,N30)</f>
        <v>67.4</v>
      </c>
      <c r="O34" s="99" t="n">
        <f aca="false">IF(O31="Not disclosed",O32,O30)</f>
        <v>191</v>
      </c>
    </row>
    <row r="36" customFormat="false" ht="22.35" hidden="false" customHeight="false" outlineLevel="0" collapsed="false">
      <c r="A36" s="3" t="s">
        <v>1332</v>
      </c>
      <c r="B36" s="0" t="s">
        <v>613</v>
      </c>
      <c r="C36" s="0" t="s">
        <v>604</v>
      </c>
      <c r="D36" s="32" t="s">
        <v>1327</v>
      </c>
      <c r="F36" s="22" t="s">
        <v>1310</v>
      </c>
      <c r="G36" s="22" t="s">
        <v>1310</v>
      </c>
      <c r="H36" s="98" t="n">
        <v>47.9</v>
      </c>
      <c r="I36" s="98" t="n">
        <v>85.4</v>
      </c>
      <c r="J36" s="98" t="n">
        <v>60.9</v>
      </c>
      <c r="K36" s="98" t="n">
        <v>68.2</v>
      </c>
      <c r="L36" s="98" t="n">
        <v>89.5</v>
      </c>
      <c r="M36" s="98" t="n">
        <v>159.9</v>
      </c>
      <c r="N36" s="98" t="n">
        <v>143.8</v>
      </c>
      <c r="O36" s="98" t="n">
        <v>173.9</v>
      </c>
    </row>
    <row r="37" customFormat="false" ht="15" hidden="false" customHeight="false" outlineLevel="0" collapsed="false">
      <c r="A37" s="22" t="s">
        <v>1294</v>
      </c>
      <c r="F37" s="100" t="s">
        <v>1085</v>
      </c>
      <c r="G37" s="100" t="s">
        <v>1085</v>
      </c>
      <c r="H37" s="57" t="s">
        <v>552</v>
      </c>
      <c r="I37" s="57" t="s">
        <v>552</v>
      </c>
      <c r="J37" s="57" t="s">
        <v>552</v>
      </c>
      <c r="K37" s="57" t="s">
        <v>552</v>
      </c>
      <c r="L37" s="57" t="s">
        <v>552</v>
      </c>
      <c r="M37" s="57" t="s">
        <v>552</v>
      </c>
      <c r="N37" s="57" t="s">
        <v>552</v>
      </c>
      <c r="O37" s="57" t="s">
        <v>552</v>
      </c>
    </row>
    <row r="38" customFormat="false" ht="15" hidden="false" customHeight="false" outlineLevel="0" collapsed="false">
      <c r="A38" s="22" t="s">
        <v>1295</v>
      </c>
      <c r="F38" s="101" t="n">
        <v>44.2</v>
      </c>
      <c r="G38" s="101" t="n">
        <v>39</v>
      </c>
    </row>
    <row r="39" customFormat="false" ht="15" hidden="false" customHeight="false" outlineLevel="0" collapsed="false">
      <c r="A39" s="22" t="s">
        <v>1296</v>
      </c>
      <c r="F39" s="22" t="s">
        <v>1333</v>
      </c>
      <c r="G39" s="22" t="s">
        <v>1333</v>
      </c>
      <c r="H39" s="22" t="s">
        <v>1299</v>
      </c>
      <c r="I39" s="22" t="s">
        <v>1300</v>
      </c>
      <c r="J39" s="22" t="s">
        <v>1301</v>
      </c>
      <c r="K39" s="22" t="s">
        <v>1302</v>
      </c>
      <c r="L39" s="22" t="s">
        <v>1303</v>
      </c>
      <c r="M39" s="22" t="s">
        <v>1304</v>
      </c>
      <c r="N39" s="22" t="s">
        <v>1305</v>
      </c>
      <c r="O39" s="22" t="s">
        <v>1306</v>
      </c>
    </row>
    <row r="40" customFormat="false" ht="15" hidden="false" customHeight="false" outlineLevel="0" collapsed="false">
      <c r="A40" s="3" t="s">
        <v>1307</v>
      </c>
      <c r="F40" s="99" t="n">
        <f aca="false">IF(F37="Not disclosed",F38,F36)</f>
        <v>44.2</v>
      </c>
      <c r="G40" s="99" t="n">
        <f aca="false">IF(G37="Not disclosed",G38,G36)</f>
        <v>39</v>
      </c>
      <c r="H40" s="99" t="n">
        <f aca="false">IF(H37="Not disclosed",H38,H36)</f>
        <v>47.9</v>
      </c>
      <c r="I40" s="99" t="n">
        <f aca="false">IF(I37="Not disclosed",I38,I36)</f>
        <v>85.4</v>
      </c>
      <c r="J40" s="99" t="n">
        <f aca="false">IF(J37="Not disclosed",J38,J36)</f>
        <v>60.9</v>
      </c>
      <c r="K40" s="99" t="n">
        <f aca="false">IF(K37="Not disclosed",K38,K36)</f>
        <v>68.2</v>
      </c>
      <c r="L40" s="99" t="n">
        <f aca="false">IF(L37="Not disclosed",L38,L36)</f>
        <v>89.5</v>
      </c>
      <c r="M40" s="99" t="n">
        <f aca="false">IF(M37="Not disclosed",M38,M36)</f>
        <v>159.9</v>
      </c>
      <c r="N40" s="99" t="n">
        <f aca="false">IF(N37="Not disclosed",N38,N36)</f>
        <v>143.8</v>
      </c>
      <c r="O40" s="99" t="n">
        <f aca="false">IF(O37="Not disclosed",O38,O36)</f>
        <v>173.9</v>
      </c>
    </row>
    <row r="42" customFormat="false" ht="15" hidden="false" customHeight="false" outlineLevel="0" collapsed="false">
      <c r="A42" s="3" t="s">
        <v>1334</v>
      </c>
      <c r="B42" s="0" t="s">
        <v>613</v>
      </c>
      <c r="C42" s="0" t="s">
        <v>604</v>
      </c>
      <c r="D42" s="32"/>
      <c r="F42" s="98" t="n">
        <v>8.9</v>
      </c>
      <c r="G42" s="98" t="n">
        <v>11.4</v>
      </c>
      <c r="H42" s="98" t="n">
        <v>23.5</v>
      </c>
      <c r="I42" s="98" t="n">
        <v>33.3</v>
      </c>
      <c r="J42" s="98" t="n">
        <v>49.1</v>
      </c>
      <c r="K42" s="98" t="n">
        <v>75.2</v>
      </c>
      <c r="L42" s="98" t="n">
        <v>99</v>
      </c>
      <c r="M42" s="98" t="n">
        <v>180.7</v>
      </c>
      <c r="N42" s="98" t="n">
        <v>212</v>
      </c>
      <c r="O42" s="98" t="n">
        <v>259.7</v>
      </c>
    </row>
    <row r="43" customFormat="false" ht="15" hidden="false" customHeight="false" outlineLevel="0" collapsed="false">
      <c r="A43" s="22" t="s">
        <v>1294</v>
      </c>
      <c r="F43" s="57" t="s">
        <v>552</v>
      </c>
      <c r="G43" s="57" t="s">
        <v>552</v>
      </c>
      <c r="H43" s="57" t="s">
        <v>552</v>
      </c>
      <c r="I43" s="57" t="s">
        <v>552</v>
      </c>
      <c r="J43" s="57" t="s">
        <v>552</v>
      </c>
      <c r="K43" s="57" t="s">
        <v>552</v>
      </c>
      <c r="L43" s="57" t="s">
        <v>552</v>
      </c>
      <c r="M43" s="57" t="s">
        <v>552</v>
      </c>
      <c r="N43" s="57" t="s">
        <v>552</v>
      </c>
      <c r="O43" s="57" t="s">
        <v>552</v>
      </c>
    </row>
    <row r="44" customFormat="false" ht="15" hidden="false" customHeight="false" outlineLevel="0" collapsed="false">
      <c r="A44" s="22" t="s">
        <v>1295</v>
      </c>
    </row>
    <row r="45" customFormat="false" ht="15" hidden="false" customHeight="false" outlineLevel="0" collapsed="false">
      <c r="A45" s="22" t="s">
        <v>1296</v>
      </c>
      <c r="F45" s="22" t="s">
        <v>1297</v>
      </c>
      <c r="G45" s="22" t="s">
        <v>1298</v>
      </c>
      <c r="H45" s="22" t="s">
        <v>1299</v>
      </c>
      <c r="I45" s="22" t="s">
        <v>1300</v>
      </c>
      <c r="J45" s="22" t="s">
        <v>1301</v>
      </c>
      <c r="K45" s="22" t="s">
        <v>1302</v>
      </c>
      <c r="L45" s="22" t="s">
        <v>1303</v>
      </c>
      <c r="M45" s="22" t="s">
        <v>1304</v>
      </c>
      <c r="N45" s="22" t="s">
        <v>1305</v>
      </c>
      <c r="O45" s="22" t="s">
        <v>1306</v>
      </c>
    </row>
    <row r="46" customFormat="false" ht="15" hidden="false" customHeight="false" outlineLevel="0" collapsed="false">
      <c r="A46" s="3" t="s">
        <v>1307</v>
      </c>
      <c r="F46" s="99" t="n">
        <f aca="false">IF(F43="Not disclosed",F44,F42)</f>
        <v>8.9</v>
      </c>
      <c r="G46" s="99" t="n">
        <f aca="false">IF(G43="Not disclosed",G44,G42)</f>
        <v>11.4</v>
      </c>
      <c r="H46" s="99" t="n">
        <f aca="false">IF(H43="Not disclosed",H44,H42)</f>
        <v>23.5</v>
      </c>
      <c r="I46" s="99" t="n">
        <f aca="false">IF(I43="Not disclosed",I44,I42)</f>
        <v>33.3</v>
      </c>
      <c r="J46" s="99" t="n">
        <f aca="false">IF(J43="Not disclosed",J44,J42)</f>
        <v>49.1</v>
      </c>
      <c r="K46" s="99" t="n">
        <f aca="false">IF(K43="Not disclosed",K44,K42)</f>
        <v>75.2</v>
      </c>
      <c r="L46" s="99" t="n">
        <f aca="false">IF(L43="Not disclosed",L44,L42)</f>
        <v>99</v>
      </c>
      <c r="M46" s="99" t="n">
        <f aca="false">IF(M43="Not disclosed",M44,M42)</f>
        <v>180.7</v>
      </c>
      <c r="N46" s="99" t="n">
        <f aca="false">IF(N43="Not disclosed",N44,N42)</f>
        <v>212</v>
      </c>
      <c r="O46" s="99" t="n">
        <f aca="false">IF(O43="Not disclosed",O44,O42)</f>
        <v>259.7</v>
      </c>
    </row>
    <row r="48" customFormat="false" ht="22.35" hidden="false" customHeight="false" outlineLevel="0" collapsed="false">
      <c r="A48" s="3" t="s">
        <v>1335</v>
      </c>
      <c r="B48" s="0" t="s">
        <v>613</v>
      </c>
      <c r="C48" s="0" t="s">
        <v>604</v>
      </c>
      <c r="D48" s="32" t="s">
        <v>1336</v>
      </c>
      <c r="F48" s="98" t="n">
        <v>8.9</v>
      </c>
      <c r="G48" s="98" t="n">
        <v>11.4</v>
      </c>
      <c r="H48" s="98" t="n">
        <v>23.5</v>
      </c>
      <c r="I48" s="98" t="n">
        <v>33.3</v>
      </c>
      <c r="J48" s="98" t="n">
        <v>49.1</v>
      </c>
      <c r="K48" s="98" t="n">
        <v>75.2</v>
      </c>
      <c r="L48" s="98" t="n">
        <v>99</v>
      </c>
      <c r="M48" s="98" t="n">
        <v>180.7</v>
      </c>
      <c r="N48" s="98" t="n">
        <v>255.1</v>
      </c>
      <c r="O48" s="98" t="n">
        <v>302.7</v>
      </c>
    </row>
    <row r="49" customFormat="false" ht="15" hidden="false" customHeight="false" outlineLevel="0" collapsed="false">
      <c r="A49" s="22" t="s">
        <v>1294</v>
      </c>
      <c r="F49" s="57" t="s">
        <v>552</v>
      </c>
      <c r="G49" s="57" t="s">
        <v>552</v>
      </c>
      <c r="H49" s="57" t="s">
        <v>552</v>
      </c>
      <c r="I49" s="57" t="s">
        <v>552</v>
      </c>
      <c r="J49" s="57" t="s">
        <v>552</v>
      </c>
      <c r="K49" s="57" t="s">
        <v>552</v>
      </c>
      <c r="L49" s="57" t="s">
        <v>552</v>
      </c>
      <c r="M49" s="57" t="s">
        <v>552</v>
      </c>
      <c r="N49" s="57" t="s">
        <v>574</v>
      </c>
      <c r="O49" s="57" t="s">
        <v>574</v>
      </c>
    </row>
    <row r="50" customFormat="false" ht="15" hidden="false" customHeight="false" outlineLevel="0" collapsed="false">
      <c r="A50" s="22" t="s">
        <v>1295</v>
      </c>
    </row>
    <row r="51" customFormat="false" ht="15" hidden="false" customHeight="false" outlineLevel="0" collapsed="false">
      <c r="A51" s="22" t="s">
        <v>1296</v>
      </c>
      <c r="F51" s="22" t="s">
        <v>1297</v>
      </c>
      <c r="G51" s="22" t="s">
        <v>1298</v>
      </c>
      <c r="H51" s="22" t="s">
        <v>1299</v>
      </c>
      <c r="I51" s="22" t="s">
        <v>1300</v>
      </c>
      <c r="J51" s="22" t="s">
        <v>1301</v>
      </c>
      <c r="K51" s="22" t="s">
        <v>1302</v>
      </c>
      <c r="L51" s="22" t="s">
        <v>1303</v>
      </c>
      <c r="M51" s="22" t="s">
        <v>1304</v>
      </c>
      <c r="N51" s="22" t="s">
        <v>1337</v>
      </c>
      <c r="O51" s="22" t="s">
        <v>1338</v>
      </c>
    </row>
    <row r="52" customFormat="false" ht="15" hidden="false" customHeight="false" outlineLevel="0" collapsed="false">
      <c r="A52" s="3" t="s">
        <v>1307</v>
      </c>
      <c r="F52" s="99" t="n">
        <f aca="false">IF(F49="Not disclosed",F50,F48)</f>
        <v>8.9</v>
      </c>
      <c r="G52" s="99" t="n">
        <f aca="false">IF(G49="Not disclosed",G50,G48)</f>
        <v>11.4</v>
      </c>
      <c r="H52" s="99" t="n">
        <f aca="false">IF(H49="Not disclosed",H50,H48)</f>
        <v>23.5</v>
      </c>
      <c r="I52" s="99" t="n">
        <f aca="false">IF(I49="Not disclosed",I50,I48)</f>
        <v>33.3</v>
      </c>
      <c r="J52" s="99" t="n">
        <f aca="false">IF(J49="Not disclosed",J50,J48)</f>
        <v>49.1</v>
      </c>
      <c r="K52" s="99" t="n">
        <f aca="false">IF(K49="Not disclosed",K50,K48)</f>
        <v>75.2</v>
      </c>
      <c r="L52" s="99" t="n">
        <f aca="false">IF(L49="Not disclosed",L50,L48)</f>
        <v>99</v>
      </c>
      <c r="M52" s="99" t="n">
        <f aca="false">IF(M49="Not disclosed",M50,M48)</f>
        <v>180.7</v>
      </c>
      <c r="N52" s="99" t="n">
        <f aca="false">IF(N49="Not disclosed",N50,N48)</f>
        <v>255.1</v>
      </c>
      <c r="O52" s="99" t="n">
        <f aca="false">IF(O49="Not disclosed",O50,O48)</f>
        <v>302.7</v>
      </c>
    </row>
    <row r="54" customFormat="false" ht="22.35" hidden="false" customHeight="false" outlineLevel="0" collapsed="false">
      <c r="A54" s="3" t="s">
        <v>1339</v>
      </c>
      <c r="B54" s="0" t="s">
        <v>613</v>
      </c>
      <c r="C54" s="0" t="s">
        <v>604</v>
      </c>
      <c r="D54" s="32" t="s">
        <v>1340</v>
      </c>
      <c r="F54" s="22" t="s">
        <v>1310</v>
      </c>
      <c r="G54" s="98" t="n">
        <v>328.3</v>
      </c>
      <c r="H54" s="98" t="n">
        <v>475.3</v>
      </c>
      <c r="I54" s="98" t="n">
        <v>846.7</v>
      </c>
      <c r="J54" s="98" t="n">
        <v>1334.1</v>
      </c>
      <c r="K54" s="98" t="n">
        <v>1789.4</v>
      </c>
      <c r="L54" s="98" t="n">
        <v>3314.4</v>
      </c>
      <c r="M54" s="98" t="n">
        <v>5553.3</v>
      </c>
      <c r="N54" s="98" t="n">
        <v>7131.7</v>
      </c>
      <c r="O54" s="98" t="n">
        <v>13045.2</v>
      </c>
    </row>
    <row r="55" customFormat="false" ht="15" hidden="false" customHeight="false" outlineLevel="0" collapsed="false">
      <c r="A55" s="22" t="s">
        <v>1294</v>
      </c>
      <c r="F55" s="100" t="s">
        <v>1085</v>
      </c>
      <c r="G55" s="57" t="s">
        <v>552</v>
      </c>
      <c r="H55" s="57" t="s">
        <v>552</v>
      </c>
      <c r="I55" s="57" t="s">
        <v>552</v>
      </c>
      <c r="J55" s="57" t="s">
        <v>552</v>
      </c>
      <c r="K55" s="57" t="s">
        <v>552</v>
      </c>
      <c r="L55" s="57" t="s">
        <v>552</v>
      </c>
      <c r="M55" s="57" t="s">
        <v>552</v>
      </c>
      <c r="N55" s="57" t="s">
        <v>552</v>
      </c>
      <c r="O55" s="57" t="s">
        <v>552</v>
      </c>
    </row>
    <row r="56" customFormat="false" ht="15" hidden="false" customHeight="false" outlineLevel="0" collapsed="false">
      <c r="A56" s="22" t="s">
        <v>1295</v>
      </c>
      <c r="F56" s="101" t="n">
        <v>250</v>
      </c>
    </row>
    <row r="57" customFormat="false" ht="15" hidden="false" customHeight="false" outlineLevel="0" collapsed="false">
      <c r="A57" s="22" t="s">
        <v>1296</v>
      </c>
      <c r="F57" s="22" t="s">
        <v>1341</v>
      </c>
      <c r="G57" s="22" t="s">
        <v>1298</v>
      </c>
      <c r="H57" s="22" t="s">
        <v>1299</v>
      </c>
      <c r="I57" s="22" t="s">
        <v>1300</v>
      </c>
      <c r="J57" s="22" t="s">
        <v>1301</v>
      </c>
      <c r="K57" s="22" t="s">
        <v>1302</v>
      </c>
      <c r="L57" s="22" t="s">
        <v>1303</v>
      </c>
      <c r="M57" s="22" t="s">
        <v>1304</v>
      </c>
      <c r="N57" s="22" t="s">
        <v>1305</v>
      </c>
      <c r="O57" s="22" t="s">
        <v>1306</v>
      </c>
    </row>
    <row r="58" customFormat="false" ht="15" hidden="false" customHeight="false" outlineLevel="0" collapsed="false">
      <c r="A58" s="3" t="s">
        <v>1307</v>
      </c>
      <c r="F58" s="99" t="n">
        <f aca="false">IF(F55="Not disclosed",F56,F54)</f>
        <v>250</v>
      </c>
      <c r="G58" s="99" t="n">
        <f aca="false">IF(G55="Not disclosed",G56,G54)</f>
        <v>328.3</v>
      </c>
      <c r="H58" s="99" t="n">
        <f aca="false">IF(H55="Not disclosed",H56,H54)</f>
        <v>475.3</v>
      </c>
      <c r="I58" s="99" t="n">
        <f aca="false">IF(I55="Not disclosed",I56,I54)</f>
        <v>846.7</v>
      </c>
      <c r="J58" s="99" t="n">
        <f aca="false">IF(J55="Not disclosed",J56,J54)</f>
        <v>1334.1</v>
      </c>
      <c r="K58" s="99" t="n">
        <f aca="false">IF(K55="Not disclosed",K56,K54)</f>
        <v>1789.4</v>
      </c>
      <c r="L58" s="99" t="n">
        <f aca="false">IF(L55="Not disclosed",L56,L54)</f>
        <v>3314.4</v>
      </c>
      <c r="M58" s="99" t="n">
        <f aca="false">IF(M55="Not disclosed",M56,M54)</f>
        <v>5553.3</v>
      </c>
      <c r="N58" s="99" t="n">
        <f aca="false">IF(N55="Not disclosed",N56,N54)</f>
        <v>7131.7</v>
      </c>
      <c r="O58" s="99" t="n">
        <f aca="false">IF(O55="Not disclosed",O56,O54)</f>
        <v>13045.2</v>
      </c>
    </row>
    <row r="60" customFormat="false" ht="22.35" hidden="false" customHeight="false" outlineLevel="0" collapsed="false">
      <c r="A60" s="3" t="s">
        <v>1342</v>
      </c>
      <c r="B60" s="0" t="s">
        <v>613</v>
      </c>
      <c r="C60" s="0" t="s">
        <v>604</v>
      </c>
      <c r="D60" s="32" t="s">
        <v>1343</v>
      </c>
      <c r="F60" s="22" t="s">
        <v>1310</v>
      </c>
      <c r="G60" s="22" t="s">
        <v>1310</v>
      </c>
      <c r="H60" s="22" t="s">
        <v>1310</v>
      </c>
      <c r="I60" s="22" t="s">
        <v>1310</v>
      </c>
      <c r="J60" s="22" t="s">
        <v>1310</v>
      </c>
      <c r="K60" s="22" t="s">
        <v>1310</v>
      </c>
      <c r="L60" s="22" t="s">
        <v>1310</v>
      </c>
      <c r="M60" s="98" t="n">
        <v>2417.4</v>
      </c>
      <c r="N60" s="98" t="n">
        <v>2427.9</v>
      </c>
      <c r="O60" s="98" t="n">
        <v>7836.4</v>
      </c>
    </row>
    <row r="61" customFormat="false" ht="15" hidden="false" customHeight="false" outlineLevel="0" collapsed="false">
      <c r="A61" s="22" t="s">
        <v>1294</v>
      </c>
      <c r="F61" s="100" t="s">
        <v>1085</v>
      </c>
      <c r="G61" s="100" t="s">
        <v>1085</v>
      </c>
      <c r="H61" s="100" t="s">
        <v>1085</v>
      </c>
      <c r="I61" s="100" t="s">
        <v>1085</v>
      </c>
      <c r="J61" s="100" t="s">
        <v>1085</v>
      </c>
      <c r="K61" s="100" t="s">
        <v>1085</v>
      </c>
      <c r="L61" s="100" t="s">
        <v>1085</v>
      </c>
      <c r="M61" s="57" t="s">
        <v>552</v>
      </c>
      <c r="N61" s="57" t="s">
        <v>552</v>
      </c>
      <c r="O61" s="57" t="s">
        <v>552</v>
      </c>
    </row>
    <row r="62" customFormat="false" ht="15" hidden="false" customHeight="false" outlineLevel="0" collapsed="false">
      <c r="A62" s="22" t="s">
        <v>1295</v>
      </c>
    </row>
    <row r="63" customFormat="false" ht="15" hidden="false" customHeight="false" outlineLevel="0" collapsed="false">
      <c r="A63" s="22" t="s">
        <v>1296</v>
      </c>
      <c r="F63" s="22" t="s">
        <v>1344</v>
      </c>
      <c r="G63" s="22" t="s">
        <v>1344</v>
      </c>
      <c r="H63" s="22" t="s">
        <v>1344</v>
      </c>
      <c r="I63" s="22" t="s">
        <v>1344</v>
      </c>
      <c r="J63" s="22" t="s">
        <v>1344</v>
      </c>
      <c r="K63" s="22" t="s">
        <v>1344</v>
      </c>
      <c r="L63" s="22" t="s">
        <v>1344</v>
      </c>
      <c r="M63" s="22" t="s">
        <v>1345</v>
      </c>
      <c r="N63" s="22" t="s">
        <v>1345</v>
      </c>
      <c r="O63" s="22" t="s">
        <v>1345</v>
      </c>
    </row>
    <row r="64" customFormat="false" ht="15" hidden="false" customHeight="false" outlineLevel="0" collapsed="false">
      <c r="A64" s="3" t="s">
        <v>1307</v>
      </c>
      <c r="F64" s="99" t="n">
        <f aca="false">IF(F61="Not disclosed",F62,F60)</f>
        <v>0</v>
      </c>
      <c r="G64" s="99" t="n">
        <f aca="false">IF(G61="Not disclosed",G62,G60)</f>
        <v>0</v>
      </c>
      <c r="H64" s="99" t="n">
        <f aca="false">IF(H61="Not disclosed",H62,H60)</f>
        <v>0</v>
      </c>
      <c r="I64" s="99" t="n">
        <f aca="false">IF(I61="Not disclosed",I62,I60)</f>
        <v>0</v>
      </c>
      <c r="J64" s="99" t="n">
        <f aca="false">IF(J61="Not disclosed",J62,J60)</f>
        <v>0</v>
      </c>
      <c r="K64" s="99" t="n">
        <f aca="false">IF(K61="Not disclosed",K62,K60)</f>
        <v>0</v>
      </c>
      <c r="L64" s="99" t="n">
        <f aca="false">IF(L61="Not disclosed",L62,L60)</f>
        <v>0</v>
      </c>
      <c r="M64" s="99" t="n">
        <f aca="false">IF(M61="Not disclosed",M62,M60)</f>
        <v>2417.4</v>
      </c>
      <c r="N64" s="99" t="n">
        <f aca="false">IF(N61="Not disclosed",N62,N60)</f>
        <v>2427.9</v>
      </c>
      <c r="O64" s="99" t="n">
        <f aca="false">IF(O61="Not disclosed",O62,O60)</f>
        <v>7836.4</v>
      </c>
    </row>
    <row r="66" customFormat="false" ht="15" hidden="false" customHeight="false" outlineLevel="0" collapsed="false">
      <c r="A66" s="3" t="s">
        <v>1346</v>
      </c>
      <c r="B66" s="0" t="s">
        <v>613</v>
      </c>
      <c r="C66" s="0" t="s">
        <v>604</v>
      </c>
      <c r="D66" s="32" t="s">
        <v>1347</v>
      </c>
      <c r="F66" s="22" t="s">
        <v>1310</v>
      </c>
      <c r="G66" s="22" t="s">
        <v>1310</v>
      </c>
      <c r="H66" s="22" t="s">
        <v>1310</v>
      </c>
      <c r="I66" s="22" t="s">
        <v>1310</v>
      </c>
      <c r="J66" s="22" t="s">
        <v>1310</v>
      </c>
      <c r="K66" s="22" t="s">
        <v>1310</v>
      </c>
      <c r="L66" s="22" t="s">
        <v>1310</v>
      </c>
      <c r="M66" s="98" t="n">
        <v>3772.9</v>
      </c>
      <c r="N66" s="98" t="n">
        <v>5548.7</v>
      </c>
      <c r="O66" s="98" t="n">
        <v>6313.1</v>
      </c>
    </row>
    <row r="67" customFormat="false" ht="15" hidden="false" customHeight="false" outlineLevel="0" collapsed="false">
      <c r="A67" s="22" t="s">
        <v>1294</v>
      </c>
      <c r="F67" s="100" t="s">
        <v>1085</v>
      </c>
      <c r="G67" s="100" t="s">
        <v>1085</v>
      </c>
      <c r="H67" s="100" t="s">
        <v>1085</v>
      </c>
      <c r="I67" s="100" t="s">
        <v>1085</v>
      </c>
      <c r="J67" s="100" t="s">
        <v>1085</v>
      </c>
      <c r="K67" s="100" t="s">
        <v>1085</v>
      </c>
      <c r="L67" s="100" t="s">
        <v>1085</v>
      </c>
      <c r="M67" s="57" t="s">
        <v>574</v>
      </c>
      <c r="N67" s="57" t="s">
        <v>574</v>
      </c>
      <c r="O67" s="57" t="s">
        <v>574</v>
      </c>
    </row>
    <row r="68" customFormat="false" ht="15" hidden="false" customHeight="false" outlineLevel="0" collapsed="false">
      <c r="A68" s="22" t="s">
        <v>1295</v>
      </c>
    </row>
    <row r="69" customFormat="false" ht="15" hidden="false" customHeight="false" outlineLevel="0" collapsed="false">
      <c r="A69" s="22" t="s">
        <v>1296</v>
      </c>
      <c r="F69" s="22" t="s">
        <v>1085</v>
      </c>
      <c r="G69" s="22" t="s">
        <v>1085</v>
      </c>
      <c r="H69" s="22" t="s">
        <v>1085</v>
      </c>
      <c r="I69" s="22" t="s">
        <v>1085</v>
      </c>
      <c r="J69" s="22" t="s">
        <v>1085</v>
      </c>
      <c r="K69" s="22" t="s">
        <v>1085</v>
      </c>
      <c r="L69" s="22" t="s">
        <v>1085</v>
      </c>
      <c r="M69" s="22" t="s">
        <v>1348</v>
      </c>
      <c r="N69" s="22" t="s">
        <v>1348</v>
      </c>
      <c r="O69" s="22" t="s">
        <v>1348</v>
      </c>
    </row>
    <row r="70" customFormat="false" ht="15" hidden="false" customHeight="false" outlineLevel="0" collapsed="false">
      <c r="A70" s="3" t="s">
        <v>1307</v>
      </c>
      <c r="F70" s="99" t="n">
        <f aca="false">IF(F67="Not disclosed",F68,F66)</f>
        <v>0</v>
      </c>
      <c r="G70" s="99" t="n">
        <f aca="false">IF(G67="Not disclosed",G68,G66)</f>
        <v>0</v>
      </c>
      <c r="H70" s="99" t="n">
        <f aca="false">IF(H67="Not disclosed",H68,H66)</f>
        <v>0</v>
      </c>
      <c r="I70" s="99" t="n">
        <f aca="false">IF(I67="Not disclosed",I68,I66)</f>
        <v>0</v>
      </c>
      <c r="J70" s="99" t="n">
        <f aca="false">IF(J67="Not disclosed",J68,J66)</f>
        <v>0</v>
      </c>
      <c r="K70" s="99" t="n">
        <f aca="false">IF(K67="Not disclosed",K68,K66)</f>
        <v>0</v>
      </c>
      <c r="L70" s="99" t="n">
        <f aca="false">IF(L67="Not disclosed",L68,L66)</f>
        <v>0</v>
      </c>
      <c r="M70" s="99" t="n">
        <f aca="false">IF(M67="Not disclosed",M68,M66)</f>
        <v>3772.9</v>
      </c>
      <c r="N70" s="99" t="n">
        <f aca="false">IF(N67="Not disclosed",N68,N66)</f>
        <v>5548.7</v>
      </c>
      <c r="O70" s="99" t="n">
        <f aca="false">IF(O67="Not disclosed",O68,O66)</f>
        <v>6313.1</v>
      </c>
    </row>
    <row r="72" customFormat="false" ht="15" hidden="false" customHeight="false" outlineLevel="0" collapsed="false">
      <c r="A72" s="3" t="s">
        <v>1349</v>
      </c>
      <c r="B72" s="0" t="s">
        <v>613</v>
      </c>
      <c r="C72" s="0" t="s">
        <v>604</v>
      </c>
      <c r="D72" s="32" t="s">
        <v>1060</v>
      </c>
      <c r="F72" s="22" t="s">
        <v>1310</v>
      </c>
      <c r="G72" s="22" t="s">
        <v>1310</v>
      </c>
      <c r="H72" s="22" t="s">
        <v>1310</v>
      </c>
      <c r="I72" s="22" t="s">
        <v>1310</v>
      </c>
      <c r="J72" s="22" t="s">
        <v>1310</v>
      </c>
      <c r="K72" s="22" t="s">
        <v>1310</v>
      </c>
      <c r="L72" s="22" t="s">
        <v>1310</v>
      </c>
      <c r="M72" s="98" t="n">
        <v>3123.6</v>
      </c>
      <c r="N72" s="98" t="n">
        <v>4692.7</v>
      </c>
      <c r="O72" s="98" t="n">
        <v>5197.7</v>
      </c>
    </row>
    <row r="73" customFormat="false" ht="15" hidden="false" customHeight="false" outlineLevel="0" collapsed="false">
      <c r="A73" s="22" t="s">
        <v>1294</v>
      </c>
      <c r="F73" s="100" t="s">
        <v>1085</v>
      </c>
      <c r="G73" s="100" t="s">
        <v>1085</v>
      </c>
      <c r="H73" s="100" t="s">
        <v>1085</v>
      </c>
      <c r="I73" s="100" t="s">
        <v>1085</v>
      </c>
      <c r="J73" s="100" t="s">
        <v>1085</v>
      </c>
      <c r="K73" s="100" t="s">
        <v>1085</v>
      </c>
      <c r="L73" s="100" t="s">
        <v>1085</v>
      </c>
      <c r="M73" s="57" t="s">
        <v>552</v>
      </c>
      <c r="N73" s="57" t="s">
        <v>552</v>
      </c>
      <c r="O73" s="57" t="s">
        <v>552</v>
      </c>
    </row>
    <row r="74" customFormat="false" ht="15" hidden="false" customHeight="false" outlineLevel="0" collapsed="false">
      <c r="A74" s="22" t="s">
        <v>1295</v>
      </c>
    </row>
    <row r="75" customFormat="false" ht="15" hidden="false" customHeight="false" outlineLevel="0" collapsed="false">
      <c r="A75" s="22" t="s">
        <v>1296</v>
      </c>
      <c r="F75" s="22" t="s">
        <v>1085</v>
      </c>
      <c r="G75" s="22" t="s">
        <v>1085</v>
      </c>
      <c r="H75" s="22" t="s">
        <v>1085</v>
      </c>
      <c r="I75" s="22" t="s">
        <v>1085</v>
      </c>
      <c r="J75" s="22" t="s">
        <v>1085</v>
      </c>
      <c r="K75" s="22" t="s">
        <v>1085</v>
      </c>
      <c r="L75" s="22" t="s">
        <v>1085</v>
      </c>
      <c r="M75" s="22" t="s">
        <v>1060</v>
      </c>
      <c r="N75" s="22" t="s">
        <v>1060</v>
      </c>
      <c r="O75" s="22" t="s">
        <v>1060</v>
      </c>
    </row>
    <row r="76" customFormat="false" ht="15" hidden="false" customHeight="false" outlineLevel="0" collapsed="false">
      <c r="A76" s="3" t="s">
        <v>1307</v>
      </c>
      <c r="F76" s="99" t="n">
        <f aca="false">IF(F73="Not disclosed",F74,F72)</f>
        <v>0</v>
      </c>
      <c r="G76" s="99" t="n">
        <f aca="false">IF(G73="Not disclosed",G74,G72)</f>
        <v>0</v>
      </c>
      <c r="H76" s="99" t="n">
        <f aca="false">IF(H73="Not disclosed",H74,H72)</f>
        <v>0</v>
      </c>
      <c r="I76" s="99" t="n">
        <f aca="false">IF(I73="Not disclosed",I74,I72)</f>
        <v>0</v>
      </c>
      <c r="J76" s="99" t="n">
        <f aca="false">IF(J73="Not disclosed",J74,J72)</f>
        <v>0</v>
      </c>
      <c r="K76" s="99" t="n">
        <f aca="false">IF(K73="Not disclosed",K74,K72)</f>
        <v>0</v>
      </c>
      <c r="L76" s="99" t="n">
        <f aca="false">IF(L73="Not disclosed",L74,L72)</f>
        <v>0</v>
      </c>
      <c r="M76" s="99" t="n">
        <f aca="false">IF(M73="Not disclosed",M74,M72)</f>
        <v>3123.6</v>
      </c>
      <c r="N76" s="99" t="n">
        <f aca="false">IF(N73="Not disclosed",N74,N72)</f>
        <v>4692.7</v>
      </c>
      <c r="O76" s="99" t="n">
        <f aca="false">IF(O73="Not disclosed",O74,O72)</f>
        <v>5197.7</v>
      </c>
    </row>
    <row r="78" customFormat="false" ht="15" hidden="false" customHeight="false" outlineLevel="0" collapsed="false">
      <c r="A78" s="3" t="s">
        <v>1350</v>
      </c>
      <c r="B78" s="0" t="s">
        <v>613</v>
      </c>
      <c r="C78" s="0" t="s">
        <v>604</v>
      </c>
      <c r="D78" s="32" t="s">
        <v>1351</v>
      </c>
      <c r="F78" s="22" t="s">
        <v>1310</v>
      </c>
      <c r="G78" s="22" t="s">
        <v>1310</v>
      </c>
      <c r="H78" s="22" t="s">
        <v>1310</v>
      </c>
      <c r="I78" s="22" t="s">
        <v>1310</v>
      </c>
      <c r="J78" s="22" t="s">
        <v>1310</v>
      </c>
      <c r="K78" s="22" t="s">
        <v>1310</v>
      </c>
      <c r="L78" s="22" t="s">
        <v>1310</v>
      </c>
      <c r="M78" s="22" t="s">
        <v>1310</v>
      </c>
      <c r="N78" s="98" t="n">
        <v>208.8</v>
      </c>
      <c r="O78" s="98" t="n">
        <v>253.8</v>
      </c>
    </row>
    <row r="79" customFormat="false" ht="15" hidden="false" customHeight="false" outlineLevel="0" collapsed="false">
      <c r="A79" s="22" t="s">
        <v>1294</v>
      </c>
      <c r="F79" s="100" t="s">
        <v>1085</v>
      </c>
      <c r="G79" s="100" t="s">
        <v>1085</v>
      </c>
      <c r="H79" s="100" t="s">
        <v>1085</v>
      </c>
      <c r="I79" s="100" t="s">
        <v>1085</v>
      </c>
      <c r="J79" s="100" t="s">
        <v>1085</v>
      </c>
      <c r="K79" s="100" t="s">
        <v>1085</v>
      </c>
      <c r="L79" s="100" t="s">
        <v>1085</v>
      </c>
      <c r="M79" s="100" t="s">
        <v>1085</v>
      </c>
      <c r="N79" s="57" t="s">
        <v>552</v>
      </c>
      <c r="O79" s="57" t="s">
        <v>552</v>
      </c>
    </row>
    <row r="80" customFormat="false" ht="15" hidden="false" customHeight="false" outlineLevel="0" collapsed="false">
      <c r="A80" s="22" t="s">
        <v>1295</v>
      </c>
      <c r="F80" s="101" t="n">
        <v>8.9</v>
      </c>
      <c r="G80" s="101" t="n">
        <v>11.4</v>
      </c>
      <c r="H80" s="101" t="n">
        <v>23.5</v>
      </c>
      <c r="I80" s="101" t="n">
        <v>33.3</v>
      </c>
      <c r="J80" s="101" t="n">
        <v>49.1</v>
      </c>
      <c r="K80" s="101" t="n">
        <v>75.2</v>
      </c>
      <c r="L80" s="101" t="n">
        <v>99</v>
      </c>
      <c r="M80" s="101" t="n">
        <v>180.7</v>
      </c>
    </row>
    <row r="81" customFormat="false" ht="15" hidden="false" customHeight="false" outlineLevel="0" collapsed="false">
      <c r="A81" s="22" t="s">
        <v>1296</v>
      </c>
      <c r="F81" s="22" t="s">
        <v>1352</v>
      </c>
      <c r="G81" s="22" t="s">
        <v>1352</v>
      </c>
      <c r="H81" s="22" t="s">
        <v>1352</v>
      </c>
      <c r="I81" s="22" t="s">
        <v>1352</v>
      </c>
      <c r="J81" s="22" t="s">
        <v>1352</v>
      </c>
      <c r="K81" s="22" t="s">
        <v>1352</v>
      </c>
      <c r="L81" s="22" t="s">
        <v>1352</v>
      </c>
      <c r="M81" s="22" t="s">
        <v>1352</v>
      </c>
      <c r="N81" s="22" t="s">
        <v>1060</v>
      </c>
      <c r="O81" s="22" t="s">
        <v>1060</v>
      </c>
    </row>
    <row r="82" customFormat="false" ht="15" hidden="false" customHeight="false" outlineLevel="0" collapsed="false">
      <c r="A82" s="3" t="s">
        <v>1307</v>
      </c>
      <c r="F82" s="99" t="n">
        <f aca="false">IF(F79="Not disclosed",F80,F78)</f>
        <v>8.9</v>
      </c>
      <c r="G82" s="99" t="n">
        <f aca="false">IF(G79="Not disclosed",G80,G78)</f>
        <v>11.4</v>
      </c>
      <c r="H82" s="99" t="n">
        <f aca="false">IF(H79="Not disclosed",H80,H78)</f>
        <v>23.5</v>
      </c>
      <c r="I82" s="99" t="n">
        <f aca="false">IF(I79="Not disclosed",I80,I78)</f>
        <v>33.3</v>
      </c>
      <c r="J82" s="99" t="n">
        <f aca="false">IF(J79="Not disclosed",J80,J78)</f>
        <v>49.1</v>
      </c>
      <c r="K82" s="99" t="n">
        <f aca="false">IF(K79="Not disclosed",K80,K78)</f>
        <v>75.2</v>
      </c>
      <c r="L82" s="99" t="n">
        <f aca="false">IF(L79="Not disclosed",L80,L78)</f>
        <v>99</v>
      </c>
      <c r="M82" s="99" t="n">
        <f aca="false">IF(M79="Not disclosed",M80,M78)</f>
        <v>180.7</v>
      </c>
      <c r="N82" s="99" t="n">
        <f aca="false">IF(N79="Not disclosed",N80,N78)</f>
        <v>208.8</v>
      </c>
      <c r="O82" s="99" t="n">
        <f aca="false">IF(O79="Not disclosed",O80,O78)</f>
        <v>253.8</v>
      </c>
    </row>
    <row r="84" customFormat="false" ht="15" hidden="false" customHeight="false" outlineLevel="0" collapsed="false">
      <c r="A84" s="3" t="s">
        <v>1353</v>
      </c>
      <c r="B84" s="0" t="s">
        <v>613</v>
      </c>
      <c r="C84" s="0" t="s">
        <v>604</v>
      </c>
      <c r="D84" s="32" t="s">
        <v>1354</v>
      </c>
      <c r="F84" s="22" t="s">
        <v>1310</v>
      </c>
      <c r="G84" s="22" t="s">
        <v>1310</v>
      </c>
      <c r="H84" s="22" t="s">
        <v>1310</v>
      </c>
      <c r="I84" s="22" t="s">
        <v>1310</v>
      </c>
      <c r="J84" s="22" t="s">
        <v>1310</v>
      </c>
      <c r="K84" s="22" t="s">
        <v>1310</v>
      </c>
      <c r="L84" s="22" t="s">
        <v>1310</v>
      </c>
      <c r="M84" s="22" t="s">
        <v>1310</v>
      </c>
      <c r="N84" s="98" t="n">
        <v>15.7</v>
      </c>
      <c r="O84" s="98" t="n">
        <v>40.2</v>
      </c>
    </row>
    <row r="85" customFormat="false" ht="15" hidden="false" customHeight="false" outlineLevel="0" collapsed="false">
      <c r="A85" s="22" t="s">
        <v>1294</v>
      </c>
      <c r="F85" s="100" t="s">
        <v>1085</v>
      </c>
      <c r="G85" s="100" t="s">
        <v>1085</v>
      </c>
      <c r="H85" s="100" t="s">
        <v>1085</v>
      </c>
      <c r="I85" s="100" t="s">
        <v>1085</v>
      </c>
      <c r="J85" s="100" t="s">
        <v>1085</v>
      </c>
      <c r="K85" s="100" t="s">
        <v>1085</v>
      </c>
      <c r="L85" s="100" t="s">
        <v>1085</v>
      </c>
      <c r="M85" s="100" t="s">
        <v>1085</v>
      </c>
      <c r="N85" s="57" t="s">
        <v>552</v>
      </c>
      <c r="O85" s="57" t="s">
        <v>552</v>
      </c>
    </row>
    <row r="86" customFormat="false" ht="15" hidden="false" customHeight="false" outlineLevel="0" collapsed="false">
      <c r="A86" s="22" t="s">
        <v>1295</v>
      </c>
      <c r="F86" s="101" t="n">
        <v>0</v>
      </c>
      <c r="G86" s="101" t="n">
        <v>0</v>
      </c>
      <c r="H86" s="101" t="n">
        <v>0</v>
      </c>
      <c r="I86" s="101" t="n">
        <v>0</v>
      </c>
      <c r="J86" s="101" t="n">
        <v>0</v>
      </c>
      <c r="K86" s="101" t="n">
        <v>0</v>
      </c>
      <c r="L86" s="101" t="n">
        <v>0</v>
      </c>
      <c r="M86" s="101" t="n">
        <v>0</v>
      </c>
    </row>
    <row r="87" customFormat="false" ht="15" hidden="false" customHeight="false" outlineLevel="0" collapsed="false">
      <c r="A87" s="22" t="s">
        <v>1296</v>
      </c>
      <c r="F87" s="22" t="s">
        <v>1355</v>
      </c>
      <c r="G87" s="22" t="s">
        <v>1355</v>
      </c>
      <c r="H87" s="22" t="s">
        <v>1355</v>
      </c>
      <c r="I87" s="22" t="s">
        <v>1355</v>
      </c>
      <c r="J87" s="22" t="s">
        <v>1355</v>
      </c>
      <c r="K87" s="22" t="s">
        <v>1355</v>
      </c>
      <c r="L87" s="22" t="s">
        <v>1355</v>
      </c>
      <c r="M87" s="22" t="s">
        <v>1355</v>
      </c>
      <c r="N87" s="22" t="s">
        <v>1356</v>
      </c>
      <c r="O87" s="22" t="s">
        <v>1356</v>
      </c>
    </row>
    <row r="88" customFormat="false" ht="15" hidden="false" customHeight="false" outlineLevel="0" collapsed="false">
      <c r="A88" s="3" t="s">
        <v>1307</v>
      </c>
      <c r="F88" s="99" t="n">
        <f aca="false">IF(F85="Not disclosed",F86,F84)</f>
        <v>0</v>
      </c>
      <c r="G88" s="99" t="n">
        <f aca="false">IF(G85="Not disclosed",G86,G84)</f>
        <v>0</v>
      </c>
      <c r="H88" s="99" t="n">
        <f aca="false">IF(H85="Not disclosed",H86,H84)</f>
        <v>0</v>
      </c>
      <c r="I88" s="99" t="n">
        <f aca="false">IF(I85="Not disclosed",I86,I84)</f>
        <v>0</v>
      </c>
      <c r="J88" s="99" t="n">
        <f aca="false">IF(J85="Not disclosed",J86,J84)</f>
        <v>0</v>
      </c>
      <c r="K88" s="99" t="n">
        <f aca="false">IF(K85="Not disclosed",K86,K84)</f>
        <v>0</v>
      </c>
      <c r="L88" s="99" t="n">
        <f aca="false">IF(L85="Not disclosed",L86,L84)</f>
        <v>0</v>
      </c>
      <c r="M88" s="99" t="n">
        <f aca="false">IF(M85="Not disclosed",M86,M84)</f>
        <v>0</v>
      </c>
      <c r="N88" s="99" t="n">
        <f aca="false">IF(N85="Not disclosed",N86,N84)</f>
        <v>15.7</v>
      </c>
      <c r="O88" s="99" t="n">
        <f aca="false">IF(O85="Not disclosed",O86,O84)</f>
        <v>40.2</v>
      </c>
    </row>
    <row r="90" customFormat="false" ht="15" hidden="false" customHeight="false" outlineLevel="0" collapsed="false">
      <c r="A90" s="3" t="s">
        <v>1357</v>
      </c>
      <c r="B90" s="0" t="s">
        <v>613</v>
      </c>
      <c r="C90" s="0" t="s">
        <v>604</v>
      </c>
      <c r="D90" s="32" t="s">
        <v>1358</v>
      </c>
      <c r="F90" s="98" t="n">
        <v>-70.9</v>
      </c>
      <c r="G90" s="98" t="n">
        <v>-58.1</v>
      </c>
      <c r="H90" s="98" t="n">
        <v>-45.9</v>
      </c>
      <c r="I90" s="98" t="n">
        <v>-63.9</v>
      </c>
      <c r="J90" s="98" t="n">
        <v>-53.7</v>
      </c>
      <c r="K90" s="98" t="n">
        <v>-21</v>
      </c>
      <c r="L90" s="98" t="n">
        <v>-5.2</v>
      </c>
      <c r="M90" s="98" t="n">
        <v>15</v>
      </c>
      <c r="N90" s="98" t="n">
        <v>129.5</v>
      </c>
      <c r="O90" s="98" t="n">
        <v>236.2</v>
      </c>
    </row>
    <row r="91" customFormat="false" ht="15" hidden="false" customHeight="false" outlineLevel="0" collapsed="false">
      <c r="A91" s="22" t="s">
        <v>1294</v>
      </c>
      <c r="F91" s="57" t="s">
        <v>552</v>
      </c>
      <c r="G91" s="57" t="s">
        <v>552</v>
      </c>
      <c r="H91" s="57" t="s">
        <v>552</v>
      </c>
      <c r="I91" s="57" t="s">
        <v>552</v>
      </c>
      <c r="J91" s="57" t="s">
        <v>552</v>
      </c>
      <c r="K91" s="57" t="s">
        <v>552</v>
      </c>
      <c r="L91" s="57" t="s">
        <v>552</v>
      </c>
      <c r="M91" s="57" t="s">
        <v>552</v>
      </c>
      <c r="N91" s="57" t="s">
        <v>552</v>
      </c>
      <c r="O91" s="57" t="s">
        <v>552</v>
      </c>
    </row>
    <row r="92" customFormat="false" ht="15" hidden="false" customHeight="false" outlineLevel="0" collapsed="false">
      <c r="A92" s="22" t="s">
        <v>1295</v>
      </c>
    </row>
    <row r="93" customFormat="false" ht="15" hidden="false" customHeight="false" outlineLevel="0" collapsed="false">
      <c r="A93" s="22" t="s">
        <v>1296</v>
      </c>
      <c r="F93" s="22" t="s">
        <v>1297</v>
      </c>
      <c r="G93" s="22" t="s">
        <v>1298</v>
      </c>
      <c r="H93" s="22" t="s">
        <v>1299</v>
      </c>
      <c r="I93" s="22" t="s">
        <v>1300</v>
      </c>
      <c r="J93" s="22" t="s">
        <v>1301</v>
      </c>
      <c r="K93" s="22" t="s">
        <v>1302</v>
      </c>
      <c r="L93" s="22" t="s">
        <v>1303</v>
      </c>
      <c r="M93" s="22" t="s">
        <v>1304</v>
      </c>
      <c r="N93" s="22" t="s">
        <v>1305</v>
      </c>
      <c r="O93" s="22" t="s">
        <v>1306</v>
      </c>
    </row>
    <row r="94" customFormat="false" ht="15" hidden="false" customHeight="false" outlineLevel="0" collapsed="false">
      <c r="A94" s="3" t="s">
        <v>1307</v>
      </c>
      <c r="F94" s="99" t="n">
        <f aca="false">IF(F91="Not disclosed",F92,F90)</f>
        <v>-70.9</v>
      </c>
      <c r="G94" s="99" t="n">
        <f aca="false">IF(G91="Not disclosed",G92,G90)</f>
        <v>-58.1</v>
      </c>
      <c r="H94" s="99" t="n">
        <f aca="false">IF(H91="Not disclosed",H92,H90)</f>
        <v>-45.9</v>
      </c>
      <c r="I94" s="99" t="n">
        <f aca="false">IF(I91="Not disclosed",I92,I90)</f>
        <v>-63.9</v>
      </c>
      <c r="J94" s="99" t="n">
        <f aca="false">IF(J91="Not disclosed",J92,J90)</f>
        <v>-53.7</v>
      </c>
      <c r="K94" s="99" t="n">
        <f aca="false">IF(K91="Not disclosed",K92,K90)</f>
        <v>-21</v>
      </c>
      <c r="L94" s="99" t="n">
        <f aca="false">IF(L91="Not disclosed",L92,L90)</f>
        <v>-5.2</v>
      </c>
      <c r="M94" s="99" t="n">
        <f aca="false">IF(M91="Not disclosed",M92,M90)</f>
        <v>15</v>
      </c>
      <c r="N94" s="99" t="n">
        <f aca="false">IF(N91="Not disclosed",N92,N90)</f>
        <v>129.5</v>
      </c>
      <c r="O94" s="99" t="n">
        <f aca="false">IF(O91="Not disclosed",O92,O90)</f>
        <v>236.2</v>
      </c>
    </row>
    <row r="96" customFormat="false" ht="15" hidden="false" customHeight="false" outlineLevel="0" collapsed="false">
      <c r="A96" s="3" t="s">
        <v>1359</v>
      </c>
      <c r="B96" s="0" t="s">
        <v>613</v>
      </c>
      <c r="C96" s="0" t="s">
        <v>604</v>
      </c>
      <c r="D96" s="32" t="s">
        <v>1360</v>
      </c>
      <c r="F96" s="22" t="s">
        <v>1310</v>
      </c>
      <c r="G96" s="22" t="s">
        <v>1310</v>
      </c>
      <c r="H96" s="22" t="s">
        <v>1310</v>
      </c>
      <c r="I96" s="98" t="n">
        <v>417.6</v>
      </c>
      <c r="J96" s="98" t="n">
        <v>544</v>
      </c>
      <c r="K96" s="98" t="n">
        <v>510.6</v>
      </c>
      <c r="L96" s="98" t="n">
        <v>955.5</v>
      </c>
      <c r="M96" s="98" t="n">
        <v>2056</v>
      </c>
      <c r="N96" s="98" t="n">
        <v>2472.9</v>
      </c>
      <c r="O96" s="98" t="n">
        <v>5657.4</v>
      </c>
    </row>
    <row r="97" customFormat="false" ht="15" hidden="false" customHeight="false" outlineLevel="0" collapsed="false">
      <c r="A97" s="22" t="s">
        <v>1294</v>
      </c>
      <c r="F97" s="100" t="s">
        <v>1085</v>
      </c>
      <c r="G97" s="100" t="s">
        <v>1085</v>
      </c>
      <c r="H97" s="100" t="s">
        <v>1085</v>
      </c>
      <c r="I97" s="57" t="s">
        <v>552</v>
      </c>
      <c r="J97" s="57" t="s">
        <v>552</v>
      </c>
      <c r="K97" s="57" t="s">
        <v>552</v>
      </c>
      <c r="L97" s="57" t="s">
        <v>552</v>
      </c>
      <c r="M97" s="57" t="s">
        <v>552</v>
      </c>
      <c r="N97" s="57" t="s">
        <v>574</v>
      </c>
      <c r="O97" s="57" t="s">
        <v>552</v>
      </c>
    </row>
    <row r="98" customFormat="false" ht="15" hidden="false" customHeight="false" outlineLevel="0" collapsed="false">
      <c r="A98" s="22" t="s">
        <v>1295</v>
      </c>
      <c r="F98" s="101" t="n">
        <v>130</v>
      </c>
      <c r="G98" s="101" t="n">
        <v>130</v>
      </c>
      <c r="H98" s="101" t="n">
        <v>129.9</v>
      </c>
    </row>
    <row r="99" customFormat="false" ht="15" hidden="false" customHeight="false" outlineLevel="0" collapsed="false">
      <c r="A99" s="22" t="s">
        <v>1296</v>
      </c>
      <c r="F99" s="22" t="s">
        <v>1361</v>
      </c>
      <c r="G99" s="22" t="s">
        <v>1361</v>
      </c>
      <c r="H99" s="22" t="s">
        <v>1361</v>
      </c>
      <c r="I99" s="22" t="s">
        <v>1362</v>
      </c>
      <c r="J99" s="22" t="s">
        <v>1363</v>
      </c>
      <c r="K99" s="22" t="s">
        <v>1364</v>
      </c>
      <c r="L99" s="22" t="s">
        <v>1365</v>
      </c>
      <c r="M99" s="22" t="s">
        <v>1366</v>
      </c>
      <c r="N99" s="22" t="s">
        <v>1367</v>
      </c>
      <c r="O99" s="22" t="s">
        <v>1368</v>
      </c>
    </row>
    <row r="100" customFormat="false" ht="15" hidden="false" customHeight="false" outlineLevel="0" collapsed="false">
      <c r="A100" s="3" t="s">
        <v>1307</v>
      </c>
      <c r="F100" s="99" t="n">
        <f aca="false">IF(F97="Not disclosed",F98,F96)</f>
        <v>130</v>
      </c>
      <c r="G100" s="99" t="n">
        <f aca="false">IF(G97="Not disclosed",G98,G96)</f>
        <v>130</v>
      </c>
      <c r="H100" s="99" t="n">
        <f aca="false">IF(H97="Not disclosed",H98,H96)</f>
        <v>129.9</v>
      </c>
      <c r="I100" s="99" t="n">
        <f aca="false">IF(I97="Not disclosed",I98,I96)</f>
        <v>417.6</v>
      </c>
      <c r="J100" s="99" t="n">
        <f aca="false">IF(J97="Not disclosed",J98,J96)</f>
        <v>544</v>
      </c>
      <c r="K100" s="99" t="n">
        <f aca="false">IF(K97="Not disclosed",K98,K96)</f>
        <v>510.6</v>
      </c>
      <c r="L100" s="99" t="n">
        <f aca="false">IF(L97="Not disclosed",L98,L96)</f>
        <v>955.5</v>
      </c>
      <c r="M100" s="99" t="n">
        <f aca="false">IF(M97="Not disclosed",M98,M96)</f>
        <v>2056</v>
      </c>
      <c r="N100" s="99" t="n">
        <f aca="false">IF(N97="Not disclosed",N98,N96)</f>
        <v>2472.9</v>
      </c>
      <c r="O100" s="99" t="n">
        <f aca="false">IF(O97="Not disclosed",O98,O96)</f>
        <v>5657.4</v>
      </c>
    </row>
    <row r="102" customFormat="false" ht="15" hidden="false" customHeight="false" outlineLevel="0" collapsed="false">
      <c r="A102" s="3" t="s">
        <v>1369</v>
      </c>
      <c r="B102" s="0" t="s">
        <v>613</v>
      </c>
      <c r="C102" s="0" t="s">
        <v>604</v>
      </c>
      <c r="D102" s="32"/>
      <c r="F102" s="22" t="s">
        <v>1310</v>
      </c>
      <c r="G102" s="22" t="s">
        <v>1310</v>
      </c>
      <c r="H102" s="22" t="s">
        <v>1310</v>
      </c>
      <c r="I102" s="98" t="n">
        <v>2434.7</v>
      </c>
      <c r="J102" s="98" t="n">
        <v>1447</v>
      </c>
      <c r="K102" s="98" t="n">
        <v>1679.3</v>
      </c>
      <c r="L102" s="98" t="n">
        <v>4794.8</v>
      </c>
      <c r="M102" s="98" t="n">
        <v>3678.1</v>
      </c>
      <c r="N102" s="98" t="n">
        <v>9298.2</v>
      </c>
      <c r="O102" s="98" t="n">
        <v>8042.1</v>
      </c>
    </row>
    <row r="103" customFormat="false" ht="15" hidden="false" customHeight="false" outlineLevel="0" collapsed="false">
      <c r="A103" s="22" t="s">
        <v>1294</v>
      </c>
      <c r="F103" s="100" t="s">
        <v>1085</v>
      </c>
      <c r="G103" s="100" t="s">
        <v>1085</v>
      </c>
      <c r="H103" s="100" t="s">
        <v>1085</v>
      </c>
      <c r="I103" s="57" t="s">
        <v>552</v>
      </c>
      <c r="J103" s="57" t="s">
        <v>552</v>
      </c>
      <c r="K103" s="57" t="s">
        <v>552</v>
      </c>
      <c r="L103" s="57" t="s">
        <v>552</v>
      </c>
      <c r="M103" s="57" t="s">
        <v>552</v>
      </c>
      <c r="N103" s="57" t="s">
        <v>552</v>
      </c>
      <c r="O103" s="57" t="s">
        <v>552</v>
      </c>
    </row>
    <row r="104" customFormat="false" ht="15" hidden="false" customHeight="false" outlineLevel="0" collapsed="false">
      <c r="A104" s="22" t="s">
        <v>1295</v>
      </c>
      <c r="F104" s="86" t="n">
        <v>2288.2</v>
      </c>
      <c r="G104" s="86" t="n">
        <v>2288.2</v>
      </c>
      <c r="H104" s="101" t="n">
        <v>2288.2</v>
      </c>
    </row>
    <row r="105" customFormat="false" ht="15" hidden="false" customHeight="false" outlineLevel="0" collapsed="false">
      <c r="A105" s="22" t="s">
        <v>1296</v>
      </c>
      <c r="F105" s="22" t="s">
        <v>1370</v>
      </c>
      <c r="G105" s="22" t="s">
        <v>1370</v>
      </c>
      <c r="H105" s="22" t="s">
        <v>1371</v>
      </c>
      <c r="I105" s="22" t="s">
        <v>1300</v>
      </c>
      <c r="J105" s="22" t="s">
        <v>1301</v>
      </c>
      <c r="K105" s="22" t="s">
        <v>1302</v>
      </c>
      <c r="L105" s="22" t="s">
        <v>1303</v>
      </c>
      <c r="M105" s="22" t="s">
        <v>1304</v>
      </c>
      <c r="N105" s="22" t="s">
        <v>1305</v>
      </c>
      <c r="O105" s="22" t="s">
        <v>1306</v>
      </c>
    </row>
    <row r="106" customFormat="false" ht="15" hidden="false" customHeight="false" outlineLevel="0" collapsed="false">
      <c r="A106" s="3" t="s">
        <v>1307</v>
      </c>
      <c r="F106" s="99" t="n">
        <f aca="false">IF(F103="Not disclosed",F104,F102)</f>
        <v>2288.2</v>
      </c>
      <c r="G106" s="99" t="n">
        <f aca="false">IF(G103="Not disclosed",G104,G102)</f>
        <v>2288.2</v>
      </c>
      <c r="H106" s="99" t="n">
        <f aca="false">IF(H103="Not disclosed",H104,H102)</f>
        <v>2288.2</v>
      </c>
      <c r="I106" s="99" t="n">
        <f aca="false">IF(I103="Not disclosed",I104,I102)</f>
        <v>2434.7</v>
      </c>
      <c r="J106" s="99" t="n">
        <f aca="false">IF(J103="Not disclosed",J104,J102)</f>
        <v>1447</v>
      </c>
      <c r="K106" s="99" t="n">
        <f aca="false">IF(K103="Not disclosed",K104,K102)</f>
        <v>1679.3</v>
      </c>
      <c r="L106" s="99" t="n">
        <f aca="false">IF(L103="Not disclosed",L104,L102)</f>
        <v>4794.8</v>
      </c>
      <c r="M106" s="99" t="n">
        <f aca="false">IF(M103="Not disclosed",M104,M102)</f>
        <v>3678.1</v>
      </c>
      <c r="N106" s="99" t="n">
        <f aca="false">IF(N103="Not disclosed",N104,N102)</f>
        <v>9298.2</v>
      </c>
      <c r="O106" s="99" t="n">
        <f aca="false">IF(O103="Not disclosed",O104,O102)</f>
        <v>8042.1</v>
      </c>
    </row>
    <row r="108" customFormat="false" ht="15" hidden="false" customHeight="false" outlineLevel="0" collapsed="false">
      <c r="A108" s="3" t="s">
        <v>1372</v>
      </c>
      <c r="B108" s="0" t="s">
        <v>635</v>
      </c>
      <c r="C108" s="0" t="s">
        <v>604</v>
      </c>
      <c r="D108" s="32"/>
      <c r="F108" s="22" t="s">
        <v>1310</v>
      </c>
      <c r="G108" s="22" t="s">
        <v>1310</v>
      </c>
      <c r="H108" s="102" t="n">
        <v>199.340118</v>
      </c>
      <c r="I108" s="102" t="n">
        <v>235.7536</v>
      </c>
      <c r="J108" s="102" t="n">
        <v>238.108831</v>
      </c>
      <c r="K108" s="102" t="n">
        <v>238.705092</v>
      </c>
      <c r="L108" s="102" t="n">
        <v>251.807222</v>
      </c>
      <c r="M108" s="102" t="n">
        <v>253.016971</v>
      </c>
      <c r="N108" s="102" t="n">
        <v>253.898194</v>
      </c>
      <c r="O108" s="102" t="n">
        <v>271.855218</v>
      </c>
    </row>
    <row r="109" customFormat="false" ht="15" hidden="false" customHeight="false" outlineLevel="0" collapsed="false">
      <c r="A109" s="22" t="s">
        <v>1294</v>
      </c>
      <c r="F109" s="100" t="s">
        <v>1085</v>
      </c>
      <c r="G109" s="100" t="s">
        <v>1085</v>
      </c>
      <c r="H109" s="57" t="s">
        <v>552</v>
      </c>
      <c r="I109" s="57" t="s">
        <v>552</v>
      </c>
      <c r="J109" s="57" t="s">
        <v>552</v>
      </c>
      <c r="K109" s="57" t="s">
        <v>552</v>
      </c>
      <c r="L109" s="57" t="s">
        <v>552</v>
      </c>
      <c r="M109" s="57" t="s">
        <v>552</v>
      </c>
      <c r="N109" s="57" t="s">
        <v>552</v>
      </c>
      <c r="O109" s="57" t="s">
        <v>552</v>
      </c>
    </row>
    <row r="110" customFormat="false" ht="15" hidden="false" customHeight="false" outlineLevel="0" collapsed="false">
      <c r="A110" s="22" t="s">
        <v>1295</v>
      </c>
      <c r="F110" s="103" t="n">
        <v>199.34</v>
      </c>
      <c r="G110" s="103" t="n">
        <v>199.34</v>
      </c>
    </row>
    <row r="111" customFormat="false" ht="15" hidden="false" customHeight="false" outlineLevel="0" collapsed="false">
      <c r="A111" s="22" t="s">
        <v>1296</v>
      </c>
      <c r="F111" s="22" t="s">
        <v>1373</v>
      </c>
      <c r="G111" s="22" t="s">
        <v>1373</v>
      </c>
      <c r="H111" s="22" t="s">
        <v>1299</v>
      </c>
      <c r="I111" s="22" t="s">
        <v>1300</v>
      </c>
      <c r="J111" s="22" t="s">
        <v>1301</v>
      </c>
      <c r="K111" s="22" t="s">
        <v>1302</v>
      </c>
      <c r="L111" s="22" t="s">
        <v>1303</v>
      </c>
      <c r="M111" s="22" t="s">
        <v>1304</v>
      </c>
      <c r="N111" s="22" t="s">
        <v>1305</v>
      </c>
      <c r="O111" s="22" t="s">
        <v>1306</v>
      </c>
    </row>
    <row r="112" customFormat="false" ht="15" hidden="false" customHeight="false" outlineLevel="0" collapsed="false">
      <c r="A112" s="3" t="s">
        <v>1307</v>
      </c>
      <c r="F112" s="104" t="n">
        <f aca="false">IF(F109="Not disclosed",F110,F108)</f>
        <v>199.34</v>
      </c>
      <c r="G112" s="104" t="n">
        <f aca="false">IF(G109="Not disclosed",G110,G108)</f>
        <v>199.34</v>
      </c>
      <c r="H112" s="104" t="n">
        <f aca="false">IF(H109="Not disclosed",H110,H108)</f>
        <v>199.340118</v>
      </c>
      <c r="I112" s="104" t="n">
        <f aca="false">IF(I109="Not disclosed",I110,I108)</f>
        <v>235.7536</v>
      </c>
      <c r="J112" s="104" t="n">
        <f aca="false">IF(J109="Not disclosed",J110,J108)</f>
        <v>238.108831</v>
      </c>
      <c r="K112" s="104" t="n">
        <f aca="false">IF(K109="Not disclosed",K110,K108)</f>
        <v>238.705092</v>
      </c>
      <c r="L112" s="104" t="n">
        <f aca="false">IF(L109="Not disclosed",L110,L108)</f>
        <v>251.807222</v>
      </c>
      <c r="M112" s="104" t="n">
        <f aca="false">IF(M109="Not disclosed",M110,M108)</f>
        <v>253.016971</v>
      </c>
      <c r="N112" s="104" t="n">
        <f aca="false">IF(N109="Not disclosed",N110,N108)</f>
        <v>253.898194</v>
      </c>
      <c r="O112" s="104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1374</v>
      </c>
      <c r="B114" s="0" t="s">
        <v>664</v>
      </c>
      <c r="C114" s="0" t="s">
        <v>558</v>
      </c>
      <c r="D114" s="32" t="s">
        <v>1375</v>
      </c>
      <c r="F114" s="22" t="s">
        <v>1310</v>
      </c>
      <c r="G114" s="22" t="s">
        <v>1310</v>
      </c>
      <c r="H114" s="22" t="s">
        <v>1310</v>
      </c>
      <c r="I114" s="22" t="s">
        <v>1310</v>
      </c>
      <c r="J114" s="22" t="s">
        <v>1310</v>
      </c>
      <c r="K114" s="22" t="s">
        <v>1310</v>
      </c>
      <c r="L114" s="22" t="s">
        <v>1310</v>
      </c>
      <c r="M114" s="98" t="n">
        <v>170</v>
      </c>
      <c r="N114" s="22" t="s">
        <v>1310</v>
      </c>
      <c r="O114" s="22" t="s">
        <v>1310</v>
      </c>
    </row>
    <row r="115" customFormat="false" ht="15" hidden="false" customHeight="false" outlineLevel="0" collapsed="false">
      <c r="A115" s="22" t="s">
        <v>1294</v>
      </c>
      <c r="F115" s="100" t="s">
        <v>1085</v>
      </c>
      <c r="G115" s="100" t="s">
        <v>1085</v>
      </c>
      <c r="H115" s="100" t="s">
        <v>1085</v>
      </c>
      <c r="I115" s="100" t="s">
        <v>1085</v>
      </c>
      <c r="J115" s="100" t="s">
        <v>1085</v>
      </c>
      <c r="K115" s="100" t="s">
        <v>1085</v>
      </c>
      <c r="L115" s="100" t="s">
        <v>1085</v>
      </c>
      <c r="M115" s="57" t="s">
        <v>552</v>
      </c>
      <c r="N115" s="100" t="s">
        <v>1085</v>
      </c>
      <c r="O115" s="100" t="s">
        <v>1085</v>
      </c>
    </row>
    <row r="116" customFormat="false" ht="15" hidden="false" customHeight="false" outlineLevel="0" collapsed="false">
      <c r="A116" s="22" t="s">
        <v>1295</v>
      </c>
      <c r="F116" s="101" t="n">
        <v>8.5</v>
      </c>
      <c r="G116" s="101" t="n">
        <v>10.8</v>
      </c>
      <c r="H116" s="101" t="n">
        <v>24</v>
      </c>
      <c r="I116" s="101" t="n">
        <v>26.3</v>
      </c>
      <c r="J116" s="101" t="n">
        <v>38</v>
      </c>
      <c r="K116" s="101" t="n">
        <v>78.5</v>
      </c>
      <c r="L116" s="101" t="n">
        <v>109.1</v>
      </c>
      <c r="N116" s="101" t="n">
        <v>291.7</v>
      </c>
      <c r="O116" s="101" t="n">
        <v>413.3</v>
      </c>
    </row>
    <row r="117" customFormat="false" ht="15" hidden="false" customHeight="false" outlineLevel="0" collapsed="false">
      <c r="A117" s="22" t="s">
        <v>1296</v>
      </c>
      <c r="F117" s="22" t="s">
        <v>1376</v>
      </c>
      <c r="G117" s="22" t="s">
        <v>1376</v>
      </c>
      <c r="H117" s="22" t="s">
        <v>1376</v>
      </c>
      <c r="I117" s="22" t="s">
        <v>1376</v>
      </c>
      <c r="J117" s="22" t="s">
        <v>1376</v>
      </c>
      <c r="K117" s="22" t="s">
        <v>1376</v>
      </c>
      <c r="L117" s="22" t="s">
        <v>1376</v>
      </c>
      <c r="M117" s="22" t="s">
        <v>1377</v>
      </c>
      <c r="N117" s="22" t="s">
        <v>1378</v>
      </c>
      <c r="O117" s="22" t="s">
        <v>1378</v>
      </c>
    </row>
    <row r="118" customFormat="false" ht="15" hidden="false" customHeight="false" outlineLevel="0" collapsed="false">
      <c r="A118" s="3" t="s">
        <v>1307</v>
      </c>
      <c r="F118" s="99" t="n">
        <f aca="false">IF(F115="Not disclosed",F116,F114)</f>
        <v>8.5</v>
      </c>
      <c r="G118" s="99" t="n">
        <f aca="false">IF(G115="Not disclosed",G116,G114)</f>
        <v>10.8</v>
      </c>
      <c r="H118" s="99" t="n">
        <f aca="false">IF(H115="Not disclosed",H116,H114)</f>
        <v>24</v>
      </c>
      <c r="I118" s="99" t="n">
        <f aca="false">IF(I115="Not disclosed",I116,I114)</f>
        <v>26.3</v>
      </c>
      <c r="J118" s="99" t="n">
        <f aca="false">IF(J115="Not disclosed",J116,J114)</f>
        <v>38</v>
      </c>
      <c r="K118" s="99" t="n">
        <f aca="false">IF(K115="Not disclosed",K116,K114)</f>
        <v>78.5</v>
      </c>
      <c r="L118" s="99" t="n">
        <f aca="false">IF(L115="Not disclosed",L116,L114)</f>
        <v>109.1</v>
      </c>
      <c r="M118" s="99" t="n">
        <f aca="false">IF(M115="Not disclosed",M116,M114)</f>
        <v>170</v>
      </c>
      <c r="N118" s="99" t="n">
        <f aca="false">IF(N115="Not disclosed",N116,N114)</f>
        <v>291.7</v>
      </c>
      <c r="O118" s="99" t="n">
        <f aca="false">IF(O115="Not disclosed",O116,O114)</f>
        <v>413.3</v>
      </c>
    </row>
    <row r="120" customFormat="false" ht="15" hidden="false" customHeight="false" outlineLevel="0" collapsed="false">
      <c r="A120" s="3" t="s">
        <v>1379</v>
      </c>
      <c r="B120" s="0" t="s">
        <v>664</v>
      </c>
      <c r="C120" s="0" t="s">
        <v>981</v>
      </c>
      <c r="D120" s="32" t="s">
        <v>1380</v>
      </c>
      <c r="F120" s="22" t="s">
        <v>1310</v>
      </c>
      <c r="G120" s="22" t="s">
        <v>1310</v>
      </c>
      <c r="H120" s="22" t="s">
        <v>1310</v>
      </c>
      <c r="I120" s="22" t="s">
        <v>1310</v>
      </c>
      <c r="J120" s="22" t="s">
        <v>1310</v>
      </c>
      <c r="K120" s="22" t="s">
        <v>1310</v>
      </c>
      <c r="L120" s="22" t="s">
        <v>1310</v>
      </c>
      <c r="M120" s="98" t="n">
        <v>2000</v>
      </c>
      <c r="N120" s="22" t="s">
        <v>1310</v>
      </c>
      <c r="O120" s="98" t="n">
        <v>3500</v>
      </c>
    </row>
    <row r="121" customFormat="false" ht="15" hidden="false" customHeight="false" outlineLevel="0" collapsed="false">
      <c r="A121" s="22" t="s">
        <v>1294</v>
      </c>
      <c r="F121" s="100" t="s">
        <v>1085</v>
      </c>
      <c r="G121" s="100" t="s">
        <v>1085</v>
      </c>
      <c r="H121" s="100" t="s">
        <v>1085</v>
      </c>
      <c r="I121" s="100" t="s">
        <v>1085</v>
      </c>
      <c r="J121" s="100" t="s">
        <v>1085</v>
      </c>
      <c r="K121" s="100" t="s">
        <v>1085</v>
      </c>
      <c r="L121" s="100" t="s">
        <v>1085</v>
      </c>
      <c r="M121" s="57" t="s">
        <v>552</v>
      </c>
      <c r="N121" s="100" t="s">
        <v>1085</v>
      </c>
      <c r="O121" s="57" t="s">
        <v>552</v>
      </c>
    </row>
    <row r="122" customFormat="false" ht="15" hidden="false" customHeight="false" outlineLevel="0" collapsed="false">
      <c r="A122" s="22" t="s">
        <v>1295</v>
      </c>
      <c r="F122" s="74" t="n">
        <v>0</v>
      </c>
      <c r="G122" s="74" t="n">
        <v>0</v>
      </c>
      <c r="H122" s="74" t="n">
        <v>0</v>
      </c>
      <c r="I122" s="74" t="n">
        <v>0</v>
      </c>
      <c r="J122" s="74" t="n">
        <v>0</v>
      </c>
      <c r="K122" s="74" t="n">
        <v>0</v>
      </c>
      <c r="L122" s="74" t="n">
        <v>0</v>
      </c>
      <c r="N122" s="101" t="n">
        <v>2750</v>
      </c>
    </row>
    <row r="123" customFormat="false" ht="15" hidden="false" customHeight="false" outlineLevel="0" collapsed="false">
      <c r="A123" s="22" t="s">
        <v>1296</v>
      </c>
      <c r="F123" s="22" t="s">
        <v>1381</v>
      </c>
      <c r="G123" s="22" t="s">
        <v>1381</v>
      </c>
      <c r="H123" s="22" t="s">
        <v>1381</v>
      </c>
      <c r="I123" s="22" t="s">
        <v>1381</v>
      </c>
      <c r="J123" s="22" t="s">
        <v>1381</v>
      </c>
      <c r="K123" s="22" t="s">
        <v>1381</v>
      </c>
      <c r="L123" s="22" t="s">
        <v>1381</v>
      </c>
      <c r="M123" s="22" t="s">
        <v>1382</v>
      </c>
      <c r="N123" s="22" t="s">
        <v>1383</v>
      </c>
      <c r="O123" s="22" t="s">
        <v>1384</v>
      </c>
    </row>
    <row r="124" customFormat="false" ht="15" hidden="false" customHeight="false" outlineLevel="0" collapsed="false">
      <c r="A124" s="3" t="s">
        <v>1307</v>
      </c>
      <c r="F124" s="99" t="n">
        <f aca="false">IF(F121="Not disclosed",F122,F120)</f>
        <v>0</v>
      </c>
      <c r="G124" s="99" t="n">
        <f aca="false">IF(G121="Not disclosed",G122,G120)</f>
        <v>0</v>
      </c>
      <c r="H124" s="99" t="n">
        <f aca="false">IF(H121="Not disclosed",H122,H120)</f>
        <v>0</v>
      </c>
      <c r="I124" s="99" t="n">
        <f aca="false">IF(I121="Not disclosed",I122,I120)</f>
        <v>0</v>
      </c>
      <c r="J124" s="99" t="n">
        <f aca="false">IF(J121="Not disclosed",J122,J120)</f>
        <v>0</v>
      </c>
      <c r="K124" s="99" t="n">
        <f aca="false">IF(K121="Not disclosed",K122,K120)</f>
        <v>0</v>
      </c>
      <c r="L124" s="99" t="n">
        <f aca="false">IF(L121="Not disclosed",L122,L120)</f>
        <v>0</v>
      </c>
      <c r="M124" s="99" t="n">
        <f aca="false">IF(M121="Not disclosed",M122,M120)</f>
        <v>2000</v>
      </c>
      <c r="N124" s="99" t="n">
        <f aca="false">IF(N121="Not disclosed",N122,N120)</f>
        <v>2750</v>
      </c>
      <c r="O124" s="99" t="n">
        <f aca="false">IF(O121="Not disclosed",O122,O120)</f>
        <v>3500</v>
      </c>
    </row>
    <row r="126" customFormat="false" ht="15" hidden="false" customHeight="false" outlineLevel="0" collapsed="false">
      <c r="A126" s="3" t="s">
        <v>1385</v>
      </c>
      <c r="B126" s="0" t="s">
        <v>613</v>
      </c>
      <c r="C126" s="0" t="s">
        <v>604</v>
      </c>
      <c r="D126" s="32" t="s">
        <v>1386</v>
      </c>
      <c r="F126" s="22" t="s">
        <v>1310</v>
      </c>
      <c r="G126" s="22" t="s">
        <v>1310</v>
      </c>
      <c r="H126" s="22" t="s">
        <v>1310</v>
      </c>
      <c r="I126" s="22" t="s">
        <v>1310</v>
      </c>
      <c r="J126" s="22" t="s">
        <v>1310</v>
      </c>
      <c r="K126" s="22" t="s">
        <v>1310</v>
      </c>
      <c r="L126" s="22" t="s">
        <v>1310</v>
      </c>
      <c r="M126" s="68" t="n">
        <v>1578</v>
      </c>
      <c r="N126" s="68" t="n">
        <v>4778</v>
      </c>
      <c r="O126" s="68" t="n">
        <v>5975</v>
      </c>
    </row>
    <row r="127" customFormat="false" ht="15" hidden="false" customHeight="false" outlineLevel="0" collapsed="false">
      <c r="A127" s="22" t="s">
        <v>1294</v>
      </c>
      <c r="F127" s="100" t="s">
        <v>1085</v>
      </c>
      <c r="G127" s="100" t="s">
        <v>1085</v>
      </c>
      <c r="H127" s="100" t="s">
        <v>1085</v>
      </c>
      <c r="I127" s="100" t="s">
        <v>1085</v>
      </c>
      <c r="J127" s="100" t="s">
        <v>1085</v>
      </c>
      <c r="K127" s="100" t="s">
        <v>1085</v>
      </c>
      <c r="L127" s="100" t="s">
        <v>1085</v>
      </c>
      <c r="M127" s="57" t="s">
        <v>552</v>
      </c>
      <c r="N127" s="57" t="s">
        <v>552</v>
      </c>
      <c r="O127" s="57" t="s">
        <v>552</v>
      </c>
    </row>
    <row r="128" customFormat="false" ht="15" hidden="false" customHeight="false" outlineLevel="0" collapsed="false">
      <c r="A128" s="22" t="s">
        <v>1295</v>
      </c>
      <c r="F128" s="74" t="n">
        <v>0</v>
      </c>
      <c r="G128" s="74" t="n">
        <v>0</v>
      </c>
      <c r="H128" s="74" t="n">
        <v>0</v>
      </c>
      <c r="I128" s="74" t="n">
        <v>0</v>
      </c>
      <c r="J128" s="74" t="n">
        <v>0</v>
      </c>
      <c r="K128" s="74" t="n">
        <v>0</v>
      </c>
      <c r="L128" s="74" t="n">
        <v>0</v>
      </c>
    </row>
    <row r="129" customFormat="false" ht="15" hidden="false" customHeight="false" outlineLevel="0" collapsed="false">
      <c r="A129" s="22" t="s">
        <v>1296</v>
      </c>
      <c r="F129" s="22" t="s">
        <v>1387</v>
      </c>
      <c r="G129" s="22" t="s">
        <v>1387</v>
      </c>
      <c r="H129" s="22" t="s">
        <v>1387</v>
      </c>
      <c r="I129" s="22" t="s">
        <v>1387</v>
      </c>
      <c r="J129" s="22" t="s">
        <v>1387</v>
      </c>
      <c r="K129" s="22" t="s">
        <v>1387</v>
      </c>
      <c r="L129" s="22" t="s">
        <v>1387</v>
      </c>
      <c r="M129" s="22" t="s">
        <v>1388</v>
      </c>
      <c r="N129" s="22" t="s">
        <v>1389</v>
      </c>
      <c r="O129" s="22" t="s">
        <v>1390</v>
      </c>
    </row>
    <row r="130" customFormat="false" ht="15" hidden="false" customHeight="false" outlineLevel="0" collapsed="false">
      <c r="A130" s="3" t="s">
        <v>1307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1391</v>
      </c>
      <c r="B132" s="0" t="s">
        <v>613</v>
      </c>
      <c r="C132" s="0" t="s">
        <v>604</v>
      </c>
      <c r="D132" s="32" t="s">
        <v>1392</v>
      </c>
      <c r="F132" s="22" t="s">
        <v>1310</v>
      </c>
      <c r="G132" s="22" t="s">
        <v>1310</v>
      </c>
      <c r="H132" s="22" t="s">
        <v>1310</v>
      </c>
      <c r="I132" s="22" t="s">
        <v>1310</v>
      </c>
      <c r="J132" s="22" t="s">
        <v>1310</v>
      </c>
      <c r="K132" s="22" t="s">
        <v>1310</v>
      </c>
      <c r="L132" s="22" t="s">
        <v>1310</v>
      </c>
      <c r="M132" s="68" t="n">
        <v>21300</v>
      </c>
      <c r="N132" s="68" t="n">
        <v>33600</v>
      </c>
      <c r="O132" s="68" t="n">
        <v>37490.6</v>
      </c>
    </row>
    <row r="133" customFormat="false" ht="15" hidden="false" customHeight="false" outlineLevel="0" collapsed="false">
      <c r="A133" s="22" t="s">
        <v>1294</v>
      </c>
      <c r="F133" s="100" t="s">
        <v>1085</v>
      </c>
      <c r="G133" s="100" t="s">
        <v>1085</v>
      </c>
      <c r="H133" s="100" t="s">
        <v>1085</v>
      </c>
      <c r="I133" s="100" t="s">
        <v>1085</v>
      </c>
      <c r="J133" s="100" t="s">
        <v>1085</v>
      </c>
      <c r="K133" s="100" t="s">
        <v>1085</v>
      </c>
      <c r="L133" s="100" t="s">
        <v>1085</v>
      </c>
      <c r="M133" s="57" t="s">
        <v>552</v>
      </c>
      <c r="N133" s="57" t="s">
        <v>552</v>
      </c>
      <c r="O133" s="57" t="s">
        <v>552</v>
      </c>
    </row>
    <row r="134" customFormat="false" ht="15" hidden="false" customHeight="false" outlineLevel="0" collapsed="false">
      <c r="A134" s="22" t="s">
        <v>1295</v>
      </c>
    </row>
    <row r="135" customFormat="false" ht="15" hidden="false" customHeight="false" outlineLevel="0" collapsed="false">
      <c r="A135" s="22" t="s">
        <v>1296</v>
      </c>
      <c r="F135" s="22" t="s">
        <v>1393</v>
      </c>
      <c r="G135" s="22" t="s">
        <v>1393</v>
      </c>
      <c r="H135" s="22" t="s">
        <v>1393</v>
      </c>
      <c r="I135" s="22" t="s">
        <v>1393</v>
      </c>
      <c r="J135" s="22" t="s">
        <v>1393</v>
      </c>
      <c r="K135" s="22" t="s">
        <v>1393</v>
      </c>
      <c r="L135" s="22" t="s">
        <v>1393</v>
      </c>
      <c r="M135" s="22" t="s">
        <v>1394</v>
      </c>
      <c r="N135" s="22" t="s">
        <v>1389</v>
      </c>
      <c r="O135" s="22" t="s">
        <v>1395</v>
      </c>
    </row>
    <row r="136" customFormat="false" ht="15" hidden="false" customHeight="false" outlineLevel="0" collapsed="false">
      <c r="A136" s="3" t="s">
        <v>1307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1396</v>
      </c>
    </row>
    <row r="2" customFormat="false" ht="15" hidden="false" customHeight="false" outlineLevel="0" collapsed="false">
      <c r="A2" s="22" t="s">
        <v>1397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1406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3" t="s">
        <v>1407</v>
      </c>
      <c r="B11" s="3" t="s">
        <v>1408</v>
      </c>
      <c r="C11" s="3" t="s">
        <v>1409</v>
      </c>
      <c r="D11" s="3" t="s">
        <v>1410</v>
      </c>
      <c r="E11" s="3" t="s">
        <v>1411</v>
      </c>
      <c r="F11" s="3" t="s">
        <v>1412</v>
      </c>
      <c r="G11" s="3" t="s">
        <v>1413</v>
      </c>
      <c r="H11" s="3" t="s">
        <v>1414</v>
      </c>
      <c r="I11" s="3" t="s">
        <v>1415</v>
      </c>
      <c r="J11" s="3" t="s">
        <v>1416</v>
      </c>
      <c r="K11" s="3" t="s">
        <v>1417</v>
      </c>
      <c r="L11" s="3" t="s">
        <v>1418</v>
      </c>
      <c r="M11" s="3" t="s">
        <v>1419</v>
      </c>
      <c r="N11" s="3" t="s">
        <v>1420</v>
      </c>
      <c r="O11" s="3" t="s">
        <v>1421</v>
      </c>
      <c r="P11" s="3" t="s">
        <v>1422</v>
      </c>
      <c r="Q11" s="3" t="s">
        <v>1423</v>
      </c>
    </row>
    <row r="12" customFormat="false" ht="15" hidden="false" customHeight="false" outlineLevel="0" collapsed="false">
      <c r="A12" s="0" t="s">
        <v>1424</v>
      </c>
      <c r="B12" s="106" t="s">
        <v>1425</v>
      </c>
      <c r="C12" s="106" t="s">
        <v>1426</v>
      </c>
      <c r="D12" s="22" t="s">
        <v>1427</v>
      </c>
      <c r="E12" s="106" t="s">
        <v>1428</v>
      </c>
      <c r="F12" s="23" t="n">
        <f aca="false">IF(CapV=2,Q12,IF(C12="Facility",1/PUE,1))</f>
        <v>1</v>
      </c>
      <c r="G12" s="24" t="n">
        <f aca="false">IF(B12="Owned",1,0)</f>
        <v>0</v>
      </c>
      <c r="H12" s="78" t="n">
        <v>8</v>
      </c>
      <c r="I12" s="78" t="n">
        <v>8</v>
      </c>
      <c r="J12" s="78" t="n">
        <v>8</v>
      </c>
      <c r="K12" s="31" t="str">
        <f aca="false">IF(N(CHOOSE(Scen,H12,I12,J12))=0,"n/a",INDEX(Q_Lab,1,CHOOSE(Scen,H12,I12,J12)))</f>
        <v>Q4'25</v>
      </c>
      <c r="L12" s="100"/>
      <c r="M12" s="22" t="s">
        <v>1429</v>
      </c>
      <c r="N12" s="106" t="s">
        <v>1430</v>
      </c>
      <c r="O12" s="30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3" t="n">
        <f aca="false">IF(B12="Owned",CPM_SP,0)</f>
        <v>0</v>
      </c>
      <c r="Q12" s="35" t="n">
        <v>1</v>
      </c>
    </row>
    <row r="13" customFormat="false" ht="15" hidden="false" customHeight="false" outlineLevel="0" collapsed="false">
      <c r="A13" s="0" t="s">
        <v>1431</v>
      </c>
      <c r="B13" s="106" t="s">
        <v>1432</v>
      </c>
      <c r="C13" s="106" t="s">
        <v>1433</v>
      </c>
      <c r="D13" s="22" t="s">
        <v>1434</v>
      </c>
      <c r="E13" s="106" t="s">
        <v>1435</v>
      </c>
      <c r="F13" s="23" t="n">
        <f aca="false">IF(CapV=2,Q13,IF(C13="Facility",1/PUE,1))</f>
        <v>0.7407</v>
      </c>
      <c r="G13" s="24" t="n">
        <f aca="false">IF(B13="Owned",1,0)</f>
        <v>1</v>
      </c>
      <c r="H13" s="78" t="n">
        <v>15</v>
      </c>
      <c r="I13" s="78" t="n">
        <v>15</v>
      </c>
      <c r="J13" s="78" t="n">
        <v>16</v>
      </c>
      <c r="K13" s="31" t="str">
        <f aca="false">IF(N(CHOOSE(Scen,H13,I13,J13))=0,"n/a",INDEX(Q_Lab,1,CHOOSE(Scen,H13,I13,J13)))</f>
        <v>Q3'27</v>
      </c>
      <c r="L13" s="100"/>
      <c r="M13" s="22" t="s">
        <v>1429</v>
      </c>
      <c r="N13" s="106" t="s">
        <v>1436</v>
      </c>
      <c r="O13" s="30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3" t="n">
        <f aca="false">IF(B13="Owned",CPM_SP,0)</f>
        <v>12.5</v>
      </c>
      <c r="Q13" s="35" t="n">
        <v>0.7407</v>
      </c>
    </row>
    <row r="14" customFormat="false" ht="15" hidden="false" customHeight="false" outlineLevel="0" collapsed="false">
      <c r="A14" s="0" t="s">
        <v>1437</v>
      </c>
      <c r="B14" s="106" t="s">
        <v>1432</v>
      </c>
      <c r="C14" s="106" t="s">
        <v>1433</v>
      </c>
      <c r="D14" s="22" t="s">
        <v>1434</v>
      </c>
      <c r="E14" s="106" t="s">
        <v>1428</v>
      </c>
      <c r="F14" s="23" t="n">
        <f aca="false">IF(CapV=2,Q14,IF(C14="Facility",1/PUE,1))</f>
        <v>0.7407</v>
      </c>
      <c r="G14" s="24" t="n">
        <f aca="false">IF(B14="Owned",1,0)</f>
        <v>1</v>
      </c>
      <c r="H14" s="78" t="n">
        <v>16</v>
      </c>
      <c r="I14" s="78" t="n">
        <v>16</v>
      </c>
      <c r="J14" s="78" t="n">
        <v>20</v>
      </c>
      <c r="K14" s="31" t="str">
        <f aca="false">IF(N(CHOOSE(Scen,H14,I14,J14))=0,"n/a",INDEX(Q_Lab,1,CHOOSE(Scen,H14,I14,J14)))</f>
        <v>Q4'27</v>
      </c>
      <c r="L14" s="100"/>
      <c r="M14" s="22" t="s">
        <v>1429</v>
      </c>
      <c r="N14" s="106" t="s">
        <v>1436</v>
      </c>
      <c r="O14" s="30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3" t="n">
        <f aca="false">IF(B14="Owned",CPM_SP,0)</f>
        <v>12.5</v>
      </c>
      <c r="Q14" s="35" t="n">
        <v>0.7407</v>
      </c>
    </row>
    <row r="15" customFormat="false" ht="15" hidden="false" customHeight="false" outlineLevel="0" collapsed="false">
      <c r="A15" s="0" t="s">
        <v>1438</v>
      </c>
      <c r="B15" s="106" t="s">
        <v>1432</v>
      </c>
      <c r="C15" s="106" t="s">
        <v>1433</v>
      </c>
      <c r="D15" s="22" t="s">
        <v>1434</v>
      </c>
      <c r="E15" s="106" t="s">
        <v>1439</v>
      </c>
      <c r="F15" s="23" t="n">
        <f aca="false">IF(CapV=2,Q15,IF(C15="Facility",1/PUE,1))</f>
        <v>0.7407</v>
      </c>
      <c r="G15" s="24" t="n">
        <f aca="false">IF(B15="Owned",1,0)</f>
        <v>1</v>
      </c>
      <c r="H15" s="78" t="n">
        <v>13</v>
      </c>
      <c r="I15" s="78" t="n">
        <v>13</v>
      </c>
      <c r="J15" s="78" t="n">
        <v>15</v>
      </c>
      <c r="K15" s="31" t="str">
        <f aca="false">IF(N(CHOOSE(Scen,H15,I15,J15))=0,"n/a",INDEX(Q_Lab,1,CHOOSE(Scen,H15,I15,J15)))</f>
        <v>Q1'27</v>
      </c>
      <c r="L15" s="100"/>
      <c r="M15" s="22" t="s">
        <v>1429</v>
      </c>
      <c r="N15" s="106" t="s">
        <v>1436</v>
      </c>
      <c r="O15" s="30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3" t="n">
        <f aca="false">IF(B15="Owned",CPM_SP,0)</f>
        <v>12.5</v>
      </c>
      <c r="Q15" s="35" t="n">
        <v>0.7407</v>
      </c>
    </row>
    <row r="16" customFormat="false" ht="15" hidden="false" customHeight="false" outlineLevel="0" collapsed="false">
      <c r="A16" s="0" t="s">
        <v>1440</v>
      </c>
      <c r="B16" s="106" t="s">
        <v>1441</v>
      </c>
      <c r="C16" s="106" t="s">
        <v>1433</v>
      </c>
      <c r="D16" s="22" t="s">
        <v>1442</v>
      </c>
      <c r="E16" s="106" t="s">
        <v>1439</v>
      </c>
      <c r="F16" s="23" t="n">
        <f aca="false">IF(CapV=2,Q16,IF(C16="Facility",1/PUE,1))</f>
        <v>0.7692</v>
      </c>
      <c r="G16" s="24" t="n">
        <f aca="false">IF(B16="Owned",1,0)</f>
        <v>0</v>
      </c>
      <c r="H16" s="78" t="n">
        <v>12</v>
      </c>
      <c r="I16" s="78" t="n">
        <v>12</v>
      </c>
      <c r="J16" s="78" t="n">
        <v>13</v>
      </c>
      <c r="K16" s="31" t="str">
        <f aca="false">IF(N(CHOOSE(Scen,H16,I16,J16))=0,"n/a",INDEX(Q_Lab,1,CHOOSE(Scen,H16,I16,J16)))</f>
        <v>Q4'26</v>
      </c>
      <c r="L16" s="100"/>
      <c r="M16" s="22" t="s">
        <v>1429</v>
      </c>
      <c r="N16" s="106" t="s">
        <v>1430</v>
      </c>
      <c r="O16" s="30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3" t="n">
        <f aca="false">IF(B16="Owned",CPM_SP,0)</f>
        <v>0</v>
      </c>
      <c r="Q16" s="35" t="n">
        <v>0.7692</v>
      </c>
    </row>
    <row r="17" customFormat="false" ht="15" hidden="false" customHeight="false" outlineLevel="0" collapsed="false">
      <c r="A17" s="0" t="s">
        <v>1443</v>
      </c>
      <c r="B17" s="106" t="s">
        <v>1432</v>
      </c>
      <c r="C17" s="106" t="s">
        <v>1433</v>
      </c>
      <c r="D17" s="22" t="s">
        <v>1434</v>
      </c>
      <c r="E17" s="106" t="s">
        <v>1435</v>
      </c>
      <c r="F17" s="23" t="n">
        <f aca="false">IF(CapV=2,Q17,IF(C17="Facility",1/PUE,1))</f>
        <v>0.8696</v>
      </c>
      <c r="G17" s="24" t="n">
        <f aca="false">IF(B17="Owned",1,0)</f>
        <v>1</v>
      </c>
      <c r="H17" s="78" t="n">
        <v>14</v>
      </c>
      <c r="I17" s="78" t="n">
        <v>14</v>
      </c>
      <c r="J17" s="78" t="n">
        <v>16</v>
      </c>
      <c r="K17" s="31" t="str">
        <f aca="false">IF(N(CHOOSE(Scen,H17,I17,J17))=0,"n/a",INDEX(Q_Lab,1,CHOOSE(Scen,H17,I17,J17)))</f>
        <v>Q2'27</v>
      </c>
      <c r="L17" s="100"/>
      <c r="M17" s="22" t="s">
        <v>1429</v>
      </c>
      <c r="N17" s="106" t="s">
        <v>1436</v>
      </c>
      <c r="O17" s="30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3" t="n">
        <f aca="false">IF(B17="Owned",CPM_SP,0)</f>
        <v>12.5</v>
      </c>
      <c r="Q17" s="35" t="n">
        <v>0.8696</v>
      </c>
    </row>
    <row r="18" customFormat="false" ht="15" hidden="false" customHeight="false" outlineLevel="0" collapsed="false">
      <c r="A18" s="0" t="s">
        <v>1444</v>
      </c>
      <c r="B18" s="106" t="s">
        <v>1432</v>
      </c>
      <c r="C18" s="106" t="s">
        <v>1426</v>
      </c>
      <c r="D18" s="22" t="s">
        <v>1434</v>
      </c>
      <c r="E18" s="106" t="s">
        <v>1435</v>
      </c>
      <c r="F18" s="23" t="n">
        <f aca="false">IF(CapV=2,Q18,IF(C18="Facility",1/PUE,1))</f>
        <v>0.9091</v>
      </c>
      <c r="G18" s="24" t="n">
        <f aca="false">IF(B18="Owned",1,0)</f>
        <v>1</v>
      </c>
      <c r="H18" s="78" t="n">
        <v>1</v>
      </c>
      <c r="I18" s="78" t="n">
        <v>1</v>
      </c>
      <c r="J18" s="78" t="n">
        <v>1</v>
      </c>
      <c r="K18" s="31" t="str">
        <f aca="false">IF(N(CHOOSE(Scen,H18,I18,J18))=0,"n/a",INDEX(Q_Lab,1,CHOOSE(Scen,H18,I18,J18)))</f>
        <v>Q1'24</v>
      </c>
      <c r="L18" s="100"/>
      <c r="M18" s="22" t="s">
        <v>1429</v>
      </c>
      <c r="N18" s="106" t="s">
        <v>1430</v>
      </c>
      <c r="O18" s="30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3" t="n">
        <f aca="false">IF(B18="Owned",CPM_SP,0)</f>
        <v>12.5</v>
      </c>
      <c r="Q18" s="35" t="n">
        <v>0.9091</v>
      </c>
    </row>
    <row r="19" customFormat="false" ht="15" hidden="false" customHeight="false" outlineLevel="0" collapsed="false">
      <c r="A19" s="0" t="s">
        <v>1445</v>
      </c>
      <c r="B19" s="106" t="s">
        <v>1432</v>
      </c>
      <c r="C19" s="106" t="s">
        <v>1433</v>
      </c>
      <c r="D19" s="22" t="s">
        <v>1434</v>
      </c>
      <c r="E19" s="106" t="s">
        <v>1439</v>
      </c>
      <c r="F19" s="23" t="n">
        <f aca="false">IF(CapV=2,Q19,IF(C19="Facility",1/PUE,1))</f>
        <v>0.8696</v>
      </c>
      <c r="G19" s="24" t="n">
        <f aca="false">IF(B19="Owned",1,0)</f>
        <v>1</v>
      </c>
      <c r="H19" s="78" t="n">
        <v>16</v>
      </c>
      <c r="I19" s="78" t="n">
        <v>16</v>
      </c>
      <c r="J19" s="78" t="n">
        <v>17</v>
      </c>
      <c r="K19" s="31" t="str">
        <f aca="false">IF(N(CHOOSE(Scen,H19,I19,J19))=0,"n/a",INDEX(Q_Lab,1,CHOOSE(Scen,H19,I19,J19)))</f>
        <v>Q4'27</v>
      </c>
      <c r="L19" s="100"/>
      <c r="M19" s="22" t="s">
        <v>1429</v>
      </c>
      <c r="N19" s="106" t="s">
        <v>1436</v>
      </c>
      <c r="O19" s="30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3" t="n">
        <f aca="false">IF(B19="Owned",CPM_SP,0)</f>
        <v>12.5</v>
      </c>
      <c r="Q19" s="35" t="n">
        <v>0.8696</v>
      </c>
    </row>
    <row r="20" customFormat="false" ht="15" hidden="false" customHeight="false" outlineLevel="0" collapsed="false">
      <c r="A20" s="0" t="s">
        <v>1446</v>
      </c>
      <c r="B20" s="106" t="s">
        <v>1441</v>
      </c>
      <c r="C20" s="106" t="s">
        <v>1426</v>
      </c>
      <c r="D20" s="22" t="s">
        <v>1434</v>
      </c>
      <c r="E20" s="106" t="s">
        <v>1435</v>
      </c>
      <c r="F20" s="23" t="n">
        <f aca="false">IF(CapV=2,Q20,IF(C20="Facility",1/PUE,1))</f>
        <v>1</v>
      </c>
      <c r="G20" s="24" t="n">
        <f aca="false">IF(B20="Owned",1,0)</f>
        <v>0</v>
      </c>
      <c r="H20" s="78" t="n">
        <v>6</v>
      </c>
      <c r="I20" s="78" t="n">
        <v>6</v>
      </c>
      <c r="J20" s="78" t="n">
        <v>6</v>
      </c>
      <c r="K20" s="31" t="str">
        <f aca="false">IF(N(CHOOSE(Scen,H20,I20,J20))=0,"n/a",INDEX(Q_Lab,1,CHOOSE(Scen,H20,I20,J20)))</f>
        <v>Q2'25</v>
      </c>
      <c r="L20" s="100"/>
      <c r="M20" s="22" t="s">
        <v>1429</v>
      </c>
      <c r="N20" s="106" t="s">
        <v>1447</v>
      </c>
      <c r="O20" s="30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3" t="n">
        <f aca="false">IF(B20="Owned",CPM_SP,0)</f>
        <v>0</v>
      </c>
      <c r="Q20" s="35" t="n">
        <v>1</v>
      </c>
    </row>
    <row r="21" customFormat="false" ht="15" hidden="false" customHeight="false" outlineLevel="0" collapsed="false">
      <c r="A21" s="0" t="s">
        <v>1448</v>
      </c>
      <c r="B21" s="106" t="s">
        <v>1441</v>
      </c>
      <c r="C21" s="106" t="s">
        <v>1426</v>
      </c>
      <c r="D21" s="22" t="s">
        <v>1434</v>
      </c>
      <c r="E21" s="106" t="s">
        <v>1435</v>
      </c>
      <c r="F21" s="23" t="n">
        <f aca="false">IF(CapV=2,Q21,IF(C21="Facility",1/PUE,1))</f>
        <v>1</v>
      </c>
      <c r="G21" s="24" t="n">
        <f aca="false">IF(B21="Owned",1,0)</f>
        <v>0</v>
      </c>
      <c r="H21" s="78" t="n">
        <v>4</v>
      </c>
      <c r="I21" s="78" t="n">
        <v>4</v>
      </c>
      <c r="J21" s="78" t="n">
        <v>4</v>
      </c>
      <c r="K21" s="31" t="str">
        <f aca="false">IF(N(CHOOSE(Scen,H21,I21,J21))=0,"n/a",INDEX(Q_Lab,1,CHOOSE(Scen,H21,I21,J21)))</f>
        <v>Q4'24</v>
      </c>
      <c r="L21" s="100"/>
      <c r="M21" s="22" t="s">
        <v>1429</v>
      </c>
      <c r="N21" s="106" t="s">
        <v>1449</v>
      </c>
      <c r="O21" s="30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3" t="n">
        <f aca="false">IF(B21="Owned",CPM_SP,0)</f>
        <v>0</v>
      </c>
      <c r="Q21" s="35" t="n">
        <v>1</v>
      </c>
    </row>
    <row r="22" customFormat="false" ht="15" hidden="false" customHeight="false" outlineLevel="0" collapsed="false">
      <c r="A22" s="0" t="s">
        <v>1450</v>
      </c>
      <c r="B22" s="106" t="s">
        <v>1441</v>
      </c>
      <c r="C22" s="106" t="s">
        <v>1426</v>
      </c>
      <c r="D22" s="22" t="s">
        <v>1434</v>
      </c>
      <c r="E22" s="106" t="s">
        <v>1435</v>
      </c>
      <c r="F22" s="23" t="n">
        <f aca="false">IF(CapV=2,Q22,IF(C22="Facility",1/PUE,1))</f>
        <v>1</v>
      </c>
      <c r="G22" s="24" t="n">
        <f aca="false">IF(B22="Owned",1,0)</f>
        <v>0</v>
      </c>
      <c r="H22" s="78" t="n">
        <v>5</v>
      </c>
      <c r="I22" s="78" t="n">
        <v>5</v>
      </c>
      <c r="J22" s="78" t="n">
        <v>5</v>
      </c>
      <c r="K22" s="31" t="str">
        <f aca="false">IF(N(CHOOSE(Scen,H22,I22,J22))=0,"n/a",INDEX(Q_Lab,1,CHOOSE(Scen,H22,I22,J22)))</f>
        <v>Q1'25</v>
      </c>
      <c r="L22" s="100"/>
      <c r="M22" s="22" t="s">
        <v>1429</v>
      </c>
      <c r="N22" s="106" t="s">
        <v>1449</v>
      </c>
      <c r="O22" s="30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3" t="n">
        <f aca="false">IF(B22="Owned",CPM_SP,0)</f>
        <v>0</v>
      </c>
      <c r="Q22" s="35" t="n">
        <v>1</v>
      </c>
    </row>
    <row r="23" customFormat="false" ht="15" hidden="false" customHeight="false" outlineLevel="0" collapsed="false">
      <c r="A23" s="0" t="s">
        <v>1451</v>
      </c>
      <c r="B23" s="106" t="s">
        <v>1441</v>
      </c>
      <c r="C23" s="106" t="s">
        <v>1426</v>
      </c>
      <c r="D23" s="22" t="s">
        <v>1434</v>
      </c>
      <c r="E23" s="106" t="s">
        <v>1435</v>
      </c>
      <c r="F23" s="23" t="n">
        <f aca="false">IF(CapV=2,Q23,IF(C23="Facility",1/PUE,1))</f>
        <v>0.7692</v>
      </c>
      <c r="G23" s="24" t="n">
        <f aca="false">IF(B23="Owned",1,0)</f>
        <v>0</v>
      </c>
      <c r="H23" s="78" t="n">
        <v>8</v>
      </c>
      <c r="I23" s="78" t="n">
        <v>8</v>
      </c>
      <c r="J23" s="78" t="n">
        <v>8</v>
      </c>
      <c r="K23" s="31" t="str">
        <f aca="false">IF(N(CHOOSE(Scen,H23,I23,J23))=0,"n/a",INDEX(Q_Lab,1,CHOOSE(Scen,H23,I23,J23)))</f>
        <v>Q4'25</v>
      </c>
      <c r="L23" s="100"/>
      <c r="M23" s="22" t="s">
        <v>1429</v>
      </c>
      <c r="N23" s="106" t="s">
        <v>1452</v>
      </c>
      <c r="O23" s="30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3" t="n">
        <f aca="false">IF(B23="Owned",CPM_SP,0)</f>
        <v>0</v>
      </c>
      <c r="Q23" s="35" t="n">
        <v>0.7692</v>
      </c>
    </row>
    <row r="24" customFormat="false" ht="15" hidden="false" customHeight="false" outlineLevel="0" collapsed="false">
      <c r="A24" s="0" t="s">
        <v>1453</v>
      </c>
      <c r="B24" s="106" t="s">
        <v>1441</v>
      </c>
      <c r="C24" s="106" t="s">
        <v>1426</v>
      </c>
      <c r="D24" s="22" t="s">
        <v>1434</v>
      </c>
      <c r="E24" s="106" t="s">
        <v>1439</v>
      </c>
      <c r="F24" s="23" t="n">
        <f aca="false">IF(CapV=2,Q24,IF(C24="Facility",1/PUE,1))</f>
        <v>1</v>
      </c>
      <c r="G24" s="24" t="n">
        <f aca="false">IF(B24="Owned",1,0)</f>
        <v>0</v>
      </c>
      <c r="H24" s="78" t="n">
        <v>12</v>
      </c>
      <c r="I24" s="78" t="n">
        <v>12</v>
      </c>
      <c r="J24" s="78" t="n">
        <v>13</v>
      </c>
      <c r="K24" s="31" t="str">
        <f aca="false">IF(N(CHOOSE(Scen,H24,I24,J24))=0,"n/a",INDEX(Q_Lab,1,CHOOSE(Scen,H24,I24,J24)))</f>
        <v>Q4'26</v>
      </c>
      <c r="L24" s="100"/>
      <c r="M24" s="22" t="s">
        <v>1429</v>
      </c>
      <c r="N24" s="106" t="s">
        <v>1452</v>
      </c>
      <c r="O24" s="30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3" t="n">
        <f aca="false">IF(B24="Owned",CPM_SP,0)</f>
        <v>0</v>
      </c>
      <c r="Q24" s="35" t="n">
        <v>1</v>
      </c>
    </row>
    <row r="25" customFormat="false" ht="15" hidden="false" customHeight="false" outlineLevel="0" collapsed="false">
      <c r="A25" s="0" t="s">
        <v>1454</v>
      </c>
      <c r="B25" s="106" t="s">
        <v>1441</v>
      </c>
      <c r="C25" s="106" t="s">
        <v>1426</v>
      </c>
      <c r="D25" s="22" t="s">
        <v>1434</v>
      </c>
      <c r="E25" s="106" t="s">
        <v>1428</v>
      </c>
      <c r="F25" s="23" t="n">
        <f aca="false">IF(CapV=2,Q25,IF(C25="Facility",1/PUE,1))</f>
        <v>1</v>
      </c>
      <c r="G25" s="24" t="n">
        <f aca="false">IF(B25="Owned",1,0)</f>
        <v>0</v>
      </c>
      <c r="H25" s="78"/>
      <c r="I25" s="78"/>
      <c r="J25" s="78"/>
      <c r="K25" s="31" t="str">
        <f aca="false">IF(N(CHOOSE(Scen,H25,I25,J25))=0,"n/a",INDEX(Q_Lab,1,CHOOSE(Scen,H25,I25,J25)))</f>
        <v>n/a</v>
      </c>
      <c r="L25" s="100"/>
      <c r="M25" s="22" t="s">
        <v>1429</v>
      </c>
      <c r="N25" s="106" t="s">
        <v>1430</v>
      </c>
      <c r="O25" s="30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3" t="n">
        <f aca="false">IF(B25="Owned",CPM_SP,0)</f>
        <v>0</v>
      </c>
      <c r="Q25" s="35" t="n">
        <v>1</v>
      </c>
    </row>
    <row r="26" customFormat="false" ht="15" hidden="false" customHeight="false" outlineLevel="0" collapsed="false">
      <c r="A26" s="0" t="s">
        <v>1455</v>
      </c>
      <c r="B26" s="106" t="s">
        <v>1441</v>
      </c>
      <c r="C26" s="106" t="s">
        <v>1426</v>
      </c>
      <c r="D26" s="22" t="s">
        <v>1456</v>
      </c>
      <c r="E26" s="106" t="s">
        <v>1435</v>
      </c>
      <c r="F26" s="23" t="n">
        <f aca="false">IF(CapV=2,Q26,IF(C26="Facility",1/PUE,1))</f>
        <v>1</v>
      </c>
      <c r="G26" s="24" t="n">
        <f aca="false">IF(B26="Owned",1,0)</f>
        <v>0</v>
      </c>
      <c r="H26" s="78" t="n">
        <v>8</v>
      </c>
      <c r="I26" s="78" t="n">
        <v>8</v>
      </c>
      <c r="J26" s="78" t="n">
        <v>8</v>
      </c>
      <c r="K26" s="31" t="str">
        <f aca="false">IF(N(CHOOSE(Scen,H26,I26,J26))=0,"n/a",INDEX(Q_Lab,1,CHOOSE(Scen,H26,I26,J26)))</f>
        <v>Q4'25</v>
      </c>
      <c r="L26" s="100"/>
      <c r="M26" s="22" t="s">
        <v>1429</v>
      </c>
      <c r="N26" s="106" t="s">
        <v>1447</v>
      </c>
      <c r="O26" s="30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3" t="n">
        <f aca="false">IF(B26="Owned",CPM_SP,0)</f>
        <v>0</v>
      </c>
      <c r="Q26" s="35" t="n">
        <v>1</v>
      </c>
    </row>
    <row r="27" customFormat="false" ht="15" hidden="false" customHeight="false" outlineLevel="0" collapsed="false">
      <c r="A27" s="0" t="s">
        <v>1457</v>
      </c>
      <c r="B27" s="106" t="s">
        <v>1441</v>
      </c>
      <c r="C27" s="106" t="s">
        <v>1433</v>
      </c>
      <c r="D27" s="22" t="s">
        <v>1434</v>
      </c>
      <c r="E27" s="106" t="s">
        <v>1439</v>
      </c>
      <c r="F27" s="23" t="n">
        <f aca="false">IF(CapV=2,Q27,IF(C27="Facility",1/PUE,1))</f>
        <v>1</v>
      </c>
      <c r="G27" s="24" t="n">
        <f aca="false">IF(B27="Owned",1,0)</f>
        <v>0</v>
      </c>
      <c r="H27" s="78" t="n">
        <v>12</v>
      </c>
      <c r="I27" s="78" t="n">
        <v>12</v>
      </c>
      <c r="J27" s="78" t="n">
        <v>13</v>
      </c>
      <c r="K27" s="31" t="str">
        <f aca="false">IF(N(CHOOSE(Scen,H27,I27,J27))=0,"n/a",INDEX(Q_Lab,1,CHOOSE(Scen,H27,I27,J27)))</f>
        <v>Q4'26</v>
      </c>
      <c r="L27" s="100"/>
      <c r="M27" s="22" t="s">
        <v>1429</v>
      </c>
      <c r="N27" s="106" t="s">
        <v>1430</v>
      </c>
      <c r="O27" s="30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3" t="n">
        <f aca="false">IF(B27="Owned",CPM_SP,0)</f>
        <v>0</v>
      </c>
      <c r="Q27" s="35" t="n">
        <v>1</v>
      </c>
    </row>
    <row r="28" customFormat="false" ht="15" hidden="false" customHeight="false" outlineLevel="0" collapsed="false">
      <c r="A28" s="0" t="s">
        <v>1458</v>
      </c>
      <c r="B28" s="106" t="s">
        <v>1441</v>
      </c>
      <c r="C28" s="106" t="s">
        <v>1433</v>
      </c>
      <c r="D28" s="22" t="s">
        <v>1434</v>
      </c>
      <c r="E28" s="106" t="s">
        <v>1439</v>
      </c>
      <c r="F28" s="23" t="n">
        <f aca="false">IF(CapV=2,Q28,IF(C28="Facility",1/PUE,1))</f>
        <v>1</v>
      </c>
      <c r="G28" s="24" t="n">
        <f aca="false">IF(B28="Owned",1,0)</f>
        <v>0</v>
      </c>
      <c r="H28" s="78" t="n">
        <v>12</v>
      </c>
      <c r="I28" s="78" t="n">
        <v>12</v>
      </c>
      <c r="J28" s="78" t="n">
        <v>13</v>
      </c>
      <c r="K28" s="31" t="str">
        <f aca="false">IF(N(CHOOSE(Scen,H28,I28,J28))=0,"n/a",INDEX(Q_Lab,1,CHOOSE(Scen,H28,I28,J28)))</f>
        <v>Q4'26</v>
      </c>
      <c r="L28" s="100"/>
      <c r="M28" s="22" t="s">
        <v>1429</v>
      </c>
      <c r="N28" s="106" t="s">
        <v>1430</v>
      </c>
      <c r="O28" s="30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3" t="n">
        <f aca="false">IF(B28="Owned",CPM_SP,0)</f>
        <v>0</v>
      </c>
      <c r="Q28" s="35" t="n">
        <v>1</v>
      </c>
    </row>
    <row r="29" customFormat="false" ht="15" hidden="false" customHeight="false" outlineLevel="0" collapsed="false">
      <c r="A29" s="0" t="s">
        <v>1459</v>
      </c>
      <c r="B29" s="106" t="s">
        <v>1441</v>
      </c>
      <c r="C29" s="106" t="s">
        <v>1426</v>
      </c>
      <c r="D29" s="22" t="s">
        <v>1434</v>
      </c>
      <c r="E29" s="106" t="s">
        <v>1435</v>
      </c>
      <c r="F29" s="23" t="n">
        <f aca="false">IF(CapV=2,Q29,IF(C29="Facility",1/PUE,1))</f>
        <v>1</v>
      </c>
      <c r="G29" s="24" t="n">
        <f aca="false">IF(B29="Owned",1,0)</f>
        <v>0</v>
      </c>
      <c r="H29" s="78" t="n">
        <v>11</v>
      </c>
      <c r="I29" s="78" t="n">
        <v>11</v>
      </c>
      <c r="J29" s="78" t="n">
        <v>11</v>
      </c>
      <c r="K29" s="31" t="str">
        <f aca="false">IF(N(CHOOSE(Scen,H29,I29,J29))=0,"n/a",INDEX(Q_Lab,1,CHOOSE(Scen,H29,I29,J29)))</f>
        <v>Q3'26</v>
      </c>
      <c r="L29" s="100"/>
      <c r="M29" s="22" t="s">
        <v>1429</v>
      </c>
      <c r="N29" s="106" t="s">
        <v>1452</v>
      </c>
      <c r="O29" s="30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3" t="n">
        <f aca="false">IF(B29="Owned",CPM_SP,0)</f>
        <v>0</v>
      </c>
      <c r="Q29" s="35" t="n">
        <v>1</v>
      </c>
    </row>
    <row r="30" customFormat="false" ht="15" hidden="false" customHeight="false" outlineLevel="0" collapsed="false">
      <c r="A30" s="0" t="s">
        <v>1460</v>
      </c>
      <c r="B30" s="106" t="s">
        <v>1441</v>
      </c>
      <c r="C30" s="106" t="s">
        <v>1426</v>
      </c>
      <c r="D30" s="22" t="s">
        <v>1434</v>
      </c>
      <c r="E30" s="106" t="s">
        <v>1439</v>
      </c>
      <c r="F30" s="23" t="n">
        <f aca="false">IF(CapV=2,Q30,IF(C30="Facility",1/PUE,1))</f>
        <v>1</v>
      </c>
      <c r="G30" s="24" t="n">
        <f aca="false">IF(B30="Owned",1,0)</f>
        <v>0</v>
      </c>
      <c r="H30" s="78" t="n">
        <v>12</v>
      </c>
      <c r="I30" s="78" t="n">
        <v>12</v>
      </c>
      <c r="J30" s="78" t="n">
        <v>13</v>
      </c>
      <c r="K30" s="31" t="str">
        <f aca="false">IF(N(CHOOSE(Scen,H30,I30,J30))=0,"n/a",INDEX(Q_Lab,1,CHOOSE(Scen,H30,I30,J30)))</f>
        <v>Q4'26</v>
      </c>
      <c r="L30" s="100"/>
      <c r="M30" s="22" t="s">
        <v>1429</v>
      </c>
      <c r="N30" s="106" t="s">
        <v>1430</v>
      </c>
      <c r="O30" s="30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3" t="n">
        <f aca="false">IF(B30="Owned",CPM_SP,0)</f>
        <v>0</v>
      </c>
      <c r="Q30" s="35" t="n">
        <v>1</v>
      </c>
    </row>
    <row r="31" customFormat="false" ht="15" hidden="false" customHeight="false" outlineLevel="0" collapsed="false">
      <c r="A31" s="0" t="s">
        <v>1461</v>
      </c>
      <c r="B31" s="106" t="s">
        <v>1441</v>
      </c>
      <c r="C31" s="106" t="s">
        <v>1426</v>
      </c>
      <c r="D31" s="22" t="s">
        <v>1462</v>
      </c>
      <c r="E31" s="106" t="s">
        <v>1439</v>
      </c>
      <c r="F31" s="23" t="n">
        <f aca="false">IF(CapV=2,Q31,IF(C31="Facility",1/PUE,1))</f>
        <v>1</v>
      </c>
      <c r="G31" s="24" t="n">
        <f aca="false">IF(B31="Owned",1,0)</f>
        <v>0</v>
      </c>
      <c r="H31" s="78"/>
      <c r="I31" s="78"/>
      <c r="J31" s="78"/>
      <c r="K31" s="31" t="str">
        <f aca="false">IF(N(CHOOSE(Scen,H31,I31,J31))=0,"n/a",INDEX(Q_Lab,1,CHOOSE(Scen,H31,I31,J31)))</f>
        <v>n/a</v>
      </c>
      <c r="L31" s="100"/>
      <c r="M31" s="22" t="s">
        <v>1429</v>
      </c>
      <c r="N31" s="106" t="s">
        <v>1452</v>
      </c>
      <c r="O31" s="30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3" t="n">
        <f aca="false">IF(B31="Owned",CPM_SP,0)</f>
        <v>0</v>
      </c>
      <c r="Q31" s="35" t="n">
        <v>1</v>
      </c>
    </row>
    <row r="32" customFormat="false" ht="15" hidden="false" customHeight="false" outlineLevel="0" collapsed="false">
      <c r="A32" s="0" t="s">
        <v>1463</v>
      </c>
      <c r="B32" s="106" t="s">
        <v>1441</v>
      </c>
      <c r="C32" s="106" t="s">
        <v>1426</v>
      </c>
      <c r="D32" s="22" t="s">
        <v>1462</v>
      </c>
      <c r="E32" s="106" t="s">
        <v>1439</v>
      </c>
      <c r="F32" s="23" t="n">
        <f aca="false">IF(CapV=2,Q32,IF(C32="Facility",1/PUE,1))</f>
        <v>1</v>
      </c>
      <c r="G32" s="24" t="n">
        <f aca="false">IF(B32="Owned",1,0)</f>
        <v>0</v>
      </c>
      <c r="H32" s="78"/>
      <c r="I32" s="78"/>
      <c r="J32" s="78"/>
      <c r="K32" s="31" t="str">
        <f aca="false">IF(N(CHOOSE(Scen,H32,I32,J32))=0,"n/a",INDEX(Q_Lab,1,CHOOSE(Scen,H32,I32,J32)))</f>
        <v>n/a</v>
      </c>
      <c r="L32" s="100"/>
      <c r="M32" s="22" t="s">
        <v>1429</v>
      </c>
      <c r="N32" s="106" t="s">
        <v>1430</v>
      </c>
      <c r="O32" s="30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3" t="n">
        <f aca="false">IF(B32="Owned",CPM_SP,0)</f>
        <v>0</v>
      </c>
      <c r="Q32" s="35" t="n">
        <v>1</v>
      </c>
    </row>
    <row r="33" customFormat="false" ht="15" hidden="false" customHeight="false" outlineLevel="0" collapsed="false">
      <c r="A33" s="0" t="s">
        <v>1464</v>
      </c>
      <c r="B33" s="106" t="s">
        <v>1441</v>
      </c>
      <c r="C33" s="106" t="s">
        <v>1426</v>
      </c>
      <c r="D33" s="22" t="s">
        <v>1434</v>
      </c>
      <c r="E33" s="106" t="s">
        <v>1439</v>
      </c>
      <c r="F33" s="23" t="n">
        <f aca="false">IF(CapV=2,Q33,IF(C33="Facility",1/PUE,1))</f>
        <v>1</v>
      </c>
      <c r="G33" s="24" t="n">
        <f aca="false">IF(B33="Owned",1,0)</f>
        <v>0</v>
      </c>
      <c r="H33" s="78"/>
      <c r="I33" s="78"/>
      <c r="J33" s="78"/>
      <c r="K33" s="31" t="str">
        <f aca="false">IF(N(CHOOSE(Scen,H33,I33,J33))=0,"n/a",INDEX(Q_Lab,1,CHOOSE(Scen,H33,I33,J33)))</f>
        <v>n/a</v>
      </c>
      <c r="L33" s="100"/>
      <c r="M33" s="22" t="s">
        <v>1429</v>
      </c>
      <c r="N33" s="106" t="s">
        <v>1465</v>
      </c>
      <c r="O33" s="30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3" t="n">
        <f aca="false">IF(B33="Owned",CPM_SP,0)</f>
        <v>0</v>
      </c>
      <c r="Q33" s="35" t="n">
        <v>1</v>
      </c>
    </row>
    <row r="34" customFormat="false" ht="15" hidden="false" customHeight="false" outlineLevel="0" collapsed="false">
      <c r="A34" s="0" t="s">
        <v>1466</v>
      </c>
      <c r="B34" s="106" t="s">
        <v>1441</v>
      </c>
      <c r="C34" s="106" t="s">
        <v>1426</v>
      </c>
      <c r="D34" s="22" t="s">
        <v>1456</v>
      </c>
      <c r="E34" s="106" t="s">
        <v>1428</v>
      </c>
      <c r="F34" s="23" t="n">
        <f aca="false">IF(CapV=2,Q34,IF(C34="Facility",1/PUE,1))</f>
        <v>1</v>
      </c>
      <c r="G34" s="24" t="n">
        <f aca="false">IF(B34="Owned",1,0)</f>
        <v>0</v>
      </c>
      <c r="H34" s="78" t="n">
        <v>15</v>
      </c>
      <c r="I34" s="78" t="n">
        <v>15</v>
      </c>
      <c r="J34" s="78" t="n">
        <v>17</v>
      </c>
      <c r="K34" s="31" t="str">
        <f aca="false">IF(N(CHOOSE(Scen,H34,I34,J34))=0,"n/a",INDEX(Q_Lab,1,CHOOSE(Scen,H34,I34,J34)))</f>
        <v>Q3'27</v>
      </c>
      <c r="L34" s="100"/>
      <c r="M34" s="22" t="s">
        <v>1429</v>
      </c>
      <c r="N34" s="106" t="s">
        <v>1436</v>
      </c>
      <c r="O34" s="30" t="n">
        <f aca="false">IF(B34="Owned",IF(N34="GB300 NVL72",CPM_Own_GB300,IF(N34="Vera Rubin NVL72",CPM_Own_VR,IF(N34="GB200 NVL72",CPM_Own_GB200,CPM_Own_Other))),IF(N34="GB300 NVL72",CPM_Lease_GB300,IF(N34="Vera Rubin NVL72",CPM_Lease_VR,CPM_Lease)))</f>
        <v>41.1</v>
      </c>
      <c r="P34" s="23" t="n">
        <f aca="false">IF(B34="Owned",CPM_SP,0)</f>
        <v>0</v>
      </c>
      <c r="Q34" s="35" t="n">
        <v>1</v>
      </c>
    </row>
    <row r="35" customFormat="false" ht="15" hidden="false" customHeight="false" outlineLevel="0" collapsed="false">
      <c r="A35" s="0" t="s">
        <v>1467</v>
      </c>
      <c r="B35" s="106" t="s">
        <v>1441</v>
      </c>
      <c r="C35" s="106" t="s">
        <v>1426</v>
      </c>
      <c r="D35" s="22" t="s">
        <v>1468</v>
      </c>
      <c r="E35" s="106" t="s">
        <v>1439</v>
      </c>
      <c r="F35" s="23" t="n">
        <f aca="false">IF(CapV=2,Q35,IF(C35="Facility",1/PUE,1))</f>
        <v>1</v>
      </c>
      <c r="G35" s="24" t="n">
        <f aca="false">IF(B35="Owned",1,0)</f>
        <v>0</v>
      </c>
      <c r="H35" s="78" t="n">
        <v>12</v>
      </c>
      <c r="I35" s="78" t="n">
        <v>12</v>
      </c>
      <c r="J35" s="78" t="n">
        <v>13</v>
      </c>
      <c r="K35" s="31" t="str">
        <f aca="false">IF(N(CHOOSE(Scen,H35,I35,J35))=0,"n/a",INDEX(Q_Lab,1,CHOOSE(Scen,H35,I35,J35)))</f>
        <v>Q4'26</v>
      </c>
      <c r="L35" s="100"/>
      <c r="M35" s="22" t="s">
        <v>1429</v>
      </c>
      <c r="N35" s="106" t="s">
        <v>1430</v>
      </c>
      <c r="O35" s="30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3" t="n">
        <f aca="false">IF(B35="Owned",CPM_SP,0)</f>
        <v>0</v>
      </c>
      <c r="Q35" s="35" t="n">
        <v>1</v>
      </c>
    </row>
    <row r="36" customFormat="false" ht="15" hidden="false" customHeight="false" outlineLevel="0" collapsed="false">
      <c r="A36" s="0" t="s">
        <v>1469</v>
      </c>
      <c r="B36" s="106" t="s">
        <v>1441</v>
      </c>
      <c r="C36" s="106" t="s">
        <v>1426</v>
      </c>
      <c r="D36" s="22" t="s">
        <v>1470</v>
      </c>
      <c r="E36" s="106" t="s">
        <v>1428</v>
      </c>
      <c r="F36" s="23" t="n">
        <f aca="false">IF(CapV=2,Q36,IF(C36="Facility",1/PUE,1))</f>
        <v>1</v>
      </c>
      <c r="G36" s="24" t="n">
        <f aca="false">IF(B36="Owned",1,0)</f>
        <v>0</v>
      </c>
      <c r="H36" s="78"/>
      <c r="I36" s="78"/>
      <c r="J36" s="78"/>
      <c r="K36" s="31" t="str">
        <f aca="false">IF(N(CHOOSE(Scen,H36,I36,J36))=0,"n/a",INDEX(Q_Lab,1,CHOOSE(Scen,H36,I36,J36)))</f>
        <v>n/a</v>
      </c>
      <c r="L36" s="100"/>
      <c r="M36" s="22" t="s">
        <v>1429</v>
      </c>
      <c r="N36" s="106" t="s">
        <v>1465</v>
      </c>
      <c r="O36" s="30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3" t="n">
        <f aca="false">IF(B36="Owned",CPM_SP,0)</f>
        <v>0</v>
      </c>
      <c r="Q36" s="35" t="n">
        <v>1</v>
      </c>
    </row>
    <row r="37" customFormat="false" ht="15" hidden="false" customHeight="false" outlineLevel="0" collapsed="false">
      <c r="A37" s="0" t="s">
        <v>1471</v>
      </c>
      <c r="B37" s="106" t="s">
        <v>1472</v>
      </c>
      <c r="C37" s="106" t="s">
        <v>1426</v>
      </c>
      <c r="D37" s="0" t="s">
        <v>1473</v>
      </c>
      <c r="E37" s="106" t="s">
        <v>1439</v>
      </c>
      <c r="F37" s="23" t="n">
        <f aca="false">IF(C37="Facility",1/PUE,1)</f>
        <v>1</v>
      </c>
    </row>
    <row r="40" customFormat="false" ht="15" hidden="false" customHeight="false" outlineLevel="0" collapsed="false">
      <c r="A40" s="58" t="s">
        <v>1474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</row>
    <row r="41" customFormat="false" ht="15" hidden="false" customHeight="false" outlineLevel="0" collapsed="false">
      <c r="A41" s="107" t="s">
        <v>1475</v>
      </c>
      <c r="B41" s="22" t="s">
        <v>664</v>
      </c>
      <c r="C41" s="22" t="s">
        <v>558</v>
      </c>
      <c r="D41" s="22" t="s">
        <v>1476</v>
      </c>
      <c r="F41" s="108" t="n">
        <v>0</v>
      </c>
      <c r="G41" s="108" t="n">
        <v>0</v>
      </c>
      <c r="H41" s="108" t="n">
        <v>0</v>
      </c>
      <c r="I41" s="108" t="n">
        <v>0</v>
      </c>
      <c r="J41" s="108" t="n">
        <v>0</v>
      </c>
      <c r="K41" s="108" t="n">
        <v>0</v>
      </c>
      <c r="L41" s="108" t="n">
        <v>0</v>
      </c>
      <c r="M41" s="108" t="n">
        <v>21.8</v>
      </c>
      <c r="N41" s="108" t="n">
        <v>30</v>
      </c>
      <c r="O41" s="108" t="n">
        <v>33</v>
      </c>
      <c r="P41" s="108" t="n">
        <v>57</v>
      </c>
      <c r="Q41" s="108" t="n">
        <v>57</v>
      </c>
      <c r="R41" s="108" t="n">
        <v>57</v>
      </c>
      <c r="S41" s="108" t="n">
        <v>107</v>
      </c>
      <c r="T41" s="108" t="n">
        <v>160</v>
      </c>
      <c r="U41" s="108" t="n">
        <v>230</v>
      </c>
      <c r="V41" s="108" t="n">
        <v>230</v>
      </c>
      <c r="W41" s="108" t="n">
        <v>230</v>
      </c>
      <c r="X41" s="108" t="n">
        <v>230</v>
      </c>
      <c r="Y41" s="108" t="n">
        <v>230</v>
      </c>
      <c r="Z41" s="108" t="n">
        <v>230</v>
      </c>
      <c r="AA41" s="108" t="n">
        <v>230</v>
      </c>
      <c r="AB41" s="108" t="n">
        <v>230</v>
      </c>
      <c r="AC41" s="108" t="n">
        <v>230</v>
      </c>
      <c r="AD41" s="108" t="n">
        <v>230</v>
      </c>
      <c r="AE41" s="108" t="n">
        <v>230</v>
      </c>
      <c r="AF41" s="108" t="n">
        <v>230</v>
      </c>
      <c r="AG41" s="108" t="n">
        <v>230</v>
      </c>
      <c r="AI41" s="109" t="n">
        <f aca="false">INDEX($F41:$AG41,1,MATCH(AI$7,$F$7:$AG$7,1))</f>
        <v>0</v>
      </c>
      <c r="AJ41" s="109" t="n">
        <f aca="false">INDEX($F41:$AG41,1,MATCH(AJ$7,$F$7:$AG$7,1))</f>
        <v>21.8</v>
      </c>
      <c r="AK41" s="109" t="n">
        <f aca="false">INDEX($F41:$AG41,1,MATCH(AK$7,$F$7:$AG$7,1))</f>
        <v>57</v>
      </c>
      <c r="AL41" s="109" t="n">
        <f aca="false">INDEX($F41:$AG41,1,MATCH(AL$7,$F$7:$AG$7,1))</f>
        <v>230</v>
      </c>
      <c r="AM41" s="109" t="n">
        <f aca="false">INDEX($F41:$AG41,1,MATCH(AM$7,$F$7:$AG$7,1))</f>
        <v>230</v>
      </c>
      <c r="AN41" s="109" t="n">
        <f aca="false">INDEX($F41:$AG41,1,MATCH(AN$7,$F$7:$AG$7,1))</f>
        <v>230</v>
      </c>
      <c r="AO41" s="109" t="n">
        <f aca="false">INDEX($F41:$AG41,1,MATCH(AO$7,$F$7:$AG$7,1))</f>
        <v>230</v>
      </c>
    </row>
    <row r="42" customFormat="false" ht="15" hidden="false" customHeight="false" outlineLevel="0" collapsed="false">
      <c r="A42" s="107" t="s">
        <v>1477</v>
      </c>
      <c r="B42" s="22" t="s">
        <v>664</v>
      </c>
      <c r="C42" s="22" t="s">
        <v>558</v>
      </c>
      <c r="D42" s="22" t="s">
        <v>1478</v>
      </c>
      <c r="F42" s="108" t="n">
        <v>0</v>
      </c>
      <c r="G42" s="108" t="n">
        <v>0</v>
      </c>
      <c r="H42" s="108" t="n">
        <v>0</v>
      </c>
      <c r="I42" s="108" t="n">
        <v>0</v>
      </c>
      <c r="J42" s="108" t="n">
        <v>0</v>
      </c>
      <c r="K42" s="108" t="n">
        <v>0</v>
      </c>
      <c r="L42" s="108" t="n">
        <v>0</v>
      </c>
      <c r="M42" s="108" t="n">
        <v>21.8</v>
      </c>
      <c r="N42" s="108" t="n">
        <v>30</v>
      </c>
      <c r="O42" s="108" t="n">
        <v>33</v>
      </c>
      <c r="P42" s="108" t="n">
        <v>57</v>
      </c>
      <c r="Q42" s="108" t="n">
        <v>57</v>
      </c>
      <c r="R42" s="108" t="n">
        <v>57</v>
      </c>
      <c r="S42" s="108" t="n">
        <v>107</v>
      </c>
      <c r="T42" s="108" t="n">
        <v>160</v>
      </c>
      <c r="U42" s="108" t="n">
        <v>230</v>
      </c>
      <c r="V42" s="108" t="n">
        <v>230</v>
      </c>
      <c r="W42" s="108" t="n">
        <v>230</v>
      </c>
      <c r="X42" s="108" t="n">
        <v>230</v>
      </c>
      <c r="Y42" s="108" t="n">
        <v>230</v>
      </c>
      <c r="Z42" s="108" t="n">
        <v>230</v>
      </c>
      <c r="AA42" s="108" t="n">
        <v>230</v>
      </c>
      <c r="AB42" s="108" t="n">
        <v>230</v>
      </c>
      <c r="AC42" s="108" t="n">
        <v>230</v>
      </c>
      <c r="AD42" s="108" t="n">
        <v>230</v>
      </c>
      <c r="AE42" s="108" t="n">
        <v>230</v>
      </c>
      <c r="AF42" s="108" t="n">
        <v>230</v>
      </c>
      <c r="AG42" s="108" t="n">
        <v>230</v>
      </c>
      <c r="AI42" s="109" t="n">
        <f aca="false">INDEX($F42:$AG42,1,MATCH(AI$7,$F$7:$AG$7,1))</f>
        <v>0</v>
      </c>
      <c r="AJ42" s="109" t="n">
        <f aca="false">INDEX($F42:$AG42,1,MATCH(AJ$7,$F$7:$AG$7,1))</f>
        <v>21.8</v>
      </c>
      <c r="AK42" s="109" t="n">
        <f aca="false">INDEX($F42:$AG42,1,MATCH(AK$7,$F$7:$AG$7,1))</f>
        <v>57</v>
      </c>
      <c r="AL42" s="109" t="n">
        <f aca="false">INDEX($F42:$AG42,1,MATCH(AL$7,$F$7:$AG$7,1))</f>
        <v>230</v>
      </c>
      <c r="AM42" s="109" t="n">
        <f aca="false">INDEX($F42:$AG42,1,MATCH(AM$7,$F$7:$AG$7,1))</f>
        <v>230</v>
      </c>
      <c r="AN42" s="109" t="n">
        <f aca="false">INDEX($F42:$AG42,1,MATCH(AN$7,$F$7:$AG$7,1))</f>
        <v>230</v>
      </c>
      <c r="AO42" s="109" t="n">
        <f aca="false">INDEX($F42:$AG42,1,MATCH(AO$7,$F$7:$AG$7,1))</f>
        <v>230</v>
      </c>
    </row>
    <row r="43" customFormat="false" ht="15" hidden="false" customHeight="false" outlineLevel="0" collapsed="false">
      <c r="A43" s="107" t="s">
        <v>1479</v>
      </c>
      <c r="B43" s="22" t="s">
        <v>664</v>
      </c>
      <c r="C43" s="22" t="s">
        <v>540</v>
      </c>
      <c r="D43" s="22" t="s">
        <v>1480</v>
      </c>
      <c r="F43" s="109" t="n">
        <f aca="false">IF(CapV=2,N(F42),N(F41))</f>
        <v>0</v>
      </c>
      <c r="G43" s="109" t="n">
        <f aca="false">IF(CapV=2,N(G42),N(G41))</f>
        <v>0</v>
      </c>
      <c r="H43" s="109" t="n">
        <f aca="false">IF(CapV=2,N(H42),N(H41))</f>
        <v>0</v>
      </c>
      <c r="I43" s="109" t="n">
        <f aca="false">IF(CapV=2,N(I42),N(I41))</f>
        <v>0</v>
      </c>
      <c r="J43" s="109" t="n">
        <f aca="false">IF(CapV=2,N(J42),N(J41))</f>
        <v>0</v>
      </c>
      <c r="K43" s="109" t="n">
        <f aca="false">IF(CapV=2,N(K42),N(K41))</f>
        <v>0</v>
      </c>
      <c r="L43" s="109" t="n">
        <f aca="false">IF(CapV=2,N(L42),N(L41))</f>
        <v>0</v>
      </c>
      <c r="M43" s="109" t="n">
        <f aca="false">IF(CapV=2,N(M42),N(M41))</f>
        <v>21.8</v>
      </c>
      <c r="N43" s="109" t="n">
        <f aca="false">IF(CapV=2,N(N42),N(N41))</f>
        <v>30</v>
      </c>
      <c r="O43" s="109" t="n">
        <f aca="false">IF(CapV=2,N(O42),N(O41))</f>
        <v>33</v>
      </c>
      <c r="P43" s="109" t="n">
        <f aca="false">IF(CapV=2,N(P42),N(P41))</f>
        <v>57</v>
      </c>
      <c r="Q43" s="109" t="n">
        <f aca="false">IF(CapV=2,N(Q42),N(Q41))</f>
        <v>57</v>
      </c>
      <c r="R43" s="109" t="n">
        <f aca="false">IF(CapV=2,N(R42),N(R41))</f>
        <v>57</v>
      </c>
      <c r="S43" s="109" t="n">
        <f aca="false">IF(CapV=2,N(S42),N(S41))</f>
        <v>107</v>
      </c>
      <c r="T43" s="109" t="n">
        <f aca="false">IF(CapV=2,N(T42),N(T41))</f>
        <v>160</v>
      </c>
      <c r="U43" s="109" t="n">
        <f aca="false">IF(CapV=2,N(U42),N(U41))</f>
        <v>230</v>
      </c>
      <c r="V43" s="109" t="n">
        <f aca="false">IF(CapV=2,N(V42),N(V41))</f>
        <v>230</v>
      </c>
      <c r="W43" s="109" t="n">
        <f aca="false">IF(CapV=2,N(W42),N(W41))</f>
        <v>230</v>
      </c>
      <c r="X43" s="109" t="n">
        <f aca="false">IF(CapV=2,N(X42),N(X41))</f>
        <v>230</v>
      </c>
      <c r="Y43" s="109" t="n">
        <f aca="false">IF(CapV=2,N(Y42),N(Y41))</f>
        <v>230</v>
      </c>
      <c r="Z43" s="109" t="n">
        <f aca="false">IF(CapV=2,N(Z42),N(Z41))</f>
        <v>230</v>
      </c>
      <c r="AA43" s="109" t="n">
        <f aca="false">IF(CapV=2,N(AA42),N(AA41))</f>
        <v>230</v>
      </c>
      <c r="AB43" s="109" t="n">
        <f aca="false">IF(CapV=2,N(AB42),N(AB41))</f>
        <v>230</v>
      </c>
      <c r="AC43" s="109" t="n">
        <f aca="false">IF(CapV=2,N(AC42),N(AC41))</f>
        <v>230</v>
      </c>
      <c r="AD43" s="109" t="n">
        <f aca="false">IF(CapV=2,N(AD42),N(AD41))</f>
        <v>230</v>
      </c>
      <c r="AE43" s="109" t="n">
        <f aca="false">IF(CapV=2,N(AE42),N(AE41))</f>
        <v>230</v>
      </c>
      <c r="AF43" s="109" t="n">
        <f aca="false">IF(CapV=2,N(AF42),N(AF41))</f>
        <v>230</v>
      </c>
      <c r="AG43" s="109" t="n">
        <f aca="false">IF(CapV=2,N(AG42),N(AG41))</f>
        <v>230</v>
      </c>
      <c r="AI43" s="109" t="n">
        <f aca="false">INDEX($F43:$AG43,1,MATCH(AI$7,$F$7:$AG$7,1))</f>
        <v>0</v>
      </c>
      <c r="AJ43" s="109" t="n">
        <f aca="false">INDEX($F43:$AG43,1,MATCH(AJ$7,$F$7:$AG$7,1))</f>
        <v>21.8</v>
      </c>
      <c r="AK43" s="109" t="n">
        <f aca="false">INDEX($F43:$AG43,1,MATCH(AK$7,$F$7:$AG$7,1))</f>
        <v>57</v>
      </c>
      <c r="AL43" s="109" t="n">
        <f aca="false">INDEX($F43:$AG43,1,MATCH(AL$7,$F$7:$AG$7,1))</f>
        <v>230</v>
      </c>
      <c r="AM43" s="109" t="n">
        <f aca="false">INDEX($F43:$AG43,1,MATCH(AM$7,$F$7:$AG$7,1))</f>
        <v>230</v>
      </c>
      <c r="AN43" s="109" t="n">
        <f aca="false">INDEX($F43:$AG43,1,MATCH(AN$7,$F$7:$AG$7,1))</f>
        <v>230</v>
      </c>
      <c r="AO43" s="109" t="n">
        <f aca="false">INDEX($F43:$AG43,1,MATCH(AO$7,$F$7:$AG$7,1))</f>
        <v>230</v>
      </c>
    </row>
    <row r="44" customFormat="false" ht="15" hidden="false" customHeight="false" outlineLevel="0" collapsed="false">
      <c r="A44" s="107" t="s">
        <v>1481</v>
      </c>
      <c r="B44" s="22" t="s">
        <v>664</v>
      </c>
      <c r="C44" s="22" t="s">
        <v>558</v>
      </c>
      <c r="D44" s="22" t="s">
        <v>1476</v>
      </c>
      <c r="F44" s="108" t="n">
        <v>0</v>
      </c>
      <c r="G44" s="108" t="n">
        <v>0</v>
      </c>
      <c r="H44" s="108" t="n">
        <v>0</v>
      </c>
      <c r="I44" s="108" t="n">
        <v>0</v>
      </c>
      <c r="J44" s="108" t="n">
        <v>0</v>
      </c>
      <c r="K44" s="108" t="n">
        <v>0</v>
      </c>
      <c r="L44" s="108" t="n">
        <v>0</v>
      </c>
      <c r="M44" s="108" t="n">
        <v>26.2</v>
      </c>
      <c r="N44" s="108" t="n">
        <v>37.5</v>
      </c>
      <c r="O44" s="108" t="n">
        <v>39</v>
      </c>
      <c r="P44" s="108" t="n">
        <v>66</v>
      </c>
      <c r="Q44" s="108" t="n">
        <v>81.8</v>
      </c>
      <c r="R44" s="108" t="n">
        <v>118.5</v>
      </c>
      <c r="S44" s="108" t="n">
        <v>168.5</v>
      </c>
      <c r="T44" s="108" t="n">
        <v>205</v>
      </c>
      <c r="U44" s="108" t="n">
        <v>240</v>
      </c>
      <c r="V44" s="108" t="n">
        <v>240</v>
      </c>
      <c r="W44" s="108" t="n">
        <v>240</v>
      </c>
      <c r="X44" s="108" t="n">
        <v>240</v>
      </c>
      <c r="Y44" s="108" t="n">
        <v>240</v>
      </c>
      <c r="Z44" s="108" t="n">
        <v>240</v>
      </c>
      <c r="AA44" s="108" t="n">
        <v>240</v>
      </c>
      <c r="AB44" s="108" t="n">
        <v>240</v>
      </c>
      <c r="AC44" s="108" t="n">
        <v>240</v>
      </c>
      <c r="AD44" s="108" t="n">
        <v>240</v>
      </c>
      <c r="AE44" s="108" t="n">
        <v>240</v>
      </c>
      <c r="AF44" s="108" t="n">
        <v>240</v>
      </c>
      <c r="AG44" s="108" t="n">
        <v>240</v>
      </c>
      <c r="AI44" s="109" t="n">
        <f aca="false">INDEX($F44:$AG44,1,MATCH(AI$7,$F$7:$AG$7,1))</f>
        <v>0</v>
      </c>
      <c r="AJ44" s="109" t="n">
        <f aca="false">INDEX($F44:$AG44,1,MATCH(AJ$7,$F$7:$AG$7,1))</f>
        <v>26.2</v>
      </c>
      <c r="AK44" s="109" t="n">
        <f aca="false">INDEX($F44:$AG44,1,MATCH(AK$7,$F$7:$AG$7,1))</f>
        <v>81.8</v>
      </c>
      <c r="AL44" s="109" t="n">
        <f aca="false">INDEX($F44:$AG44,1,MATCH(AL$7,$F$7:$AG$7,1))</f>
        <v>240</v>
      </c>
      <c r="AM44" s="109" t="n">
        <f aca="false">INDEX($F44:$AG44,1,MATCH(AM$7,$F$7:$AG$7,1))</f>
        <v>240</v>
      </c>
      <c r="AN44" s="109" t="n">
        <f aca="false">INDEX($F44:$AG44,1,MATCH(AN$7,$F$7:$AG$7,1))</f>
        <v>240</v>
      </c>
      <c r="AO44" s="109" t="n">
        <f aca="false">INDEX($F44:$AG44,1,MATCH(AO$7,$F$7:$AG$7,1))</f>
        <v>240</v>
      </c>
    </row>
    <row r="45" customFormat="false" ht="15" hidden="false" customHeight="false" outlineLevel="0" collapsed="false">
      <c r="A45" s="107" t="s">
        <v>1482</v>
      </c>
      <c r="B45" s="22" t="s">
        <v>664</v>
      </c>
      <c r="C45" s="22" t="s">
        <v>558</v>
      </c>
      <c r="D45" s="22" t="s">
        <v>1478</v>
      </c>
      <c r="F45" s="108" t="n">
        <v>0</v>
      </c>
      <c r="G45" s="108" t="n">
        <v>0</v>
      </c>
      <c r="H45" s="108" t="n">
        <v>0</v>
      </c>
      <c r="I45" s="108" t="n">
        <v>0</v>
      </c>
      <c r="J45" s="108" t="n">
        <v>0</v>
      </c>
      <c r="K45" s="108" t="n">
        <v>0</v>
      </c>
      <c r="L45" s="108" t="n">
        <v>0</v>
      </c>
      <c r="M45" s="108" t="n">
        <v>26.2</v>
      </c>
      <c r="N45" s="108" t="n">
        <v>37.5</v>
      </c>
      <c r="O45" s="108" t="n">
        <v>39</v>
      </c>
      <c r="P45" s="108" t="n">
        <v>66</v>
      </c>
      <c r="Q45" s="108" t="n">
        <v>81.8</v>
      </c>
      <c r="R45" s="108" t="n">
        <v>118.5</v>
      </c>
      <c r="S45" s="108" t="n">
        <v>168.5</v>
      </c>
      <c r="T45" s="108" t="n">
        <v>200</v>
      </c>
      <c r="U45" s="108" t="n">
        <v>235</v>
      </c>
      <c r="V45" s="108" t="n">
        <v>235</v>
      </c>
      <c r="W45" s="108" t="n">
        <v>235</v>
      </c>
      <c r="X45" s="108" t="n">
        <v>235</v>
      </c>
      <c r="Y45" s="108" t="n">
        <v>235</v>
      </c>
      <c r="Z45" s="108" t="n">
        <v>235</v>
      </c>
      <c r="AA45" s="108" t="n">
        <v>235</v>
      </c>
      <c r="AB45" s="108" t="n">
        <v>235</v>
      </c>
      <c r="AC45" s="108" t="n">
        <v>235</v>
      </c>
      <c r="AD45" s="108" t="n">
        <v>235</v>
      </c>
      <c r="AE45" s="108" t="n">
        <v>235</v>
      </c>
      <c r="AF45" s="108" t="n">
        <v>235</v>
      </c>
      <c r="AG45" s="108" t="n">
        <v>235</v>
      </c>
      <c r="AI45" s="109" t="n">
        <f aca="false">INDEX($F45:$AG45,1,MATCH(AI$7,$F$7:$AG$7,1))</f>
        <v>0</v>
      </c>
      <c r="AJ45" s="109" t="n">
        <f aca="false">INDEX($F45:$AG45,1,MATCH(AJ$7,$F$7:$AG$7,1))</f>
        <v>26.2</v>
      </c>
      <c r="AK45" s="109" t="n">
        <f aca="false">INDEX($F45:$AG45,1,MATCH(AK$7,$F$7:$AG$7,1))</f>
        <v>81.8</v>
      </c>
      <c r="AL45" s="109" t="n">
        <f aca="false">INDEX($F45:$AG45,1,MATCH(AL$7,$F$7:$AG$7,1))</f>
        <v>235</v>
      </c>
      <c r="AM45" s="109" t="n">
        <f aca="false">INDEX($F45:$AG45,1,MATCH(AM$7,$F$7:$AG$7,1))</f>
        <v>235</v>
      </c>
      <c r="AN45" s="109" t="n">
        <f aca="false">INDEX($F45:$AG45,1,MATCH(AN$7,$F$7:$AG$7,1))</f>
        <v>235</v>
      </c>
      <c r="AO45" s="109" t="n">
        <f aca="false">INDEX($F45:$AG45,1,MATCH(AO$7,$F$7:$AG$7,1))</f>
        <v>235</v>
      </c>
    </row>
    <row r="46" customFormat="false" ht="15" hidden="false" customHeight="false" outlineLevel="0" collapsed="false">
      <c r="A46" s="107" t="s">
        <v>1483</v>
      </c>
      <c r="B46" s="22" t="s">
        <v>664</v>
      </c>
      <c r="C46" s="22" t="s">
        <v>540</v>
      </c>
      <c r="D46" s="22" t="s">
        <v>1480</v>
      </c>
      <c r="F46" s="109" t="n">
        <f aca="false">IF(CapV=2,N(F45),N(F44))</f>
        <v>0</v>
      </c>
      <c r="G46" s="109" t="n">
        <f aca="false">IF(CapV=2,N(G45),N(G44))</f>
        <v>0</v>
      </c>
      <c r="H46" s="109" t="n">
        <f aca="false">IF(CapV=2,N(H45),N(H44))</f>
        <v>0</v>
      </c>
      <c r="I46" s="109" t="n">
        <f aca="false">IF(CapV=2,N(I45),N(I44))</f>
        <v>0</v>
      </c>
      <c r="J46" s="109" t="n">
        <f aca="false">IF(CapV=2,N(J45),N(J44))</f>
        <v>0</v>
      </c>
      <c r="K46" s="109" t="n">
        <f aca="false">IF(CapV=2,N(K45),N(K44))</f>
        <v>0</v>
      </c>
      <c r="L46" s="109" t="n">
        <f aca="false">IF(CapV=2,N(L45),N(L44))</f>
        <v>0</v>
      </c>
      <c r="M46" s="109" t="n">
        <f aca="false">IF(CapV=2,N(M45),N(M44))</f>
        <v>26.2</v>
      </c>
      <c r="N46" s="109" t="n">
        <f aca="false">IF(CapV=2,N(N45),N(N44))</f>
        <v>37.5</v>
      </c>
      <c r="O46" s="109" t="n">
        <f aca="false">IF(CapV=2,N(O45),N(O44))</f>
        <v>39</v>
      </c>
      <c r="P46" s="109" t="n">
        <f aca="false">IF(CapV=2,N(P45),N(P44))</f>
        <v>66</v>
      </c>
      <c r="Q46" s="109" t="n">
        <f aca="false">IF(CapV=2,N(Q45),N(Q44))</f>
        <v>81.8</v>
      </c>
      <c r="R46" s="109" t="n">
        <f aca="false">IF(CapV=2,N(R45),N(R44))</f>
        <v>118.5</v>
      </c>
      <c r="S46" s="109" t="n">
        <f aca="false">IF(CapV=2,N(S45),N(S44))</f>
        <v>168.5</v>
      </c>
      <c r="T46" s="109" t="n">
        <f aca="false">IF(CapV=2,N(T45),N(T44))</f>
        <v>200</v>
      </c>
      <c r="U46" s="109" t="n">
        <f aca="false">IF(CapV=2,N(U45),N(U44))</f>
        <v>235</v>
      </c>
      <c r="V46" s="109" t="n">
        <f aca="false">IF(CapV=2,N(V45),N(V44))</f>
        <v>235</v>
      </c>
      <c r="W46" s="109" t="n">
        <f aca="false">IF(CapV=2,N(W45),N(W44))</f>
        <v>235</v>
      </c>
      <c r="X46" s="109" t="n">
        <f aca="false">IF(CapV=2,N(X45),N(X44))</f>
        <v>235</v>
      </c>
      <c r="Y46" s="109" t="n">
        <f aca="false">IF(CapV=2,N(Y45),N(Y44))</f>
        <v>235</v>
      </c>
      <c r="Z46" s="109" t="n">
        <f aca="false">IF(CapV=2,N(Z45),N(Z44))</f>
        <v>235</v>
      </c>
      <c r="AA46" s="109" t="n">
        <f aca="false">IF(CapV=2,N(AA45),N(AA44))</f>
        <v>235</v>
      </c>
      <c r="AB46" s="109" t="n">
        <f aca="false">IF(CapV=2,N(AB45),N(AB44))</f>
        <v>235</v>
      </c>
      <c r="AC46" s="109" t="n">
        <f aca="false">IF(CapV=2,N(AC45),N(AC44))</f>
        <v>235</v>
      </c>
      <c r="AD46" s="109" t="n">
        <f aca="false">IF(CapV=2,N(AD45),N(AD44))</f>
        <v>235</v>
      </c>
      <c r="AE46" s="109" t="n">
        <f aca="false">IF(CapV=2,N(AE45),N(AE44))</f>
        <v>235</v>
      </c>
      <c r="AF46" s="109" t="n">
        <f aca="false">IF(CapV=2,N(AF45),N(AF44))</f>
        <v>235</v>
      </c>
      <c r="AG46" s="109" t="n">
        <f aca="false">IF(CapV=2,N(AG45),N(AG44))</f>
        <v>235</v>
      </c>
      <c r="AI46" s="109" t="n">
        <f aca="false">INDEX($F46:$AG46,1,MATCH(AI$7,$F$7:$AG$7,1))</f>
        <v>0</v>
      </c>
      <c r="AJ46" s="109" t="n">
        <f aca="false">INDEX($F46:$AG46,1,MATCH(AJ$7,$F$7:$AG$7,1))</f>
        <v>26.2</v>
      </c>
      <c r="AK46" s="109" t="n">
        <f aca="false">INDEX($F46:$AG46,1,MATCH(AK$7,$F$7:$AG$7,1))</f>
        <v>81.8</v>
      </c>
      <c r="AL46" s="109" t="n">
        <f aca="false">INDEX($F46:$AG46,1,MATCH(AL$7,$F$7:$AG$7,1))</f>
        <v>235</v>
      </c>
      <c r="AM46" s="109" t="n">
        <f aca="false">INDEX($F46:$AG46,1,MATCH(AM$7,$F$7:$AG$7,1))</f>
        <v>235</v>
      </c>
      <c r="AN46" s="109" t="n">
        <f aca="false">INDEX($F46:$AG46,1,MATCH(AN$7,$F$7:$AG$7,1))</f>
        <v>235</v>
      </c>
      <c r="AO46" s="109" t="n">
        <f aca="false">INDEX($F46:$AG46,1,MATCH(AO$7,$F$7:$AG$7,1))</f>
        <v>235</v>
      </c>
    </row>
    <row r="47" customFormat="false" ht="15" hidden="false" customHeight="false" outlineLevel="0" collapsed="false">
      <c r="A47" s="107" t="s">
        <v>1484</v>
      </c>
      <c r="B47" s="22" t="s">
        <v>664</v>
      </c>
      <c r="C47" s="22" t="s">
        <v>558</v>
      </c>
      <c r="D47" s="22" t="s">
        <v>1476</v>
      </c>
      <c r="F47" s="108" t="n">
        <v>0</v>
      </c>
      <c r="G47" s="108" t="n">
        <v>0</v>
      </c>
      <c r="H47" s="108" t="n">
        <v>0</v>
      </c>
      <c r="I47" s="108" t="n">
        <v>0</v>
      </c>
      <c r="J47" s="108" t="n">
        <v>0</v>
      </c>
      <c r="K47" s="108" t="n">
        <v>0</v>
      </c>
      <c r="L47" s="108" t="n">
        <v>0</v>
      </c>
      <c r="M47" s="108" t="n">
        <v>30.6</v>
      </c>
      <c r="N47" s="108" t="n">
        <v>45</v>
      </c>
      <c r="O47" s="108" t="n">
        <v>45</v>
      </c>
      <c r="P47" s="108" t="n">
        <v>75</v>
      </c>
      <c r="Q47" s="108" t="n">
        <v>106.6</v>
      </c>
      <c r="R47" s="108" t="n">
        <v>180</v>
      </c>
      <c r="S47" s="108" t="n">
        <v>230</v>
      </c>
      <c r="T47" s="108" t="n">
        <v>250</v>
      </c>
      <c r="U47" s="108" t="n">
        <v>250</v>
      </c>
      <c r="V47" s="108" t="n">
        <v>250</v>
      </c>
      <c r="W47" s="108" t="n">
        <v>250</v>
      </c>
      <c r="X47" s="108" t="n">
        <v>250</v>
      </c>
      <c r="Y47" s="108" t="n">
        <v>250</v>
      </c>
      <c r="Z47" s="108" t="n">
        <v>250</v>
      </c>
      <c r="AA47" s="108" t="n">
        <v>250</v>
      </c>
      <c r="AB47" s="108" t="n">
        <v>250</v>
      </c>
      <c r="AC47" s="108" t="n">
        <v>250</v>
      </c>
      <c r="AD47" s="108" t="n">
        <v>250</v>
      </c>
      <c r="AE47" s="108" t="n">
        <v>250</v>
      </c>
      <c r="AF47" s="108" t="n">
        <v>250</v>
      </c>
      <c r="AG47" s="108" t="n">
        <v>250</v>
      </c>
      <c r="AI47" s="109" t="n">
        <f aca="false">INDEX($F47:$AG47,1,MATCH(AI$7,$F$7:$AG$7,1))</f>
        <v>0</v>
      </c>
      <c r="AJ47" s="109" t="n">
        <f aca="false">INDEX($F47:$AG47,1,MATCH(AJ$7,$F$7:$AG$7,1))</f>
        <v>30.6</v>
      </c>
      <c r="AK47" s="109" t="n">
        <f aca="false">INDEX($F47:$AG47,1,MATCH(AK$7,$F$7:$AG$7,1))</f>
        <v>106.6</v>
      </c>
      <c r="AL47" s="109" t="n">
        <f aca="false">INDEX($F47:$AG47,1,MATCH(AL$7,$F$7:$AG$7,1))</f>
        <v>250</v>
      </c>
      <c r="AM47" s="109" t="n">
        <f aca="false">INDEX($F47:$AG47,1,MATCH(AM$7,$F$7:$AG$7,1))</f>
        <v>250</v>
      </c>
      <c r="AN47" s="109" t="n">
        <f aca="false">INDEX($F47:$AG47,1,MATCH(AN$7,$F$7:$AG$7,1))</f>
        <v>250</v>
      </c>
      <c r="AO47" s="109" t="n">
        <f aca="false">INDEX($F47:$AG47,1,MATCH(AO$7,$F$7:$AG$7,1))</f>
        <v>250</v>
      </c>
    </row>
    <row r="48" customFormat="false" ht="15" hidden="false" customHeight="false" outlineLevel="0" collapsed="false">
      <c r="A48" s="107" t="s">
        <v>1485</v>
      </c>
      <c r="B48" s="22" t="s">
        <v>664</v>
      </c>
      <c r="C48" s="22" t="s">
        <v>558</v>
      </c>
      <c r="D48" s="22" t="s">
        <v>1478</v>
      </c>
      <c r="F48" s="108" t="n">
        <v>0</v>
      </c>
      <c r="G48" s="108" t="n">
        <v>0</v>
      </c>
      <c r="H48" s="108" t="n">
        <v>0</v>
      </c>
      <c r="I48" s="108" t="n">
        <v>0</v>
      </c>
      <c r="J48" s="108" t="n">
        <v>0</v>
      </c>
      <c r="K48" s="108" t="n">
        <v>0</v>
      </c>
      <c r="L48" s="108" t="n">
        <v>0</v>
      </c>
      <c r="M48" s="108" t="n">
        <v>30.6</v>
      </c>
      <c r="N48" s="108" t="n">
        <v>45</v>
      </c>
      <c r="O48" s="108" t="n">
        <v>45</v>
      </c>
      <c r="P48" s="108" t="n">
        <v>75</v>
      </c>
      <c r="Q48" s="108" t="n">
        <v>106.6</v>
      </c>
      <c r="R48" s="108" t="n">
        <v>180</v>
      </c>
      <c r="S48" s="108" t="n">
        <v>230</v>
      </c>
      <c r="T48" s="108" t="n">
        <v>240</v>
      </c>
      <c r="U48" s="108" t="n">
        <v>240</v>
      </c>
      <c r="V48" s="108" t="n">
        <v>240</v>
      </c>
      <c r="W48" s="108" t="n">
        <v>240</v>
      </c>
      <c r="X48" s="108" t="n">
        <v>240</v>
      </c>
      <c r="Y48" s="108" t="n">
        <v>240</v>
      </c>
      <c r="Z48" s="108" t="n">
        <v>240</v>
      </c>
      <c r="AA48" s="108" t="n">
        <v>240</v>
      </c>
      <c r="AB48" s="108" t="n">
        <v>240</v>
      </c>
      <c r="AC48" s="108" t="n">
        <v>240</v>
      </c>
      <c r="AD48" s="108" t="n">
        <v>240</v>
      </c>
      <c r="AE48" s="108" t="n">
        <v>240</v>
      </c>
      <c r="AF48" s="108" t="n">
        <v>240</v>
      </c>
      <c r="AG48" s="108" t="n">
        <v>240</v>
      </c>
      <c r="AI48" s="109" t="n">
        <f aca="false">INDEX($F48:$AG48,1,MATCH(AI$7,$F$7:$AG$7,1))</f>
        <v>0</v>
      </c>
      <c r="AJ48" s="109" t="n">
        <f aca="false">INDEX($F48:$AG48,1,MATCH(AJ$7,$F$7:$AG$7,1))</f>
        <v>30.6</v>
      </c>
      <c r="AK48" s="109" t="n">
        <f aca="false">INDEX($F48:$AG48,1,MATCH(AK$7,$F$7:$AG$7,1))</f>
        <v>106.6</v>
      </c>
      <c r="AL48" s="109" t="n">
        <f aca="false">INDEX($F48:$AG48,1,MATCH(AL$7,$F$7:$AG$7,1))</f>
        <v>240</v>
      </c>
      <c r="AM48" s="109" t="n">
        <f aca="false">INDEX($F48:$AG48,1,MATCH(AM$7,$F$7:$AG$7,1))</f>
        <v>240</v>
      </c>
      <c r="AN48" s="109" t="n">
        <f aca="false">INDEX($F48:$AG48,1,MATCH(AN$7,$F$7:$AG$7,1))</f>
        <v>240</v>
      </c>
      <c r="AO48" s="109" t="n">
        <f aca="false">INDEX($F48:$AG48,1,MATCH(AO$7,$F$7:$AG$7,1))</f>
        <v>240</v>
      </c>
    </row>
    <row r="49" customFormat="false" ht="15" hidden="false" customHeight="false" outlineLevel="0" collapsed="false">
      <c r="A49" s="107" t="s">
        <v>1486</v>
      </c>
      <c r="B49" s="22" t="s">
        <v>664</v>
      </c>
      <c r="C49" s="22" t="s">
        <v>540</v>
      </c>
      <c r="D49" s="22" t="s">
        <v>1480</v>
      </c>
      <c r="F49" s="109" t="n">
        <f aca="false">IF(CapV=2,N(F48),N(F47))</f>
        <v>0</v>
      </c>
      <c r="G49" s="109" t="n">
        <f aca="false">IF(CapV=2,N(G48),N(G47))</f>
        <v>0</v>
      </c>
      <c r="H49" s="109" t="n">
        <f aca="false">IF(CapV=2,N(H48),N(H47))</f>
        <v>0</v>
      </c>
      <c r="I49" s="109" t="n">
        <f aca="false">IF(CapV=2,N(I48),N(I47))</f>
        <v>0</v>
      </c>
      <c r="J49" s="109" t="n">
        <f aca="false">IF(CapV=2,N(J48),N(J47))</f>
        <v>0</v>
      </c>
      <c r="K49" s="109" t="n">
        <f aca="false">IF(CapV=2,N(K48),N(K47))</f>
        <v>0</v>
      </c>
      <c r="L49" s="109" t="n">
        <f aca="false">IF(CapV=2,N(L48),N(L47))</f>
        <v>0</v>
      </c>
      <c r="M49" s="109" t="n">
        <f aca="false">IF(CapV=2,N(M48),N(M47))</f>
        <v>30.6</v>
      </c>
      <c r="N49" s="109" t="n">
        <f aca="false">IF(CapV=2,N(N48),N(N47))</f>
        <v>45</v>
      </c>
      <c r="O49" s="109" t="n">
        <f aca="false">IF(CapV=2,N(O48),N(O47))</f>
        <v>45</v>
      </c>
      <c r="P49" s="109" t="n">
        <f aca="false">IF(CapV=2,N(P48),N(P47))</f>
        <v>75</v>
      </c>
      <c r="Q49" s="109" t="n">
        <f aca="false">IF(CapV=2,N(Q48),N(Q47))</f>
        <v>106.6</v>
      </c>
      <c r="R49" s="109" t="n">
        <f aca="false">IF(CapV=2,N(R48),N(R47))</f>
        <v>180</v>
      </c>
      <c r="S49" s="109" t="n">
        <f aca="false">IF(CapV=2,N(S48),N(S47))</f>
        <v>230</v>
      </c>
      <c r="T49" s="109" t="n">
        <f aca="false">IF(CapV=2,N(T48),N(T47))</f>
        <v>240</v>
      </c>
      <c r="U49" s="109" t="n">
        <f aca="false">IF(CapV=2,N(U48),N(U47))</f>
        <v>240</v>
      </c>
      <c r="V49" s="109" t="n">
        <f aca="false">IF(CapV=2,N(V48),N(V47))</f>
        <v>240</v>
      </c>
      <c r="W49" s="109" t="n">
        <f aca="false">IF(CapV=2,N(W48),N(W47))</f>
        <v>240</v>
      </c>
      <c r="X49" s="109" t="n">
        <f aca="false">IF(CapV=2,N(X48),N(X47))</f>
        <v>240</v>
      </c>
      <c r="Y49" s="109" t="n">
        <f aca="false">IF(CapV=2,N(Y48),N(Y47))</f>
        <v>240</v>
      </c>
      <c r="Z49" s="109" t="n">
        <f aca="false">IF(CapV=2,N(Z48),N(Z47))</f>
        <v>240</v>
      </c>
      <c r="AA49" s="109" t="n">
        <f aca="false">IF(CapV=2,N(AA48),N(AA47))</f>
        <v>240</v>
      </c>
      <c r="AB49" s="109" t="n">
        <f aca="false">IF(CapV=2,N(AB48),N(AB47))</f>
        <v>240</v>
      </c>
      <c r="AC49" s="109" t="n">
        <f aca="false">IF(CapV=2,N(AC48),N(AC47))</f>
        <v>240</v>
      </c>
      <c r="AD49" s="109" t="n">
        <f aca="false">IF(CapV=2,N(AD48),N(AD47))</f>
        <v>240</v>
      </c>
      <c r="AE49" s="109" t="n">
        <f aca="false">IF(CapV=2,N(AE48),N(AE47))</f>
        <v>240</v>
      </c>
      <c r="AF49" s="109" t="n">
        <f aca="false">IF(CapV=2,N(AF48),N(AF47))</f>
        <v>240</v>
      </c>
      <c r="AG49" s="109" t="n">
        <f aca="false">IF(CapV=2,N(AG48),N(AG47))</f>
        <v>240</v>
      </c>
      <c r="AI49" s="109" t="n">
        <f aca="false">INDEX($F49:$AG49,1,MATCH(AI$7,$F$7:$AG$7,1))</f>
        <v>0</v>
      </c>
      <c r="AJ49" s="109" t="n">
        <f aca="false">INDEX($F49:$AG49,1,MATCH(AJ$7,$F$7:$AG$7,1))</f>
        <v>30.6</v>
      </c>
      <c r="AK49" s="109" t="n">
        <f aca="false">INDEX($F49:$AG49,1,MATCH(AK$7,$F$7:$AG$7,1))</f>
        <v>106.6</v>
      </c>
      <c r="AL49" s="109" t="n">
        <f aca="false">INDEX($F49:$AG49,1,MATCH(AL$7,$F$7:$AG$7,1))</f>
        <v>240</v>
      </c>
      <c r="AM49" s="109" t="n">
        <f aca="false">INDEX($F49:$AG49,1,MATCH(AM$7,$F$7:$AG$7,1))</f>
        <v>240</v>
      </c>
      <c r="AN49" s="109" t="n">
        <f aca="false">INDEX($F49:$AG49,1,MATCH(AN$7,$F$7:$AG$7,1))</f>
        <v>240</v>
      </c>
      <c r="AO49" s="109" t="n">
        <f aca="false">INDEX($F49:$AG49,1,MATCH(AO$7,$F$7:$AG$7,1))</f>
        <v>240</v>
      </c>
    </row>
    <row r="50" customFormat="false" ht="15" hidden="false" customHeight="false" outlineLevel="0" collapsed="false">
      <c r="A50" s="107" t="s">
        <v>1487</v>
      </c>
      <c r="B50" s="22" t="s">
        <v>664</v>
      </c>
      <c r="C50" s="22" t="s">
        <v>558</v>
      </c>
      <c r="D50" s="22" t="s">
        <v>1476</v>
      </c>
      <c r="F50" s="108" t="n">
        <v>0</v>
      </c>
      <c r="G50" s="108" t="n">
        <v>0</v>
      </c>
      <c r="H50" s="108" t="n">
        <v>0</v>
      </c>
      <c r="I50" s="108" t="n">
        <v>0</v>
      </c>
      <c r="J50" s="108" t="n">
        <v>0</v>
      </c>
      <c r="K50" s="108" t="n">
        <v>0</v>
      </c>
      <c r="L50" s="108" t="n">
        <v>0</v>
      </c>
      <c r="M50" s="108" t="n">
        <v>0</v>
      </c>
      <c r="N50" s="108" t="n">
        <v>0</v>
      </c>
      <c r="O50" s="108" t="n">
        <v>0</v>
      </c>
      <c r="P50" s="108" t="n">
        <v>0</v>
      </c>
      <c r="Q50" s="108" t="n">
        <v>0</v>
      </c>
      <c r="R50" s="108" t="n">
        <v>0</v>
      </c>
      <c r="S50" s="108" t="n">
        <v>0</v>
      </c>
      <c r="T50" s="108" t="n">
        <v>0</v>
      </c>
      <c r="U50" s="108" t="n">
        <v>50</v>
      </c>
      <c r="V50" s="108" t="n">
        <v>50</v>
      </c>
      <c r="W50" s="108" t="n">
        <v>100</v>
      </c>
      <c r="X50" s="108" t="n">
        <v>100</v>
      </c>
      <c r="Y50" s="108" t="n">
        <v>200</v>
      </c>
      <c r="Z50" s="108" t="n">
        <v>200</v>
      </c>
      <c r="AA50" s="108" t="n">
        <v>300</v>
      </c>
      <c r="AB50" s="108" t="n">
        <v>300</v>
      </c>
      <c r="AC50" s="108" t="n">
        <v>500</v>
      </c>
      <c r="AD50" s="108" t="n">
        <v>500</v>
      </c>
      <c r="AE50" s="108" t="n">
        <v>500</v>
      </c>
      <c r="AF50" s="108" t="n">
        <v>500</v>
      </c>
      <c r="AG50" s="108" t="n">
        <v>700</v>
      </c>
      <c r="AI50" s="109" t="n">
        <f aca="false">INDEX($F50:$AG50,1,MATCH(AI$7,$F$7:$AG$7,1))</f>
        <v>0</v>
      </c>
      <c r="AJ50" s="109" t="n">
        <f aca="false">INDEX($F50:$AG50,1,MATCH(AJ$7,$F$7:$AG$7,1))</f>
        <v>0</v>
      </c>
      <c r="AK50" s="109" t="n">
        <f aca="false">INDEX($F50:$AG50,1,MATCH(AK$7,$F$7:$AG$7,1))</f>
        <v>0</v>
      </c>
      <c r="AL50" s="109" t="n">
        <f aca="false">INDEX($F50:$AG50,1,MATCH(AL$7,$F$7:$AG$7,1))</f>
        <v>50</v>
      </c>
      <c r="AM50" s="109" t="n">
        <f aca="false">INDEX($F50:$AG50,1,MATCH(AM$7,$F$7:$AG$7,1))</f>
        <v>200</v>
      </c>
      <c r="AN50" s="109" t="n">
        <f aca="false">INDEX($F50:$AG50,1,MATCH(AN$7,$F$7:$AG$7,1))</f>
        <v>500</v>
      </c>
      <c r="AO50" s="109" t="n">
        <f aca="false">INDEX($F50:$AG50,1,MATCH(AO$7,$F$7:$AG$7,1))</f>
        <v>700</v>
      </c>
    </row>
    <row r="51" customFormat="false" ht="15" hidden="false" customHeight="false" outlineLevel="0" collapsed="false">
      <c r="A51" s="107" t="s">
        <v>1488</v>
      </c>
      <c r="B51" s="22" t="s">
        <v>664</v>
      </c>
      <c r="C51" s="22" t="s">
        <v>558</v>
      </c>
      <c r="D51" s="22" t="s">
        <v>1478</v>
      </c>
      <c r="F51" s="108" t="n">
        <v>0</v>
      </c>
      <c r="G51" s="108" t="n">
        <v>0</v>
      </c>
      <c r="H51" s="108" t="n">
        <v>0</v>
      </c>
      <c r="I51" s="108" t="n">
        <v>0</v>
      </c>
      <c r="J51" s="108" t="n">
        <v>0</v>
      </c>
      <c r="K51" s="108" t="n">
        <v>0</v>
      </c>
      <c r="L51" s="108" t="n">
        <v>0</v>
      </c>
      <c r="M51" s="108" t="n">
        <v>0</v>
      </c>
      <c r="N51" s="108" t="n">
        <v>0</v>
      </c>
      <c r="O51" s="108" t="n">
        <v>0</v>
      </c>
      <c r="P51" s="108" t="n">
        <v>0</v>
      </c>
      <c r="Q51" s="108" t="n">
        <v>0</v>
      </c>
      <c r="R51" s="108" t="n">
        <v>0</v>
      </c>
      <c r="S51" s="108" t="n">
        <v>0</v>
      </c>
      <c r="T51" s="108" t="n">
        <v>0</v>
      </c>
      <c r="U51" s="108" t="n">
        <v>50</v>
      </c>
      <c r="V51" s="108" t="n">
        <v>50</v>
      </c>
      <c r="W51" s="108" t="n">
        <v>100</v>
      </c>
      <c r="X51" s="108" t="n">
        <v>100</v>
      </c>
      <c r="Y51" s="108" t="n">
        <v>200</v>
      </c>
      <c r="Z51" s="108" t="n">
        <v>200</v>
      </c>
      <c r="AA51" s="108" t="n">
        <v>300</v>
      </c>
      <c r="AB51" s="108" t="n">
        <v>300</v>
      </c>
      <c r="AC51" s="108" t="n">
        <v>500</v>
      </c>
      <c r="AD51" s="108" t="n">
        <v>500</v>
      </c>
      <c r="AE51" s="108" t="n">
        <v>500</v>
      </c>
      <c r="AF51" s="108" t="n">
        <v>500</v>
      </c>
      <c r="AG51" s="108" t="n">
        <v>700</v>
      </c>
      <c r="AI51" s="109" t="n">
        <f aca="false">INDEX($F51:$AG51,1,MATCH(AI$7,$F$7:$AG$7,1))</f>
        <v>0</v>
      </c>
      <c r="AJ51" s="109" t="n">
        <f aca="false">INDEX($F51:$AG51,1,MATCH(AJ$7,$F$7:$AG$7,1))</f>
        <v>0</v>
      </c>
      <c r="AK51" s="109" t="n">
        <f aca="false">INDEX($F51:$AG51,1,MATCH(AK$7,$F$7:$AG$7,1))</f>
        <v>0</v>
      </c>
      <c r="AL51" s="109" t="n">
        <f aca="false">INDEX($F51:$AG51,1,MATCH(AL$7,$F$7:$AG$7,1))</f>
        <v>50</v>
      </c>
      <c r="AM51" s="109" t="n">
        <f aca="false">INDEX($F51:$AG51,1,MATCH(AM$7,$F$7:$AG$7,1))</f>
        <v>200</v>
      </c>
      <c r="AN51" s="109" t="n">
        <f aca="false">INDEX($F51:$AG51,1,MATCH(AN$7,$F$7:$AG$7,1))</f>
        <v>500</v>
      </c>
      <c r="AO51" s="109" t="n">
        <f aca="false">INDEX($F51:$AG51,1,MATCH(AO$7,$F$7:$AG$7,1))</f>
        <v>700</v>
      </c>
    </row>
    <row r="52" customFormat="false" ht="15" hidden="false" customHeight="false" outlineLevel="0" collapsed="false">
      <c r="A52" s="107" t="s">
        <v>1489</v>
      </c>
      <c r="B52" s="22" t="s">
        <v>664</v>
      </c>
      <c r="C52" s="22" t="s">
        <v>540</v>
      </c>
      <c r="D52" s="22" t="s">
        <v>1480</v>
      </c>
      <c r="F52" s="109" t="n">
        <f aca="false">IF(CapV=2,N(F51),N(F50))</f>
        <v>0</v>
      </c>
      <c r="G52" s="109" t="n">
        <f aca="false">IF(CapV=2,N(G51),N(G50))</f>
        <v>0</v>
      </c>
      <c r="H52" s="109" t="n">
        <f aca="false">IF(CapV=2,N(H51),N(H50))</f>
        <v>0</v>
      </c>
      <c r="I52" s="109" t="n">
        <f aca="false">IF(CapV=2,N(I51),N(I50))</f>
        <v>0</v>
      </c>
      <c r="J52" s="109" t="n">
        <f aca="false">IF(CapV=2,N(J51),N(J50))</f>
        <v>0</v>
      </c>
      <c r="K52" s="109" t="n">
        <f aca="false">IF(CapV=2,N(K51),N(K50))</f>
        <v>0</v>
      </c>
      <c r="L52" s="109" t="n">
        <f aca="false">IF(CapV=2,N(L51),N(L50))</f>
        <v>0</v>
      </c>
      <c r="M52" s="109" t="n">
        <f aca="false">IF(CapV=2,N(M51),N(M50))</f>
        <v>0</v>
      </c>
      <c r="N52" s="109" t="n">
        <f aca="false">IF(CapV=2,N(N51),N(N50))</f>
        <v>0</v>
      </c>
      <c r="O52" s="109" t="n">
        <f aca="false">IF(CapV=2,N(O51),N(O50))</f>
        <v>0</v>
      </c>
      <c r="P52" s="109" t="n">
        <f aca="false">IF(CapV=2,N(P51),N(P50))</f>
        <v>0</v>
      </c>
      <c r="Q52" s="109" t="n">
        <f aca="false">IF(CapV=2,N(Q51),N(Q50))</f>
        <v>0</v>
      </c>
      <c r="R52" s="109" t="n">
        <f aca="false">IF(CapV=2,N(R51),N(R50))</f>
        <v>0</v>
      </c>
      <c r="S52" s="109" t="n">
        <f aca="false">IF(CapV=2,N(S51),N(S50))</f>
        <v>0</v>
      </c>
      <c r="T52" s="109" t="n">
        <f aca="false">IF(CapV=2,N(T51),N(T50))</f>
        <v>0</v>
      </c>
      <c r="U52" s="109" t="n">
        <f aca="false">IF(CapV=2,N(U51),N(U50))</f>
        <v>50</v>
      </c>
      <c r="V52" s="109" t="n">
        <f aca="false">IF(CapV=2,N(V51),N(V50))</f>
        <v>50</v>
      </c>
      <c r="W52" s="109" t="n">
        <f aca="false">IF(CapV=2,N(W51),N(W50))</f>
        <v>100</v>
      </c>
      <c r="X52" s="109" t="n">
        <f aca="false">IF(CapV=2,N(X51),N(X50))</f>
        <v>100</v>
      </c>
      <c r="Y52" s="109" t="n">
        <f aca="false">IF(CapV=2,N(Y51),N(Y50))</f>
        <v>200</v>
      </c>
      <c r="Z52" s="109" t="n">
        <f aca="false">IF(CapV=2,N(Z51),N(Z50))</f>
        <v>200</v>
      </c>
      <c r="AA52" s="109" t="n">
        <f aca="false">IF(CapV=2,N(AA51),N(AA50))</f>
        <v>300</v>
      </c>
      <c r="AB52" s="109" t="n">
        <f aca="false">IF(CapV=2,N(AB51),N(AB50))</f>
        <v>300</v>
      </c>
      <c r="AC52" s="109" t="n">
        <f aca="false">IF(CapV=2,N(AC51),N(AC50))</f>
        <v>500</v>
      </c>
      <c r="AD52" s="109" t="n">
        <f aca="false">IF(CapV=2,N(AD51),N(AD50))</f>
        <v>500</v>
      </c>
      <c r="AE52" s="109" t="n">
        <f aca="false">IF(CapV=2,N(AE51),N(AE50))</f>
        <v>500</v>
      </c>
      <c r="AF52" s="109" t="n">
        <f aca="false">IF(CapV=2,N(AF51),N(AF50))</f>
        <v>500</v>
      </c>
      <c r="AG52" s="109" t="n">
        <f aca="false">IF(CapV=2,N(AG51),N(AG50))</f>
        <v>700</v>
      </c>
      <c r="AI52" s="109" t="n">
        <f aca="false">INDEX($F52:$AG52,1,MATCH(AI$7,$F$7:$AG$7,1))</f>
        <v>0</v>
      </c>
      <c r="AJ52" s="109" t="n">
        <f aca="false">INDEX($F52:$AG52,1,MATCH(AJ$7,$F$7:$AG$7,1))</f>
        <v>0</v>
      </c>
      <c r="AK52" s="109" t="n">
        <f aca="false">INDEX($F52:$AG52,1,MATCH(AK$7,$F$7:$AG$7,1))</f>
        <v>0</v>
      </c>
      <c r="AL52" s="109" t="n">
        <f aca="false">INDEX($F52:$AG52,1,MATCH(AL$7,$F$7:$AG$7,1))</f>
        <v>50</v>
      </c>
      <c r="AM52" s="109" t="n">
        <f aca="false">INDEX($F52:$AG52,1,MATCH(AM$7,$F$7:$AG$7,1))</f>
        <v>200</v>
      </c>
      <c r="AN52" s="109" t="n">
        <f aca="false">INDEX($F52:$AG52,1,MATCH(AN$7,$F$7:$AG$7,1))</f>
        <v>500</v>
      </c>
      <c r="AO52" s="109" t="n">
        <f aca="false">INDEX($F52:$AG52,1,MATCH(AO$7,$F$7:$AG$7,1))</f>
        <v>700</v>
      </c>
    </row>
    <row r="53" customFormat="false" ht="15" hidden="false" customHeight="false" outlineLevel="0" collapsed="false">
      <c r="A53" s="107" t="s">
        <v>1490</v>
      </c>
      <c r="B53" s="22" t="s">
        <v>664</v>
      </c>
      <c r="C53" s="22" t="s">
        <v>558</v>
      </c>
      <c r="D53" s="22" t="s">
        <v>1476</v>
      </c>
      <c r="F53" s="108" t="n">
        <v>0</v>
      </c>
      <c r="G53" s="108" t="n">
        <v>0</v>
      </c>
      <c r="H53" s="108" t="n">
        <v>0</v>
      </c>
      <c r="I53" s="108" t="n">
        <v>0</v>
      </c>
      <c r="J53" s="108" t="n">
        <v>0</v>
      </c>
      <c r="K53" s="108" t="n">
        <v>0</v>
      </c>
      <c r="L53" s="108" t="n">
        <v>0</v>
      </c>
      <c r="M53" s="108" t="n">
        <v>0</v>
      </c>
      <c r="N53" s="108" t="n">
        <v>0</v>
      </c>
      <c r="O53" s="108" t="n">
        <v>0</v>
      </c>
      <c r="P53" s="108" t="n">
        <v>0</v>
      </c>
      <c r="Q53" s="108" t="n">
        <v>0</v>
      </c>
      <c r="R53" s="108" t="n">
        <v>0</v>
      </c>
      <c r="S53" s="108" t="n">
        <v>0</v>
      </c>
      <c r="T53" s="108" t="n">
        <v>50</v>
      </c>
      <c r="U53" s="108" t="n">
        <v>125</v>
      </c>
      <c r="V53" s="108" t="n">
        <v>125</v>
      </c>
      <c r="W53" s="108" t="n">
        <v>175</v>
      </c>
      <c r="X53" s="108" t="n">
        <v>175</v>
      </c>
      <c r="Y53" s="108" t="n">
        <v>225</v>
      </c>
      <c r="Z53" s="108" t="n">
        <v>225</v>
      </c>
      <c r="AA53" s="108" t="n">
        <v>450</v>
      </c>
      <c r="AB53" s="108" t="n">
        <v>450</v>
      </c>
      <c r="AC53" s="108" t="n">
        <v>650</v>
      </c>
      <c r="AD53" s="108" t="n">
        <v>650</v>
      </c>
      <c r="AE53" s="108" t="n">
        <v>650</v>
      </c>
      <c r="AF53" s="108" t="n">
        <v>650</v>
      </c>
      <c r="AG53" s="108" t="n">
        <v>950</v>
      </c>
      <c r="AI53" s="109" t="n">
        <f aca="false">INDEX($F53:$AG53,1,MATCH(AI$7,$F$7:$AG$7,1))</f>
        <v>0</v>
      </c>
      <c r="AJ53" s="109" t="n">
        <f aca="false">INDEX($F53:$AG53,1,MATCH(AJ$7,$F$7:$AG$7,1))</f>
        <v>0</v>
      </c>
      <c r="AK53" s="109" t="n">
        <f aca="false">INDEX($F53:$AG53,1,MATCH(AK$7,$F$7:$AG$7,1))</f>
        <v>0</v>
      </c>
      <c r="AL53" s="109" t="n">
        <f aca="false">INDEX($F53:$AG53,1,MATCH(AL$7,$F$7:$AG$7,1))</f>
        <v>125</v>
      </c>
      <c r="AM53" s="109" t="n">
        <f aca="false">INDEX($F53:$AG53,1,MATCH(AM$7,$F$7:$AG$7,1))</f>
        <v>225</v>
      </c>
      <c r="AN53" s="109" t="n">
        <f aca="false">INDEX($F53:$AG53,1,MATCH(AN$7,$F$7:$AG$7,1))</f>
        <v>650</v>
      </c>
      <c r="AO53" s="109" t="n">
        <f aca="false">INDEX($F53:$AG53,1,MATCH(AO$7,$F$7:$AG$7,1))</f>
        <v>950</v>
      </c>
    </row>
    <row r="54" customFormat="false" ht="15" hidden="false" customHeight="false" outlineLevel="0" collapsed="false">
      <c r="A54" s="107" t="s">
        <v>1491</v>
      </c>
      <c r="B54" s="22" t="s">
        <v>664</v>
      </c>
      <c r="C54" s="22" t="s">
        <v>558</v>
      </c>
      <c r="D54" s="22" t="s">
        <v>1478</v>
      </c>
      <c r="F54" s="108" t="n">
        <v>0</v>
      </c>
      <c r="G54" s="108" t="n">
        <v>0</v>
      </c>
      <c r="H54" s="108" t="n">
        <v>0</v>
      </c>
      <c r="I54" s="108" t="n">
        <v>0</v>
      </c>
      <c r="J54" s="108" t="n">
        <v>0</v>
      </c>
      <c r="K54" s="108" t="n">
        <v>0</v>
      </c>
      <c r="L54" s="108" t="n">
        <v>0</v>
      </c>
      <c r="M54" s="108" t="n">
        <v>0</v>
      </c>
      <c r="N54" s="108" t="n">
        <v>0</v>
      </c>
      <c r="O54" s="108" t="n">
        <v>0</v>
      </c>
      <c r="P54" s="108" t="n">
        <v>0</v>
      </c>
      <c r="Q54" s="108" t="n">
        <v>0</v>
      </c>
      <c r="R54" s="108" t="n">
        <v>0</v>
      </c>
      <c r="S54" s="108" t="n">
        <v>0</v>
      </c>
      <c r="T54" s="108" t="n">
        <v>50</v>
      </c>
      <c r="U54" s="108" t="n">
        <v>125</v>
      </c>
      <c r="V54" s="108" t="n">
        <v>125</v>
      </c>
      <c r="W54" s="108" t="n">
        <v>175</v>
      </c>
      <c r="X54" s="108" t="n">
        <v>175</v>
      </c>
      <c r="Y54" s="108" t="n">
        <v>225</v>
      </c>
      <c r="Z54" s="108" t="n">
        <v>225</v>
      </c>
      <c r="AA54" s="108" t="n">
        <v>450</v>
      </c>
      <c r="AB54" s="108" t="n">
        <v>450</v>
      </c>
      <c r="AC54" s="108" t="n">
        <v>650</v>
      </c>
      <c r="AD54" s="108" t="n">
        <v>650</v>
      </c>
      <c r="AE54" s="108" t="n">
        <v>650</v>
      </c>
      <c r="AF54" s="108" t="n">
        <v>650</v>
      </c>
      <c r="AG54" s="108" t="n">
        <v>950</v>
      </c>
      <c r="AI54" s="109" t="n">
        <f aca="false">INDEX($F54:$AG54,1,MATCH(AI$7,$F$7:$AG$7,1))</f>
        <v>0</v>
      </c>
      <c r="AJ54" s="109" t="n">
        <f aca="false">INDEX($F54:$AG54,1,MATCH(AJ$7,$F$7:$AG$7,1))</f>
        <v>0</v>
      </c>
      <c r="AK54" s="109" t="n">
        <f aca="false">INDEX($F54:$AG54,1,MATCH(AK$7,$F$7:$AG$7,1))</f>
        <v>0</v>
      </c>
      <c r="AL54" s="109" t="n">
        <f aca="false">INDEX($F54:$AG54,1,MATCH(AL$7,$F$7:$AG$7,1))</f>
        <v>125</v>
      </c>
      <c r="AM54" s="109" t="n">
        <f aca="false">INDEX($F54:$AG54,1,MATCH(AM$7,$F$7:$AG$7,1))</f>
        <v>225</v>
      </c>
      <c r="AN54" s="109" t="n">
        <f aca="false">INDEX($F54:$AG54,1,MATCH(AN$7,$F$7:$AG$7,1))</f>
        <v>650</v>
      </c>
      <c r="AO54" s="109" t="n">
        <f aca="false">INDEX($F54:$AG54,1,MATCH(AO$7,$F$7:$AG$7,1))</f>
        <v>950</v>
      </c>
    </row>
    <row r="55" customFormat="false" ht="15" hidden="false" customHeight="false" outlineLevel="0" collapsed="false">
      <c r="A55" s="107" t="s">
        <v>1492</v>
      </c>
      <c r="B55" s="22" t="s">
        <v>664</v>
      </c>
      <c r="C55" s="22" t="s">
        <v>540</v>
      </c>
      <c r="D55" s="22" t="s">
        <v>1480</v>
      </c>
      <c r="F55" s="109" t="n">
        <f aca="false">IF(CapV=2,N(F54),N(F53))</f>
        <v>0</v>
      </c>
      <c r="G55" s="109" t="n">
        <f aca="false">IF(CapV=2,N(G54),N(G53))</f>
        <v>0</v>
      </c>
      <c r="H55" s="109" t="n">
        <f aca="false">IF(CapV=2,N(H54),N(H53))</f>
        <v>0</v>
      </c>
      <c r="I55" s="109" t="n">
        <f aca="false">IF(CapV=2,N(I54),N(I53))</f>
        <v>0</v>
      </c>
      <c r="J55" s="109" t="n">
        <f aca="false">IF(CapV=2,N(J54),N(J53))</f>
        <v>0</v>
      </c>
      <c r="K55" s="109" t="n">
        <f aca="false">IF(CapV=2,N(K54),N(K53))</f>
        <v>0</v>
      </c>
      <c r="L55" s="109" t="n">
        <f aca="false">IF(CapV=2,N(L54),N(L53))</f>
        <v>0</v>
      </c>
      <c r="M55" s="109" t="n">
        <f aca="false">IF(CapV=2,N(M54),N(M53))</f>
        <v>0</v>
      </c>
      <c r="N55" s="109" t="n">
        <f aca="false">IF(CapV=2,N(N54),N(N53))</f>
        <v>0</v>
      </c>
      <c r="O55" s="109" t="n">
        <f aca="false">IF(CapV=2,N(O54),N(O53))</f>
        <v>0</v>
      </c>
      <c r="P55" s="109" t="n">
        <f aca="false">IF(CapV=2,N(P54),N(P53))</f>
        <v>0</v>
      </c>
      <c r="Q55" s="109" t="n">
        <f aca="false">IF(CapV=2,N(Q54),N(Q53))</f>
        <v>0</v>
      </c>
      <c r="R55" s="109" t="n">
        <f aca="false">IF(CapV=2,N(R54),N(R53))</f>
        <v>0</v>
      </c>
      <c r="S55" s="109" t="n">
        <f aca="false">IF(CapV=2,N(S54),N(S53))</f>
        <v>0</v>
      </c>
      <c r="T55" s="109" t="n">
        <f aca="false">IF(CapV=2,N(T54),N(T53))</f>
        <v>50</v>
      </c>
      <c r="U55" s="109" t="n">
        <f aca="false">IF(CapV=2,N(U54),N(U53))</f>
        <v>125</v>
      </c>
      <c r="V55" s="109" t="n">
        <f aca="false">IF(CapV=2,N(V54),N(V53))</f>
        <v>125</v>
      </c>
      <c r="W55" s="109" t="n">
        <f aca="false">IF(CapV=2,N(W54),N(W53))</f>
        <v>175</v>
      </c>
      <c r="X55" s="109" t="n">
        <f aca="false">IF(CapV=2,N(X54),N(X53))</f>
        <v>175</v>
      </c>
      <c r="Y55" s="109" t="n">
        <f aca="false">IF(CapV=2,N(Y54),N(Y53))</f>
        <v>225</v>
      </c>
      <c r="Z55" s="109" t="n">
        <f aca="false">IF(CapV=2,N(Z54),N(Z53))</f>
        <v>225</v>
      </c>
      <c r="AA55" s="109" t="n">
        <f aca="false">IF(CapV=2,N(AA54),N(AA53))</f>
        <v>450</v>
      </c>
      <c r="AB55" s="109" t="n">
        <f aca="false">IF(CapV=2,N(AB54),N(AB53))</f>
        <v>450</v>
      </c>
      <c r="AC55" s="109" t="n">
        <f aca="false">IF(CapV=2,N(AC54),N(AC53))</f>
        <v>650</v>
      </c>
      <c r="AD55" s="109" t="n">
        <f aca="false">IF(CapV=2,N(AD54),N(AD53))</f>
        <v>650</v>
      </c>
      <c r="AE55" s="109" t="n">
        <f aca="false">IF(CapV=2,N(AE54),N(AE53))</f>
        <v>650</v>
      </c>
      <c r="AF55" s="109" t="n">
        <f aca="false">IF(CapV=2,N(AF54),N(AF53))</f>
        <v>650</v>
      </c>
      <c r="AG55" s="109" t="n">
        <f aca="false">IF(CapV=2,N(AG54),N(AG53))</f>
        <v>950</v>
      </c>
      <c r="AI55" s="109" t="n">
        <f aca="false">INDEX($F55:$AG55,1,MATCH(AI$7,$F$7:$AG$7,1))</f>
        <v>0</v>
      </c>
      <c r="AJ55" s="109" t="n">
        <f aca="false">INDEX($F55:$AG55,1,MATCH(AJ$7,$F$7:$AG$7,1))</f>
        <v>0</v>
      </c>
      <c r="AK55" s="109" t="n">
        <f aca="false">INDEX($F55:$AG55,1,MATCH(AK$7,$F$7:$AG$7,1))</f>
        <v>0</v>
      </c>
      <c r="AL55" s="109" t="n">
        <f aca="false">INDEX($F55:$AG55,1,MATCH(AL$7,$F$7:$AG$7,1))</f>
        <v>125</v>
      </c>
      <c r="AM55" s="109" t="n">
        <f aca="false">INDEX($F55:$AG55,1,MATCH(AM$7,$F$7:$AG$7,1))</f>
        <v>225</v>
      </c>
      <c r="AN55" s="109" t="n">
        <f aca="false">INDEX($F55:$AG55,1,MATCH(AN$7,$F$7:$AG$7,1))</f>
        <v>650</v>
      </c>
      <c r="AO55" s="109" t="n">
        <f aca="false">INDEX($F55:$AG55,1,MATCH(AO$7,$F$7:$AG$7,1))</f>
        <v>950</v>
      </c>
    </row>
    <row r="56" customFormat="false" ht="15" hidden="false" customHeight="false" outlineLevel="0" collapsed="false">
      <c r="A56" s="107" t="s">
        <v>1493</v>
      </c>
      <c r="B56" s="22" t="s">
        <v>664</v>
      </c>
      <c r="C56" s="22" t="s">
        <v>558</v>
      </c>
      <c r="D56" s="22" t="s">
        <v>1476</v>
      </c>
      <c r="F56" s="108" t="n">
        <v>0</v>
      </c>
      <c r="G56" s="108" t="n">
        <v>0</v>
      </c>
      <c r="H56" s="108" t="n">
        <v>0</v>
      </c>
      <c r="I56" s="108" t="n">
        <v>0</v>
      </c>
      <c r="J56" s="108" t="n">
        <v>0</v>
      </c>
      <c r="K56" s="108" t="n">
        <v>0</v>
      </c>
      <c r="L56" s="108" t="n">
        <v>0</v>
      </c>
      <c r="M56" s="108" t="n">
        <v>0</v>
      </c>
      <c r="N56" s="108" t="n">
        <v>0</v>
      </c>
      <c r="O56" s="108" t="n">
        <v>0</v>
      </c>
      <c r="P56" s="108" t="n">
        <v>0</v>
      </c>
      <c r="Q56" s="108" t="n">
        <v>0</v>
      </c>
      <c r="R56" s="108" t="n">
        <v>0</v>
      </c>
      <c r="S56" s="108" t="n">
        <v>0</v>
      </c>
      <c r="T56" s="108" t="n">
        <v>100</v>
      </c>
      <c r="U56" s="108" t="n">
        <v>200</v>
      </c>
      <c r="V56" s="108" t="n">
        <v>200</v>
      </c>
      <c r="W56" s="108" t="n">
        <v>250</v>
      </c>
      <c r="X56" s="108" t="n">
        <v>250</v>
      </c>
      <c r="Y56" s="108" t="n">
        <v>250</v>
      </c>
      <c r="Z56" s="108" t="n">
        <v>250</v>
      </c>
      <c r="AA56" s="108" t="n">
        <v>600</v>
      </c>
      <c r="AB56" s="108" t="n">
        <v>600</v>
      </c>
      <c r="AC56" s="108" t="n">
        <v>800</v>
      </c>
      <c r="AD56" s="108" t="n">
        <v>800</v>
      </c>
      <c r="AE56" s="108" t="n">
        <v>800</v>
      </c>
      <c r="AF56" s="108" t="n">
        <v>800</v>
      </c>
      <c r="AG56" s="108" t="n">
        <v>1200</v>
      </c>
      <c r="AI56" s="109" t="n">
        <f aca="false">INDEX($F56:$AG56,1,MATCH(AI$7,$F$7:$AG$7,1))</f>
        <v>0</v>
      </c>
      <c r="AJ56" s="109" t="n">
        <f aca="false">INDEX($F56:$AG56,1,MATCH(AJ$7,$F$7:$AG$7,1))</f>
        <v>0</v>
      </c>
      <c r="AK56" s="109" t="n">
        <f aca="false">INDEX($F56:$AG56,1,MATCH(AK$7,$F$7:$AG$7,1))</f>
        <v>0</v>
      </c>
      <c r="AL56" s="109" t="n">
        <f aca="false">INDEX($F56:$AG56,1,MATCH(AL$7,$F$7:$AG$7,1))</f>
        <v>200</v>
      </c>
      <c r="AM56" s="109" t="n">
        <f aca="false">INDEX($F56:$AG56,1,MATCH(AM$7,$F$7:$AG$7,1))</f>
        <v>250</v>
      </c>
      <c r="AN56" s="109" t="n">
        <f aca="false">INDEX($F56:$AG56,1,MATCH(AN$7,$F$7:$AG$7,1))</f>
        <v>800</v>
      </c>
      <c r="AO56" s="109" t="n">
        <f aca="false">INDEX($F56:$AG56,1,MATCH(AO$7,$F$7:$AG$7,1))</f>
        <v>1200</v>
      </c>
    </row>
    <row r="57" customFormat="false" ht="15" hidden="false" customHeight="false" outlineLevel="0" collapsed="false">
      <c r="A57" s="107" t="s">
        <v>1494</v>
      </c>
      <c r="B57" s="22" t="s">
        <v>664</v>
      </c>
      <c r="C57" s="22" t="s">
        <v>558</v>
      </c>
      <c r="D57" s="22" t="s">
        <v>1478</v>
      </c>
      <c r="F57" s="108" t="n">
        <v>0</v>
      </c>
      <c r="G57" s="108" t="n">
        <v>0</v>
      </c>
      <c r="H57" s="108" t="n">
        <v>0</v>
      </c>
      <c r="I57" s="108" t="n">
        <v>0</v>
      </c>
      <c r="J57" s="108" t="n">
        <v>0</v>
      </c>
      <c r="K57" s="108" t="n">
        <v>0</v>
      </c>
      <c r="L57" s="108" t="n">
        <v>0</v>
      </c>
      <c r="M57" s="108" t="n">
        <v>0</v>
      </c>
      <c r="N57" s="108" t="n">
        <v>0</v>
      </c>
      <c r="O57" s="108" t="n">
        <v>0</v>
      </c>
      <c r="P57" s="108" t="n">
        <v>0</v>
      </c>
      <c r="Q57" s="108" t="n">
        <v>0</v>
      </c>
      <c r="R57" s="108" t="n">
        <v>0</v>
      </c>
      <c r="S57" s="108" t="n">
        <v>0</v>
      </c>
      <c r="T57" s="108" t="n">
        <v>100</v>
      </c>
      <c r="U57" s="108" t="n">
        <v>200</v>
      </c>
      <c r="V57" s="108" t="n">
        <v>200</v>
      </c>
      <c r="W57" s="108" t="n">
        <v>250</v>
      </c>
      <c r="X57" s="108" t="n">
        <v>250</v>
      </c>
      <c r="Y57" s="108" t="n">
        <v>250</v>
      </c>
      <c r="Z57" s="108" t="n">
        <v>250</v>
      </c>
      <c r="AA57" s="108" t="n">
        <v>600</v>
      </c>
      <c r="AB57" s="108" t="n">
        <v>600</v>
      </c>
      <c r="AC57" s="108" t="n">
        <v>800</v>
      </c>
      <c r="AD57" s="108" t="n">
        <v>800</v>
      </c>
      <c r="AE57" s="108" t="n">
        <v>800</v>
      </c>
      <c r="AF57" s="108" t="n">
        <v>800</v>
      </c>
      <c r="AG57" s="108" t="n">
        <v>1200</v>
      </c>
      <c r="AI57" s="109" t="n">
        <f aca="false">INDEX($F57:$AG57,1,MATCH(AI$7,$F$7:$AG$7,1))</f>
        <v>0</v>
      </c>
      <c r="AJ57" s="109" t="n">
        <f aca="false">INDEX($F57:$AG57,1,MATCH(AJ$7,$F$7:$AG$7,1))</f>
        <v>0</v>
      </c>
      <c r="AK57" s="109" t="n">
        <f aca="false">INDEX($F57:$AG57,1,MATCH(AK$7,$F$7:$AG$7,1))</f>
        <v>0</v>
      </c>
      <c r="AL57" s="109" t="n">
        <f aca="false">INDEX($F57:$AG57,1,MATCH(AL$7,$F$7:$AG$7,1))</f>
        <v>200</v>
      </c>
      <c r="AM57" s="109" t="n">
        <f aca="false">INDEX($F57:$AG57,1,MATCH(AM$7,$F$7:$AG$7,1))</f>
        <v>250</v>
      </c>
      <c r="AN57" s="109" t="n">
        <f aca="false">INDEX($F57:$AG57,1,MATCH(AN$7,$F$7:$AG$7,1))</f>
        <v>800</v>
      </c>
      <c r="AO57" s="109" t="n">
        <f aca="false">INDEX($F57:$AG57,1,MATCH(AO$7,$F$7:$AG$7,1))</f>
        <v>1200</v>
      </c>
    </row>
    <row r="58" customFormat="false" ht="15" hidden="false" customHeight="false" outlineLevel="0" collapsed="false">
      <c r="A58" s="107" t="s">
        <v>1495</v>
      </c>
      <c r="B58" s="22" t="s">
        <v>664</v>
      </c>
      <c r="C58" s="22" t="s">
        <v>540</v>
      </c>
      <c r="D58" s="22" t="s">
        <v>1480</v>
      </c>
      <c r="F58" s="109" t="n">
        <f aca="false">IF(CapV=2,N(F57),N(F56))</f>
        <v>0</v>
      </c>
      <c r="G58" s="109" t="n">
        <f aca="false">IF(CapV=2,N(G57),N(G56))</f>
        <v>0</v>
      </c>
      <c r="H58" s="109" t="n">
        <f aca="false">IF(CapV=2,N(H57),N(H56))</f>
        <v>0</v>
      </c>
      <c r="I58" s="109" t="n">
        <f aca="false">IF(CapV=2,N(I57),N(I56))</f>
        <v>0</v>
      </c>
      <c r="J58" s="109" t="n">
        <f aca="false">IF(CapV=2,N(J57),N(J56))</f>
        <v>0</v>
      </c>
      <c r="K58" s="109" t="n">
        <f aca="false">IF(CapV=2,N(K57),N(K56))</f>
        <v>0</v>
      </c>
      <c r="L58" s="109" t="n">
        <f aca="false">IF(CapV=2,N(L57),N(L56))</f>
        <v>0</v>
      </c>
      <c r="M58" s="109" t="n">
        <f aca="false">IF(CapV=2,N(M57),N(M56))</f>
        <v>0</v>
      </c>
      <c r="N58" s="109" t="n">
        <f aca="false">IF(CapV=2,N(N57),N(N56))</f>
        <v>0</v>
      </c>
      <c r="O58" s="109" t="n">
        <f aca="false">IF(CapV=2,N(O57),N(O56))</f>
        <v>0</v>
      </c>
      <c r="P58" s="109" t="n">
        <f aca="false">IF(CapV=2,N(P57),N(P56))</f>
        <v>0</v>
      </c>
      <c r="Q58" s="109" t="n">
        <f aca="false">IF(CapV=2,N(Q57),N(Q56))</f>
        <v>0</v>
      </c>
      <c r="R58" s="109" t="n">
        <f aca="false">IF(CapV=2,N(R57),N(R56))</f>
        <v>0</v>
      </c>
      <c r="S58" s="109" t="n">
        <f aca="false">IF(CapV=2,N(S57),N(S56))</f>
        <v>0</v>
      </c>
      <c r="T58" s="109" t="n">
        <f aca="false">IF(CapV=2,N(T57),N(T56))</f>
        <v>100</v>
      </c>
      <c r="U58" s="109" t="n">
        <f aca="false">IF(CapV=2,N(U57),N(U56))</f>
        <v>200</v>
      </c>
      <c r="V58" s="109" t="n">
        <f aca="false">IF(CapV=2,N(V57),N(V56))</f>
        <v>200</v>
      </c>
      <c r="W58" s="109" t="n">
        <f aca="false">IF(CapV=2,N(W57),N(W56))</f>
        <v>250</v>
      </c>
      <c r="X58" s="109" t="n">
        <f aca="false">IF(CapV=2,N(X57),N(X56))</f>
        <v>250</v>
      </c>
      <c r="Y58" s="109" t="n">
        <f aca="false">IF(CapV=2,N(Y57),N(Y56))</f>
        <v>250</v>
      </c>
      <c r="Z58" s="109" t="n">
        <f aca="false">IF(CapV=2,N(Z57),N(Z56))</f>
        <v>250</v>
      </c>
      <c r="AA58" s="109" t="n">
        <f aca="false">IF(CapV=2,N(AA57),N(AA56))</f>
        <v>600</v>
      </c>
      <c r="AB58" s="109" t="n">
        <f aca="false">IF(CapV=2,N(AB57),N(AB56))</f>
        <v>600</v>
      </c>
      <c r="AC58" s="109" t="n">
        <f aca="false">IF(CapV=2,N(AC57),N(AC56))</f>
        <v>800</v>
      </c>
      <c r="AD58" s="109" t="n">
        <f aca="false">IF(CapV=2,N(AD57),N(AD56))</f>
        <v>800</v>
      </c>
      <c r="AE58" s="109" t="n">
        <f aca="false">IF(CapV=2,N(AE57),N(AE56))</f>
        <v>800</v>
      </c>
      <c r="AF58" s="109" t="n">
        <f aca="false">IF(CapV=2,N(AF57),N(AF56))</f>
        <v>800</v>
      </c>
      <c r="AG58" s="109" t="n">
        <f aca="false">IF(CapV=2,N(AG57),N(AG56))</f>
        <v>1200</v>
      </c>
      <c r="AI58" s="109" t="n">
        <f aca="false">INDEX($F58:$AG58,1,MATCH(AI$7,$F$7:$AG$7,1))</f>
        <v>0</v>
      </c>
      <c r="AJ58" s="109" t="n">
        <f aca="false">INDEX($F58:$AG58,1,MATCH(AJ$7,$F$7:$AG$7,1))</f>
        <v>0</v>
      </c>
      <c r="AK58" s="109" t="n">
        <f aca="false">INDEX($F58:$AG58,1,MATCH(AK$7,$F$7:$AG$7,1))</f>
        <v>0</v>
      </c>
      <c r="AL58" s="109" t="n">
        <f aca="false">INDEX($F58:$AG58,1,MATCH(AL$7,$F$7:$AG$7,1))</f>
        <v>200</v>
      </c>
      <c r="AM58" s="109" t="n">
        <f aca="false">INDEX($F58:$AG58,1,MATCH(AM$7,$F$7:$AG$7,1))</f>
        <v>250</v>
      </c>
      <c r="AN58" s="109" t="n">
        <f aca="false">INDEX($F58:$AG58,1,MATCH(AN$7,$F$7:$AG$7,1))</f>
        <v>800</v>
      </c>
      <c r="AO58" s="109" t="n">
        <f aca="false">INDEX($F58:$AG58,1,MATCH(AO$7,$F$7:$AG$7,1))</f>
        <v>1200</v>
      </c>
    </row>
    <row r="59" customFormat="false" ht="15" hidden="false" customHeight="false" outlineLevel="0" collapsed="false">
      <c r="A59" s="107" t="s">
        <v>1496</v>
      </c>
      <c r="B59" s="22" t="s">
        <v>664</v>
      </c>
      <c r="C59" s="22" t="s">
        <v>558</v>
      </c>
      <c r="D59" s="22" t="s">
        <v>1476</v>
      </c>
      <c r="F59" s="108" t="n">
        <v>0</v>
      </c>
      <c r="G59" s="108" t="n">
        <v>0</v>
      </c>
      <c r="H59" s="108" t="n">
        <v>0</v>
      </c>
      <c r="I59" s="108" t="n">
        <v>0</v>
      </c>
      <c r="J59" s="108" t="n">
        <v>0</v>
      </c>
      <c r="K59" s="108" t="n">
        <v>0</v>
      </c>
      <c r="L59" s="108" t="n">
        <v>0</v>
      </c>
      <c r="M59" s="108" t="n">
        <v>0</v>
      </c>
      <c r="N59" s="108" t="n">
        <v>0</v>
      </c>
      <c r="O59" s="108" t="n">
        <v>0</v>
      </c>
      <c r="P59" s="108" t="n">
        <v>0</v>
      </c>
      <c r="Q59" s="108" t="n">
        <v>0</v>
      </c>
      <c r="R59" s="108" t="n">
        <v>0</v>
      </c>
      <c r="S59" s="108" t="n">
        <v>0</v>
      </c>
      <c r="T59" s="108" t="n">
        <v>0</v>
      </c>
      <c r="U59" s="108" t="n">
        <v>0</v>
      </c>
      <c r="V59" s="108" t="n">
        <v>0</v>
      </c>
      <c r="W59" s="108" t="n">
        <v>0</v>
      </c>
      <c r="X59" s="108" t="n">
        <v>0</v>
      </c>
      <c r="Y59" s="108" t="n">
        <v>130</v>
      </c>
      <c r="Z59" s="108" t="n">
        <v>130</v>
      </c>
      <c r="AA59" s="108" t="n">
        <v>260</v>
      </c>
      <c r="AB59" s="108" t="n">
        <v>260</v>
      </c>
      <c r="AC59" s="108" t="n">
        <v>400</v>
      </c>
      <c r="AD59" s="108" t="n">
        <v>400</v>
      </c>
      <c r="AE59" s="108" t="n">
        <v>400</v>
      </c>
      <c r="AF59" s="108" t="n">
        <v>400</v>
      </c>
      <c r="AG59" s="108" t="n">
        <v>660</v>
      </c>
      <c r="AI59" s="109" t="n">
        <f aca="false">INDEX($F59:$AG59,1,MATCH(AI$7,$F$7:$AG$7,1))</f>
        <v>0</v>
      </c>
      <c r="AJ59" s="109" t="n">
        <f aca="false">INDEX($F59:$AG59,1,MATCH(AJ$7,$F$7:$AG$7,1))</f>
        <v>0</v>
      </c>
      <c r="AK59" s="109" t="n">
        <f aca="false">INDEX($F59:$AG59,1,MATCH(AK$7,$F$7:$AG$7,1))</f>
        <v>0</v>
      </c>
      <c r="AL59" s="109" t="n">
        <f aca="false">INDEX($F59:$AG59,1,MATCH(AL$7,$F$7:$AG$7,1))</f>
        <v>0</v>
      </c>
      <c r="AM59" s="109" t="n">
        <f aca="false">INDEX($F59:$AG59,1,MATCH(AM$7,$F$7:$AG$7,1))</f>
        <v>130</v>
      </c>
      <c r="AN59" s="109" t="n">
        <f aca="false">INDEX($F59:$AG59,1,MATCH(AN$7,$F$7:$AG$7,1))</f>
        <v>400</v>
      </c>
      <c r="AO59" s="109" t="n">
        <f aca="false">INDEX($F59:$AG59,1,MATCH(AO$7,$F$7:$AG$7,1))</f>
        <v>660</v>
      </c>
    </row>
    <row r="60" customFormat="false" ht="15" hidden="false" customHeight="false" outlineLevel="0" collapsed="false">
      <c r="A60" s="107" t="s">
        <v>1497</v>
      </c>
      <c r="B60" s="22" t="s">
        <v>664</v>
      </c>
      <c r="C60" s="22" t="s">
        <v>558</v>
      </c>
      <c r="D60" s="22" t="s">
        <v>1478</v>
      </c>
      <c r="F60" s="108" t="n">
        <v>0</v>
      </c>
      <c r="G60" s="108" t="n">
        <v>0</v>
      </c>
      <c r="H60" s="108" t="n">
        <v>0</v>
      </c>
      <c r="I60" s="108" t="n">
        <v>0</v>
      </c>
      <c r="J60" s="108" t="n">
        <v>0</v>
      </c>
      <c r="K60" s="108" t="n">
        <v>0</v>
      </c>
      <c r="L60" s="108" t="n">
        <v>0</v>
      </c>
      <c r="M60" s="108" t="n">
        <v>0</v>
      </c>
      <c r="N60" s="108" t="n">
        <v>0</v>
      </c>
      <c r="O60" s="108" t="n">
        <v>0</v>
      </c>
      <c r="P60" s="108" t="n">
        <v>0</v>
      </c>
      <c r="Q60" s="108" t="n">
        <v>0</v>
      </c>
      <c r="R60" s="108" t="n">
        <v>0</v>
      </c>
      <c r="S60" s="108" t="n">
        <v>0</v>
      </c>
      <c r="T60" s="108" t="n">
        <v>0</v>
      </c>
      <c r="U60" s="108" t="n">
        <v>0</v>
      </c>
      <c r="V60" s="108" t="n">
        <v>0</v>
      </c>
      <c r="W60" s="108" t="n">
        <v>0</v>
      </c>
      <c r="X60" s="108" t="n">
        <v>0</v>
      </c>
      <c r="Y60" s="108" t="n">
        <v>130</v>
      </c>
      <c r="Z60" s="108" t="n">
        <v>130</v>
      </c>
      <c r="AA60" s="108" t="n">
        <v>260</v>
      </c>
      <c r="AB60" s="108" t="n">
        <v>260</v>
      </c>
      <c r="AC60" s="108" t="n">
        <v>400</v>
      </c>
      <c r="AD60" s="108" t="n">
        <v>400</v>
      </c>
      <c r="AE60" s="108" t="n">
        <v>400</v>
      </c>
      <c r="AF60" s="108" t="n">
        <v>400</v>
      </c>
      <c r="AG60" s="108" t="n">
        <v>660</v>
      </c>
      <c r="AI60" s="109" t="n">
        <f aca="false">INDEX($F60:$AG60,1,MATCH(AI$7,$F$7:$AG$7,1))</f>
        <v>0</v>
      </c>
      <c r="AJ60" s="109" t="n">
        <f aca="false">INDEX($F60:$AG60,1,MATCH(AJ$7,$F$7:$AG$7,1))</f>
        <v>0</v>
      </c>
      <c r="AK60" s="109" t="n">
        <f aca="false">INDEX($F60:$AG60,1,MATCH(AK$7,$F$7:$AG$7,1))</f>
        <v>0</v>
      </c>
      <c r="AL60" s="109" t="n">
        <f aca="false">INDEX($F60:$AG60,1,MATCH(AL$7,$F$7:$AG$7,1))</f>
        <v>0</v>
      </c>
      <c r="AM60" s="109" t="n">
        <f aca="false">INDEX($F60:$AG60,1,MATCH(AM$7,$F$7:$AG$7,1))</f>
        <v>130</v>
      </c>
      <c r="AN60" s="109" t="n">
        <f aca="false">INDEX($F60:$AG60,1,MATCH(AN$7,$F$7:$AG$7,1))</f>
        <v>400</v>
      </c>
      <c r="AO60" s="109" t="n">
        <f aca="false">INDEX($F60:$AG60,1,MATCH(AO$7,$F$7:$AG$7,1))</f>
        <v>660</v>
      </c>
    </row>
    <row r="61" customFormat="false" ht="15" hidden="false" customHeight="false" outlineLevel="0" collapsed="false">
      <c r="A61" s="107" t="s">
        <v>1498</v>
      </c>
      <c r="B61" s="22" t="s">
        <v>664</v>
      </c>
      <c r="C61" s="22" t="s">
        <v>540</v>
      </c>
      <c r="D61" s="22" t="s">
        <v>1480</v>
      </c>
      <c r="F61" s="109" t="n">
        <f aca="false">IF(CapV=2,N(F60),N(F59))</f>
        <v>0</v>
      </c>
      <c r="G61" s="109" t="n">
        <f aca="false">IF(CapV=2,N(G60),N(G59))</f>
        <v>0</v>
      </c>
      <c r="H61" s="109" t="n">
        <f aca="false">IF(CapV=2,N(H60),N(H59))</f>
        <v>0</v>
      </c>
      <c r="I61" s="109" t="n">
        <f aca="false">IF(CapV=2,N(I60),N(I59))</f>
        <v>0</v>
      </c>
      <c r="J61" s="109" t="n">
        <f aca="false">IF(CapV=2,N(J60),N(J59))</f>
        <v>0</v>
      </c>
      <c r="K61" s="109" t="n">
        <f aca="false">IF(CapV=2,N(K60),N(K59))</f>
        <v>0</v>
      </c>
      <c r="L61" s="109" t="n">
        <f aca="false">IF(CapV=2,N(L60),N(L59))</f>
        <v>0</v>
      </c>
      <c r="M61" s="109" t="n">
        <f aca="false">IF(CapV=2,N(M60),N(M59))</f>
        <v>0</v>
      </c>
      <c r="N61" s="109" t="n">
        <f aca="false">IF(CapV=2,N(N60),N(N59))</f>
        <v>0</v>
      </c>
      <c r="O61" s="109" t="n">
        <f aca="false">IF(CapV=2,N(O60),N(O59))</f>
        <v>0</v>
      </c>
      <c r="P61" s="109" t="n">
        <f aca="false">IF(CapV=2,N(P60),N(P59))</f>
        <v>0</v>
      </c>
      <c r="Q61" s="109" t="n">
        <f aca="false">IF(CapV=2,N(Q60),N(Q59))</f>
        <v>0</v>
      </c>
      <c r="R61" s="109" t="n">
        <f aca="false">IF(CapV=2,N(R60),N(R59))</f>
        <v>0</v>
      </c>
      <c r="S61" s="109" t="n">
        <f aca="false">IF(CapV=2,N(S60),N(S59))</f>
        <v>0</v>
      </c>
      <c r="T61" s="109" t="n">
        <f aca="false">IF(CapV=2,N(T60),N(T59))</f>
        <v>0</v>
      </c>
      <c r="U61" s="109" t="n">
        <f aca="false">IF(CapV=2,N(U60),N(U59))</f>
        <v>0</v>
      </c>
      <c r="V61" s="109" t="n">
        <f aca="false">IF(CapV=2,N(V60),N(V59))</f>
        <v>0</v>
      </c>
      <c r="W61" s="109" t="n">
        <f aca="false">IF(CapV=2,N(W60),N(W59))</f>
        <v>0</v>
      </c>
      <c r="X61" s="109" t="n">
        <f aca="false">IF(CapV=2,N(X60),N(X59))</f>
        <v>0</v>
      </c>
      <c r="Y61" s="109" t="n">
        <f aca="false">IF(CapV=2,N(Y60),N(Y59))</f>
        <v>130</v>
      </c>
      <c r="Z61" s="109" t="n">
        <f aca="false">IF(CapV=2,N(Z60),N(Z59))</f>
        <v>130</v>
      </c>
      <c r="AA61" s="109" t="n">
        <f aca="false">IF(CapV=2,N(AA60),N(AA59))</f>
        <v>260</v>
      </c>
      <c r="AB61" s="109" t="n">
        <f aca="false">IF(CapV=2,N(AB60),N(AB59))</f>
        <v>260</v>
      </c>
      <c r="AC61" s="109" t="n">
        <f aca="false">IF(CapV=2,N(AC60),N(AC59))</f>
        <v>400</v>
      </c>
      <c r="AD61" s="109" t="n">
        <f aca="false">IF(CapV=2,N(AD60),N(AD59))</f>
        <v>400</v>
      </c>
      <c r="AE61" s="109" t="n">
        <f aca="false">IF(CapV=2,N(AE60),N(AE59))</f>
        <v>400</v>
      </c>
      <c r="AF61" s="109" t="n">
        <f aca="false">IF(CapV=2,N(AF60),N(AF59))</f>
        <v>400</v>
      </c>
      <c r="AG61" s="109" t="n">
        <f aca="false">IF(CapV=2,N(AG60),N(AG59))</f>
        <v>660</v>
      </c>
      <c r="AI61" s="109" t="n">
        <f aca="false">INDEX($F61:$AG61,1,MATCH(AI$7,$F$7:$AG$7,1))</f>
        <v>0</v>
      </c>
      <c r="AJ61" s="109" t="n">
        <f aca="false">INDEX($F61:$AG61,1,MATCH(AJ$7,$F$7:$AG$7,1))</f>
        <v>0</v>
      </c>
      <c r="AK61" s="109" t="n">
        <f aca="false">INDEX($F61:$AG61,1,MATCH(AK$7,$F$7:$AG$7,1))</f>
        <v>0</v>
      </c>
      <c r="AL61" s="109" t="n">
        <f aca="false">INDEX($F61:$AG61,1,MATCH(AL$7,$F$7:$AG$7,1))</f>
        <v>0</v>
      </c>
      <c r="AM61" s="109" t="n">
        <f aca="false">INDEX($F61:$AG61,1,MATCH(AM$7,$F$7:$AG$7,1))</f>
        <v>130</v>
      </c>
      <c r="AN61" s="109" t="n">
        <f aca="false">INDEX($F61:$AG61,1,MATCH(AN$7,$F$7:$AG$7,1))</f>
        <v>400</v>
      </c>
      <c r="AO61" s="109" t="n">
        <f aca="false">INDEX($F61:$AG61,1,MATCH(AO$7,$F$7:$AG$7,1))</f>
        <v>660</v>
      </c>
    </row>
    <row r="62" customFormat="false" ht="15" hidden="false" customHeight="false" outlineLevel="0" collapsed="false">
      <c r="A62" s="107" t="s">
        <v>1499</v>
      </c>
      <c r="B62" s="22" t="s">
        <v>664</v>
      </c>
      <c r="C62" s="22" t="s">
        <v>558</v>
      </c>
      <c r="D62" s="22" t="s">
        <v>1476</v>
      </c>
      <c r="F62" s="108" t="n">
        <v>0</v>
      </c>
      <c r="G62" s="108" t="n">
        <v>0</v>
      </c>
      <c r="H62" s="108" t="n">
        <v>0</v>
      </c>
      <c r="I62" s="108" t="n">
        <v>0</v>
      </c>
      <c r="J62" s="108" t="n">
        <v>0</v>
      </c>
      <c r="K62" s="108" t="n">
        <v>0</v>
      </c>
      <c r="L62" s="108" t="n">
        <v>0</v>
      </c>
      <c r="M62" s="108" t="n">
        <v>0</v>
      </c>
      <c r="N62" s="108" t="n">
        <v>0</v>
      </c>
      <c r="O62" s="108" t="n">
        <v>0</v>
      </c>
      <c r="P62" s="108" t="n">
        <v>0</v>
      </c>
      <c r="Q62" s="108" t="n">
        <v>0</v>
      </c>
      <c r="R62" s="108" t="n">
        <v>0</v>
      </c>
      <c r="S62" s="108" t="n">
        <v>0</v>
      </c>
      <c r="T62" s="108" t="n">
        <v>0</v>
      </c>
      <c r="U62" s="108" t="n">
        <v>65</v>
      </c>
      <c r="V62" s="108" t="n">
        <v>130</v>
      </c>
      <c r="W62" s="108" t="n">
        <v>130</v>
      </c>
      <c r="X62" s="108" t="n">
        <v>130</v>
      </c>
      <c r="Y62" s="108" t="n">
        <v>265</v>
      </c>
      <c r="Z62" s="108" t="n">
        <v>265</v>
      </c>
      <c r="AA62" s="108" t="n">
        <v>460</v>
      </c>
      <c r="AB62" s="108" t="n">
        <v>460</v>
      </c>
      <c r="AC62" s="108" t="n">
        <v>700</v>
      </c>
      <c r="AD62" s="108" t="n">
        <v>700</v>
      </c>
      <c r="AE62" s="108" t="n">
        <v>700</v>
      </c>
      <c r="AF62" s="108" t="n">
        <v>700</v>
      </c>
      <c r="AG62" s="108" t="n">
        <v>930</v>
      </c>
      <c r="AI62" s="109" t="n">
        <f aca="false">INDEX($F62:$AG62,1,MATCH(AI$7,$F$7:$AG$7,1))</f>
        <v>0</v>
      </c>
      <c r="AJ62" s="109" t="n">
        <f aca="false">INDEX($F62:$AG62,1,MATCH(AJ$7,$F$7:$AG$7,1))</f>
        <v>0</v>
      </c>
      <c r="AK62" s="109" t="n">
        <f aca="false">INDEX($F62:$AG62,1,MATCH(AK$7,$F$7:$AG$7,1))</f>
        <v>0</v>
      </c>
      <c r="AL62" s="109" t="n">
        <f aca="false">INDEX($F62:$AG62,1,MATCH(AL$7,$F$7:$AG$7,1))</f>
        <v>65</v>
      </c>
      <c r="AM62" s="109" t="n">
        <f aca="false">INDEX($F62:$AG62,1,MATCH(AM$7,$F$7:$AG$7,1))</f>
        <v>265</v>
      </c>
      <c r="AN62" s="109" t="n">
        <f aca="false">INDEX($F62:$AG62,1,MATCH(AN$7,$F$7:$AG$7,1))</f>
        <v>700</v>
      </c>
      <c r="AO62" s="109" t="n">
        <f aca="false">INDEX($F62:$AG62,1,MATCH(AO$7,$F$7:$AG$7,1))</f>
        <v>930</v>
      </c>
    </row>
    <row r="63" customFormat="false" ht="15" hidden="false" customHeight="false" outlineLevel="0" collapsed="false">
      <c r="A63" s="107" t="s">
        <v>1500</v>
      </c>
      <c r="B63" s="22" t="s">
        <v>664</v>
      </c>
      <c r="C63" s="22" t="s">
        <v>558</v>
      </c>
      <c r="D63" s="22" t="s">
        <v>1478</v>
      </c>
      <c r="F63" s="108" t="n">
        <v>0</v>
      </c>
      <c r="G63" s="108" t="n">
        <v>0</v>
      </c>
      <c r="H63" s="108" t="n">
        <v>0</v>
      </c>
      <c r="I63" s="108" t="n">
        <v>0</v>
      </c>
      <c r="J63" s="108" t="n">
        <v>0</v>
      </c>
      <c r="K63" s="108" t="n">
        <v>0</v>
      </c>
      <c r="L63" s="108" t="n">
        <v>0</v>
      </c>
      <c r="M63" s="108" t="n">
        <v>0</v>
      </c>
      <c r="N63" s="108" t="n">
        <v>0</v>
      </c>
      <c r="O63" s="108" t="n">
        <v>0</v>
      </c>
      <c r="P63" s="108" t="n">
        <v>0</v>
      </c>
      <c r="Q63" s="108" t="n">
        <v>0</v>
      </c>
      <c r="R63" s="108" t="n">
        <v>0</v>
      </c>
      <c r="S63" s="108" t="n">
        <v>0</v>
      </c>
      <c r="T63" s="108" t="n">
        <v>0</v>
      </c>
      <c r="U63" s="108" t="n">
        <v>65</v>
      </c>
      <c r="V63" s="108" t="n">
        <v>130</v>
      </c>
      <c r="W63" s="108" t="n">
        <v>130</v>
      </c>
      <c r="X63" s="108" t="n">
        <v>130</v>
      </c>
      <c r="Y63" s="108" t="n">
        <v>265</v>
      </c>
      <c r="Z63" s="108" t="n">
        <v>265</v>
      </c>
      <c r="AA63" s="108" t="n">
        <v>460</v>
      </c>
      <c r="AB63" s="108" t="n">
        <v>460</v>
      </c>
      <c r="AC63" s="108" t="n">
        <v>700</v>
      </c>
      <c r="AD63" s="108" t="n">
        <v>700</v>
      </c>
      <c r="AE63" s="108" t="n">
        <v>700</v>
      </c>
      <c r="AF63" s="108" t="n">
        <v>700</v>
      </c>
      <c r="AG63" s="108" t="n">
        <v>930</v>
      </c>
      <c r="AI63" s="109" t="n">
        <f aca="false">INDEX($F63:$AG63,1,MATCH(AI$7,$F$7:$AG$7,1))</f>
        <v>0</v>
      </c>
      <c r="AJ63" s="109" t="n">
        <f aca="false">INDEX($F63:$AG63,1,MATCH(AJ$7,$F$7:$AG$7,1))</f>
        <v>0</v>
      </c>
      <c r="AK63" s="109" t="n">
        <f aca="false">INDEX($F63:$AG63,1,MATCH(AK$7,$F$7:$AG$7,1))</f>
        <v>0</v>
      </c>
      <c r="AL63" s="109" t="n">
        <f aca="false">INDEX($F63:$AG63,1,MATCH(AL$7,$F$7:$AG$7,1))</f>
        <v>65</v>
      </c>
      <c r="AM63" s="109" t="n">
        <f aca="false">INDEX($F63:$AG63,1,MATCH(AM$7,$F$7:$AG$7,1))</f>
        <v>265</v>
      </c>
      <c r="AN63" s="109" t="n">
        <f aca="false">INDEX($F63:$AG63,1,MATCH(AN$7,$F$7:$AG$7,1))</f>
        <v>700</v>
      </c>
      <c r="AO63" s="109" t="n">
        <f aca="false">INDEX($F63:$AG63,1,MATCH(AO$7,$F$7:$AG$7,1))</f>
        <v>930</v>
      </c>
    </row>
    <row r="64" customFormat="false" ht="15" hidden="false" customHeight="false" outlineLevel="0" collapsed="false">
      <c r="A64" s="107" t="s">
        <v>1501</v>
      </c>
      <c r="B64" s="22" t="s">
        <v>664</v>
      </c>
      <c r="C64" s="22" t="s">
        <v>540</v>
      </c>
      <c r="D64" s="22" t="s">
        <v>1480</v>
      </c>
      <c r="F64" s="109" t="n">
        <f aca="false">IF(CapV=2,N(F63),N(F62))</f>
        <v>0</v>
      </c>
      <c r="G64" s="109" t="n">
        <f aca="false">IF(CapV=2,N(G63),N(G62))</f>
        <v>0</v>
      </c>
      <c r="H64" s="109" t="n">
        <f aca="false">IF(CapV=2,N(H63),N(H62))</f>
        <v>0</v>
      </c>
      <c r="I64" s="109" t="n">
        <f aca="false">IF(CapV=2,N(I63),N(I62))</f>
        <v>0</v>
      </c>
      <c r="J64" s="109" t="n">
        <f aca="false">IF(CapV=2,N(J63),N(J62))</f>
        <v>0</v>
      </c>
      <c r="K64" s="109" t="n">
        <f aca="false">IF(CapV=2,N(K63),N(K62))</f>
        <v>0</v>
      </c>
      <c r="L64" s="109" t="n">
        <f aca="false">IF(CapV=2,N(L63),N(L62))</f>
        <v>0</v>
      </c>
      <c r="M64" s="109" t="n">
        <f aca="false">IF(CapV=2,N(M63),N(M62))</f>
        <v>0</v>
      </c>
      <c r="N64" s="109" t="n">
        <f aca="false">IF(CapV=2,N(N63),N(N62))</f>
        <v>0</v>
      </c>
      <c r="O64" s="109" t="n">
        <f aca="false">IF(CapV=2,N(O63),N(O62))</f>
        <v>0</v>
      </c>
      <c r="P64" s="109" t="n">
        <f aca="false">IF(CapV=2,N(P63),N(P62))</f>
        <v>0</v>
      </c>
      <c r="Q64" s="109" t="n">
        <f aca="false">IF(CapV=2,N(Q63),N(Q62))</f>
        <v>0</v>
      </c>
      <c r="R64" s="109" t="n">
        <f aca="false">IF(CapV=2,N(R63),N(R62))</f>
        <v>0</v>
      </c>
      <c r="S64" s="109" t="n">
        <f aca="false">IF(CapV=2,N(S63),N(S62))</f>
        <v>0</v>
      </c>
      <c r="T64" s="109" t="n">
        <f aca="false">IF(CapV=2,N(T63),N(T62))</f>
        <v>0</v>
      </c>
      <c r="U64" s="109" t="n">
        <f aca="false">IF(CapV=2,N(U63),N(U62))</f>
        <v>65</v>
      </c>
      <c r="V64" s="109" t="n">
        <f aca="false">IF(CapV=2,N(V63),N(V62))</f>
        <v>130</v>
      </c>
      <c r="W64" s="109" t="n">
        <f aca="false">IF(CapV=2,N(W63),N(W62))</f>
        <v>130</v>
      </c>
      <c r="X64" s="109" t="n">
        <f aca="false">IF(CapV=2,N(X63),N(X62))</f>
        <v>130</v>
      </c>
      <c r="Y64" s="109" t="n">
        <f aca="false">IF(CapV=2,N(Y63),N(Y62))</f>
        <v>265</v>
      </c>
      <c r="Z64" s="109" t="n">
        <f aca="false">IF(CapV=2,N(Z63),N(Z62))</f>
        <v>265</v>
      </c>
      <c r="AA64" s="109" t="n">
        <f aca="false">IF(CapV=2,N(AA63),N(AA62))</f>
        <v>460</v>
      </c>
      <c r="AB64" s="109" t="n">
        <f aca="false">IF(CapV=2,N(AB63),N(AB62))</f>
        <v>460</v>
      </c>
      <c r="AC64" s="109" t="n">
        <f aca="false">IF(CapV=2,N(AC63),N(AC62))</f>
        <v>700</v>
      </c>
      <c r="AD64" s="109" t="n">
        <f aca="false">IF(CapV=2,N(AD63),N(AD62))</f>
        <v>700</v>
      </c>
      <c r="AE64" s="109" t="n">
        <f aca="false">IF(CapV=2,N(AE63),N(AE62))</f>
        <v>700</v>
      </c>
      <c r="AF64" s="109" t="n">
        <f aca="false">IF(CapV=2,N(AF63),N(AF62))</f>
        <v>700</v>
      </c>
      <c r="AG64" s="109" t="n">
        <f aca="false">IF(CapV=2,N(AG63),N(AG62))</f>
        <v>930</v>
      </c>
      <c r="AI64" s="109" t="n">
        <f aca="false">INDEX($F64:$AG64,1,MATCH(AI$7,$F$7:$AG$7,1))</f>
        <v>0</v>
      </c>
      <c r="AJ64" s="109" t="n">
        <f aca="false">INDEX($F64:$AG64,1,MATCH(AJ$7,$F$7:$AG$7,1))</f>
        <v>0</v>
      </c>
      <c r="AK64" s="109" t="n">
        <f aca="false">INDEX($F64:$AG64,1,MATCH(AK$7,$F$7:$AG$7,1))</f>
        <v>0</v>
      </c>
      <c r="AL64" s="109" t="n">
        <f aca="false">INDEX($F64:$AG64,1,MATCH(AL$7,$F$7:$AG$7,1))</f>
        <v>65</v>
      </c>
      <c r="AM64" s="109" t="n">
        <f aca="false">INDEX($F64:$AG64,1,MATCH(AM$7,$F$7:$AG$7,1))</f>
        <v>265</v>
      </c>
      <c r="AN64" s="109" t="n">
        <f aca="false">INDEX($F64:$AG64,1,MATCH(AN$7,$F$7:$AG$7,1))</f>
        <v>700</v>
      </c>
      <c r="AO64" s="109" t="n">
        <f aca="false">INDEX($F64:$AG64,1,MATCH(AO$7,$F$7:$AG$7,1))</f>
        <v>930</v>
      </c>
    </row>
    <row r="65" customFormat="false" ht="15" hidden="false" customHeight="false" outlineLevel="0" collapsed="false">
      <c r="A65" s="107" t="s">
        <v>1502</v>
      </c>
      <c r="B65" s="22" t="s">
        <v>664</v>
      </c>
      <c r="C65" s="22" t="s">
        <v>558</v>
      </c>
      <c r="D65" s="22" t="s">
        <v>1476</v>
      </c>
      <c r="F65" s="108" t="n">
        <v>0</v>
      </c>
      <c r="G65" s="108" t="n">
        <v>0</v>
      </c>
      <c r="H65" s="108" t="n">
        <v>0</v>
      </c>
      <c r="I65" s="108" t="n">
        <v>0</v>
      </c>
      <c r="J65" s="108" t="n">
        <v>0</v>
      </c>
      <c r="K65" s="108" t="n">
        <v>0</v>
      </c>
      <c r="L65" s="108" t="n">
        <v>0</v>
      </c>
      <c r="M65" s="108" t="n">
        <v>0</v>
      </c>
      <c r="N65" s="108" t="n">
        <v>0</v>
      </c>
      <c r="O65" s="108" t="n">
        <v>0</v>
      </c>
      <c r="P65" s="108" t="n">
        <v>0</v>
      </c>
      <c r="Q65" s="108" t="n">
        <v>0</v>
      </c>
      <c r="R65" s="108" t="n">
        <v>0</v>
      </c>
      <c r="S65" s="108" t="n">
        <v>0</v>
      </c>
      <c r="T65" s="108" t="n">
        <v>0</v>
      </c>
      <c r="U65" s="108" t="n">
        <v>130</v>
      </c>
      <c r="V65" s="108" t="n">
        <v>260</v>
      </c>
      <c r="W65" s="108" t="n">
        <v>260</v>
      </c>
      <c r="X65" s="108" t="n">
        <v>260</v>
      </c>
      <c r="Y65" s="108" t="n">
        <v>400</v>
      </c>
      <c r="Z65" s="108" t="n">
        <v>400</v>
      </c>
      <c r="AA65" s="108" t="n">
        <v>660</v>
      </c>
      <c r="AB65" s="108" t="n">
        <v>660</v>
      </c>
      <c r="AC65" s="108" t="n">
        <v>1000</v>
      </c>
      <c r="AD65" s="108" t="n">
        <v>1000</v>
      </c>
      <c r="AE65" s="108" t="n">
        <v>1000</v>
      </c>
      <c r="AF65" s="108" t="n">
        <v>1000</v>
      </c>
      <c r="AG65" s="108" t="n">
        <v>1200</v>
      </c>
      <c r="AI65" s="109" t="n">
        <f aca="false">INDEX($F65:$AG65,1,MATCH(AI$7,$F$7:$AG$7,1))</f>
        <v>0</v>
      </c>
      <c r="AJ65" s="109" t="n">
        <f aca="false">INDEX($F65:$AG65,1,MATCH(AJ$7,$F$7:$AG$7,1))</f>
        <v>0</v>
      </c>
      <c r="AK65" s="109" t="n">
        <f aca="false">INDEX($F65:$AG65,1,MATCH(AK$7,$F$7:$AG$7,1))</f>
        <v>0</v>
      </c>
      <c r="AL65" s="109" t="n">
        <f aca="false">INDEX($F65:$AG65,1,MATCH(AL$7,$F$7:$AG$7,1))</f>
        <v>130</v>
      </c>
      <c r="AM65" s="109" t="n">
        <f aca="false">INDEX($F65:$AG65,1,MATCH(AM$7,$F$7:$AG$7,1))</f>
        <v>400</v>
      </c>
      <c r="AN65" s="109" t="n">
        <f aca="false">INDEX($F65:$AG65,1,MATCH(AN$7,$F$7:$AG$7,1))</f>
        <v>1000</v>
      </c>
      <c r="AO65" s="109" t="n">
        <f aca="false">INDEX($F65:$AG65,1,MATCH(AO$7,$F$7:$AG$7,1))</f>
        <v>1200</v>
      </c>
    </row>
    <row r="66" customFormat="false" ht="15" hidden="false" customHeight="false" outlineLevel="0" collapsed="false">
      <c r="A66" s="107" t="s">
        <v>1503</v>
      </c>
      <c r="B66" s="22" t="s">
        <v>664</v>
      </c>
      <c r="C66" s="22" t="s">
        <v>558</v>
      </c>
      <c r="D66" s="22" t="s">
        <v>1478</v>
      </c>
      <c r="F66" s="108" t="n">
        <v>0</v>
      </c>
      <c r="G66" s="108" t="n">
        <v>0</v>
      </c>
      <c r="H66" s="108" t="n">
        <v>0</v>
      </c>
      <c r="I66" s="108" t="n">
        <v>0</v>
      </c>
      <c r="J66" s="108" t="n">
        <v>0</v>
      </c>
      <c r="K66" s="108" t="n">
        <v>0</v>
      </c>
      <c r="L66" s="108" t="n">
        <v>0</v>
      </c>
      <c r="M66" s="108" t="n">
        <v>0</v>
      </c>
      <c r="N66" s="108" t="n">
        <v>0</v>
      </c>
      <c r="O66" s="108" t="n">
        <v>0</v>
      </c>
      <c r="P66" s="108" t="n">
        <v>0</v>
      </c>
      <c r="Q66" s="108" t="n">
        <v>0</v>
      </c>
      <c r="R66" s="108" t="n">
        <v>0</v>
      </c>
      <c r="S66" s="108" t="n">
        <v>0</v>
      </c>
      <c r="T66" s="108" t="n">
        <v>0</v>
      </c>
      <c r="U66" s="108" t="n">
        <v>130</v>
      </c>
      <c r="V66" s="108" t="n">
        <v>260</v>
      </c>
      <c r="W66" s="108" t="n">
        <v>260</v>
      </c>
      <c r="X66" s="108" t="n">
        <v>260</v>
      </c>
      <c r="Y66" s="108" t="n">
        <v>400</v>
      </c>
      <c r="Z66" s="108" t="n">
        <v>400</v>
      </c>
      <c r="AA66" s="108" t="n">
        <v>660</v>
      </c>
      <c r="AB66" s="108" t="n">
        <v>660</v>
      </c>
      <c r="AC66" s="108" t="n">
        <v>1000</v>
      </c>
      <c r="AD66" s="108" t="n">
        <v>1000</v>
      </c>
      <c r="AE66" s="108" t="n">
        <v>1000</v>
      </c>
      <c r="AF66" s="108" t="n">
        <v>1000</v>
      </c>
      <c r="AG66" s="108" t="n">
        <v>1200</v>
      </c>
      <c r="AI66" s="109" t="n">
        <f aca="false">INDEX($F66:$AG66,1,MATCH(AI$7,$F$7:$AG$7,1))</f>
        <v>0</v>
      </c>
      <c r="AJ66" s="109" t="n">
        <f aca="false">INDEX($F66:$AG66,1,MATCH(AJ$7,$F$7:$AG$7,1))</f>
        <v>0</v>
      </c>
      <c r="AK66" s="109" t="n">
        <f aca="false">INDEX($F66:$AG66,1,MATCH(AK$7,$F$7:$AG$7,1))</f>
        <v>0</v>
      </c>
      <c r="AL66" s="109" t="n">
        <f aca="false">INDEX($F66:$AG66,1,MATCH(AL$7,$F$7:$AG$7,1))</f>
        <v>130</v>
      </c>
      <c r="AM66" s="109" t="n">
        <f aca="false">INDEX($F66:$AG66,1,MATCH(AM$7,$F$7:$AG$7,1))</f>
        <v>400</v>
      </c>
      <c r="AN66" s="109" t="n">
        <f aca="false">INDEX($F66:$AG66,1,MATCH(AN$7,$F$7:$AG$7,1))</f>
        <v>1000</v>
      </c>
      <c r="AO66" s="109" t="n">
        <f aca="false">INDEX($F66:$AG66,1,MATCH(AO$7,$F$7:$AG$7,1))</f>
        <v>1200</v>
      </c>
    </row>
    <row r="67" customFormat="false" ht="15" hidden="false" customHeight="false" outlineLevel="0" collapsed="false">
      <c r="A67" s="107" t="s">
        <v>1504</v>
      </c>
      <c r="B67" s="22" t="s">
        <v>664</v>
      </c>
      <c r="C67" s="22" t="s">
        <v>540</v>
      </c>
      <c r="D67" s="22" t="s">
        <v>1480</v>
      </c>
      <c r="F67" s="109" t="n">
        <f aca="false">IF(CapV=2,N(F66),N(F65))</f>
        <v>0</v>
      </c>
      <c r="G67" s="109" t="n">
        <f aca="false">IF(CapV=2,N(G66),N(G65))</f>
        <v>0</v>
      </c>
      <c r="H67" s="109" t="n">
        <f aca="false">IF(CapV=2,N(H66),N(H65))</f>
        <v>0</v>
      </c>
      <c r="I67" s="109" t="n">
        <f aca="false">IF(CapV=2,N(I66),N(I65))</f>
        <v>0</v>
      </c>
      <c r="J67" s="109" t="n">
        <f aca="false">IF(CapV=2,N(J66),N(J65))</f>
        <v>0</v>
      </c>
      <c r="K67" s="109" t="n">
        <f aca="false">IF(CapV=2,N(K66),N(K65))</f>
        <v>0</v>
      </c>
      <c r="L67" s="109" t="n">
        <f aca="false">IF(CapV=2,N(L66),N(L65))</f>
        <v>0</v>
      </c>
      <c r="M67" s="109" t="n">
        <f aca="false">IF(CapV=2,N(M66),N(M65))</f>
        <v>0</v>
      </c>
      <c r="N67" s="109" t="n">
        <f aca="false">IF(CapV=2,N(N66),N(N65))</f>
        <v>0</v>
      </c>
      <c r="O67" s="109" t="n">
        <f aca="false">IF(CapV=2,N(O66),N(O65))</f>
        <v>0</v>
      </c>
      <c r="P67" s="109" t="n">
        <f aca="false">IF(CapV=2,N(P66),N(P65))</f>
        <v>0</v>
      </c>
      <c r="Q67" s="109" t="n">
        <f aca="false">IF(CapV=2,N(Q66),N(Q65))</f>
        <v>0</v>
      </c>
      <c r="R67" s="109" t="n">
        <f aca="false">IF(CapV=2,N(R66),N(R65))</f>
        <v>0</v>
      </c>
      <c r="S67" s="109" t="n">
        <f aca="false">IF(CapV=2,N(S66),N(S65))</f>
        <v>0</v>
      </c>
      <c r="T67" s="109" t="n">
        <f aca="false">IF(CapV=2,N(T66),N(T65))</f>
        <v>0</v>
      </c>
      <c r="U67" s="109" t="n">
        <f aca="false">IF(CapV=2,N(U66),N(U65))</f>
        <v>130</v>
      </c>
      <c r="V67" s="109" t="n">
        <f aca="false">IF(CapV=2,N(V66),N(V65))</f>
        <v>260</v>
      </c>
      <c r="W67" s="109" t="n">
        <f aca="false">IF(CapV=2,N(W66),N(W65))</f>
        <v>260</v>
      </c>
      <c r="X67" s="109" t="n">
        <f aca="false">IF(CapV=2,N(X66),N(X65))</f>
        <v>260</v>
      </c>
      <c r="Y67" s="109" t="n">
        <f aca="false">IF(CapV=2,N(Y66),N(Y65))</f>
        <v>400</v>
      </c>
      <c r="Z67" s="109" t="n">
        <f aca="false">IF(CapV=2,N(Z66),N(Z65))</f>
        <v>400</v>
      </c>
      <c r="AA67" s="109" t="n">
        <f aca="false">IF(CapV=2,N(AA66),N(AA65))</f>
        <v>660</v>
      </c>
      <c r="AB67" s="109" t="n">
        <f aca="false">IF(CapV=2,N(AB66),N(AB65))</f>
        <v>660</v>
      </c>
      <c r="AC67" s="109" t="n">
        <f aca="false">IF(CapV=2,N(AC66),N(AC65))</f>
        <v>1000</v>
      </c>
      <c r="AD67" s="109" t="n">
        <f aca="false">IF(CapV=2,N(AD66),N(AD65))</f>
        <v>1000</v>
      </c>
      <c r="AE67" s="109" t="n">
        <f aca="false">IF(CapV=2,N(AE66),N(AE65))</f>
        <v>1000</v>
      </c>
      <c r="AF67" s="109" t="n">
        <f aca="false">IF(CapV=2,N(AF66),N(AF65))</f>
        <v>1000</v>
      </c>
      <c r="AG67" s="109" t="n">
        <f aca="false">IF(CapV=2,N(AG66),N(AG65))</f>
        <v>1200</v>
      </c>
      <c r="AI67" s="109" t="n">
        <f aca="false">INDEX($F67:$AG67,1,MATCH(AI$7,$F$7:$AG$7,1))</f>
        <v>0</v>
      </c>
      <c r="AJ67" s="109" t="n">
        <f aca="false">INDEX($F67:$AG67,1,MATCH(AJ$7,$F$7:$AG$7,1))</f>
        <v>0</v>
      </c>
      <c r="AK67" s="109" t="n">
        <f aca="false">INDEX($F67:$AG67,1,MATCH(AK$7,$F$7:$AG$7,1))</f>
        <v>0</v>
      </c>
      <c r="AL67" s="109" t="n">
        <f aca="false">INDEX($F67:$AG67,1,MATCH(AL$7,$F$7:$AG$7,1))</f>
        <v>130</v>
      </c>
      <c r="AM67" s="109" t="n">
        <f aca="false">INDEX($F67:$AG67,1,MATCH(AM$7,$F$7:$AG$7,1))</f>
        <v>400</v>
      </c>
      <c r="AN67" s="109" t="n">
        <f aca="false">INDEX($F67:$AG67,1,MATCH(AN$7,$F$7:$AG$7,1))</f>
        <v>1000</v>
      </c>
      <c r="AO67" s="109" t="n">
        <f aca="false">INDEX($F67:$AG67,1,MATCH(AO$7,$F$7:$AG$7,1))</f>
        <v>1200</v>
      </c>
    </row>
    <row r="68" customFormat="false" ht="15" hidden="false" customHeight="false" outlineLevel="0" collapsed="false">
      <c r="A68" s="107" t="s">
        <v>1505</v>
      </c>
      <c r="B68" s="22" t="s">
        <v>664</v>
      </c>
      <c r="C68" s="22" t="s">
        <v>558</v>
      </c>
      <c r="D68" s="22" t="s">
        <v>1476</v>
      </c>
      <c r="F68" s="108" t="n">
        <v>0</v>
      </c>
      <c r="G68" s="108" t="n">
        <v>0</v>
      </c>
      <c r="H68" s="108" t="n">
        <v>0</v>
      </c>
      <c r="I68" s="108" t="n">
        <v>0</v>
      </c>
      <c r="J68" s="108" t="n">
        <v>0</v>
      </c>
      <c r="K68" s="108" t="n">
        <v>0</v>
      </c>
      <c r="L68" s="108" t="n">
        <v>0</v>
      </c>
      <c r="M68" s="108" t="n">
        <v>0</v>
      </c>
      <c r="N68" s="108" t="n">
        <v>0</v>
      </c>
      <c r="O68" s="108" t="n">
        <v>0</v>
      </c>
      <c r="P68" s="108" t="n">
        <v>0</v>
      </c>
      <c r="Q68" s="108" t="n">
        <v>0</v>
      </c>
      <c r="R68" s="108" t="n">
        <v>0</v>
      </c>
      <c r="S68" s="108" t="n">
        <v>0</v>
      </c>
      <c r="T68" s="108" t="n">
        <v>25</v>
      </c>
      <c r="U68" s="108" t="n">
        <v>50</v>
      </c>
      <c r="V68" s="108" t="n">
        <v>50</v>
      </c>
      <c r="W68" s="108" t="n">
        <v>100</v>
      </c>
      <c r="X68" s="108" t="n">
        <v>100</v>
      </c>
      <c r="Y68" s="108" t="n">
        <v>200</v>
      </c>
      <c r="Z68" s="108" t="n">
        <v>200</v>
      </c>
      <c r="AA68" s="108" t="n">
        <v>200</v>
      </c>
      <c r="AB68" s="108" t="n">
        <v>200</v>
      </c>
      <c r="AC68" s="108" t="n">
        <v>300</v>
      </c>
      <c r="AD68" s="108" t="n">
        <v>300</v>
      </c>
      <c r="AE68" s="108" t="n">
        <v>300</v>
      </c>
      <c r="AF68" s="108" t="n">
        <v>300</v>
      </c>
      <c r="AG68" s="108" t="n">
        <v>300</v>
      </c>
      <c r="AI68" s="109" t="n">
        <f aca="false">INDEX($F68:$AG68,1,MATCH(AI$7,$F$7:$AG$7,1))</f>
        <v>0</v>
      </c>
      <c r="AJ68" s="109" t="n">
        <f aca="false">INDEX($F68:$AG68,1,MATCH(AJ$7,$F$7:$AG$7,1))</f>
        <v>0</v>
      </c>
      <c r="AK68" s="109" t="n">
        <f aca="false">INDEX($F68:$AG68,1,MATCH(AK$7,$F$7:$AG$7,1))</f>
        <v>0</v>
      </c>
      <c r="AL68" s="109" t="n">
        <f aca="false">INDEX($F68:$AG68,1,MATCH(AL$7,$F$7:$AG$7,1))</f>
        <v>50</v>
      </c>
      <c r="AM68" s="109" t="n">
        <f aca="false">INDEX($F68:$AG68,1,MATCH(AM$7,$F$7:$AG$7,1))</f>
        <v>200</v>
      </c>
      <c r="AN68" s="109" t="n">
        <f aca="false">INDEX($F68:$AG68,1,MATCH(AN$7,$F$7:$AG$7,1))</f>
        <v>300</v>
      </c>
      <c r="AO68" s="109" t="n">
        <f aca="false">INDEX($F68:$AG68,1,MATCH(AO$7,$F$7:$AG$7,1))</f>
        <v>300</v>
      </c>
    </row>
    <row r="69" customFormat="false" ht="15" hidden="false" customHeight="false" outlineLevel="0" collapsed="false">
      <c r="A69" s="107" t="s">
        <v>1506</v>
      </c>
      <c r="B69" s="22" t="s">
        <v>664</v>
      </c>
      <c r="C69" s="22" t="s">
        <v>558</v>
      </c>
      <c r="D69" s="22" t="s">
        <v>1478</v>
      </c>
      <c r="F69" s="108" t="n">
        <v>0</v>
      </c>
      <c r="G69" s="108" t="n">
        <v>0</v>
      </c>
      <c r="H69" s="108" t="n">
        <v>0</v>
      </c>
      <c r="I69" s="108" t="n">
        <v>0</v>
      </c>
      <c r="J69" s="108" t="n">
        <v>0</v>
      </c>
      <c r="K69" s="108" t="n">
        <v>0</v>
      </c>
      <c r="L69" s="108" t="n">
        <v>0</v>
      </c>
      <c r="M69" s="108" t="n">
        <v>0</v>
      </c>
      <c r="N69" s="108" t="n">
        <v>0</v>
      </c>
      <c r="O69" s="108" t="n">
        <v>0</v>
      </c>
      <c r="P69" s="108" t="n">
        <v>0</v>
      </c>
      <c r="Q69" s="108" t="n">
        <v>0</v>
      </c>
      <c r="R69" s="108" t="n">
        <v>0</v>
      </c>
      <c r="S69" s="108" t="n">
        <v>0</v>
      </c>
      <c r="T69" s="108" t="n">
        <v>25</v>
      </c>
      <c r="U69" s="108" t="n">
        <v>50</v>
      </c>
      <c r="V69" s="108" t="n">
        <v>50</v>
      </c>
      <c r="W69" s="108" t="n">
        <v>100</v>
      </c>
      <c r="X69" s="108" t="n">
        <v>100</v>
      </c>
      <c r="Y69" s="108" t="n">
        <v>200</v>
      </c>
      <c r="Z69" s="108" t="n">
        <v>200</v>
      </c>
      <c r="AA69" s="108" t="n">
        <v>200</v>
      </c>
      <c r="AB69" s="108" t="n">
        <v>200</v>
      </c>
      <c r="AC69" s="108" t="n">
        <v>300</v>
      </c>
      <c r="AD69" s="108" t="n">
        <v>300</v>
      </c>
      <c r="AE69" s="108" t="n">
        <v>300</v>
      </c>
      <c r="AF69" s="108" t="n">
        <v>300</v>
      </c>
      <c r="AG69" s="108" t="n">
        <v>300</v>
      </c>
      <c r="AI69" s="109" t="n">
        <f aca="false">INDEX($F69:$AG69,1,MATCH(AI$7,$F$7:$AG$7,1))</f>
        <v>0</v>
      </c>
      <c r="AJ69" s="109" t="n">
        <f aca="false">INDEX($F69:$AG69,1,MATCH(AJ$7,$F$7:$AG$7,1))</f>
        <v>0</v>
      </c>
      <c r="AK69" s="109" t="n">
        <f aca="false">INDEX($F69:$AG69,1,MATCH(AK$7,$F$7:$AG$7,1))</f>
        <v>0</v>
      </c>
      <c r="AL69" s="109" t="n">
        <f aca="false">INDEX($F69:$AG69,1,MATCH(AL$7,$F$7:$AG$7,1))</f>
        <v>50</v>
      </c>
      <c r="AM69" s="109" t="n">
        <f aca="false">INDEX($F69:$AG69,1,MATCH(AM$7,$F$7:$AG$7,1))</f>
        <v>200</v>
      </c>
      <c r="AN69" s="109" t="n">
        <f aca="false">INDEX($F69:$AG69,1,MATCH(AN$7,$F$7:$AG$7,1))</f>
        <v>300</v>
      </c>
      <c r="AO69" s="109" t="n">
        <f aca="false">INDEX($F69:$AG69,1,MATCH(AO$7,$F$7:$AG$7,1))</f>
        <v>300</v>
      </c>
    </row>
    <row r="70" customFormat="false" ht="15" hidden="false" customHeight="false" outlineLevel="0" collapsed="false">
      <c r="A70" s="107" t="s">
        <v>1507</v>
      </c>
      <c r="B70" s="22" t="s">
        <v>664</v>
      </c>
      <c r="C70" s="22" t="s">
        <v>540</v>
      </c>
      <c r="D70" s="22" t="s">
        <v>1480</v>
      </c>
      <c r="F70" s="109" t="n">
        <f aca="false">IF(CapV=2,N(F69),N(F68))</f>
        <v>0</v>
      </c>
      <c r="G70" s="109" t="n">
        <f aca="false">IF(CapV=2,N(G69),N(G68))</f>
        <v>0</v>
      </c>
      <c r="H70" s="109" t="n">
        <f aca="false">IF(CapV=2,N(H69),N(H68))</f>
        <v>0</v>
      </c>
      <c r="I70" s="109" t="n">
        <f aca="false">IF(CapV=2,N(I69),N(I68))</f>
        <v>0</v>
      </c>
      <c r="J70" s="109" t="n">
        <f aca="false">IF(CapV=2,N(J69),N(J68))</f>
        <v>0</v>
      </c>
      <c r="K70" s="109" t="n">
        <f aca="false">IF(CapV=2,N(K69),N(K68))</f>
        <v>0</v>
      </c>
      <c r="L70" s="109" t="n">
        <f aca="false">IF(CapV=2,N(L69),N(L68))</f>
        <v>0</v>
      </c>
      <c r="M70" s="109" t="n">
        <f aca="false">IF(CapV=2,N(M69),N(M68))</f>
        <v>0</v>
      </c>
      <c r="N70" s="109" t="n">
        <f aca="false">IF(CapV=2,N(N69),N(N68))</f>
        <v>0</v>
      </c>
      <c r="O70" s="109" t="n">
        <f aca="false">IF(CapV=2,N(O69),N(O68))</f>
        <v>0</v>
      </c>
      <c r="P70" s="109" t="n">
        <f aca="false">IF(CapV=2,N(P69),N(P68))</f>
        <v>0</v>
      </c>
      <c r="Q70" s="109" t="n">
        <f aca="false">IF(CapV=2,N(Q69),N(Q68))</f>
        <v>0</v>
      </c>
      <c r="R70" s="109" t="n">
        <f aca="false">IF(CapV=2,N(R69),N(R68))</f>
        <v>0</v>
      </c>
      <c r="S70" s="109" t="n">
        <f aca="false">IF(CapV=2,N(S69),N(S68))</f>
        <v>0</v>
      </c>
      <c r="T70" s="109" t="n">
        <f aca="false">IF(CapV=2,N(T69),N(T68))</f>
        <v>25</v>
      </c>
      <c r="U70" s="109" t="n">
        <f aca="false">IF(CapV=2,N(U69),N(U68))</f>
        <v>50</v>
      </c>
      <c r="V70" s="109" t="n">
        <f aca="false">IF(CapV=2,N(V69),N(V68))</f>
        <v>50</v>
      </c>
      <c r="W70" s="109" t="n">
        <f aca="false">IF(CapV=2,N(W69),N(W68))</f>
        <v>100</v>
      </c>
      <c r="X70" s="109" t="n">
        <f aca="false">IF(CapV=2,N(X69),N(X68))</f>
        <v>100</v>
      </c>
      <c r="Y70" s="109" t="n">
        <f aca="false">IF(CapV=2,N(Y69),N(Y68))</f>
        <v>200</v>
      </c>
      <c r="Z70" s="109" t="n">
        <f aca="false">IF(CapV=2,N(Z69),N(Z68))</f>
        <v>200</v>
      </c>
      <c r="AA70" s="109" t="n">
        <f aca="false">IF(CapV=2,N(AA69),N(AA68))</f>
        <v>200</v>
      </c>
      <c r="AB70" s="109" t="n">
        <f aca="false">IF(CapV=2,N(AB69),N(AB68))</f>
        <v>200</v>
      </c>
      <c r="AC70" s="109" t="n">
        <f aca="false">IF(CapV=2,N(AC69),N(AC68))</f>
        <v>300</v>
      </c>
      <c r="AD70" s="109" t="n">
        <f aca="false">IF(CapV=2,N(AD69),N(AD68))</f>
        <v>300</v>
      </c>
      <c r="AE70" s="109" t="n">
        <f aca="false">IF(CapV=2,N(AE69),N(AE68))</f>
        <v>300</v>
      </c>
      <c r="AF70" s="109" t="n">
        <f aca="false">IF(CapV=2,N(AF69),N(AF68))</f>
        <v>300</v>
      </c>
      <c r="AG70" s="109" t="n">
        <f aca="false">IF(CapV=2,N(AG69),N(AG68))</f>
        <v>300</v>
      </c>
      <c r="AI70" s="109" t="n">
        <f aca="false">INDEX($F70:$AG70,1,MATCH(AI$7,$F$7:$AG$7,1))</f>
        <v>0</v>
      </c>
      <c r="AJ70" s="109" t="n">
        <f aca="false">INDEX($F70:$AG70,1,MATCH(AJ$7,$F$7:$AG$7,1))</f>
        <v>0</v>
      </c>
      <c r="AK70" s="109" t="n">
        <f aca="false">INDEX($F70:$AG70,1,MATCH(AK$7,$F$7:$AG$7,1))</f>
        <v>0</v>
      </c>
      <c r="AL70" s="109" t="n">
        <f aca="false">INDEX($F70:$AG70,1,MATCH(AL$7,$F$7:$AG$7,1))</f>
        <v>50</v>
      </c>
      <c r="AM70" s="109" t="n">
        <f aca="false">INDEX($F70:$AG70,1,MATCH(AM$7,$F$7:$AG$7,1))</f>
        <v>200</v>
      </c>
      <c r="AN70" s="109" t="n">
        <f aca="false">INDEX($F70:$AG70,1,MATCH(AN$7,$F$7:$AG$7,1))</f>
        <v>300</v>
      </c>
      <c r="AO70" s="109" t="n">
        <f aca="false">INDEX($F70:$AG70,1,MATCH(AO$7,$F$7:$AG$7,1))</f>
        <v>300</v>
      </c>
    </row>
    <row r="71" customFormat="false" ht="15" hidden="false" customHeight="false" outlineLevel="0" collapsed="false">
      <c r="A71" s="107" t="s">
        <v>1508</v>
      </c>
      <c r="B71" s="22" t="s">
        <v>664</v>
      </c>
      <c r="C71" s="22" t="s">
        <v>558</v>
      </c>
      <c r="D71" s="22" t="s">
        <v>1476</v>
      </c>
      <c r="F71" s="108" t="n">
        <v>0</v>
      </c>
      <c r="G71" s="108" t="n">
        <v>0</v>
      </c>
      <c r="H71" s="108" t="n">
        <v>0</v>
      </c>
      <c r="I71" s="108" t="n">
        <v>0</v>
      </c>
      <c r="J71" s="108" t="n">
        <v>0</v>
      </c>
      <c r="K71" s="108" t="n">
        <v>0</v>
      </c>
      <c r="L71" s="108" t="n">
        <v>0</v>
      </c>
      <c r="M71" s="108" t="n">
        <v>0</v>
      </c>
      <c r="N71" s="108" t="n">
        <v>0</v>
      </c>
      <c r="O71" s="108" t="n">
        <v>0</v>
      </c>
      <c r="P71" s="108" t="n">
        <v>0</v>
      </c>
      <c r="Q71" s="108" t="n">
        <v>0</v>
      </c>
      <c r="R71" s="108" t="n">
        <v>12.5</v>
      </c>
      <c r="S71" s="108" t="n">
        <v>25</v>
      </c>
      <c r="T71" s="108" t="n">
        <v>50</v>
      </c>
      <c r="U71" s="108" t="n">
        <v>75</v>
      </c>
      <c r="V71" s="108" t="n">
        <v>75</v>
      </c>
      <c r="W71" s="108" t="n">
        <v>150</v>
      </c>
      <c r="X71" s="108" t="n">
        <v>150</v>
      </c>
      <c r="Y71" s="108" t="n">
        <v>250</v>
      </c>
      <c r="Z71" s="108" t="n">
        <v>250</v>
      </c>
      <c r="AA71" s="108" t="n">
        <v>250</v>
      </c>
      <c r="AB71" s="108" t="n">
        <v>250</v>
      </c>
      <c r="AC71" s="108" t="n">
        <v>300</v>
      </c>
      <c r="AD71" s="108" t="n">
        <v>300</v>
      </c>
      <c r="AE71" s="108" t="n">
        <v>300</v>
      </c>
      <c r="AF71" s="108" t="n">
        <v>300</v>
      </c>
      <c r="AG71" s="108" t="n">
        <v>300</v>
      </c>
      <c r="AI71" s="109" t="n">
        <f aca="false">INDEX($F71:$AG71,1,MATCH(AI$7,$F$7:$AG$7,1))</f>
        <v>0</v>
      </c>
      <c r="AJ71" s="109" t="n">
        <f aca="false">INDEX($F71:$AG71,1,MATCH(AJ$7,$F$7:$AG$7,1))</f>
        <v>0</v>
      </c>
      <c r="AK71" s="109" t="n">
        <f aca="false">INDEX($F71:$AG71,1,MATCH(AK$7,$F$7:$AG$7,1))</f>
        <v>0</v>
      </c>
      <c r="AL71" s="109" t="n">
        <f aca="false">INDEX($F71:$AG71,1,MATCH(AL$7,$F$7:$AG$7,1))</f>
        <v>75</v>
      </c>
      <c r="AM71" s="109" t="n">
        <f aca="false">INDEX($F71:$AG71,1,MATCH(AM$7,$F$7:$AG$7,1))</f>
        <v>250</v>
      </c>
      <c r="AN71" s="109" t="n">
        <f aca="false">INDEX($F71:$AG71,1,MATCH(AN$7,$F$7:$AG$7,1))</f>
        <v>300</v>
      </c>
      <c r="AO71" s="109" t="n">
        <f aca="false">INDEX($F71:$AG71,1,MATCH(AO$7,$F$7:$AG$7,1))</f>
        <v>300</v>
      </c>
    </row>
    <row r="72" customFormat="false" ht="15" hidden="false" customHeight="false" outlineLevel="0" collapsed="false">
      <c r="A72" s="107" t="s">
        <v>1509</v>
      </c>
      <c r="B72" s="22" t="s">
        <v>664</v>
      </c>
      <c r="C72" s="22" t="s">
        <v>558</v>
      </c>
      <c r="D72" s="22" t="s">
        <v>1478</v>
      </c>
      <c r="F72" s="108" t="n">
        <v>0</v>
      </c>
      <c r="G72" s="108" t="n">
        <v>0</v>
      </c>
      <c r="H72" s="108" t="n">
        <v>0</v>
      </c>
      <c r="I72" s="108" t="n">
        <v>0</v>
      </c>
      <c r="J72" s="108" t="n">
        <v>0</v>
      </c>
      <c r="K72" s="108" t="n">
        <v>0</v>
      </c>
      <c r="L72" s="108" t="n">
        <v>0</v>
      </c>
      <c r="M72" s="108" t="n">
        <v>0</v>
      </c>
      <c r="N72" s="108" t="n">
        <v>0</v>
      </c>
      <c r="O72" s="108" t="n">
        <v>0</v>
      </c>
      <c r="P72" s="108" t="n">
        <v>0</v>
      </c>
      <c r="Q72" s="108" t="n">
        <v>0</v>
      </c>
      <c r="R72" s="108" t="n">
        <v>12.5</v>
      </c>
      <c r="S72" s="108" t="n">
        <v>25</v>
      </c>
      <c r="T72" s="108" t="n">
        <v>50</v>
      </c>
      <c r="U72" s="108" t="n">
        <v>75</v>
      </c>
      <c r="V72" s="108" t="n">
        <v>75</v>
      </c>
      <c r="W72" s="108" t="n">
        <v>150</v>
      </c>
      <c r="X72" s="108" t="n">
        <v>150</v>
      </c>
      <c r="Y72" s="108" t="n">
        <v>250</v>
      </c>
      <c r="Z72" s="108" t="n">
        <v>250</v>
      </c>
      <c r="AA72" s="108" t="n">
        <v>250</v>
      </c>
      <c r="AB72" s="108" t="n">
        <v>250</v>
      </c>
      <c r="AC72" s="108" t="n">
        <v>300</v>
      </c>
      <c r="AD72" s="108" t="n">
        <v>300</v>
      </c>
      <c r="AE72" s="108" t="n">
        <v>300</v>
      </c>
      <c r="AF72" s="108" t="n">
        <v>300</v>
      </c>
      <c r="AG72" s="108" t="n">
        <v>300</v>
      </c>
      <c r="AI72" s="109" t="n">
        <f aca="false">INDEX($F72:$AG72,1,MATCH(AI$7,$F$7:$AG$7,1))</f>
        <v>0</v>
      </c>
      <c r="AJ72" s="109" t="n">
        <f aca="false">INDEX($F72:$AG72,1,MATCH(AJ$7,$F$7:$AG$7,1))</f>
        <v>0</v>
      </c>
      <c r="AK72" s="109" t="n">
        <f aca="false">INDEX($F72:$AG72,1,MATCH(AK$7,$F$7:$AG$7,1))</f>
        <v>0</v>
      </c>
      <c r="AL72" s="109" t="n">
        <f aca="false">INDEX($F72:$AG72,1,MATCH(AL$7,$F$7:$AG$7,1))</f>
        <v>75</v>
      </c>
      <c r="AM72" s="109" t="n">
        <f aca="false">INDEX($F72:$AG72,1,MATCH(AM$7,$F$7:$AG$7,1))</f>
        <v>250</v>
      </c>
      <c r="AN72" s="109" t="n">
        <f aca="false">INDEX($F72:$AG72,1,MATCH(AN$7,$F$7:$AG$7,1))</f>
        <v>300</v>
      </c>
      <c r="AO72" s="109" t="n">
        <f aca="false">INDEX($F72:$AG72,1,MATCH(AO$7,$F$7:$AG$7,1))</f>
        <v>300</v>
      </c>
    </row>
    <row r="73" customFormat="false" ht="15" hidden="false" customHeight="false" outlineLevel="0" collapsed="false">
      <c r="A73" s="107" t="s">
        <v>1510</v>
      </c>
      <c r="B73" s="22" t="s">
        <v>664</v>
      </c>
      <c r="C73" s="22" t="s">
        <v>540</v>
      </c>
      <c r="D73" s="22" t="s">
        <v>1480</v>
      </c>
      <c r="F73" s="109" t="n">
        <f aca="false">IF(CapV=2,N(F72),N(F71))</f>
        <v>0</v>
      </c>
      <c r="G73" s="109" t="n">
        <f aca="false">IF(CapV=2,N(G72),N(G71))</f>
        <v>0</v>
      </c>
      <c r="H73" s="109" t="n">
        <f aca="false">IF(CapV=2,N(H72),N(H71))</f>
        <v>0</v>
      </c>
      <c r="I73" s="109" t="n">
        <f aca="false">IF(CapV=2,N(I72),N(I71))</f>
        <v>0</v>
      </c>
      <c r="J73" s="109" t="n">
        <f aca="false">IF(CapV=2,N(J72),N(J71))</f>
        <v>0</v>
      </c>
      <c r="K73" s="109" t="n">
        <f aca="false">IF(CapV=2,N(K72),N(K71))</f>
        <v>0</v>
      </c>
      <c r="L73" s="109" t="n">
        <f aca="false">IF(CapV=2,N(L72),N(L71))</f>
        <v>0</v>
      </c>
      <c r="M73" s="109" t="n">
        <f aca="false">IF(CapV=2,N(M72),N(M71))</f>
        <v>0</v>
      </c>
      <c r="N73" s="109" t="n">
        <f aca="false">IF(CapV=2,N(N72),N(N71))</f>
        <v>0</v>
      </c>
      <c r="O73" s="109" t="n">
        <f aca="false">IF(CapV=2,N(O72),N(O71))</f>
        <v>0</v>
      </c>
      <c r="P73" s="109" t="n">
        <f aca="false">IF(CapV=2,N(P72),N(P71))</f>
        <v>0</v>
      </c>
      <c r="Q73" s="109" t="n">
        <f aca="false">IF(CapV=2,N(Q72),N(Q71))</f>
        <v>0</v>
      </c>
      <c r="R73" s="109" t="n">
        <f aca="false">IF(CapV=2,N(R72),N(R71))</f>
        <v>12.5</v>
      </c>
      <c r="S73" s="109" t="n">
        <f aca="false">IF(CapV=2,N(S72),N(S71))</f>
        <v>25</v>
      </c>
      <c r="T73" s="109" t="n">
        <f aca="false">IF(CapV=2,N(T72),N(T71))</f>
        <v>50</v>
      </c>
      <c r="U73" s="109" t="n">
        <f aca="false">IF(CapV=2,N(U72),N(U71))</f>
        <v>75</v>
      </c>
      <c r="V73" s="109" t="n">
        <f aca="false">IF(CapV=2,N(V72),N(V71))</f>
        <v>75</v>
      </c>
      <c r="W73" s="109" t="n">
        <f aca="false">IF(CapV=2,N(W72),N(W71))</f>
        <v>150</v>
      </c>
      <c r="X73" s="109" t="n">
        <f aca="false">IF(CapV=2,N(X72),N(X71))</f>
        <v>150</v>
      </c>
      <c r="Y73" s="109" t="n">
        <f aca="false">IF(CapV=2,N(Y72),N(Y71))</f>
        <v>250</v>
      </c>
      <c r="Z73" s="109" t="n">
        <f aca="false">IF(CapV=2,N(Z72),N(Z71))</f>
        <v>250</v>
      </c>
      <c r="AA73" s="109" t="n">
        <f aca="false">IF(CapV=2,N(AA72),N(AA71))</f>
        <v>250</v>
      </c>
      <c r="AB73" s="109" t="n">
        <f aca="false">IF(CapV=2,N(AB72),N(AB71))</f>
        <v>250</v>
      </c>
      <c r="AC73" s="109" t="n">
        <f aca="false">IF(CapV=2,N(AC72),N(AC71))</f>
        <v>300</v>
      </c>
      <c r="AD73" s="109" t="n">
        <f aca="false">IF(CapV=2,N(AD72),N(AD71))</f>
        <v>300</v>
      </c>
      <c r="AE73" s="109" t="n">
        <f aca="false">IF(CapV=2,N(AE72),N(AE71))</f>
        <v>300</v>
      </c>
      <c r="AF73" s="109" t="n">
        <f aca="false">IF(CapV=2,N(AF72),N(AF71))</f>
        <v>300</v>
      </c>
      <c r="AG73" s="109" t="n">
        <f aca="false">IF(CapV=2,N(AG72),N(AG71))</f>
        <v>300</v>
      </c>
      <c r="AI73" s="109" t="n">
        <f aca="false">INDEX($F73:$AG73,1,MATCH(AI$7,$F$7:$AG$7,1))</f>
        <v>0</v>
      </c>
      <c r="AJ73" s="109" t="n">
        <f aca="false">INDEX($F73:$AG73,1,MATCH(AJ$7,$F$7:$AG$7,1))</f>
        <v>0</v>
      </c>
      <c r="AK73" s="109" t="n">
        <f aca="false">INDEX($F73:$AG73,1,MATCH(AK$7,$F$7:$AG$7,1))</f>
        <v>0</v>
      </c>
      <c r="AL73" s="109" t="n">
        <f aca="false">INDEX($F73:$AG73,1,MATCH(AL$7,$F$7:$AG$7,1))</f>
        <v>75</v>
      </c>
      <c r="AM73" s="109" t="n">
        <f aca="false">INDEX($F73:$AG73,1,MATCH(AM$7,$F$7:$AG$7,1))</f>
        <v>250</v>
      </c>
      <c r="AN73" s="109" t="n">
        <f aca="false">INDEX($F73:$AG73,1,MATCH(AN$7,$F$7:$AG$7,1))</f>
        <v>300</v>
      </c>
      <c r="AO73" s="109" t="n">
        <f aca="false">INDEX($F73:$AG73,1,MATCH(AO$7,$F$7:$AG$7,1))</f>
        <v>300</v>
      </c>
    </row>
    <row r="74" customFormat="false" ht="15" hidden="false" customHeight="false" outlineLevel="0" collapsed="false">
      <c r="A74" s="107" t="s">
        <v>1511</v>
      </c>
      <c r="B74" s="22" t="s">
        <v>664</v>
      </c>
      <c r="C74" s="22" t="s">
        <v>558</v>
      </c>
      <c r="D74" s="22" t="s">
        <v>1476</v>
      </c>
      <c r="F74" s="108" t="n">
        <v>0</v>
      </c>
      <c r="G74" s="108" t="n">
        <v>0</v>
      </c>
      <c r="H74" s="108" t="n">
        <v>0</v>
      </c>
      <c r="I74" s="108" t="n">
        <v>0</v>
      </c>
      <c r="J74" s="108" t="n">
        <v>0</v>
      </c>
      <c r="K74" s="108" t="n">
        <v>0</v>
      </c>
      <c r="L74" s="108" t="n">
        <v>0</v>
      </c>
      <c r="M74" s="108" t="n">
        <v>0</v>
      </c>
      <c r="N74" s="108" t="n">
        <v>0</v>
      </c>
      <c r="O74" s="108" t="n">
        <v>0</v>
      </c>
      <c r="P74" s="108" t="n">
        <v>0</v>
      </c>
      <c r="Q74" s="108" t="n">
        <v>0</v>
      </c>
      <c r="R74" s="108" t="n">
        <v>25</v>
      </c>
      <c r="S74" s="108" t="n">
        <v>50</v>
      </c>
      <c r="T74" s="108" t="n">
        <v>75</v>
      </c>
      <c r="U74" s="108" t="n">
        <v>100</v>
      </c>
      <c r="V74" s="108" t="n">
        <v>100</v>
      </c>
      <c r="W74" s="108" t="n">
        <v>200</v>
      </c>
      <c r="X74" s="108" t="n">
        <v>200</v>
      </c>
      <c r="Y74" s="108" t="n">
        <v>300</v>
      </c>
      <c r="Z74" s="108" t="n">
        <v>300</v>
      </c>
      <c r="AA74" s="108" t="n">
        <v>300</v>
      </c>
      <c r="AB74" s="108" t="n">
        <v>300</v>
      </c>
      <c r="AC74" s="108" t="n">
        <v>300</v>
      </c>
      <c r="AD74" s="108" t="n">
        <v>300</v>
      </c>
      <c r="AE74" s="108" t="n">
        <v>300</v>
      </c>
      <c r="AF74" s="108" t="n">
        <v>300</v>
      </c>
      <c r="AG74" s="108" t="n">
        <v>300</v>
      </c>
      <c r="AI74" s="109" t="n">
        <f aca="false">INDEX($F74:$AG74,1,MATCH(AI$7,$F$7:$AG$7,1))</f>
        <v>0</v>
      </c>
      <c r="AJ74" s="109" t="n">
        <f aca="false">INDEX($F74:$AG74,1,MATCH(AJ$7,$F$7:$AG$7,1))</f>
        <v>0</v>
      </c>
      <c r="AK74" s="109" t="n">
        <f aca="false">INDEX($F74:$AG74,1,MATCH(AK$7,$F$7:$AG$7,1))</f>
        <v>0</v>
      </c>
      <c r="AL74" s="109" t="n">
        <f aca="false">INDEX($F74:$AG74,1,MATCH(AL$7,$F$7:$AG$7,1))</f>
        <v>100</v>
      </c>
      <c r="AM74" s="109" t="n">
        <f aca="false">INDEX($F74:$AG74,1,MATCH(AM$7,$F$7:$AG$7,1))</f>
        <v>300</v>
      </c>
      <c r="AN74" s="109" t="n">
        <f aca="false">INDEX($F74:$AG74,1,MATCH(AN$7,$F$7:$AG$7,1))</f>
        <v>300</v>
      </c>
      <c r="AO74" s="109" t="n">
        <f aca="false">INDEX($F74:$AG74,1,MATCH(AO$7,$F$7:$AG$7,1))</f>
        <v>300</v>
      </c>
    </row>
    <row r="75" customFormat="false" ht="15" hidden="false" customHeight="false" outlineLevel="0" collapsed="false">
      <c r="A75" s="107" t="s">
        <v>1512</v>
      </c>
      <c r="B75" s="22" t="s">
        <v>664</v>
      </c>
      <c r="C75" s="22" t="s">
        <v>558</v>
      </c>
      <c r="D75" s="22" t="s">
        <v>1478</v>
      </c>
      <c r="F75" s="108" t="n">
        <v>0</v>
      </c>
      <c r="G75" s="108" t="n">
        <v>0</v>
      </c>
      <c r="H75" s="108" t="n">
        <v>0</v>
      </c>
      <c r="I75" s="108" t="n">
        <v>0</v>
      </c>
      <c r="J75" s="108" t="n">
        <v>0</v>
      </c>
      <c r="K75" s="108" t="n">
        <v>0</v>
      </c>
      <c r="L75" s="108" t="n">
        <v>0</v>
      </c>
      <c r="M75" s="108" t="n">
        <v>0</v>
      </c>
      <c r="N75" s="108" t="n">
        <v>0</v>
      </c>
      <c r="O75" s="108" t="n">
        <v>0</v>
      </c>
      <c r="P75" s="108" t="n">
        <v>0</v>
      </c>
      <c r="Q75" s="108" t="n">
        <v>0</v>
      </c>
      <c r="R75" s="108" t="n">
        <v>25</v>
      </c>
      <c r="S75" s="108" t="n">
        <v>50</v>
      </c>
      <c r="T75" s="108" t="n">
        <v>75</v>
      </c>
      <c r="U75" s="108" t="n">
        <v>100</v>
      </c>
      <c r="V75" s="108" t="n">
        <v>100</v>
      </c>
      <c r="W75" s="108" t="n">
        <v>200</v>
      </c>
      <c r="X75" s="108" t="n">
        <v>200</v>
      </c>
      <c r="Y75" s="108" t="n">
        <v>300</v>
      </c>
      <c r="Z75" s="108" t="n">
        <v>300</v>
      </c>
      <c r="AA75" s="108" t="n">
        <v>300</v>
      </c>
      <c r="AB75" s="108" t="n">
        <v>300</v>
      </c>
      <c r="AC75" s="108" t="n">
        <v>300</v>
      </c>
      <c r="AD75" s="108" t="n">
        <v>300</v>
      </c>
      <c r="AE75" s="108" t="n">
        <v>300</v>
      </c>
      <c r="AF75" s="108" t="n">
        <v>300</v>
      </c>
      <c r="AG75" s="108" t="n">
        <v>300</v>
      </c>
      <c r="AI75" s="109" t="n">
        <f aca="false">INDEX($F75:$AG75,1,MATCH(AI$7,$F$7:$AG$7,1))</f>
        <v>0</v>
      </c>
      <c r="AJ75" s="109" t="n">
        <f aca="false">INDEX($F75:$AG75,1,MATCH(AJ$7,$F$7:$AG$7,1))</f>
        <v>0</v>
      </c>
      <c r="AK75" s="109" t="n">
        <f aca="false">INDEX($F75:$AG75,1,MATCH(AK$7,$F$7:$AG$7,1))</f>
        <v>0</v>
      </c>
      <c r="AL75" s="109" t="n">
        <f aca="false">INDEX($F75:$AG75,1,MATCH(AL$7,$F$7:$AG$7,1))</f>
        <v>100</v>
      </c>
      <c r="AM75" s="109" t="n">
        <f aca="false">INDEX($F75:$AG75,1,MATCH(AM$7,$F$7:$AG$7,1))</f>
        <v>300</v>
      </c>
      <c r="AN75" s="109" t="n">
        <f aca="false">INDEX($F75:$AG75,1,MATCH(AN$7,$F$7:$AG$7,1))</f>
        <v>300</v>
      </c>
      <c r="AO75" s="109" t="n">
        <f aca="false">INDEX($F75:$AG75,1,MATCH(AO$7,$F$7:$AG$7,1))</f>
        <v>300</v>
      </c>
    </row>
    <row r="76" customFormat="false" ht="15" hidden="false" customHeight="false" outlineLevel="0" collapsed="false">
      <c r="A76" s="107" t="s">
        <v>1513</v>
      </c>
      <c r="B76" s="22" t="s">
        <v>664</v>
      </c>
      <c r="C76" s="22" t="s">
        <v>540</v>
      </c>
      <c r="D76" s="22" t="s">
        <v>1480</v>
      </c>
      <c r="F76" s="109" t="n">
        <f aca="false">IF(CapV=2,N(F75),N(F74))</f>
        <v>0</v>
      </c>
      <c r="G76" s="109" t="n">
        <f aca="false">IF(CapV=2,N(G75),N(G74))</f>
        <v>0</v>
      </c>
      <c r="H76" s="109" t="n">
        <f aca="false">IF(CapV=2,N(H75),N(H74))</f>
        <v>0</v>
      </c>
      <c r="I76" s="109" t="n">
        <f aca="false">IF(CapV=2,N(I75),N(I74))</f>
        <v>0</v>
      </c>
      <c r="J76" s="109" t="n">
        <f aca="false">IF(CapV=2,N(J75),N(J74))</f>
        <v>0</v>
      </c>
      <c r="K76" s="109" t="n">
        <f aca="false">IF(CapV=2,N(K75),N(K74))</f>
        <v>0</v>
      </c>
      <c r="L76" s="109" t="n">
        <f aca="false">IF(CapV=2,N(L75),N(L74))</f>
        <v>0</v>
      </c>
      <c r="M76" s="109" t="n">
        <f aca="false">IF(CapV=2,N(M75),N(M74))</f>
        <v>0</v>
      </c>
      <c r="N76" s="109" t="n">
        <f aca="false">IF(CapV=2,N(N75),N(N74))</f>
        <v>0</v>
      </c>
      <c r="O76" s="109" t="n">
        <f aca="false">IF(CapV=2,N(O75),N(O74))</f>
        <v>0</v>
      </c>
      <c r="P76" s="109" t="n">
        <f aca="false">IF(CapV=2,N(P75),N(P74))</f>
        <v>0</v>
      </c>
      <c r="Q76" s="109" t="n">
        <f aca="false">IF(CapV=2,N(Q75),N(Q74))</f>
        <v>0</v>
      </c>
      <c r="R76" s="109" t="n">
        <f aca="false">IF(CapV=2,N(R75),N(R74))</f>
        <v>25</v>
      </c>
      <c r="S76" s="109" t="n">
        <f aca="false">IF(CapV=2,N(S75),N(S74))</f>
        <v>50</v>
      </c>
      <c r="T76" s="109" t="n">
        <f aca="false">IF(CapV=2,N(T75),N(T74))</f>
        <v>75</v>
      </c>
      <c r="U76" s="109" t="n">
        <f aca="false">IF(CapV=2,N(U75),N(U74))</f>
        <v>100</v>
      </c>
      <c r="V76" s="109" t="n">
        <f aca="false">IF(CapV=2,N(V75),N(V74))</f>
        <v>100</v>
      </c>
      <c r="W76" s="109" t="n">
        <f aca="false">IF(CapV=2,N(W75),N(W74))</f>
        <v>200</v>
      </c>
      <c r="X76" s="109" t="n">
        <f aca="false">IF(CapV=2,N(X75),N(X74))</f>
        <v>200</v>
      </c>
      <c r="Y76" s="109" t="n">
        <f aca="false">IF(CapV=2,N(Y75),N(Y74))</f>
        <v>300</v>
      </c>
      <c r="Z76" s="109" t="n">
        <f aca="false">IF(CapV=2,N(Z75),N(Z74))</f>
        <v>300</v>
      </c>
      <c r="AA76" s="109" t="n">
        <f aca="false">IF(CapV=2,N(AA75),N(AA74))</f>
        <v>300</v>
      </c>
      <c r="AB76" s="109" t="n">
        <f aca="false">IF(CapV=2,N(AB75),N(AB74))</f>
        <v>300</v>
      </c>
      <c r="AC76" s="109" t="n">
        <f aca="false">IF(CapV=2,N(AC75),N(AC74))</f>
        <v>300</v>
      </c>
      <c r="AD76" s="109" t="n">
        <f aca="false">IF(CapV=2,N(AD75),N(AD74))</f>
        <v>300</v>
      </c>
      <c r="AE76" s="109" t="n">
        <f aca="false">IF(CapV=2,N(AE75),N(AE74))</f>
        <v>300</v>
      </c>
      <c r="AF76" s="109" t="n">
        <f aca="false">IF(CapV=2,N(AF75),N(AF74))</f>
        <v>300</v>
      </c>
      <c r="AG76" s="109" t="n">
        <f aca="false">IF(CapV=2,N(AG75),N(AG74))</f>
        <v>300</v>
      </c>
      <c r="AI76" s="109" t="n">
        <f aca="false">INDEX($F76:$AG76,1,MATCH(AI$7,$F$7:$AG$7,1))</f>
        <v>0</v>
      </c>
      <c r="AJ76" s="109" t="n">
        <f aca="false">INDEX($F76:$AG76,1,MATCH(AJ$7,$F$7:$AG$7,1))</f>
        <v>0</v>
      </c>
      <c r="AK76" s="109" t="n">
        <f aca="false">INDEX($F76:$AG76,1,MATCH(AK$7,$F$7:$AG$7,1))</f>
        <v>0</v>
      </c>
      <c r="AL76" s="109" t="n">
        <f aca="false">INDEX($F76:$AG76,1,MATCH(AL$7,$F$7:$AG$7,1))</f>
        <v>100</v>
      </c>
      <c r="AM76" s="109" t="n">
        <f aca="false">INDEX($F76:$AG76,1,MATCH(AM$7,$F$7:$AG$7,1))</f>
        <v>300</v>
      </c>
      <c r="AN76" s="109" t="n">
        <f aca="false">INDEX($F76:$AG76,1,MATCH(AN$7,$F$7:$AG$7,1))</f>
        <v>300</v>
      </c>
      <c r="AO76" s="109" t="n">
        <f aca="false">INDEX($F76:$AG76,1,MATCH(AO$7,$F$7:$AG$7,1))</f>
        <v>300</v>
      </c>
    </row>
    <row r="77" customFormat="false" ht="15" hidden="false" customHeight="false" outlineLevel="0" collapsed="false">
      <c r="A77" s="107" t="s">
        <v>1514</v>
      </c>
      <c r="B77" s="22" t="s">
        <v>664</v>
      </c>
      <c r="C77" s="22" t="s">
        <v>558</v>
      </c>
      <c r="D77" s="22" t="s">
        <v>1476</v>
      </c>
      <c r="F77" s="108" t="n">
        <v>0</v>
      </c>
      <c r="G77" s="108" t="n">
        <v>0</v>
      </c>
      <c r="H77" s="108" t="n">
        <v>0</v>
      </c>
      <c r="I77" s="108" t="n">
        <v>0</v>
      </c>
      <c r="J77" s="108" t="n">
        <v>0</v>
      </c>
      <c r="K77" s="108" t="n">
        <v>0</v>
      </c>
      <c r="L77" s="108" t="n">
        <v>0</v>
      </c>
      <c r="M77" s="108" t="n">
        <v>0</v>
      </c>
      <c r="N77" s="108" t="n">
        <v>0</v>
      </c>
      <c r="O77" s="108" t="n">
        <v>0</v>
      </c>
      <c r="P77" s="108" t="n">
        <v>0</v>
      </c>
      <c r="Q77" s="108" t="n">
        <v>0</v>
      </c>
      <c r="R77" s="108" t="n">
        <v>27</v>
      </c>
      <c r="S77" s="108" t="n">
        <v>60</v>
      </c>
      <c r="T77" s="108" t="n">
        <v>60</v>
      </c>
      <c r="U77" s="108" t="n">
        <v>120</v>
      </c>
      <c r="V77" s="108" t="n">
        <v>120</v>
      </c>
      <c r="W77" s="108" t="n">
        <v>120</v>
      </c>
      <c r="X77" s="108" t="n">
        <v>120</v>
      </c>
      <c r="Y77" s="108" t="n">
        <v>240</v>
      </c>
      <c r="Z77" s="108" t="n">
        <v>240</v>
      </c>
      <c r="AA77" s="108" t="n">
        <v>240</v>
      </c>
      <c r="AB77" s="108" t="n">
        <v>240</v>
      </c>
      <c r="AC77" s="108" t="n">
        <v>240</v>
      </c>
      <c r="AD77" s="108" t="n">
        <v>240</v>
      </c>
      <c r="AE77" s="108" t="n">
        <v>240</v>
      </c>
      <c r="AF77" s="108" t="n">
        <v>240</v>
      </c>
      <c r="AG77" s="108" t="n">
        <v>240</v>
      </c>
      <c r="AI77" s="109" t="n">
        <f aca="false">INDEX($F77:$AG77,1,MATCH(AI$7,$F$7:$AG$7,1))</f>
        <v>0</v>
      </c>
      <c r="AJ77" s="109" t="n">
        <f aca="false">INDEX($F77:$AG77,1,MATCH(AJ$7,$F$7:$AG$7,1))</f>
        <v>0</v>
      </c>
      <c r="AK77" s="109" t="n">
        <f aca="false">INDEX($F77:$AG77,1,MATCH(AK$7,$F$7:$AG$7,1))</f>
        <v>0</v>
      </c>
      <c r="AL77" s="109" t="n">
        <f aca="false">INDEX($F77:$AG77,1,MATCH(AL$7,$F$7:$AG$7,1))</f>
        <v>120</v>
      </c>
      <c r="AM77" s="109" t="n">
        <f aca="false">INDEX($F77:$AG77,1,MATCH(AM$7,$F$7:$AG$7,1))</f>
        <v>240</v>
      </c>
      <c r="AN77" s="109" t="n">
        <f aca="false">INDEX($F77:$AG77,1,MATCH(AN$7,$F$7:$AG$7,1))</f>
        <v>240</v>
      </c>
      <c r="AO77" s="109" t="n">
        <f aca="false">INDEX($F77:$AG77,1,MATCH(AO$7,$F$7:$AG$7,1))</f>
        <v>240</v>
      </c>
    </row>
    <row r="78" customFormat="false" ht="15" hidden="false" customHeight="false" outlineLevel="0" collapsed="false">
      <c r="A78" s="107" t="s">
        <v>1515</v>
      </c>
      <c r="B78" s="22" t="s">
        <v>664</v>
      </c>
      <c r="C78" s="22" t="s">
        <v>558</v>
      </c>
      <c r="D78" s="22" t="s">
        <v>1478</v>
      </c>
      <c r="F78" s="108" t="n">
        <v>0</v>
      </c>
      <c r="G78" s="108" t="n">
        <v>0</v>
      </c>
      <c r="H78" s="108" t="n">
        <v>0</v>
      </c>
      <c r="I78" s="108" t="n">
        <v>0</v>
      </c>
      <c r="J78" s="108" t="n">
        <v>0</v>
      </c>
      <c r="K78" s="108" t="n">
        <v>0</v>
      </c>
      <c r="L78" s="108" t="n">
        <v>0</v>
      </c>
      <c r="M78" s="108" t="n">
        <v>0</v>
      </c>
      <c r="N78" s="108" t="n">
        <v>0</v>
      </c>
      <c r="O78" s="108" t="n">
        <v>0</v>
      </c>
      <c r="P78" s="108" t="n">
        <v>0</v>
      </c>
      <c r="Q78" s="108" t="n">
        <v>0</v>
      </c>
      <c r="R78" s="108" t="n">
        <v>27</v>
      </c>
      <c r="S78" s="108" t="n">
        <v>60</v>
      </c>
      <c r="T78" s="108" t="n">
        <v>60</v>
      </c>
      <c r="U78" s="108" t="n">
        <v>120</v>
      </c>
      <c r="V78" s="108" t="n">
        <v>120</v>
      </c>
      <c r="W78" s="108" t="n">
        <v>120</v>
      </c>
      <c r="X78" s="108" t="n">
        <v>120</v>
      </c>
      <c r="Y78" s="108" t="n">
        <v>240</v>
      </c>
      <c r="Z78" s="108" t="n">
        <v>240</v>
      </c>
      <c r="AA78" s="108" t="n">
        <v>240</v>
      </c>
      <c r="AB78" s="108" t="n">
        <v>240</v>
      </c>
      <c r="AC78" s="108" t="n">
        <v>240</v>
      </c>
      <c r="AD78" s="108" t="n">
        <v>240</v>
      </c>
      <c r="AE78" s="108" t="n">
        <v>240</v>
      </c>
      <c r="AF78" s="108" t="n">
        <v>240</v>
      </c>
      <c r="AG78" s="108" t="n">
        <v>240</v>
      </c>
      <c r="AI78" s="109" t="n">
        <f aca="false">INDEX($F78:$AG78,1,MATCH(AI$7,$F$7:$AG$7,1))</f>
        <v>0</v>
      </c>
      <c r="AJ78" s="109" t="n">
        <f aca="false">INDEX($F78:$AG78,1,MATCH(AJ$7,$F$7:$AG$7,1))</f>
        <v>0</v>
      </c>
      <c r="AK78" s="109" t="n">
        <f aca="false">INDEX($F78:$AG78,1,MATCH(AK$7,$F$7:$AG$7,1))</f>
        <v>0</v>
      </c>
      <c r="AL78" s="109" t="n">
        <f aca="false">INDEX($F78:$AG78,1,MATCH(AL$7,$F$7:$AG$7,1))</f>
        <v>120</v>
      </c>
      <c r="AM78" s="109" t="n">
        <f aca="false">INDEX($F78:$AG78,1,MATCH(AM$7,$F$7:$AG$7,1))</f>
        <v>240</v>
      </c>
      <c r="AN78" s="109" t="n">
        <f aca="false">INDEX($F78:$AG78,1,MATCH(AN$7,$F$7:$AG$7,1))</f>
        <v>240</v>
      </c>
      <c r="AO78" s="109" t="n">
        <f aca="false">INDEX($F78:$AG78,1,MATCH(AO$7,$F$7:$AG$7,1))</f>
        <v>240</v>
      </c>
    </row>
    <row r="79" customFormat="false" ht="15" hidden="false" customHeight="false" outlineLevel="0" collapsed="false">
      <c r="A79" s="107" t="s">
        <v>1516</v>
      </c>
      <c r="B79" s="22" t="s">
        <v>664</v>
      </c>
      <c r="C79" s="22" t="s">
        <v>540</v>
      </c>
      <c r="D79" s="22" t="s">
        <v>1480</v>
      </c>
      <c r="F79" s="109" t="n">
        <f aca="false">IF(CapV=2,N(F78),N(F77))</f>
        <v>0</v>
      </c>
      <c r="G79" s="109" t="n">
        <f aca="false">IF(CapV=2,N(G78),N(G77))</f>
        <v>0</v>
      </c>
      <c r="H79" s="109" t="n">
        <f aca="false">IF(CapV=2,N(H78),N(H77))</f>
        <v>0</v>
      </c>
      <c r="I79" s="109" t="n">
        <f aca="false">IF(CapV=2,N(I78),N(I77))</f>
        <v>0</v>
      </c>
      <c r="J79" s="109" t="n">
        <f aca="false">IF(CapV=2,N(J78),N(J77))</f>
        <v>0</v>
      </c>
      <c r="K79" s="109" t="n">
        <f aca="false">IF(CapV=2,N(K78),N(K77))</f>
        <v>0</v>
      </c>
      <c r="L79" s="109" t="n">
        <f aca="false">IF(CapV=2,N(L78),N(L77))</f>
        <v>0</v>
      </c>
      <c r="M79" s="109" t="n">
        <f aca="false">IF(CapV=2,N(M78),N(M77))</f>
        <v>0</v>
      </c>
      <c r="N79" s="109" t="n">
        <f aca="false">IF(CapV=2,N(N78),N(N77))</f>
        <v>0</v>
      </c>
      <c r="O79" s="109" t="n">
        <f aca="false">IF(CapV=2,N(O78),N(O77))</f>
        <v>0</v>
      </c>
      <c r="P79" s="109" t="n">
        <f aca="false">IF(CapV=2,N(P78),N(P77))</f>
        <v>0</v>
      </c>
      <c r="Q79" s="109" t="n">
        <f aca="false">IF(CapV=2,N(Q78),N(Q77))</f>
        <v>0</v>
      </c>
      <c r="R79" s="109" t="n">
        <f aca="false">IF(CapV=2,N(R78),N(R77))</f>
        <v>27</v>
      </c>
      <c r="S79" s="109" t="n">
        <f aca="false">IF(CapV=2,N(S78),N(S77))</f>
        <v>60</v>
      </c>
      <c r="T79" s="109" t="n">
        <f aca="false">IF(CapV=2,N(T78),N(T77))</f>
        <v>60</v>
      </c>
      <c r="U79" s="109" t="n">
        <f aca="false">IF(CapV=2,N(U78),N(U77))</f>
        <v>120</v>
      </c>
      <c r="V79" s="109" t="n">
        <f aca="false">IF(CapV=2,N(V78),N(V77))</f>
        <v>120</v>
      </c>
      <c r="W79" s="109" t="n">
        <f aca="false">IF(CapV=2,N(W78),N(W77))</f>
        <v>120</v>
      </c>
      <c r="X79" s="109" t="n">
        <f aca="false">IF(CapV=2,N(X78),N(X77))</f>
        <v>120</v>
      </c>
      <c r="Y79" s="109" t="n">
        <f aca="false">IF(CapV=2,N(Y78),N(Y77))</f>
        <v>240</v>
      </c>
      <c r="Z79" s="109" t="n">
        <f aca="false">IF(CapV=2,N(Z78),N(Z77))</f>
        <v>240</v>
      </c>
      <c r="AA79" s="109" t="n">
        <f aca="false">IF(CapV=2,N(AA78),N(AA77))</f>
        <v>240</v>
      </c>
      <c r="AB79" s="109" t="n">
        <f aca="false">IF(CapV=2,N(AB78),N(AB77))</f>
        <v>240</v>
      </c>
      <c r="AC79" s="109" t="n">
        <f aca="false">IF(CapV=2,N(AC78),N(AC77))</f>
        <v>240</v>
      </c>
      <c r="AD79" s="109" t="n">
        <f aca="false">IF(CapV=2,N(AD78),N(AD77))</f>
        <v>240</v>
      </c>
      <c r="AE79" s="109" t="n">
        <f aca="false">IF(CapV=2,N(AE78),N(AE77))</f>
        <v>240</v>
      </c>
      <c r="AF79" s="109" t="n">
        <f aca="false">IF(CapV=2,N(AF78),N(AF77))</f>
        <v>240</v>
      </c>
      <c r="AG79" s="109" t="n">
        <f aca="false">IF(CapV=2,N(AG78),N(AG77))</f>
        <v>240</v>
      </c>
      <c r="AI79" s="109" t="n">
        <f aca="false">INDEX($F79:$AG79,1,MATCH(AI$7,$F$7:$AG$7,1))</f>
        <v>0</v>
      </c>
      <c r="AJ79" s="109" t="n">
        <f aca="false">INDEX($F79:$AG79,1,MATCH(AJ$7,$F$7:$AG$7,1))</f>
        <v>0</v>
      </c>
      <c r="AK79" s="109" t="n">
        <f aca="false">INDEX($F79:$AG79,1,MATCH(AK$7,$F$7:$AG$7,1))</f>
        <v>0</v>
      </c>
      <c r="AL79" s="109" t="n">
        <f aca="false">INDEX($F79:$AG79,1,MATCH(AL$7,$F$7:$AG$7,1))</f>
        <v>120</v>
      </c>
      <c r="AM79" s="109" t="n">
        <f aca="false">INDEX($F79:$AG79,1,MATCH(AM$7,$F$7:$AG$7,1))</f>
        <v>240</v>
      </c>
      <c r="AN79" s="109" t="n">
        <f aca="false">INDEX($F79:$AG79,1,MATCH(AN$7,$F$7:$AG$7,1))</f>
        <v>240</v>
      </c>
      <c r="AO79" s="109" t="n">
        <f aca="false">INDEX($F79:$AG79,1,MATCH(AO$7,$F$7:$AG$7,1))</f>
        <v>240</v>
      </c>
    </row>
    <row r="80" customFormat="false" ht="15" hidden="false" customHeight="false" outlineLevel="0" collapsed="false">
      <c r="A80" s="107" t="s">
        <v>1517</v>
      </c>
      <c r="B80" s="22" t="s">
        <v>664</v>
      </c>
      <c r="C80" s="22" t="s">
        <v>558</v>
      </c>
      <c r="D80" s="22" t="s">
        <v>1476</v>
      </c>
      <c r="F80" s="108" t="n">
        <v>0</v>
      </c>
      <c r="G80" s="108" t="n">
        <v>0</v>
      </c>
      <c r="H80" s="108" t="n">
        <v>0</v>
      </c>
      <c r="I80" s="108" t="n">
        <v>0</v>
      </c>
      <c r="J80" s="108" t="n">
        <v>0</v>
      </c>
      <c r="K80" s="108" t="n">
        <v>0</v>
      </c>
      <c r="L80" s="108" t="n">
        <v>0</v>
      </c>
      <c r="M80" s="108" t="n">
        <v>0</v>
      </c>
      <c r="N80" s="108" t="n">
        <v>0</v>
      </c>
      <c r="O80" s="108" t="n">
        <v>0</v>
      </c>
      <c r="P80" s="108" t="n">
        <v>0</v>
      </c>
      <c r="Q80" s="108" t="n">
        <v>30</v>
      </c>
      <c r="R80" s="108" t="n">
        <v>73.5</v>
      </c>
      <c r="S80" s="108" t="n">
        <v>120</v>
      </c>
      <c r="T80" s="108" t="n">
        <v>120</v>
      </c>
      <c r="U80" s="108" t="n">
        <v>180</v>
      </c>
      <c r="V80" s="108" t="n">
        <v>180</v>
      </c>
      <c r="W80" s="108" t="n">
        <v>180</v>
      </c>
      <c r="X80" s="108" t="n">
        <v>180</v>
      </c>
      <c r="Y80" s="108" t="n">
        <v>240</v>
      </c>
      <c r="Z80" s="108" t="n">
        <v>240</v>
      </c>
      <c r="AA80" s="108" t="n">
        <v>240</v>
      </c>
      <c r="AB80" s="108" t="n">
        <v>240</v>
      </c>
      <c r="AC80" s="108" t="n">
        <v>240</v>
      </c>
      <c r="AD80" s="108" t="n">
        <v>240</v>
      </c>
      <c r="AE80" s="108" t="n">
        <v>240</v>
      </c>
      <c r="AF80" s="108" t="n">
        <v>240</v>
      </c>
      <c r="AG80" s="108" t="n">
        <v>240</v>
      </c>
      <c r="AI80" s="109" t="n">
        <f aca="false">INDEX($F80:$AG80,1,MATCH(AI$7,$F$7:$AG$7,1))</f>
        <v>0</v>
      </c>
      <c r="AJ80" s="109" t="n">
        <f aca="false">INDEX($F80:$AG80,1,MATCH(AJ$7,$F$7:$AG$7,1))</f>
        <v>0</v>
      </c>
      <c r="AK80" s="109" t="n">
        <f aca="false">INDEX($F80:$AG80,1,MATCH(AK$7,$F$7:$AG$7,1))</f>
        <v>30</v>
      </c>
      <c r="AL80" s="109" t="n">
        <f aca="false">INDEX($F80:$AG80,1,MATCH(AL$7,$F$7:$AG$7,1))</f>
        <v>180</v>
      </c>
      <c r="AM80" s="109" t="n">
        <f aca="false">INDEX($F80:$AG80,1,MATCH(AM$7,$F$7:$AG$7,1))</f>
        <v>240</v>
      </c>
      <c r="AN80" s="109" t="n">
        <f aca="false">INDEX($F80:$AG80,1,MATCH(AN$7,$F$7:$AG$7,1))</f>
        <v>240</v>
      </c>
      <c r="AO80" s="109" t="n">
        <f aca="false">INDEX($F80:$AG80,1,MATCH(AO$7,$F$7:$AG$7,1))</f>
        <v>240</v>
      </c>
    </row>
    <row r="81" customFormat="false" ht="15" hidden="false" customHeight="false" outlineLevel="0" collapsed="false">
      <c r="A81" s="107" t="s">
        <v>1518</v>
      </c>
      <c r="B81" s="22" t="s">
        <v>664</v>
      </c>
      <c r="C81" s="22" t="s">
        <v>558</v>
      </c>
      <c r="D81" s="22" t="s">
        <v>1478</v>
      </c>
      <c r="F81" s="108" t="n">
        <v>0</v>
      </c>
      <c r="G81" s="108" t="n">
        <v>0</v>
      </c>
      <c r="H81" s="108" t="n">
        <v>0</v>
      </c>
      <c r="I81" s="108" t="n">
        <v>0</v>
      </c>
      <c r="J81" s="108" t="n">
        <v>0</v>
      </c>
      <c r="K81" s="108" t="n">
        <v>0</v>
      </c>
      <c r="L81" s="108" t="n">
        <v>0</v>
      </c>
      <c r="M81" s="108" t="n">
        <v>0</v>
      </c>
      <c r="N81" s="108" t="n">
        <v>0</v>
      </c>
      <c r="O81" s="108" t="n">
        <v>0</v>
      </c>
      <c r="P81" s="108" t="n">
        <v>0</v>
      </c>
      <c r="Q81" s="108" t="n">
        <v>30</v>
      </c>
      <c r="R81" s="108" t="n">
        <v>73.5</v>
      </c>
      <c r="S81" s="108" t="n">
        <v>120</v>
      </c>
      <c r="T81" s="108" t="n">
        <v>120</v>
      </c>
      <c r="U81" s="108" t="n">
        <v>180</v>
      </c>
      <c r="V81" s="108" t="n">
        <v>180</v>
      </c>
      <c r="W81" s="108" t="n">
        <v>180</v>
      </c>
      <c r="X81" s="108" t="n">
        <v>180</v>
      </c>
      <c r="Y81" s="108" t="n">
        <v>240</v>
      </c>
      <c r="Z81" s="108" t="n">
        <v>240</v>
      </c>
      <c r="AA81" s="108" t="n">
        <v>240</v>
      </c>
      <c r="AB81" s="108" t="n">
        <v>240</v>
      </c>
      <c r="AC81" s="108" t="n">
        <v>240</v>
      </c>
      <c r="AD81" s="108" t="n">
        <v>240</v>
      </c>
      <c r="AE81" s="108" t="n">
        <v>240</v>
      </c>
      <c r="AF81" s="108" t="n">
        <v>240</v>
      </c>
      <c r="AG81" s="108" t="n">
        <v>240</v>
      </c>
      <c r="AI81" s="109" t="n">
        <f aca="false">INDEX($F81:$AG81,1,MATCH(AI$7,$F$7:$AG$7,1))</f>
        <v>0</v>
      </c>
      <c r="AJ81" s="109" t="n">
        <f aca="false">INDEX($F81:$AG81,1,MATCH(AJ$7,$F$7:$AG$7,1))</f>
        <v>0</v>
      </c>
      <c r="AK81" s="109" t="n">
        <f aca="false">INDEX($F81:$AG81,1,MATCH(AK$7,$F$7:$AG$7,1))</f>
        <v>30</v>
      </c>
      <c r="AL81" s="109" t="n">
        <f aca="false">INDEX($F81:$AG81,1,MATCH(AL$7,$F$7:$AG$7,1))</f>
        <v>180</v>
      </c>
      <c r="AM81" s="109" t="n">
        <f aca="false">INDEX($F81:$AG81,1,MATCH(AM$7,$F$7:$AG$7,1))</f>
        <v>240</v>
      </c>
      <c r="AN81" s="109" t="n">
        <f aca="false">INDEX($F81:$AG81,1,MATCH(AN$7,$F$7:$AG$7,1))</f>
        <v>240</v>
      </c>
      <c r="AO81" s="109" t="n">
        <f aca="false">INDEX($F81:$AG81,1,MATCH(AO$7,$F$7:$AG$7,1))</f>
        <v>240</v>
      </c>
    </row>
    <row r="82" customFormat="false" ht="15" hidden="false" customHeight="false" outlineLevel="0" collapsed="false">
      <c r="A82" s="107" t="s">
        <v>1519</v>
      </c>
      <c r="B82" s="22" t="s">
        <v>664</v>
      </c>
      <c r="C82" s="22" t="s">
        <v>540</v>
      </c>
      <c r="D82" s="22" t="s">
        <v>1480</v>
      </c>
      <c r="F82" s="109" t="n">
        <f aca="false">IF(CapV=2,N(F81),N(F80))</f>
        <v>0</v>
      </c>
      <c r="G82" s="109" t="n">
        <f aca="false">IF(CapV=2,N(G81),N(G80))</f>
        <v>0</v>
      </c>
      <c r="H82" s="109" t="n">
        <f aca="false">IF(CapV=2,N(H81),N(H80))</f>
        <v>0</v>
      </c>
      <c r="I82" s="109" t="n">
        <f aca="false">IF(CapV=2,N(I81),N(I80))</f>
        <v>0</v>
      </c>
      <c r="J82" s="109" t="n">
        <f aca="false">IF(CapV=2,N(J81),N(J80))</f>
        <v>0</v>
      </c>
      <c r="K82" s="109" t="n">
        <f aca="false">IF(CapV=2,N(K81),N(K80))</f>
        <v>0</v>
      </c>
      <c r="L82" s="109" t="n">
        <f aca="false">IF(CapV=2,N(L81),N(L80))</f>
        <v>0</v>
      </c>
      <c r="M82" s="109" t="n">
        <f aca="false">IF(CapV=2,N(M81),N(M80))</f>
        <v>0</v>
      </c>
      <c r="N82" s="109" t="n">
        <f aca="false">IF(CapV=2,N(N81),N(N80))</f>
        <v>0</v>
      </c>
      <c r="O82" s="109" t="n">
        <f aca="false">IF(CapV=2,N(O81),N(O80))</f>
        <v>0</v>
      </c>
      <c r="P82" s="109" t="n">
        <f aca="false">IF(CapV=2,N(P81),N(P80))</f>
        <v>0</v>
      </c>
      <c r="Q82" s="109" t="n">
        <f aca="false">IF(CapV=2,N(Q81),N(Q80))</f>
        <v>30</v>
      </c>
      <c r="R82" s="109" t="n">
        <f aca="false">IF(CapV=2,N(R81),N(R80))</f>
        <v>73.5</v>
      </c>
      <c r="S82" s="109" t="n">
        <f aca="false">IF(CapV=2,N(S81),N(S80))</f>
        <v>120</v>
      </c>
      <c r="T82" s="109" t="n">
        <f aca="false">IF(CapV=2,N(T81),N(T80))</f>
        <v>120</v>
      </c>
      <c r="U82" s="109" t="n">
        <f aca="false">IF(CapV=2,N(U81),N(U80))</f>
        <v>180</v>
      </c>
      <c r="V82" s="109" t="n">
        <f aca="false">IF(CapV=2,N(V81),N(V80))</f>
        <v>180</v>
      </c>
      <c r="W82" s="109" t="n">
        <f aca="false">IF(CapV=2,N(W81),N(W80))</f>
        <v>180</v>
      </c>
      <c r="X82" s="109" t="n">
        <f aca="false">IF(CapV=2,N(X81),N(X80))</f>
        <v>180</v>
      </c>
      <c r="Y82" s="109" t="n">
        <f aca="false">IF(CapV=2,N(Y81),N(Y80))</f>
        <v>240</v>
      </c>
      <c r="Z82" s="109" t="n">
        <f aca="false">IF(CapV=2,N(Z81),N(Z80))</f>
        <v>240</v>
      </c>
      <c r="AA82" s="109" t="n">
        <f aca="false">IF(CapV=2,N(AA81),N(AA80))</f>
        <v>240</v>
      </c>
      <c r="AB82" s="109" t="n">
        <f aca="false">IF(CapV=2,N(AB81),N(AB80))</f>
        <v>240</v>
      </c>
      <c r="AC82" s="109" t="n">
        <f aca="false">IF(CapV=2,N(AC81),N(AC80))</f>
        <v>240</v>
      </c>
      <c r="AD82" s="109" t="n">
        <f aca="false">IF(CapV=2,N(AD81),N(AD80))</f>
        <v>240</v>
      </c>
      <c r="AE82" s="109" t="n">
        <f aca="false">IF(CapV=2,N(AE81),N(AE80))</f>
        <v>240</v>
      </c>
      <c r="AF82" s="109" t="n">
        <f aca="false">IF(CapV=2,N(AF81),N(AF80))</f>
        <v>240</v>
      </c>
      <c r="AG82" s="109" t="n">
        <f aca="false">IF(CapV=2,N(AG81),N(AG80))</f>
        <v>240</v>
      </c>
      <c r="AI82" s="109" t="n">
        <f aca="false">INDEX($F82:$AG82,1,MATCH(AI$7,$F$7:$AG$7,1))</f>
        <v>0</v>
      </c>
      <c r="AJ82" s="109" t="n">
        <f aca="false">INDEX($F82:$AG82,1,MATCH(AJ$7,$F$7:$AG$7,1))</f>
        <v>0</v>
      </c>
      <c r="AK82" s="109" t="n">
        <f aca="false">INDEX($F82:$AG82,1,MATCH(AK$7,$F$7:$AG$7,1))</f>
        <v>30</v>
      </c>
      <c r="AL82" s="109" t="n">
        <f aca="false">INDEX($F82:$AG82,1,MATCH(AL$7,$F$7:$AG$7,1))</f>
        <v>180</v>
      </c>
      <c r="AM82" s="109" t="n">
        <f aca="false">INDEX($F82:$AG82,1,MATCH(AM$7,$F$7:$AG$7,1))</f>
        <v>240</v>
      </c>
      <c r="AN82" s="109" t="n">
        <f aca="false">INDEX($F82:$AG82,1,MATCH(AN$7,$F$7:$AG$7,1))</f>
        <v>240</v>
      </c>
      <c r="AO82" s="109" t="n">
        <f aca="false">INDEX($F82:$AG82,1,MATCH(AO$7,$F$7:$AG$7,1))</f>
        <v>240</v>
      </c>
    </row>
    <row r="83" customFormat="false" ht="15" hidden="false" customHeight="false" outlineLevel="0" collapsed="false">
      <c r="A83" s="107" t="s">
        <v>1520</v>
      </c>
      <c r="B83" s="22" t="s">
        <v>664</v>
      </c>
      <c r="C83" s="22" t="s">
        <v>558</v>
      </c>
      <c r="D83" s="22" t="s">
        <v>1476</v>
      </c>
      <c r="F83" s="108" t="n">
        <v>0</v>
      </c>
      <c r="G83" s="108" t="n">
        <v>0</v>
      </c>
      <c r="H83" s="108" t="n">
        <v>0</v>
      </c>
      <c r="I83" s="108" t="n">
        <v>0</v>
      </c>
      <c r="J83" s="108" t="n">
        <v>0</v>
      </c>
      <c r="K83" s="108" t="n">
        <v>0</v>
      </c>
      <c r="L83" s="108" t="n">
        <v>0</v>
      </c>
      <c r="M83" s="108" t="n">
        <v>0</v>
      </c>
      <c r="N83" s="108" t="n">
        <v>0</v>
      </c>
      <c r="O83" s="108" t="n">
        <v>0</v>
      </c>
      <c r="P83" s="108" t="n">
        <v>0</v>
      </c>
      <c r="Q83" s="108" t="n">
        <v>60</v>
      </c>
      <c r="R83" s="108" t="n">
        <v>120</v>
      </c>
      <c r="S83" s="108" t="n">
        <v>180</v>
      </c>
      <c r="T83" s="108" t="n">
        <v>180</v>
      </c>
      <c r="U83" s="108" t="n">
        <v>240</v>
      </c>
      <c r="V83" s="108" t="n">
        <v>240</v>
      </c>
      <c r="W83" s="108" t="n">
        <v>240</v>
      </c>
      <c r="X83" s="108" t="n">
        <v>240</v>
      </c>
      <c r="Y83" s="108" t="n">
        <v>240</v>
      </c>
      <c r="Z83" s="108" t="n">
        <v>240</v>
      </c>
      <c r="AA83" s="108" t="n">
        <v>240</v>
      </c>
      <c r="AB83" s="108" t="n">
        <v>240</v>
      </c>
      <c r="AC83" s="108" t="n">
        <v>240</v>
      </c>
      <c r="AD83" s="108" t="n">
        <v>240</v>
      </c>
      <c r="AE83" s="108" t="n">
        <v>240</v>
      </c>
      <c r="AF83" s="108" t="n">
        <v>240</v>
      </c>
      <c r="AG83" s="108" t="n">
        <v>240</v>
      </c>
      <c r="AI83" s="109" t="n">
        <f aca="false">INDEX($F83:$AG83,1,MATCH(AI$7,$F$7:$AG$7,1))</f>
        <v>0</v>
      </c>
      <c r="AJ83" s="109" t="n">
        <f aca="false">INDEX($F83:$AG83,1,MATCH(AJ$7,$F$7:$AG$7,1))</f>
        <v>0</v>
      </c>
      <c r="AK83" s="109" t="n">
        <f aca="false">INDEX($F83:$AG83,1,MATCH(AK$7,$F$7:$AG$7,1))</f>
        <v>60</v>
      </c>
      <c r="AL83" s="109" t="n">
        <f aca="false">INDEX($F83:$AG83,1,MATCH(AL$7,$F$7:$AG$7,1))</f>
        <v>240</v>
      </c>
      <c r="AM83" s="109" t="n">
        <f aca="false">INDEX($F83:$AG83,1,MATCH(AM$7,$F$7:$AG$7,1))</f>
        <v>240</v>
      </c>
      <c r="AN83" s="109" t="n">
        <f aca="false">INDEX($F83:$AG83,1,MATCH(AN$7,$F$7:$AG$7,1))</f>
        <v>240</v>
      </c>
      <c r="AO83" s="109" t="n">
        <f aca="false">INDEX($F83:$AG83,1,MATCH(AO$7,$F$7:$AG$7,1))</f>
        <v>240</v>
      </c>
    </row>
    <row r="84" customFormat="false" ht="15" hidden="false" customHeight="false" outlineLevel="0" collapsed="false">
      <c r="A84" s="107" t="s">
        <v>1521</v>
      </c>
      <c r="B84" s="22" t="s">
        <v>664</v>
      </c>
      <c r="C84" s="22" t="s">
        <v>558</v>
      </c>
      <c r="D84" s="22" t="s">
        <v>1478</v>
      </c>
      <c r="F84" s="108" t="n">
        <v>0</v>
      </c>
      <c r="G84" s="108" t="n">
        <v>0</v>
      </c>
      <c r="H84" s="108" t="n">
        <v>0</v>
      </c>
      <c r="I84" s="108" t="n">
        <v>0</v>
      </c>
      <c r="J84" s="108" t="n">
        <v>0</v>
      </c>
      <c r="K84" s="108" t="n">
        <v>0</v>
      </c>
      <c r="L84" s="108" t="n">
        <v>0</v>
      </c>
      <c r="M84" s="108" t="n">
        <v>0</v>
      </c>
      <c r="N84" s="108" t="n">
        <v>0</v>
      </c>
      <c r="O84" s="108" t="n">
        <v>0</v>
      </c>
      <c r="P84" s="108" t="n">
        <v>0</v>
      </c>
      <c r="Q84" s="108" t="n">
        <v>60</v>
      </c>
      <c r="R84" s="108" t="n">
        <v>120</v>
      </c>
      <c r="S84" s="108" t="n">
        <v>180</v>
      </c>
      <c r="T84" s="108" t="n">
        <v>180</v>
      </c>
      <c r="U84" s="108" t="n">
        <v>240</v>
      </c>
      <c r="V84" s="108" t="n">
        <v>240</v>
      </c>
      <c r="W84" s="108" t="n">
        <v>240</v>
      </c>
      <c r="X84" s="108" t="n">
        <v>240</v>
      </c>
      <c r="Y84" s="108" t="n">
        <v>240</v>
      </c>
      <c r="Z84" s="108" t="n">
        <v>240</v>
      </c>
      <c r="AA84" s="108" t="n">
        <v>240</v>
      </c>
      <c r="AB84" s="108" t="n">
        <v>240</v>
      </c>
      <c r="AC84" s="108" t="n">
        <v>240</v>
      </c>
      <c r="AD84" s="108" t="n">
        <v>240</v>
      </c>
      <c r="AE84" s="108" t="n">
        <v>240</v>
      </c>
      <c r="AF84" s="108" t="n">
        <v>240</v>
      </c>
      <c r="AG84" s="108" t="n">
        <v>240</v>
      </c>
      <c r="AI84" s="109" t="n">
        <f aca="false">INDEX($F84:$AG84,1,MATCH(AI$7,$F$7:$AG$7,1))</f>
        <v>0</v>
      </c>
      <c r="AJ84" s="109" t="n">
        <f aca="false">INDEX($F84:$AG84,1,MATCH(AJ$7,$F$7:$AG$7,1))</f>
        <v>0</v>
      </c>
      <c r="AK84" s="109" t="n">
        <f aca="false">INDEX($F84:$AG84,1,MATCH(AK$7,$F$7:$AG$7,1))</f>
        <v>60</v>
      </c>
      <c r="AL84" s="109" t="n">
        <f aca="false">INDEX($F84:$AG84,1,MATCH(AL$7,$F$7:$AG$7,1))</f>
        <v>240</v>
      </c>
      <c r="AM84" s="109" t="n">
        <f aca="false">INDEX($F84:$AG84,1,MATCH(AM$7,$F$7:$AG$7,1))</f>
        <v>240</v>
      </c>
      <c r="AN84" s="109" t="n">
        <f aca="false">INDEX($F84:$AG84,1,MATCH(AN$7,$F$7:$AG$7,1))</f>
        <v>240</v>
      </c>
      <c r="AO84" s="109" t="n">
        <f aca="false">INDEX($F84:$AG84,1,MATCH(AO$7,$F$7:$AG$7,1))</f>
        <v>240</v>
      </c>
    </row>
    <row r="85" customFormat="false" ht="15" hidden="false" customHeight="false" outlineLevel="0" collapsed="false">
      <c r="A85" s="107" t="s">
        <v>1522</v>
      </c>
      <c r="B85" s="22" t="s">
        <v>664</v>
      </c>
      <c r="C85" s="22" t="s">
        <v>540</v>
      </c>
      <c r="D85" s="22" t="s">
        <v>1480</v>
      </c>
      <c r="F85" s="109" t="n">
        <f aca="false">IF(CapV=2,N(F84),N(F83))</f>
        <v>0</v>
      </c>
      <c r="G85" s="109" t="n">
        <f aca="false">IF(CapV=2,N(G84),N(G83))</f>
        <v>0</v>
      </c>
      <c r="H85" s="109" t="n">
        <f aca="false">IF(CapV=2,N(H84),N(H83))</f>
        <v>0</v>
      </c>
      <c r="I85" s="109" t="n">
        <f aca="false">IF(CapV=2,N(I84),N(I83))</f>
        <v>0</v>
      </c>
      <c r="J85" s="109" t="n">
        <f aca="false">IF(CapV=2,N(J84),N(J83))</f>
        <v>0</v>
      </c>
      <c r="K85" s="109" t="n">
        <f aca="false">IF(CapV=2,N(K84),N(K83))</f>
        <v>0</v>
      </c>
      <c r="L85" s="109" t="n">
        <f aca="false">IF(CapV=2,N(L84),N(L83))</f>
        <v>0</v>
      </c>
      <c r="M85" s="109" t="n">
        <f aca="false">IF(CapV=2,N(M84),N(M83))</f>
        <v>0</v>
      </c>
      <c r="N85" s="109" t="n">
        <f aca="false">IF(CapV=2,N(N84),N(N83))</f>
        <v>0</v>
      </c>
      <c r="O85" s="109" t="n">
        <f aca="false">IF(CapV=2,N(O84),N(O83))</f>
        <v>0</v>
      </c>
      <c r="P85" s="109" t="n">
        <f aca="false">IF(CapV=2,N(P84),N(P83))</f>
        <v>0</v>
      </c>
      <c r="Q85" s="109" t="n">
        <f aca="false">IF(CapV=2,N(Q84),N(Q83))</f>
        <v>60</v>
      </c>
      <c r="R85" s="109" t="n">
        <f aca="false">IF(CapV=2,N(R84),N(R83))</f>
        <v>120</v>
      </c>
      <c r="S85" s="109" t="n">
        <f aca="false">IF(CapV=2,N(S84),N(S83))</f>
        <v>180</v>
      </c>
      <c r="T85" s="109" t="n">
        <f aca="false">IF(CapV=2,N(T84),N(T83))</f>
        <v>180</v>
      </c>
      <c r="U85" s="109" t="n">
        <f aca="false">IF(CapV=2,N(U84),N(U83))</f>
        <v>240</v>
      </c>
      <c r="V85" s="109" t="n">
        <f aca="false">IF(CapV=2,N(V84),N(V83))</f>
        <v>240</v>
      </c>
      <c r="W85" s="109" t="n">
        <f aca="false">IF(CapV=2,N(W84),N(W83))</f>
        <v>240</v>
      </c>
      <c r="X85" s="109" t="n">
        <f aca="false">IF(CapV=2,N(X84),N(X83))</f>
        <v>240</v>
      </c>
      <c r="Y85" s="109" t="n">
        <f aca="false">IF(CapV=2,N(Y84),N(Y83))</f>
        <v>240</v>
      </c>
      <c r="Z85" s="109" t="n">
        <f aca="false">IF(CapV=2,N(Z84),N(Z83))</f>
        <v>240</v>
      </c>
      <c r="AA85" s="109" t="n">
        <f aca="false">IF(CapV=2,N(AA84),N(AA83))</f>
        <v>240</v>
      </c>
      <c r="AB85" s="109" t="n">
        <f aca="false">IF(CapV=2,N(AB84),N(AB83))</f>
        <v>240</v>
      </c>
      <c r="AC85" s="109" t="n">
        <f aca="false">IF(CapV=2,N(AC84),N(AC83))</f>
        <v>240</v>
      </c>
      <c r="AD85" s="109" t="n">
        <f aca="false">IF(CapV=2,N(AD84),N(AD83))</f>
        <v>240</v>
      </c>
      <c r="AE85" s="109" t="n">
        <f aca="false">IF(CapV=2,N(AE84),N(AE83))</f>
        <v>240</v>
      </c>
      <c r="AF85" s="109" t="n">
        <f aca="false">IF(CapV=2,N(AF84),N(AF83))</f>
        <v>240</v>
      </c>
      <c r="AG85" s="109" t="n">
        <f aca="false">IF(CapV=2,N(AG84),N(AG83))</f>
        <v>240</v>
      </c>
      <c r="AI85" s="109" t="n">
        <f aca="false">INDEX($F85:$AG85,1,MATCH(AI$7,$F$7:$AG$7,1))</f>
        <v>0</v>
      </c>
      <c r="AJ85" s="109" t="n">
        <f aca="false">INDEX($F85:$AG85,1,MATCH(AJ$7,$F$7:$AG$7,1))</f>
        <v>0</v>
      </c>
      <c r="AK85" s="109" t="n">
        <f aca="false">INDEX($F85:$AG85,1,MATCH(AK$7,$F$7:$AG$7,1))</f>
        <v>60</v>
      </c>
      <c r="AL85" s="109" t="n">
        <f aca="false">INDEX($F85:$AG85,1,MATCH(AL$7,$F$7:$AG$7,1))</f>
        <v>240</v>
      </c>
      <c r="AM85" s="109" t="n">
        <f aca="false">INDEX($F85:$AG85,1,MATCH(AM$7,$F$7:$AG$7,1))</f>
        <v>240</v>
      </c>
      <c r="AN85" s="109" t="n">
        <f aca="false">INDEX($F85:$AG85,1,MATCH(AN$7,$F$7:$AG$7,1))</f>
        <v>240</v>
      </c>
      <c r="AO85" s="109" t="n">
        <f aca="false">INDEX($F85:$AG85,1,MATCH(AO$7,$F$7:$AG$7,1))</f>
        <v>240</v>
      </c>
    </row>
    <row r="86" customFormat="false" ht="15" hidden="false" customHeight="false" outlineLevel="0" collapsed="false">
      <c r="A86" s="107" t="s">
        <v>1523</v>
      </c>
      <c r="B86" s="22" t="s">
        <v>664</v>
      </c>
      <c r="C86" s="22" t="s">
        <v>558</v>
      </c>
      <c r="D86" s="22" t="s">
        <v>1476</v>
      </c>
      <c r="F86" s="108" t="n">
        <v>0</v>
      </c>
      <c r="G86" s="108" t="n">
        <v>0</v>
      </c>
      <c r="H86" s="108" t="n">
        <v>0</v>
      </c>
      <c r="I86" s="108" t="n">
        <v>0</v>
      </c>
      <c r="J86" s="108" t="n">
        <v>0</v>
      </c>
      <c r="K86" s="108" t="n">
        <v>0</v>
      </c>
      <c r="L86" s="108" t="n">
        <v>0</v>
      </c>
      <c r="M86" s="108" t="n">
        <v>0</v>
      </c>
      <c r="N86" s="108" t="n">
        <v>0</v>
      </c>
      <c r="O86" s="108" t="n">
        <v>0</v>
      </c>
      <c r="P86" s="108" t="n">
        <v>0</v>
      </c>
      <c r="Q86" s="108" t="n">
        <v>0</v>
      </c>
      <c r="R86" s="108" t="n">
        <v>0</v>
      </c>
      <c r="S86" s="108" t="n">
        <v>0</v>
      </c>
      <c r="T86" s="108" t="n">
        <v>0</v>
      </c>
      <c r="U86" s="108" t="n">
        <v>35</v>
      </c>
      <c r="V86" s="108" t="n">
        <v>35</v>
      </c>
      <c r="W86" s="108" t="n">
        <v>70</v>
      </c>
      <c r="X86" s="108" t="n">
        <v>70</v>
      </c>
      <c r="Y86" s="108" t="n">
        <v>140</v>
      </c>
      <c r="Z86" s="108" t="n">
        <v>140</v>
      </c>
      <c r="AA86" s="108" t="n">
        <v>140</v>
      </c>
      <c r="AB86" s="108" t="n">
        <v>140</v>
      </c>
      <c r="AC86" s="108" t="n">
        <v>220</v>
      </c>
      <c r="AD86" s="108" t="n">
        <v>220</v>
      </c>
      <c r="AE86" s="108" t="n">
        <v>220</v>
      </c>
      <c r="AF86" s="108" t="n">
        <v>220</v>
      </c>
      <c r="AG86" s="108" t="n">
        <v>310</v>
      </c>
      <c r="AI86" s="109" t="n">
        <f aca="false">INDEX($F86:$AG86,1,MATCH(AI$7,$F$7:$AG$7,1))</f>
        <v>0</v>
      </c>
      <c r="AJ86" s="109" t="n">
        <f aca="false">INDEX($F86:$AG86,1,MATCH(AJ$7,$F$7:$AG$7,1))</f>
        <v>0</v>
      </c>
      <c r="AK86" s="109" t="n">
        <f aca="false">INDEX($F86:$AG86,1,MATCH(AK$7,$F$7:$AG$7,1))</f>
        <v>0</v>
      </c>
      <c r="AL86" s="109" t="n">
        <f aca="false">INDEX($F86:$AG86,1,MATCH(AL$7,$F$7:$AG$7,1))</f>
        <v>35</v>
      </c>
      <c r="AM86" s="109" t="n">
        <f aca="false">INDEX($F86:$AG86,1,MATCH(AM$7,$F$7:$AG$7,1))</f>
        <v>140</v>
      </c>
      <c r="AN86" s="109" t="n">
        <f aca="false">INDEX($F86:$AG86,1,MATCH(AN$7,$F$7:$AG$7,1))</f>
        <v>220</v>
      </c>
      <c r="AO86" s="109" t="n">
        <f aca="false">INDEX($F86:$AG86,1,MATCH(AO$7,$F$7:$AG$7,1))</f>
        <v>310</v>
      </c>
    </row>
    <row r="87" customFormat="false" ht="15" hidden="false" customHeight="false" outlineLevel="0" collapsed="false">
      <c r="A87" s="107" t="s">
        <v>1524</v>
      </c>
      <c r="B87" s="22" t="s">
        <v>664</v>
      </c>
      <c r="C87" s="22" t="s">
        <v>558</v>
      </c>
      <c r="D87" s="22" t="s">
        <v>1478</v>
      </c>
      <c r="F87" s="108" t="n">
        <v>0</v>
      </c>
      <c r="G87" s="108" t="n">
        <v>0</v>
      </c>
      <c r="H87" s="108" t="n">
        <v>0</v>
      </c>
      <c r="I87" s="108" t="n">
        <v>0</v>
      </c>
      <c r="J87" s="108" t="n">
        <v>0</v>
      </c>
      <c r="K87" s="108" t="n">
        <v>0</v>
      </c>
      <c r="L87" s="108" t="n">
        <v>0</v>
      </c>
      <c r="M87" s="108" t="n">
        <v>0</v>
      </c>
      <c r="N87" s="108" t="n">
        <v>0</v>
      </c>
      <c r="O87" s="108" t="n">
        <v>0</v>
      </c>
      <c r="P87" s="108" t="n">
        <v>0</v>
      </c>
      <c r="Q87" s="108" t="n">
        <v>0</v>
      </c>
      <c r="R87" s="108" t="n">
        <v>0</v>
      </c>
      <c r="S87" s="108" t="n">
        <v>0</v>
      </c>
      <c r="T87" s="108" t="n">
        <v>0</v>
      </c>
      <c r="U87" s="108" t="n">
        <v>35</v>
      </c>
      <c r="V87" s="108" t="n">
        <v>35</v>
      </c>
      <c r="W87" s="108" t="n">
        <v>70</v>
      </c>
      <c r="X87" s="108" t="n">
        <v>70</v>
      </c>
      <c r="Y87" s="108" t="n">
        <v>140</v>
      </c>
      <c r="Z87" s="108" t="n">
        <v>140</v>
      </c>
      <c r="AA87" s="108" t="n">
        <v>140</v>
      </c>
      <c r="AB87" s="108" t="n">
        <v>140</v>
      </c>
      <c r="AC87" s="108" t="n">
        <v>220</v>
      </c>
      <c r="AD87" s="108" t="n">
        <v>220</v>
      </c>
      <c r="AE87" s="108" t="n">
        <v>220</v>
      </c>
      <c r="AF87" s="108" t="n">
        <v>220</v>
      </c>
      <c r="AG87" s="108" t="n">
        <v>310</v>
      </c>
      <c r="AI87" s="109" t="n">
        <f aca="false">INDEX($F87:$AG87,1,MATCH(AI$7,$F$7:$AG$7,1))</f>
        <v>0</v>
      </c>
      <c r="AJ87" s="109" t="n">
        <f aca="false">INDEX($F87:$AG87,1,MATCH(AJ$7,$F$7:$AG$7,1))</f>
        <v>0</v>
      </c>
      <c r="AK87" s="109" t="n">
        <f aca="false">INDEX($F87:$AG87,1,MATCH(AK$7,$F$7:$AG$7,1))</f>
        <v>0</v>
      </c>
      <c r="AL87" s="109" t="n">
        <f aca="false">INDEX($F87:$AG87,1,MATCH(AL$7,$F$7:$AG$7,1))</f>
        <v>35</v>
      </c>
      <c r="AM87" s="109" t="n">
        <f aca="false">INDEX($F87:$AG87,1,MATCH(AM$7,$F$7:$AG$7,1))</f>
        <v>140</v>
      </c>
      <c r="AN87" s="109" t="n">
        <f aca="false">INDEX($F87:$AG87,1,MATCH(AN$7,$F$7:$AG$7,1))</f>
        <v>220</v>
      </c>
      <c r="AO87" s="109" t="n">
        <f aca="false">INDEX($F87:$AG87,1,MATCH(AO$7,$F$7:$AG$7,1))</f>
        <v>310</v>
      </c>
    </row>
    <row r="88" customFormat="false" ht="15" hidden="false" customHeight="false" outlineLevel="0" collapsed="false">
      <c r="A88" s="107" t="s">
        <v>1525</v>
      </c>
      <c r="B88" s="22" t="s">
        <v>664</v>
      </c>
      <c r="C88" s="22" t="s">
        <v>540</v>
      </c>
      <c r="D88" s="22" t="s">
        <v>1480</v>
      </c>
      <c r="F88" s="109" t="n">
        <f aca="false">IF(CapV=2,N(F87),N(F86))</f>
        <v>0</v>
      </c>
      <c r="G88" s="109" t="n">
        <f aca="false">IF(CapV=2,N(G87),N(G86))</f>
        <v>0</v>
      </c>
      <c r="H88" s="109" t="n">
        <f aca="false">IF(CapV=2,N(H87),N(H86))</f>
        <v>0</v>
      </c>
      <c r="I88" s="109" t="n">
        <f aca="false">IF(CapV=2,N(I87),N(I86))</f>
        <v>0</v>
      </c>
      <c r="J88" s="109" t="n">
        <f aca="false">IF(CapV=2,N(J87),N(J86))</f>
        <v>0</v>
      </c>
      <c r="K88" s="109" t="n">
        <f aca="false">IF(CapV=2,N(K87),N(K86))</f>
        <v>0</v>
      </c>
      <c r="L88" s="109" t="n">
        <f aca="false">IF(CapV=2,N(L87),N(L86))</f>
        <v>0</v>
      </c>
      <c r="M88" s="109" t="n">
        <f aca="false">IF(CapV=2,N(M87),N(M86))</f>
        <v>0</v>
      </c>
      <c r="N88" s="109" t="n">
        <f aca="false">IF(CapV=2,N(N87),N(N86))</f>
        <v>0</v>
      </c>
      <c r="O88" s="109" t="n">
        <f aca="false">IF(CapV=2,N(O87),N(O86))</f>
        <v>0</v>
      </c>
      <c r="P88" s="109" t="n">
        <f aca="false">IF(CapV=2,N(P87),N(P86))</f>
        <v>0</v>
      </c>
      <c r="Q88" s="109" t="n">
        <f aca="false">IF(CapV=2,N(Q87),N(Q86))</f>
        <v>0</v>
      </c>
      <c r="R88" s="109" t="n">
        <f aca="false">IF(CapV=2,N(R87),N(R86))</f>
        <v>0</v>
      </c>
      <c r="S88" s="109" t="n">
        <f aca="false">IF(CapV=2,N(S87),N(S86))</f>
        <v>0</v>
      </c>
      <c r="T88" s="109" t="n">
        <f aca="false">IF(CapV=2,N(T87),N(T86))</f>
        <v>0</v>
      </c>
      <c r="U88" s="109" t="n">
        <f aca="false">IF(CapV=2,N(U87),N(U86))</f>
        <v>35</v>
      </c>
      <c r="V88" s="109" t="n">
        <f aca="false">IF(CapV=2,N(V87),N(V86))</f>
        <v>35</v>
      </c>
      <c r="W88" s="109" t="n">
        <f aca="false">IF(CapV=2,N(W87),N(W86))</f>
        <v>70</v>
      </c>
      <c r="X88" s="109" t="n">
        <f aca="false">IF(CapV=2,N(X87),N(X86))</f>
        <v>70</v>
      </c>
      <c r="Y88" s="109" t="n">
        <f aca="false">IF(CapV=2,N(Y87),N(Y86))</f>
        <v>140</v>
      </c>
      <c r="Z88" s="109" t="n">
        <f aca="false">IF(CapV=2,N(Z87),N(Z86))</f>
        <v>140</v>
      </c>
      <c r="AA88" s="109" t="n">
        <f aca="false">IF(CapV=2,N(AA87),N(AA86))</f>
        <v>140</v>
      </c>
      <c r="AB88" s="109" t="n">
        <f aca="false">IF(CapV=2,N(AB87),N(AB86))</f>
        <v>140</v>
      </c>
      <c r="AC88" s="109" t="n">
        <f aca="false">IF(CapV=2,N(AC87),N(AC86))</f>
        <v>220</v>
      </c>
      <c r="AD88" s="109" t="n">
        <f aca="false">IF(CapV=2,N(AD87),N(AD86))</f>
        <v>220</v>
      </c>
      <c r="AE88" s="109" t="n">
        <f aca="false">IF(CapV=2,N(AE87),N(AE86))</f>
        <v>220</v>
      </c>
      <c r="AF88" s="109" t="n">
        <f aca="false">IF(CapV=2,N(AF87),N(AF86))</f>
        <v>220</v>
      </c>
      <c r="AG88" s="109" t="n">
        <f aca="false">IF(CapV=2,N(AG87),N(AG86))</f>
        <v>310</v>
      </c>
      <c r="AI88" s="109" t="n">
        <f aca="false">INDEX($F88:$AG88,1,MATCH(AI$7,$F$7:$AG$7,1))</f>
        <v>0</v>
      </c>
      <c r="AJ88" s="109" t="n">
        <f aca="false">INDEX($F88:$AG88,1,MATCH(AJ$7,$F$7:$AG$7,1))</f>
        <v>0</v>
      </c>
      <c r="AK88" s="109" t="n">
        <f aca="false">INDEX($F88:$AG88,1,MATCH(AK$7,$F$7:$AG$7,1))</f>
        <v>0</v>
      </c>
      <c r="AL88" s="109" t="n">
        <f aca="false">INDEX($F88:$AG88,1,MATCH(AL$7,$F$7:$AG$7,1))</f>
        <v>35</v>
      </c>
      <c r="AM88" s="109" t="n">
        <f aca="false">INDEX($F88:$AG88,1,MATCH(AM$7,$F$7:$AG$7,1))</f>
        <v>140</v>
      </c>
      <c r="AN88" s="109" t="n">
        <f aca="false">INDEX($F88:$AG88,1,MATCH(AN$7,$F$7:$AG$7,1))</f>
        <v>220</v>
      </c>
      <c r="AO88" s="109" t="n">
        <f aca="false">INDEX($F88:$AG88,1,MATCH(AO$7,$F$7:$AG$7,1))</f>
        <v>310</v>
      </c>
    </row>
    <row r="89" customFormat="false" ht="15" hidden="false" customHeight="false" outlineLevel="0" collapsed="false">
      <c r="A89" s="107" t="s">
        <v>1526</v>
      </c>
      <c r="B89" s="22" t="s">
        <v>664</v>
      </c>
      <c r="C89" s="22" t="s">
        <v>558</v>
      </c>
      <c r="D89" s="22" t="s">
        <v>1476</v>
      </c>
      <c r="F89" s="108" t="n">
        <v>0</v>
      </c>
      <c r="G89" s="108" t="n">
        <v>0</v>
      </c>
      <c r="H89" s="108" t="n">
        <v>0</v>
      </c>
      <c r="I89" s="108" t="n">
        <v>0</v>
      </c>
      <c r="J89" s="108" t="n">
        <v>0</v>
      </c>
      <c r="K89" s="108" t="n">
        <v>0</v>
      </c>
      <c r="L89" s="108" t="n">
        <v>0</v>
      </c>
      <c r="M89" s="108" t="n">
        <v>0</v>
      </c>
      <c r="N89" s="108" t="n">
        <v>0</v>
      </c>
      <c r="O89" s="108" t="n">
        <v>0</v>
      </c>
      <c r="P89" s="108" t="n">
        <v>0</v>
      </c>
      <c r="Q89" s="108" t="n">
        <v>0</v>
      </c>
      <c r="R89" s="108" t="n">
        <v>0</v>
      </c>
      <c r="S89" s="108" t="n">
        <v>17.5</v>
      </c>
      <c r="T89" s="108" t="n">
        <v>35</v>
      </c>
      <c r="U89" s="108" t="n">
        <v>52.5</v>
      </c>
      <c r="V89" s="108" t="n">
        <v>52.5</v>
      </c>
      <c r="W89" s="108" t="n">
        <v>105</v>
      </c>
      <c r="X89" s="108" t="n">
        <v>105</v>
      </c>
      <c r="Y89" s="108" t="n">
        <v>170</v>
      </c>
      <c r="Z89" s="108" t="n">
        <v>170</v>
      </c>
      <c r="AA89" s="108" t="n">
        <v>170</v>
      </c>
      <c r="AB89" s="108" t="n">
        <v>170</v>
      </c>
      <c r="AC89" s="108" t="n">
        <v>265</v>
      </c>
      <c r="AD89" s="108" t="n">
        <v>265</v>
      </c>
      <c r="AE89" s="108" t="n">
        <v>265</v>
      </c>
      <c r="AF89" s="108" t="n">
        <v>265</v>
      </c>
      <c r="AG89" s="108" t="n">
        <v>310</v>
      </c>
      <c r="AI89" s="109" t="n">
        <f aca="false">INDEX($F89:$AG89,1,MATCH(AI$7,$F$7:$AG$7,1))</f>
        <v>0</v>
      </c>
      <c r="AJ89" s="109" t="n">
        <f aca="false">INDEX($F89:$AG89,1,MATCH(AJ$7,$F$7:$AG$7,1))</f>
        <v>0</v>
      </c>
      <c r="AK89" s="109" t="n">
        <f aca="false">INDEX($F89:$AG89,1,MATCH(AK$7,$F$7:$AG$7,1))</f>
        <v>0</v>
      </c>
      <c r="AL89" s="109" t="n">
        <f aca="false">INDEX($F89:$AG89,1,MATCH(AL$7,$F$7:$AG$7,1))</f>
        <v>52.5</v>
      </c>
      <c r="AM89" s="109" t="n">
        <f aca="false">INDEX($F89:$AG89,1,MATCH(AM$7,$F$7:$AG$7,1))</f>
        <v>170</v>
      </c>
      <c r="AN89" s="109" t="n">
        <f aca="false">INDEX($F89:$AG89,1,MATCH(AN$7,$F$7:$AG$7,1))</f>
        <v>265</v>
      </c>
      <c r="AO89" s="109" t="n">
        <f aca="false">INDEX($F89:$AG89,1,MATCH(AO$7,$F$7:$AG$7,1))</f>
        <v>310</v>
      </c>
    </row>
    <row r="90" customFormat="false" ht="15" hidden="false" customHeight="false" outlineLevel="0" collapsed="false">
      <c r="A90" s="107" t="s">
        <v>1527</v>
      </c>
      <c r="B90" s="22" t="s">
        <v>664</v>
      </c>
      <c r="C90" s="22" t="s">
        <v>558</v>
      </c>
      <c r="D90" s="22" t="s">
        <v>1478</v>
      </c>
      <c r="F90" s="108" t="n">
        <v>0</v>
      </c>
      <c r="G90" s="108" t="n">
        <v>0</v>
      </c>
      <c r="H90" s="108" t="n">
        <v>0</v>
      </c>
      <c r="I90" s="108" t="n">
        <v>0</v>
      </c>
      <c r="J90" s="108" t="n">
        <v>0</v>
      </c>
      <c r="K90" s="108" t="n">
        <v>0</v>
      </c>
      <c r="L90" s="108" t="n">
        <v>0</v>
      </c>
      <c r="M90" s="108" t="n">
        <v>0</v>
      </c>
      <c r="N90" s="108" t="n">
        <v>0</v>
      </c>
      <c r="O90" s="108" t="n">
        <v>0</v>
      </c>
      <c r="P90" s="108" t="n">
        <v>0</v>
      </c>
      <c r="Q90" s="108" t="n">
        <v>0</v>
      </c>
      <c r="R90" s="108" t="n">
        <v>0</v>
      </c>
      <c r="S90" s="108" t="n">
        <v>17.5</v>
      </c>
      <c r="T90" s="108" t="n">
        <v>35</v>
      </c>
      <c r="U90" s="108" t="n">
        <v>52.5</v>
      </c>
      <c r="V90" s="108" t="n">
        <v>52.5</v>
      </c>
      <c r="W90" s="108" t="n">
        <v>105</v>
      </c>
      <c r="X90" s="108" t="n">
        <v>105</v>
      </c>
      <c r="Y90" s="108" t="n">
        <v>170</v>
      </c>
      <c r="Z90" s="108" t="n">
        <v>170</v>
      </c>
      <c r="AA90" s="108" t="n">
        <v>170</v>
      </c>
      <c r="AB90" s="108" t="n">
        <v>170</v>
      </c>
      <c r="AC90" s="108" t="n">
        <v>265</v>
      </c>
      <c r="AD90" s="108" t="n">
        <v>265</v>
      </c>
      <c r="AE90" s="108" t="n">
        <v>265</v>
      </c>
      <c r="AF90" s="108" t="n">
        <v>265</v>
      </c>
      <c r="AG90" s="108" t="n">
        <v>310</v>
      </c>
      <c r="AI90" s="109" t="n">
        <f aca="false">INDEX($F90:$AG90,1,MATCH(AI$7,$F$7:$AG$7,1))</f>
        <v>0</v>
      </c>
      <c r="AJ90" s="109" t="n">
        <f aca="false">INDEX($F90:$AG90,1,MATCH(AJ$7,$F$7:$AG$7,1))</f>
        <v>0</v>
      </c>
      <c r="AK90" s="109" t="n">
        <f aca="false">INDEX($F90:$AG90,1,MATCH(AK$7,$F$7:$AG$7,1))</f>
        <v>0</v>
      </c>
      <c r="AL90" s="109" t="n">
        <f aca="false">INDEX($F90:$AG90,1,MATCH(AL$7,$F$7:$AG$7,1))</f>
        <v>52.5</v>
      </c>
      <c r="AM90" s="109" t="n">
        <f aca="false">INDEX($F90:$AG90,1,MATCH(AM$7,$F$7:$AG$7,1))</f>
        <v>170</v>
      </c>
      <c r="AN90" s="109" t="n">
        <f aca="false">INDEX($F90:$AG90,1,MATCH(AN$7,$F$7:$AG$7,1))</f>
        <v>265</v>
      </c>
      <c r="AO90" s="109" t="n">
        <f aca="false">INDEX($F90:$AG90,1,MATCH(AO$7,$F$7:$AG$7,1))</f>
        <v>310</v>
      </c>
    </row>
    <row r="91" customFormat="false" ht="15" hidden="false" customHeight="false" outlineLevel="0" collapsed="false">
      <c r="A91" s="107" t="s">
        <v>1528</v>
      </c>
      <c r="B91" s="22" t="s">
        <v>664</v>
      </c>
      <c r="C91" s="22" t="s">
        <v>540</v>
      </c>
      <c r="D91" s="22" t="s">
        <v>1480</v>
      </c>
      <c r="F91" s="109" t="n">
        <f aca="false">IF(CapV=2,N(F90),N(F89))</f>
        <v>0</v>
      </c>
      <c r="G91" s="109" t="n">
        <f aca="false">IF(CapV=2,N(G90),N(G89))</f>
        <v>0</v>
      </c>
      <c r="H91" s="109" t="n">
        <f aca="false">IF(CapV=2,N(H90),N(H89))</f>
        <v>0</v>
      </c>
      <c r="I91" s="109" t="n">
        <f aca="false">IF(CapV=2,N(I90),N(I89))</f>
        <v>0</v>
      </c>
      <c r="J91" s="109" t="n">
        <f aca="false">IF(CapV=2,N(J90),N(J89))</f>
        <v>0</v>
      </c>
      <c r="K91" s="109" t="n">
        <f aca="false">IF(CapV=2,N(K90),N(K89))</f>
        <v>0</v>
      </c>
      <c r="L91" s="109" t="n">
        <f aca="false">IF(CapV=2,N(L90),N(L89))</f>
        <v>0</v>
      </c>
      <c r="M91" s="109" t="n">
        <f aca="false">IF(CapV=2,N(M90),N(M89))</f>
        <v>0</v>
      </c>
      <c r="N91" s="109" t="n">
        <f aca="false">IF(CapV=2,N(N90),N(N89))</f>
        <v>0</v>
      </c>
      <c r="O91" s="109" t="n">
        <f aca="false">IF(CapV=2,N(O90),N(O89))</f>
        <v>0</v>
      </c>
      <c r="P91" s="109" t="n">
        <f aca="false">IF(CapV=2,N(P90),N(P89))</f>
        <v>0</v>
      </c>
      <c r="Q91" s="109" t="n">
        <f aca="false">IF(CapV=2,N(Q90),N(Q89))</f>
        <v>0</v>
      </c>
      <c r="R91" s="109" t="n">
        <f aca="false">IF(CapV=2,N(R90),N(R89))</f>
        <v>0</v>
      </c>
      <c r="S91" s="109" t="n">
        <f aca="false">IF(CapV=2,N(S90),N(S89))</f>
        <v>17.5</v>
      </c>
      <c r="T91" s="109" t="n">
        <f aca="false">IF(CapV=2,N(T90),N(T89))</f>
        <v>35</v>
      </c>
      <c r="U91" s="109" t="n">
        <f aca="false">IF(CapV=2,N(U90),N(U89))</f>
        <v>52.5</v>
      </c>
      <c r="V91" s="109" t="n">
        <f aca="false">IF(CapV=2,N(V90),N(V89))</f>
        <v>52.5</v>
      </c>
      <c r="W91" s="109" t="n">
        <f aca="false">IF(CapV=2,N(W90),N(W89))</f>
        <v>105</v>
      </c>
      <c r="X91" s="109" t="n">
        <f aca="false">IF(CapV=2,N(X90),N(X89))</f>
        <v>105</v>
      </c>
      <c r="Y91" s="109" t="n">
        <f aca="false">IF(CapV=2,N(Y90),N(Y89))</f>
        <v>170</v>
      </c>
      <c r="Z91" s="109" t="n">
        <f aca="false">IF(CapV=2,N(Z90),N(Z89))</f>
        <v>170</v>
      </c>
      <c r="AA91" s="109" t="n">
        <f aca="false">IF(CapV=2,N(AA90),N(AA89))</f>
        <v>170</v>
      </c>
      <c r="AB91" s="109" t="n">
        <f aca="false">IF(CapV=2,N(AB90),N(AB89))</f>
        <v>170</v>
      </c>
      <c r="AC91" s="109" t="n">
        <f aca="false">IF(CapV=2,N(AC90),N(AC89))</f>
        <v>265</v>
      </c>
      <c r="AD91" s="109" t="n">
        <f aca="false">IF(CapV=2,N(AD90),N(AD89))</f>
        <v>265</v>
      </c>
      <c r="AE91" s="109" t="n">
        <f aca="false">IF(CapV=2,N(AE90),N(AE89))</f>
        <v>265</v>
      </c>
      <c r="AF91" s="109" t="n">
        <f aca="false">IF(CapV=2,N(AF90),N(AF89))</f>
        <v>265</v>
      </c>
      <c r="AG91" s="109" t="n">
        <f aca="false">IF(CapV=2,N(AG90),N(AG89))</f>
        <v>310</v>
      </c>
      <c r="AI91" s="109" t="n">
        <f aca="false">INDEX($F91:$AG91,1,MATCH(AI$7,$F$7:$AG$7,1))</f>
        <v>0</v>
      </c>
      <c r="AJ91" s="109" t="n">
        <f aca="false">INDEX($F91:$AG91,1,MATCH(AJ$7,$F$7:$AG$7,1))</f>
        <v>0</v>
      </c>
      <c r="AK91" s="109" t="n">
        <f aca="false">INDEX($F91:$AG91,1,MATCH(AK$7,$F$7:$AG$7,1))</f>
        <v>0</v>
      </c>
      <c r="AL91" s="109" t="n">
        <f aca="false">INDEX($F91:$AG91,1,MATCH(AL$7,$F$7:$AG$7,1))</f>
        <v>52.5</v>
      </c>
      <c r="AM91" s="109" t="n">
        <f aca="false">INDEX($F91:$AG91,1,MATCH(AM$7,$F$7:$AG$7,1))</f>
        <v>170</v>
      </c>
      <c r="AN91" s="109" t="n">
        <f aca="false">INDEX($F91:$AG91,1,MATCH(AN$7,$F$7:$AG$7,1))</f>
        <v>265</v>
      </c>
      <c r="AO91" s="109" t="n">
        <f aca="false">INDEX($F91:$AG91,1,MATCH(AO$7,$F$7:$AG$7,1))</f>
        <v>310</v>
      </c>
    </row>
    <row r="92" customFormat="false" ht="15" hidden="false" customHeight="false" outlineLevel="0" collapsed="false">
      <c r="A92" s="107" t="s">
        <v>1529</v>
      </c>
      <c r="B92" s="22" t="s">
        <v>664</v>
      </c>
      <c r="C92" s="22" t="s">
        <v>558</v>
      </c>
      <c r="D92" s="22" t="s">
        <v>1476</v>
      </c>
      <c r="F92" s="108" t="n">
        <v>0</v>
      </c>
      <c r="G92" s="108" t="n">
        <v>0</v>
      </c>
      <c r="H92" s="108" t="n">
        <v>0</v>
      </c>
      <c r="I92" s="108" t="n">
        <v>0</v>
      </c>
      <c r="J92" s="108" t="n">
        <v>0</v>
      </c>
      <c r="K92" s="108" t="n">
        <v>0</v>
      </c>
      <c r="L92" s="108" t="n">
        <v>0</v>
      </c>
      <c r="M92" s="108" t="n">
        <v>0</v>
      </c>
      <c r="N92" s="108" t="n">
        <v>0</v>
      </c>
      <c r="O92" s="108" t="n">
        <v>0</v>
      </c>
      <c r="P92" s="108" t="n">
        <v>0</v>
      </c>
      <c r="Q92" s="108" t="n">
        <v>0</v>
      </c>
      <c r="R92" s="108" t="n">
        <v>0</v>
      </c>
      <c r="S92" s="108" t="n">
        <v>35</v>
      </c>
      <c r="T92" s="108" t="n">
        <v>70</v>
      </c>
      <c r="U92" s="108" t="n">
        <v>70</v>
      </c>
      <c r="V92" s="108" t="n">
        <v>70</v>
      </c>
      <c r="W92" s="108" t="n">
        <v>140</v>
      </c>
      <c r="X92" s="108" t="n">
        <v>140</v>
      </c>
      <c r="Y92" s="108" t="n">
        <v>200</v>
      </c>
      <c r="Z92" s="108" t="n">
        <v>200</v>
      </c>
      <c r="AA92" s="108" t="n">
        <v>200</v>
      </c>
      <c r="AB92" s="108" t="n">
        <v>200</v>
      </c>
      <c r="AC92" s="108" t="n">
        <v>310</v>
      </c>
      <c r="AD92" s="108" t="n">
        <v>310</v>
      </c>
      <c r="AE92" s="108" t="n">
        <v>310</v>
      </c>
      <c r="AF92" s="108" t="n">
        <v>310</v>
      </c>
      <c r="AG92" s="108" t="n">
        <v>310</v>
      </c>
      <c r="AI92" s="109" t="n">
        <f aca="false">INDEX($F92:$AG92,1,MATCH(AI$7,$F$7:$AG$7,1))</f>
        <v>0</v>
      </c>
      <c r="AJ92" s="109" t="n">
        <f aca="false">INDEX($F92:$AG92,1,MATCH(AJ$7,$F$7:$AG$7,1))</f>
        <v>0</v>
      </c>
      <c r="AK92" s="109" t="n">
        <f aca="false">INDEX($F92:$AG92,1,MATCH(AK$7,$F$7:$AG$7,1))</f>
        <v>0</v>
      </c>
      <c r="AL92" s="109" t="n">
        <f aca="false">INDEX($F92:$AG92,1,MATCH(AL$7,$F$7:$AG$7,1))</f>
        <v>70</v>
      </c>
      <c r="AM92" s="109" t="n">
        <f aca="false">INDEX($F92:$AG92,1,MATCH(AM$7,$F$7:$AG$7,1))</f>
        <v>200</v>
      </c>
      <c r="AN92" s="109" t="n">
        <f aca="false">INDEX($F92:$AG92,1,MATCH(AN$7,$F$7:$AG$7,1))</f>
        <v>310</v>
      </c>
      <c r="AO92" s="109" t="n">
        <f aca="false">INDEX($F92:$AG92,1,MATCH(AO$7,$F$7:$AG$7,1))</f>
        <v>310</v>
      </c>
    </row>
    <row r="93" customFormat="false" ht="15" hidden="false" customHeight="false" outlineLevel="0" collapsed="false">
      <c r="A93" s="107" t="s">
        <v>1530</v>
      </c>
      <c r="B93" s="22" t="s">
        <v>664</v>
      </c>
      <c r="C93" s="22" t="s">
        <v>558</v>
      </c>
      <c r="D93" s="22" t="s">
        <v>1478</v>
      </c>
      <c r="F93" s="108" t="n">
        <v>0</v>
      </c>
      <c r="G93" s="108" t="n">
        <v>0</v>
      </c>
      <c r="H93" s="108" t="n">
        <v>0</v>
      </c>
      <c r="I93" s="108" t="n">
        <v>0</v>
      </c>
      <c r="J93" s="108" t="n">
        <v>0</v>
      </c>
      <c r="K93" s="108" t="n">
        <v>0</v>
      </c>
      <c r="L93" s="108" t="n">
        <v>0</v>
      </c>
      <c r="M93" s="108" t="n">
        <v>0</v>
      </c>
      <c r="N93" s="108" t="n">
        <v>0</v>
      </c>
      <c r="O93" s="108" t="n">
        <v>0</v>
      </c>
      <c r="P93" s="108" t="n">
        <v>0</v>
      </c>
      <c r="Q93" s="108" t="n">
        <v>0</v>
      </c>
      <c r="R93" s="108" t="n">
        <v>0</v>
      </c>
      <c r="S93" s="108" t="n">
        <v>35</v>
      </c>
      <c r="T93" s="108" t="n">
        <v>70</v>
      </c>
      <c r="U93" s="108" t="n">
        <v>70</v>
      </c>
      <c r="V93" s="108" t="n">
        <v>70</v>
      </c>
      <c r="W93" s="108" t="n">
        <v>140</v>
      </c>
      <c r="X93" s="108" t="n">
        <v>140</v>
      </c>
      <c r="Y93" s="108" t="n">
        <v>200</v>
      </c>
      <c r="Z93" s="108" t="n">
        <v>200</v>
      </c>
      <c r="AA93" s="108" t="n">
        <v>200</v>
      </c>
      <c r="AB93" s="108" t="n">
        <v>200</v>
      </c>
      <c r="AC93" s="108" t="n">
        <v>310</v>
      </c>
      <c r="AD93" s="108" t="n">
        <v>310</v>
      </c>
      <c r="AE93" s="108" t="n">
        <v>310</v>
      </c>
      <c r="AF93" s="108" t="n">
        <v>310</v>
      </c>
      <c r="AG93" s="108" t="n">
        <v>310</v>
      </c>
      <c r="AI93" s="109" t="n">
        <f aca="false">INDEX($F93:$AG93,1,MATCH(AI$7,$F$7:$AG$7,1))</f>
        <v>0</v>
      </c>
      <c r="AJ93" s="109" t="n">
        <f aca="false">INDEX($F93:$AG93,1,MATCH(AJ$7,$F$7:$AG$7,1))</f>
        <v>0</v>
      </c>
      <c r="AK93" s="109" t="n">
        <f aca="false">INDEX($F93:$AG93,1,MATCH(AK$7,$F$7:$AG$7,1))</f>
        <v>0</v>
      </c>
      <c r="AL93" s="109" t="n">
        <f aca="false">INDEX($F93:$AG93,1,MATCH(AL$7,$F$7:$AG$7,1))</f>
        <v>70</v>
      </c>
      <c r="AM93" s="109" t="n">
        <f aca="false">INDEX($F93:$AG93,1,MATCH(AM$7,$F$7:$AG$7,1))</f>
        <v>200</v>
      </c>
      <c r="AN93" s="109" t="n">
        <f aca="false">INDEX($F93:$AG93,1,MATCH(AN$7,$F$7:$AG$7,1))</f>
        <v>310</v>
      </c>
      <c r="AO93" s="109" t="n">
        <f aca="false">INDEX($F93:$AG93,1,MATCH(AO$7,$F$7:$AG$7,1))</f>
        <v>310</v>
      </c>
    </row>
    <row r="94" customFormat="false" ht="15" hidden="false" customHeight="false" outlineLevel="0" collapsed="false">
      <c r="A94" s="107" t="s">
        <v>1531</v>
      </c>
      <c r="B94" s="22" t="s">
        <v>664</v>
      </c>
      <c r="C94" s="22" t="s">
        <v>540</v>
      </c>
      <c r="D94" s="22" t="s">
        <v>1480</v>
      </c>
      <c r="F94" s="109" t="n">
        <f aca="false">IF(CapV=2,N(F93),N(F92))</f>
        <v>0</v>
      </c>
      <c r="G94" s="109" t="n">
        <f aca="false">IF(CapV=2,N(G93),N(G92))</f>
        <v>0</v>
      </c>
      <c r="H94" s="109" t="n">
        <f aca="false">IF(CapV=2,N(H93),N(H92))</f>
        <v>0</v>
      </c>
      <c r="I94" s="109" t="n">
        <f aca="false">IF(CapV=2,N(I93),N(I92))</f>
        <v>0</v>
      </c>
      <c r="J94" s="109" t="n">
        <f aca="false">IF(CapV=2,N(J93),N(J92))</f>
        <v>0</v>
      </c>
      <c r="K94" s="109" t="n">
        <f aca="false">IF(CapV=2,N(K93),N(K92))</f>
        <v>0</v>
      </c>
      <c r="L94" s="109" t="n">
        <f aca="false">IF(CapV=2,N(L93),N(L92))</f>
        <v>0</v>
      </c>
      <c r="M94" s="109" t="n">
        <f aca="false">IF(CapV=2,N(M93),N(M92))</f>
        <v>0</v>
      </c>
      <c r="N94" s="109" t="n">
        <f aca="false">IF(CapV=2,N(N93),N(N92))</f>
        <v>0</v>
      </c>
      <c r="O94" s="109" t="n">
        <f aca="false">IF(CapV=2,N(O93),N(O92))</f>
        <v>0</v>
      </c>
      <c r="P94" s="109" t="n">
        <f aca="false">IF(CapV=2,N(P93),N(P92))</f>
        <v>0</v>
      </c>
      <c r="Q94" s="109" t="n">
        <f aca="false">IF(CapV=2,N(Q93),N(Q92))</f>
        <v>0</v>
      </c>
      <c r="R94" s="109" t="n">
        <f aca="false">IF(CapV=2,N(R93),N(R92))</f>
        <v>0</v>
      </c>
      <c r="S94" s="109" t="n">
        <f aca="false">IF(CapV=2,N(S93),N(S92))</f>
        <v>35</v>
      </c>
      <c r="T94" s="109" t="n">
        <f aca="false">IF(CapV=2,N(T93),N(T92))</f>
        <v>70</v>
      </c>
      <c r="U94" s="109" t="n">
        <f aca="false">IF(CapV=2,N(U93),N(U92))</f>
        <v>70</v>
      </c>
      <c r="V94" s="109" t="n">
        <f aca="false">IF(CapV=2,N(V93),N(V92))</f>
        <v>70</v>
      </c>
      <c r="W94" s="109" t="n">
        <f aca="false">IF(CapV=2,N(W93),N(W92))</f>
        <v>140</v>
      </c>
      <c r="X94" s="109" t="n">
        <f aca="false">IF(CapV=2,N(X93),N(X92))</f>
        <v>140</v>
      </c>
      <c r="Y94" s="109" t="n">
        <f aca="false">IF(CapV=2,N(Y93),N(Y92))</f>
        <v>200</v>
      </c>
      <c r="Z94" s="109" t="n">
        <f aca="false">IF(CapV=2,N(Z93),N(Z92))</f>
        <v>200</v>
      </c>
      <c r="AA94" s="109" t="n">
        <f aca="false">IF(CapV=2,N(AA93),N(AA92))</f>
        <v>200</v>
      </c>
      <c r="AB94" s="109" t="n">
        <f aca="false">IF(CapV=2,N(AB93),N(AB92))</f>
        <v>200</v>
      </c>
      <c r="AC94" s="109" t="n">
        <f aca="false">IF(CapV=2,N(AC93),N(AC92))</f>
        <v>310</v>
      </c>
      <c r="AD94" s="109" t="n">
        <f aca="false">IF(CapV=2,N(AD93),N(AD92))</f>
        <v>310</v>
      </c>
      <c r="AE94" s="109" t="n">
        <f aca="false">IF(CapV=2,N(AE93),N(AE92))</f>
        <v>310</v>
      </c>
      <c r="AF94" s="109" t="n">
        <f aca="false">IF(CapV=2,N(AF93),N(AF92))</f>
        <v>310</v>
      </c>
      <c r="AG94" s="109" t="n">
        <f aca="false">IF(CapV=2,N(AG93),N(AG92))</f>
        <v>310</v>
      </c>
      <c r="AI94" s="109" t="n">
        <f aca="false">INDEX($F94:$AG94,1,MATCH(AI$7,$F$7:$AG$7,1))</f>
        <v>0</v>
      </c>
      <c r="AJ94" s="109" t="n">
        <f aca="false">INDEX($F94:$AG94,1,MATCH(AJ$7,$F$7:$AG$7,1))</f>
        <v>0</v>
      </c>
      <c r="AK94" s="109" t="n">
        <f aca="false">INDEX($F94:$AG94,1,MATCH(AK$7,$F$7:$AG$7,1))</f>
        <v>0</v>
      </c>
      <c r="AL94" s="109" t="n">
        <f aca="false">INDEX($F94:$AG94,1,MATCH(AL$7,$F$7:$AG$7,1))</f>
        <v>70</v>
      </c>
      <c r="AM94" s="109" t="n">
        <f aca="false">INDEX($F94:$AG94,1,MATCH(AM$7,$F$7:$AG$7,1))</f>
        <v>200</v>
      </c>
      <c r="AN94" s="109" t="n">
        <f aca="false">INDEX($F94:$AG94,1,MATCH(AN$7,$F$7:$AG$7,1))</f>
        <v>310</v>
      </c>
      <c r="AO94" s="109" t="n">
        <f aca="false">INDEX($F94:$AG94,1,MATCH(AO$7,$F$7:$AG$7,1))</f>
        <v>310</v>
      </c>
    </row>
    <row r="95" customFormat="false" ht="15" hidden="false" customHeight="false" outlineLevel="0" collapsed="false">
      <c r="A95" s="107" t="s">
        <v>1532</v>
      </c>
      <c r="B95" s="22" t="s">
        <v>664</v>
      </c>
      <c r="C95" s="22" t="s">
        <v>558</v>
      </c>
      <c r="D95" s="22" t="s">
        <v>1476</v>
      </c>
      <c r="F95" s="108" t="n">
        <v>25</v>
      </c>
      <c r="G95" s="108" t="n">
        <v>25</v>
      </c>
      <c r="H95" s="108" t="n">
        <v>25</v>
      </c>
      <c r="I95" s="108" t="n">
        <v>25</v>
      </c>
      <c r="J95" s="108" t="n">
        <v>25</v>
      </c>
      <c r="K95" s="108" t="n">
        <v>25</v>
      </c>
      <c r="L95" s="108" t="n">
        <v>25</v>
      </c>
      <c r="M95" s="108" t="n">
        <v>50</v>
      </c>
      <c r="N95" s="108" t="n">
        <v>75</v>
      </c>
      <c r="O95" s="108" t="n">
        <v>75</v>
      </c>
      <c r="P95" s="108" t="n">
        <v>75</v>
      </c>
      <c r="Q95" s="108" t="n">
        <v>75</v>
      </c>
      <c r="R95" s="108" t="n">
        <v>75</v>
      </c>
      <c r="S95" s="108" t="n">
        <v>75</v>
      </c>
      <c r="T95" s="108" t="n">
        <v>75</v>
      </c>
      <c r="U95" s="108" t="n">
        <v>75</v>
      </c>
      <c r="V95" s="108" t="n">
        <v>75</v>
      </c>
      <c r="W95" s="108" t="n">
        <v>75</v>
      </c>
      <c r="X95" s="108" t="n">
        <v>75</v>
      </c>
      <c r="Y95" s="108" t="n">
        <v>75</v>
      </c>
      <c r="Z95" s="108" t="n">
        <v>75</v>
      </c>
      <c r="AA95" s="108" t="n">
        <v>75</v>
      </c>
      <c r="AB95" s="108" t="n">
        <v>75</v>
      </c>
      <c r="AC95" s="108" t="n">
        <v>75</v>
      </c>
      <c r="AD95" s="108" t="n">
        <v>75</v>
      </c>
      <c r="AE95" s="108" t="n">
        <v>75</v>
      </c>
      <c r="AF95" s="108" t="n">
        <v>75</v>
      </c>
      <c r="AG95" s="108" t="n">
        <v>75</v>
      </c>
      <c r="AI95" s="109" t="n">
        <f aca="false">INDEX($F95:$AG95,1,MATCH(AI$7,$F$7:$AG$7,1))</f>
        <v>25</v>
      </c>
      <c r="AJ95" s="109" t="n">
        <f aca="false">INDEX($F95:$AG95,1,MATCH(AJ$7,$F$7:$AG$7,1))</f>
        <v>50</v>
      </c>
      <c r="AK95" s="109" t="n">
        <f aca="false">INDEX($F95:$AG95,1,MATCH(AK$7,$F$7:$AG$7,1))</f>
        <v>75</v>
      </c>
      <c r="AL95" s="109" t="n">
        <f aca="false">INDEX($F95:$AG95,1,MATCH(AL$7,$F$7:$AG$7,1))</f>
        <v>75</v>
      </c>
      <c r="AM95" s="109" t="n">
        <f aca="false">INDEX($F95:$AG95,1,MATCH(AM$7,$F$7:$AG$7,1))</f>
        <v>75</v>
      </c>
      <c r="AN95" s="109" t="n">
        <f aca="false">INDEX($F95:$AG95,1,MATCH(AN$7,$F$7:$AG$7,1))</f>
        <v>75</v>
      </c>
      <c r="AO95" s="109" t="n">
        <f aca="false">INDEX($F95:$AG95,1,MATCH(AO$7,$F$7:$AG$7,1))</f>
        <v>75</v>
      </c>
    </row>
    <row r="96" customFormat="false" ht="15" hidden="false" customHeight="false" outlineLevel="0" collapsed="false">
      <c r="A96" s="107" t="s">
        <v>1533</v>
      </c>
      <c r="B96" s="22" t="s">
        <v>664</v>
      </c>
      <c r="C96" s="22" t="s">
        <v>558</v>
      </c>
      <c r="D96" s="22" t="s">
        <v>1478</v>
      </c>
      <c r="F96" s="108" t="n">
        <v>25</v>
      </c>
      <c r="G96" s="108" t="n">
        <v>25</v>
      </c>
      <c r="H96" s="108" t="n">
        <v>25</v>
      </c>
      <c r="I96" s="108" t="n">
        <v>25</v>
      </c>
      <c r="J96" s="108" t="n">
        <v>25</v>
      </c>
      <c r="K96" s="108" t="n">
        <v>25</v>
      </c>
      <c r="L96" s="108" t="n">
        <v>25</v>
      </c>
      <c r="M96" s="108" t="n">
        <v>50</v>
      </c>
      <c r="N96" s="108" t="n">
        <v>75</v>
      </c>
      <c r="O96" s="108" t="n">
        <v>75</v>
      </c>
      <c r="P96" s="108" t="n">
        <v>75</v>
      </c>
      <c r="Q96" s="108" t="n">
        <v>75</v>
      </c>
      <c r="R96" s="108" t="n">
        <v>75</v>
      </c>
      <c r="S96" s="108" t="n">
        <v>75</v>
      </c>
      <c r="T96" s="108" t="n">
        <v>75</v>
      </c>
      <c r="U96" s="108" t="n">
        <v>75</v>
      </c>
      <c r="V96" s="108" t="n">
        <v>75</v>
      </c>
      <c r="W96" s="108" t="n">
        <v>75</v>
      </c>
      <c r="X96" s="108" t="n">
        <v>75</v>
      </c>
      <c r="Y96" s="108" t="n">
        <v>75</v>
      </c>
      <c r="Z96" s="108" t="n">
        <v>75</v>
      </c>
      <c r="AA96" s="108" t="n">
        <v>75</v>
      </c>
      <c r="AB96" s="108" t="n">
        <v>75</v>
      </c>
      <c r="AC96" s="108" t="n">
        <v>75</v>
      </c>
      <c r="AD96" s="108" t="n">
        <v>75</v>
      </c>
      <c r="AE96" s="108" t="n">
        <v>75</v>
      </c>
      <c r="AF96" s="108" t="n">
        <v>75</v>
      </c>
      <c r="AG96" s="108" t="n">
        <v>75</v>
      </c>
      <c r="AI96" s="109" t="n">
        <f aca="false">INDEX($F96:$AG96,1,MATCH(AI$7,$F$7:$AG$7,1))</f>
        <v>25</v>
      </c>
      <c r="AJ96" s="109" t="n">
        <f aca="false">INDEX($F96:$AG96,1,MATCH(AJ$7,$F$7:$AG$7,1))</f>
        <v>50</v>
      </c>
      <c r="AK96" s="109" t="n">
        <f aca="false">INDEX($F96:$AG96,1,MATCH(AK$7,$F$7:$AG$7,1))</f>
        <v>75</v>
      </c>
      <c r="AL96" s="109" t="n">
        <f aca="false">INDEX($F96:$AG96,1,MATCH(AL$7,$F$7:$AG$7,1))</f>
        <v>75</v>
      </c>
      <c r="AM96" s="109" t="n">
        <f aca="false">INDEX($F96:$AG96,1,MATCH(AM$7,$F$7:$AG$7,1))</f>
        <v>75</v>
      </c>
      <c r="AN96" s="109" t="n">
        <f aca="false">INDEX($F96:$AG96,1,MATCH(AN$7,$F$7:$AG$7,1))</f>
        <v>75</v>
      </c>
      <c r="AO96" s="109" t="n">
        <f aca="false">INDEX($F96:$AG96,1,MATCH(AO$7,$F$7:$AG$7,1))</f>
        <v>75</v>
      </c>
    </row>
    <row r="97" customFormat="false" ht="15" hidden="false" customHeight="false" outlineLevel="0" collapsed="false">
      <c r="A97" s="107" t="s">
        <v>1534</v>
      </c>
      <c r="B97" s="22" t="s">
        <v>664</v>
      </c>
      <c r="C97" s="22" t="s">
        <v>540</v>
      </c>
      <c r="D97" s="22" t="s">
        <v>1480</v>
      </c>
      <c r="F97" s="109" t="n">
        <f aca="false">IF(CapV=2,N(F96),N(F95))</f>
        <v>25</v>
      </c>
      <c r="G97" s="109" t="n">
        <f aca="false">IF(CapV=2,N(G96),N(G95))</f>
        <v>25</v>
      </c>
      <c r="H97" s="109" t="n">
        <f aca="false">IF(CapV=2,N(H96),N(H95))</f>
        <v>25</v>
      </c>
      <c r="I97" s="109" t="n">
        <f aca="false">IF(CapV=2,N(I96),N(I95))</f>
        <v>25</v>
      </c>
      <c r="J97" s="109" t="n">
        <f aca="false">IF(CapV=2,N(J96),N(J95))</f>
        <v>25</v>
      </c>
      <c r="K97" s="109" t="n">
        <f aca="false">IF(CapV=2,N(K96),N(K95))</f>
        <v>25</v>
      </c>
      <c r="L97" s="109" t="n">
        <f aca="false">IF(CapV=2,N(L96),N(L95))</f>
        <v>25</v>
      </c>
      <c r="M97" s="109" t="n">
        <f aca="false">IF(CapV=2,N(M96),N(M95))</f>
        <v>50</v>
      </c>
      <c r="N97" s="109" t="n">
        <f aca="false">IF(CapV=2,N(N96),N(N95))</f>
        <v>75</v>
      </c>
      <c r="O97" s="109" t="n">
        <f aca="false">IF(CapV=2,N(O96),N(O95))</f>
        <v>75</v>
      </c>
      <c r="P97" s="109" t="n">
        <f aca="false">IF(CapV=2,N(P96),N(P95))</f>
        <v>75</v>
      </c>
      <c r="Q97" s="109" t="n">
        <f aca="false">IF(CapV=2,N(Q96),N(Q95))</f>
        <v>75</v>
      </c>
      <c r="R97" s="109" t="n">
        <f aca="false">IF(CapV=2,N(R96),N(R95))</f>
        <v>75</v>
      </c>
      <c r="S97" s="109" t="n">
        <f aca="false">IF(CapV=2,N(S96),N(S95))</f>
        <v>75</v>
      </c>
      <c r="T97" s="109" t="n">
        <f aca="false">IF(CapV=2,N(T96),N(T95))</f>
        <v>75</v>
      </c>
      <c r="U97" s="109" t="n">
        <f aca="false">IF(CapV=2,N(U96),N(U95))</f>
        <v>75</v>
      </c>
      <c r="V97" s="109" t="n">
        <f aca="false">IF(CapV=2,N(V96),N(V95))</f>
        <v>75</v>
      </c>
      <c r="W97" s="109" t="n">
        <f aca="false">IF(CapV=2,N(W96),N(W95))</f>
        <v>75</v>
      </c>
      <c r="X97" s="109" t="n">
        <f aca="false">IF(CapV=2,N(X96),N(X95))</f>
        <v>75</v>
      </c>
      <c r="Y97" s="109" t="n">
        <f aca="false">IF(CapV=2,N(Y96),N(Y95))</f>
        <v>75</v>
      </c>
      <c r="Z97" s="109" t="n">
        <f aca="false">IF(CapV=2,N(Z96),N(Z95))</f>
        <v>75</v>
      </c>
      <c r="AA97" s="109" t="n">
        <f aca="false">IF(CapV=2,N(AA96),N(AA95))</f>
        <v>75</v>
      </c>
      <c r="AB97" s="109" t="n">
        <f aca="false">IF(CapV=2,N(AB96),N(AB95))</f>
        <v>75</v>
      </c>
      <c r="AC97" s="109" t="n">
        <f aca="false">IF(CapV=2,N(AC96),N(AC95))</f>
        <v>75</v>
      </c>
      <c r="AD97" s="109" t="n">
        <f aca="false">IF(CapV=2,N(AD96),N(AD95))</f>
        <v>75</v>
      </c>
      <c r="AE97" s="109" t="n">
        <f aca="false">IF(CapV=2,N(AE96),N(AE95))</f>
        <v>75</v>
      </c>
      <c r="AF97" s="109" t="n">
        <f aca="false">IF(CapV=2,N(AF96),N(AF95))</f>
        <v>75</v>
      </c>
      <c r="AG97" s="109" t="n">
        <f aca="false">IF(CapV=2,N(AG96),N(AG95))</f>
        <v>75</v>
      </c>
      <c r="AI97" s="109" t="n">
        <f aca="false">INDEX($F97:$AG97,1,MATCH(AI$7,$F$7:$AG$7,1))</f>
        <v>25</v>
      </c>
      <c r="AJ97" s="109" t="n">
        <f aca="false">INDEX($F97:$AG97,1,MATCH(AJ$7,$F$7:$AG$7,1))</f>
        <v>50</v>
      </c>
      <c r="AK97" s="109" t="n">
        <f aca="false">INDEX($F97:$AG97,1,MATCH(AK$7,$F$7:$AG$7,1))</f>
        <v>75</v>
      </c>
      <c r="AL97" s="109" t="n">
        <f aca="false">INDEX($F97:$AG97,1,MATCH(AL$7,$F$7:$AG$7,1))</f>
        <v>75</v>
      </c>
      <c r="AM97" s="109" t="n">
        <f aca="false">INDEX($F97:$AG97,1,MATCH(AM$7,$F$7:$AG$7,1))</f>
        <v>75</v>
      </c>
      <c r="AN97" s="109" t="n">
        <f aca="false">INDEX($F97:$AG97,1,MATCH(AN$7,$F$7:$AG$7,1))</f>
        <v>75</v>
      </c>
      <c r="AO97" s="109" t="n">
        <f aca="false">INDEX($F97:$AG97,1,MATCH(AO$7,$F$7:$AG$7,1))</f>
        <v>75</v>
      </c>
    </row>
    <row r="98" customFormat="false" ht="15" hidden="false" customHeight="false" outlineLevel="0" collapsed="false">
      <c r="A98" s="107" t="s">
        <v>1535</v>
      </c>
      <c r="B98" s="22" t="s">
        <v>664</v>
      </c>
      <c r="C98" s="22" t="s">
        <v>558</v>
      </c>
      <c r="D98" s="22" t="s">
        <v>1476</v>
      </c>
      <c r="F98" s="108" t="n">
        <v>25</v>
      </c>
      <c r="G98" s="108" t="n">
        <v>25</v>
      </c>
      <c r="H98" s="108" t="n">
        <v>25</v>
      </c>
      <c r="I98" s="108" t="n">
        <v>25</v>
      </c>
      <c r="J98" s="108" t="n">
        <v>25</v>
      </c>
      <c r="K98" s="108" t="n">
        <v>25</v>
      </c>
      <c r="L98" s="108" t="n">
        <v>37.5</v>
      </c>
      <c r="M98" s="108" t="n">
        <v>62.5</v>
      </c>
      <c r="N98" s="108" t="n">
        <v>75</v>
      </c>
      <c r="O98" s="108" t="n">
        <v>75</v>
      </c>
      <c r="P98" s="108" t="n">
        <v>75</v>
      </c>
      <c r="Q98" s="108" t="n">
        <v>75</v>
      </c>
      <c r="R98" s="108" t="n">
        <v>75</v>
      </c>
      <c r="S98" s="108" t="n">
        <v>75</v>
      </c>
      <c r="T98" s="108" t="n">
        <v>75</v>
      </c>
      <c r="U98" s="108" t="n">
        <v>75</v>
      </c>
      <c r="V98" s="108" t="n">
        <v>75</v>
      </c>
      <c r="W98" s="108" t="n">
        <v>75</v>
      </c>
      <c r="X98" s="108" t="n">
        <v>75</v>
      </c>
      <c r="Y98" s="108" t="n">
        <v>75</v>
      </c>
      <c r="Z98" s="108" t="n">
        <v>75</v>
      </c>
      <c r="AA98" s="108" t="n">
        <v>75</v>
      </c>
      <c r="AB98" s="108" t="n">
        <v>75</v>
      </c>
      <c r="AC98" s="108" t="n">
        <v>75</v>
      </c>
      <c r="AD98" s="108" t="n">
        <v>75</v>
      </c>
      <c r="AE98" s="108" t="n">
        <v>75</v>
      </c>
      <c r="AF98" s="108" t="n">
        <v>75</v>
      </c>
      <c r="AG98" s="108" t="n">
        <v>75</v>
      </c>
      <c r="AI98" s="109" t="n">
        <f aca="false">INDEX($F98:$AG98,1,MATCH(AI$7,$F$7:$AG$7,1))</f>
        <v>25</v>
      </c>
      <c r="AJ98" s="109" t="n">
        <f aca="false">INDEX($F98:$AG98,1,MATCH(AJ$7,$F$7:$AG$7,1))</f>
        <v>62.5</v>
      </c>
      <c r="AK98" s="109" t="n">
        <f aca="false">INDEX($F98:$AG98,1,MATCH(AK$7,$F$7:$AG$7,1))</f>
        <v>75</v>
      </c>
      <c r="AL98" s="109" t="n">
        <f aca="false">INDEX($F98:$AG98,1,MATCH(AL$7,$F$7:$AG$7,1))</f>
        <v>75</v>
      </c>
      <c r="AM98" s="109" t="n">
        <f aca="false">INDEX($F98:$AG98,1,MATCH(AM$7,$F$7:$AG$7,1))</f>
        <v>75</v>
      </c>
      <c r="AN98" s="109" t="n">
        <f aca="false">INDEX($F98:$AG98,1,MATCH(AN$7,$F$7:$AG$7,1))</f>
        <v>75</v>
      </c>
      <c r="AO98" s="109" t="n">
        <f aca="false">INDEX($F98:$AG98,1,MATCH(AO$7,$F$7:$AG$7,1))</f>
        <v>75</v>
      </c>
    </row>
    <row r="99" customFormat="false" ht="15" hidden="false" customHeight="false" outlineLevel="0" collapsed="false">
      <c r="A99" s="107" t="s">
        <v>1536</v>
      </c>
      <c r="B99" s="22" t="s">
        <v>664</v>
      </c>
      <c r="C99" s="22" t="s">
        <v>558</v>
      </c>
      <c r="D99" s="22" t="s">
        <v>1478</v>
      </c>
      <c r="F99" s="108" t="n">
        <v>25</v>
      </c>
      <c r="G99" s="108" t="n">
        <v>25</v>
      </c>
      <c r="H99" s="108" t="n">
        <v>25</v>
      </c>
      <c r="I99" s="108" t="n">
        <v>25</v>
      </c>
      <c r="J99" s="108" t="n">
        <v>25</v>
      </c>
      <c r="K99" s="108" t="n">
        <v>25</v>
      </c>
      <c r="L99" s="108" t="n">
        <v>37.5</v>
      </c>
      <c r="M99" s="108" t="n">
        <v>62.5</v>
      </c>
      <c r="N99" s="108" t="n">
        <v>75</v>
      </c>
      <c r="O99" s="108" t="n">
        <v>75</v>
      </c>
      <c r="P99" s="108" t="n">
        <v>75</v>
      </c>
      <c r="Q99" s="108" t="n">
        <v>75</v>
      </c>
      <c r="R99" s="108" t="n">
        <v>75</v>
      </c>
      <c r="S99" s="108" t="n">
        <v>75</v>
      </c>
      <c r="T99" s="108" t="n">
        <v>75</v>
      </c>
      <c r="U99" s="108" t="n">
        <v>75</v>
      </c>
      <c r="V99" s="108" t="n">
        <v>75</v>
      </c>
      <c r="W99" s="108" t="n">
        <v>75</v>
      </c>
      <c r="X99" s="108" t="n">
        <v>75</v>
      </c>
      <c r="Y99" s="108" t="n">
        <v>75</v>
      </c>
      <c r="Z99" s="108" t="n">
        <v>75</v>
      </c>
      <c r="AA99" s="108" t="n">
        <v>75</v>
      </c>
      <c r="AB99" s="108" t="n">
        <v>75</v>
      </c>
      <c r="AC99" s="108" t="n">
        <v>75</v>
      </c>
      <c r="AD99" s="108" t="n">
        <v>75</v>
      </c>
      <c r="AE99" s="108" t="n">
        <v>75</v>
      </c>
      <c r="AF99" s="108" t="n">
        <v>75</v>
      </c>
      <c r="AG99" s="108" t="n">
        <v>75</v>
      </c>
      <c r="AI99" s="109" t="n">
        <f aca="false">INDEX($F99:$AG99,1,MATCH(AI$7,$F$7:$AG$7,1))</f>
        <v>25</v>
      </c>
      <c r="AJ99" s="109" t="n">
        <f aca="false">INDEX($F99:$AG99,1,MATCH(AJ$7,$F$7:$AG$7,1))</f>
        <v>62.5</v>
      </c>
      <c r="AK99" s="109" t="n">
        <f aca="false">INDEX($F99:$AG99,1,MATCH(AK$7,$F$7:$AG$7,1))</f>
        <v>75</v>
      </c>
      <c r="AL99" s="109" t="n">
        <f aca="false">INDEX($F99:$AG99,1,MATCH(AL$7,$F$7:$AG$7,1))</f>
        <v>75</v>
      </c>
      <c r="AM99" s="109" t="n">
        <f aca="false">INDEX($F99:$AG99,1,MATCH(AM$7,$F$7:$AG$7,1))</f>
        <v>75</v>
      </c>
      <c r="AN99" s="109" t="n">
        <f aca="false">INDEX($F99:$AG99,1,MATCH(AN$7,$F$7:$AG$7,1))</f>
        <v>75</v>
      </c>
      <c r="AO99" s="109" t="n">
        <f aca="false">INDEX($F99:$AG99,1,MATCH(AO$7,$F$7:$AG$7,1))</f>
        <v>75</v>
      </c>
    </row>
    <row r="100" customFormat="false" ht="15" hidden="false" customHeight="false" outlineLevel="0" collapsed="false">
      <c r="A100" s="107" t="s">
        <v>1537</v>
      </c>
      <c r="B100" s="22" t="s">
        <v>664</v>
      </c>
      <c r="C100" s="22" t="s">
        <v>540</v>
      </c>
      <c r="D100" s="22" t="s">
        <v>1480</v>
      </c>
      <c r="F100" s="109" t="n">
        <f aca="false">IF(CapV=2,N(F99),N(F98))</f>
        <v>25</v>
      </c>
      <c r="G100" s="109" t="n">
        <f aca="false">IF(CapV=2,N(G99),N(G98))</f>
        <v>25</v>
      </c>
      <c r="H100" s="109" t="n">
        <f aca="false">IF(CapV=2,N(H99),N(H98))</f>
        <v>25</v>
      </c>
      <c r="I100" s="109" t="n">
        <f aca="false">IF(CapV=2,N(I99),N(I98))</f>
        <v>25</v>
      </c>
      <c r="J100" s="109" t="n">
        <f aca="false">IF(CapV=2,N(J99),N(J98))</f>
        <v>25</v>
      </c>
      <c r="K100" s="109" t="n">
        <f aca="false">IF(CapV=2,N(K99),N(K98))</f>
        <v>25</v>
      </c>
      <c r="L100" s="109" t="n">
        <f aca="false">IF(CapV=2,N(L99),N(L98))</f>
        <v>37.5</v>
      </c>
      <c r="M100" s="109" t="n">
        <f aca="false">IF(CapV=2,N(M99),N(M98))</f>
        <v>62.5</v>
      </c>
      <c r="N100" s="109" t="n">
        <f aca="false">IF(CapV=2,N(N99),N(N98))</f>
        <v>75</v>
      </c>
      <c r="O100" s="109" t="n">
        <f aca="false">IF(CapV=2,N(O99),N(O98))</f>
        <v>75</v>
      </c>
      <c r="P100" s="109" t="n">
        <f aca="false">IF(CapV=2,N(P99),N(P98))</f>
        <v>75</v>
      </c>
      <c r="Q100" s="109" t="n">
        <f aca="false">IF(CapV=2,N(Q99),N(Q98))</f>
        <v>75</v>
      </c>
      <c r="R100" s="109" t="n">
        <f aca="false">IF(CapV=2,N(R99),N(R98))</f>
        <v>75</v>
      </c>
      <c r="S100" s="109" t="n">
        <f aca="false">IF(CapV=2,N(S99),N(S98))</f>
        <v>75</v>
      </c>
      <c r="T100" s="109" t="n">
        <f aca="false">IF(CapV=2,N(T99),N(T98))</f>
        <v>75</v>
      </c>
      <c r="U100" s="109" t="n">
        <f aca="false">IF(CapV=2,N(U99),N(U98))</f>
        <v>75</v>
      </c>
      <c r="V100" s="109" t="n">
        <f aca="false">IF(CapV=2,N(V99),N(V98))</f>
        <v>75</v>
      </c>
      <c r="W100" s="109" t="n">
        <f aca="false">IF(CapV=2,N(W99),N(W98))</f>
        <v>75</v>
      </c>
      <c r="X100" s="109" t="n">
        <f aca="false">IF(CapV=2,N(X99),N(X98))</f>
        <v>75</v>
      </c>
      <c r="Y100" s="109" t="n">
        <f aca="false">IF(CapV=2,N(Y99),N(Y98))</f>
        <v>75</v>
      </c>
      <c r="Z100" s="109" t="n">
        <f aca="false">IF(CapV=2,N(Z99),N(Z98))</f>
        <v>75</v>
      </c>
      <c r="AA100" s="109" t="n">
        <f aca="false">IF(CapV=2,N(AA99),N(AA98))</f>
        <v>75</v>
      </c>
      <c r="AB100" s="109" t="n">
        <f aca="false">IF(CapV=2,N(AB99),N(AB98))</f>
        <v>75</v>
      </c>
      <c r="AC100" s="109" t="n">
        <f aca="false">IF(CapV=2,N(AC99),N(AC98))</f>
        <v>75</v>
      </c>
      <c r="AD100" s="109" t="n">
        <f aca="false">IF(CapV=2,N(AD99),N(AD98))</f>
        <v>75</v>
      </c>
      <c r="AE100" s="109" t="n">
        <f aca="false">IF(CapV=2,N(AE99),N(AE98))</f>
        <v>75</v>
      </c>
      <c r="AF100" s="109" t="n">
        <f aca="false">IF(CapV=2,N(AF99),N(AF98))</f>
        <v>75</v>
      </c>
      <c r="AG100" s="109" t="n">
        <f aca="false">IF(CapV=2,N(AG99),N(AG98))</f>
        <v>75</v>
      </c>
      <c r="AI100" s="109" t="n">
        <f aca="false">INDEX($F100:$AG100,1,MATCH(AI$7,$F$7:$AG$7,1))</f>
        <v>25</v>
      </c>
      <c r="AJ100" s="109" t="n">
        <f aca="false">INDEX($F100:$AG100,1,MATCH(AJ$7,$F$7:$AG$7,1))</f>
        <v>62.5</v>
      </c>
      <c r="AK100" s="109" t="n">
        <f aca="false">INDEX($F100:$AG100,1,MATCH(AK$7,$F$7:$AG$7,1))</f>
        <v>75</v>
      </c>
      <c r="AL100" s="109" t="n">
        <f aca="false">INDEX($F100:$AG100,1,MATCH(AL$7,$F$7:$AG$7,1))</f>
        <v>75</v>
      </c>
      <c r="AM100" s="109" t="n">
        <f aca="false">INDEX($F100:$AG100,1,MATCH(AM$7,$F$7:$AG$7,1))</f>
        <v>75</v>
      </c>
      <c r="AN100" s="109" t="n">
        <f aca="false">INDEX($F100:$AG100,1,MATCH(AN$7,$F$7:$AG$7,1))</f>
        <v>75</v>
      </c>
      <c r="AO100" s="109" t="n">
        <f aca="false">INDEX($F100:$AG100,1,MATCH(AO$7,$F$7:$AG$7,1))</f>
        <v>75</v>
      </c>
    </row>
    <row r="101" customFormat="false" ht="15" hidden="false" customHeight="false" outlineLevel="0" collapsed="false">
      <c r="A101" s="107" t="s">
        <v>1538</v>
      </c>
      <c r="B101" s="22" t="s">
        <v>664</v>
      </c>
      <c r="C101" s="22" t="s">
        <v>558</v>
      </c>
      <c r="D101" s="22" t="s">
        <v>1476</v>
      </c>
      <c r="F101" s="108" t="n">
        <v>25</v>
      </c>
      <c r="G101" s="108" t="n">
        <v>25</v>
      </c>
      <c r="H101" s="108" t="n">
        <v>25</v>
      </c>
      <c r="I101" s="108" t="n">
        <v>25</v>
      </c>
      <c r="J101" s="108" t="n">
        <v>25</v>
      </c>
      <c r="K101" s="108" t="n">
        <v>25</v>
      </c>
      <c r="L101" s="108" t="n">
        <v>50</v>
      </c>
      <c r="M101" s="108" t="n">
        <v>75</v>
      </c>
      <c r="N101" s="108" t="n">
        <v>75</v>
      </c>
      <c r="O101" s="108" t="n">
        <v>75</v>
      </c>
      <c r="P101" s="108" t="n">
        <v>75</v>
      </c>
      <c r="Q101" s="108" t="n">
        <v>75</v>
      </c>
      <c r="R101" s="108" t="n">
        <v>75</v>
      </c>
      <c r="S101" s="108" t="n">
        <v>75</v>
      </c>
      <c r="T101" s="108" t="n">
        <v>75</v>
      </c>
      <c r="U101" s="108" t="n">
        <v>75</v>
      </c>
      <c r="V101" s="108" t="n">
        <v>75</v>
      </c>
      <c r="W101" s="108" t="n">
        <v>75</v>
      </c>
      <c r="X101" s="108" t="n">
        <v>75</v>
      </c>
      <c r="Y101" s="108" t="n">
        <v>75</v>
      </c>
      <c r="Z101" s="108" t="n">
        <v>75</v>
      </c>
      <c r="AA101" s="108" t="n">
        <v>75</v>
      </c>
      <c r="AB101" s="108" t="n">
        <v>75</v>
      </c>
      <c r="AC101" s="108" t="n">
        <v>75</v>
      </c>
      <c r="AD101" s="108" t="n">
        <v>75</v>
      </c>
      <c r="AE101" s="108" t="n">
        <v>75</v>
      </c>
      <c r="AF101" s="108" t="n">
        <v>75</v>
      </c>
      <c r="AG101" s="108" t="n">
        <v>75</v>
      </c>
      <c r="AI101" s="109" t="n">
        <f aca="false">INDEX($F101:$AG101,1,MATCH(AI$7,$F$7:$AG$7,1))</f>
        <v>25</v>
      </c>
      <c r="AJ101" s="109" t="n">
        <f aca="false">INDEX($F101:$AG101,1,MATCH(AJ$7,$F$7:$AG$7,1))</f>
        <v>75</v>
      </c>
      <c r="AK101" s="109" t="n">
        <f aca="false">INDEX($F101:$AG101,1,MATCH(AK$7,$F$7:$AG$7,1))</f>
        <v>75</v>
      </c>
      <c r="AL101" s="109" t="n">
        <f aca="false">INDEX($F101:$AG101,1,MATCH(AL$7,$F$7:$AG$7,1))</f>
        <v>75</v>
      </c>
      <c r="AM101" s="109" t="n">
        <f aca="false">INDEX($F101:$AG101,1,MATCH(AM$7,$F$7:$AG$7,1))</f>
        <v>75</v>
      </c>
      <c r="AN101" s="109" t="n">
        <f aca="false">INDEX($F101:$AG101,1,MATCH(AN$7,$F$7:$AG$7,1))</f>
        <v>75</v>
      </c>
      <c r="AO101" s="109" t="n">
        <f aca="false">INDEX($F101:$AG101,1,MATCH(AO$7,$F$7:$AG$7,1))</f>
        <v>75</v>
      </c>
    </row>
    <row r="102" customFormat="false" ht="15" hidden="false" customHeight="false" outlineLevel="0" collapsed="false">
      <c r="A102" s="107" t="s">
        <v>1539</v>
      </c>
      <c r="B102" s="22" t="s">
        <v>664</v>
      </c>
      <c r="C102" s="22" t="s">
        <v>558</v>
      </c>
      <c r="D102" s="22" t="s">
        <v>1478</v>
      </c>
      <c r="F102" s="108" t="n">
        <v>25</v>
      </c>
      <c r="G102" s="108" t="n">
        <v>25</v>
      </c>
      <c r="H102" s="108" t="n">
        <v>25</v>
      </c>
      <c r="I102" s="108" t="n">
        <v>25</v>
      </c>
      <c r="J102" s="108" t="n">
        <v>25</v>
      </c>
      <c r="K102" s="108" t="n">
        <v>25</v>
      </c>
      <c r="L102" s="108" t="n">
        <v>50</v>
      </c>
      <c r="M102" s="108" t="n">
        <v>75</v>
      </c>
      <c r="N102" s="108" t="n">
        <v>75</v>
      </c>
      <c r="O102" s="108" t="n">
        <v>75</v>
      </c>
      <c r="P102" s="108" t="n">
        <v>75</v>
      </c>
      <c r="Q102" s="108" t="n">
        <v>75</v>
      </c>
      <c r="R102" s="108" t="n">
        <v>75</v>
      </c>
      <c r="S102" s="108" t="n">
        <v>75</v>
      </c>
      <c r="T102" s="108" t="n">
        <v>75</v>
      </c>
      <c r="U102" s="108" t="n">
        <v>75</v>
      </c>
      <c r="V102" s="108" t="n">
        <v>75</v>
      </c>
      <c r="W102" s="108" t="n">
        <v>75</v>
      </c>
      <c r="X102" s="108" t="n">
        <v>75</v>
      </c>
      <c r="Y102" s="108" t="n">
        <v>75</v>
      </c>
      <c r="Z102" s="108" t="n">
        <v>75</v>
      </c>
      <c r="AA102" s="108" t="n">
        <v>75</v>
      </c>
      <c r="AB102" s="108" t="n">
        <v>75</v>
      </c>
      <c r="AC102" s="108" t="n">
        <v>75</v>
      </c>
      <c r="AD102" s="108" t="n">
        <v>75</v>
      </c>
      <c r="AE102" s="108" t="n">
        <v>75</v>
      </c>
      <c r="AF102" s="108" t="n">
        <v>75</v>
      </c>
      <c r="AG102" s="108" t="n">
        <v>75</v>
      </c>
      <c r="AI102" s="109" t="n">
        <f aca="false">INDEX($F102:$AG102,1,MATCH(AI$7,$F$7:$AG$7,1))</f>
        <v>25</v>
      </c>
      <c r="AJ102" s="109" t="n">
        <f aca="false">INDEX($F102:$AG102,1,MATCH(AJ$7,$F$7:$AG$7,1))</f>
        <v>75</v>
      </c>
      <c r="AK102" s="109" t="n">
        <f aca="false">INDEX($F102:$AG102,1,MATCH(AK$7,$F$7:$AG$7,1))</f>
        <v>75</v>
      </c>
      <c r="AL102" s="109" t="n">
        <f aca="false">INDEX($F102:$AG102,1,MATCH(AL$7,$F$7:$AG$7,1))</f>
        <v>75</v>
      </c>
      <c r="AM102" s="109" t="n">
        <f aca="false">INDEX($F102:$AG102,1,MATCH(AM$7,$F$7:$AG$7,1))</f>
        <v>75</v>
      </c>
      <c r="AN102" s="109" t="n">
        <f aca="false">INDEX($F102:$AG102,1,MATCH(AN$7,$F$7:$AG$7,1))</f>
        <v>75</v>
      </c>
      <c r="AO102" s="109" t="n">
        <f aca="false">INDEX($F102:$AG102,1,MATCH(AO$7,$F$7:$AG$7,1))</f>
        <v>75</v>
      </c>
    </row>
    <row r="103" customFormat="false" ht="15" hidden="false" customHeight="false" outlineLevel="0" collapsed="false">
      <c r="A103" s="107" t="s">
        <v>1540</v>
      </c>
      <c r="B103" s="22" t="s">
        <v>664</v>
      </c>
      <c r="C103" s="22" t="s">
        <v>540</v>
      </c>
      <c r="D103" s="22" t="s">
        <v>1480</v>
      </c>
      <c r="F103" s="109" t="n">
        <f aca="false">IF(CapV=2,N(F102),N(F101))</f>
        <v>25</v>
      </c>
      <c r="G103" s="109" t="n">
        <f aca="false">IF(CapV=2,N(G102),N(G101))</f>
        <v>25</v>
      </c>
      <c r="H103" s="109" t="n">
        <f aca="false">IF(CapV=2,N(H102),N(H101))</f>
        <v>25</v>
      </c>
      <c r="I103" s="109" t="n">
        <f aca="false">IF(CapV=2,N(I102),N(I101))</f>
        <v>25</v>
      </c>
      <c r="J103" s="109" t="n">
        <f aca="false">IF(CapV=2,N(J102),N(J101))</f>
        <v>25</v>
      </c>
      <c r="K103" s="109" t="n">
        <f aca="false">IF(CapV=2,N(K102),N(K101))</f>
        <v>25</v>
      </c>
      <c r="L103" s="109" t="n">
        <f aca="false">IF(CapV=2,N(L102),N(L101))</f>
        <v>50</v>
      </c>
      <c r="M103" s="109" t="n">
        <f aca="false">IF(CapV=2,N(M102),N(M101))</f>
        <v>75</v>
      </c>
      <c r="N103" s="109" t="n">
        <f aca="false">IF(CapV=2,N(N102),N(N101))</f>
        <v>75</v>
      </c>
      <c r="O103" s="109" t="n">
        <f aca="false">IF(CapV=2,N(O102),N(O101))</f>
        <v>75</v>
      </c>
      <c r="P103" s="109" t="n">
        <f aca="false">IF(CapV=2,N(P102),N(P101))</f>
        <v>75</v>
      </c>
      <c r="Q103" s="109" t="n">
        <f aca="false">IF(CapV=2,N(Q102),N(Q101))</f>
        <v>75</v>
      </c>
      <c r="R103" s="109" t="n">
        <f aca="false">IF(CapV=2,N(R102),N(R101))</f>
        <v>75</v>
      </c>
      <c r="S103" s="109" t="n">
        <f aca="false">IF(CapV=2,N(S102),N(S101))</f>
        <v>75</v>
      </c>
      <c r="T103" s="109" t="n">
        <f aca="false">IF(CapV=2,N(T102),N(T101))</f>
        <v>75</v>
      </c>
      <c r="U103" s="109" t="n">
        <f aca="false">IF(CapV=2,N(U102),N(U101))</f>
        <v>75</v>
      </c>
      <c r="V103" s="109" t="n">
        <f aca="false">IF(CapV=2,N(V102),N(V101))</f>
        <v>75</v>
      </c>
      <c r="W103" s="109" t="n">
        <f aca="false">IF(CapV=2,N(W102),N(W101))</f>
        <v>75</v>
      </c>
      <c r="X103" s="109" t="n">
        <f aca="false">IF(CapV=2,N(X102),N(X101))</f>
        <v>75</v>
      </c>
      <c r="Y103" s="109" t="n">
        <f aca="false">IF(CapV=2,N(Y102),N(Y101))</f>
        <v>75</v>
      </c>
      <c r="Z103" s="109" t="n">
        <f aca="false">IF(CapV=2,N(Z102),N(Z101))</f>
        <v>75</v>
      </c>
      <c r="AA103" s="109" t="n">
        <f aca="false">IF(CapV=2,N(AA102),N(AA101))</f>
        <v>75</v>
      </c>
      <c r="AB103" s="109" t="n">
        <f aca="false">IF(CapV=2,N(AB102),N(AB101))</f>
        <v>75</v>
      </c>
      <c r="AC103" s="109" t="n">
        <f aca="false">IF(CapV=2,N(AC102),N(AC101))</f>
        <v>75</v>
      </c>
      <c r="AD103" s="109" t="n">
        <f aca="false">IF(CapV=2,N(AD102),N(AD101))</f>
        <v>75</v>
      </c>
      <c r="AE103" s="109" t="n">
        <f aca="false">IF(CapV=2,N(AE102),N(AE101))</f>
        <v>75</v>
      </c>
      <c r="AF103" s="109" t="n">
        <f aca="false">IF(CapV=2,N(AF102),N(AF101))</f>
        <v>75</v>
      </c>
      <c r="AG103" s="109" t="n">
        <f aca="false">IF(CapV=2,N(AG102),N(AG101))</f>
        <v>75</v>
      </c>
      <c r="AI103" s="109" t="n">
        <f aca="false">INDEX($F103:$AG103,1,MATCH(AI$7,$F$7:$AG$7,1))</f>
        <v>25</v>
      </c>
      <c r="AJ103" s="109" t="n">
        <f aca="false">INDEX($F103:$AG103,1,MATCH(AJ$7,$F$7:$AG$7,1))</f>
        <v>75</v>
      </c>
      <c r="AK103" s="109" t="n">
        <f aca="false">INDEX($F103:$AG103,1,MATCH(AK$7,$F$7:$AG$7,1))</f>
        <v>75</v>
      </c>
      <c r="AL103" s="109" t="n">
        <f aca="false">INDEX($F103:$AG103,1,MATCH(AL$7,$F$7:$AG$7,1))</f>
        <v>75</v>
      </c>
      <c r="AM103" s="109" t="n">
        <f aca="false">INDEX($F103:$AG103,1,MATCH(AM$7,$F$7:$AG$7,1))</f>
        <v>75</v>
      </c>
      <c r="AN103" s="109" t="n">
        <f aca="false">INDEX($F103:$AG103,1,MATCH(AN$7,$F$7:$AG$7,1))</f>
        <v>75</v>
      </c>
      <c r="AO103" s="109" t="n">
        <f aca="false">INDEX($F103:$AG103,1,MATCH(AO$7,$F$7:$AG$7,1))</f>
        <v>75</v>
      </c>
    </row>
    <row r="104" customFormat="false" ht="15" hidden="false" customHeight="false" outlineLevel="0" collapsed="false">
      <c r="A104" s="107" t="s">
        <v>1541</v>
      </c>
      <c r="B104" s="22" t="s">
        <v>664</v>
      </c>
      <c r="C104" s="22" t="s">
        <v>558</v>
      </c>
      <c r="D104" s="22" t="s">
        <v>1476</v>
      </c>
      <c r="F104" s="108" t="n">
        <v>0</v>
      </c>
      <c r="G104" s="108" t="n">
        <v>0</v>
      </c>
      <c r="H104" s="108" t="n">
        <v>0</v>
      </c>
      <c r="I104" s="108" t="n">
        <v>0</v>
      </c>
      <c r="J104" s="108" t="n">
        <v>0</v>
      </c>
      <c r="K104" s="108" t="n">
        <v>0</v>
      </c>
      <c r="L104" s="108" t="n">
        <v>0</v>
      </c>
      <c r="M104" s="108" t="n">
        <v>0</v>
      </c>
      <c r="N104" s="108" t="n">
        <v>0</v>
      </c>
      <c r="O104" s="108" t="n">
        <v>0</v>
      </c>
      <c r="P104" s="108" t="n">
        <v>0</v>
      </c>
      <c r="Q104" s="108" t="n">
        <v>0</v>
      </c>
      <c r="R104" s="108" t="n">
        <v>0</v>
      </c>
      <c r="S104" s="108" t="n">
        <v>0</v>
      </c>
      <c r="T104" s="108" t="n">
        <v>0</v>
      </c>
      <c r="U104" s="108" t="n">
        <v>0</v>
      </c>
      <c r="V104" s="108" t="n">
        <v>35</v>
      </c>
      <c r="W104" s="108" t="n">
        <v>70</v>
      </c>
      <c r="X104" s="108" t="n">
        <v>70</v>
      </c>
      <c r="Y104" s="108" t="n">
        <v>70</v>
      </c>
      <c r="Z104" s="108" t="n">
        <v>70</v>
      </c>
      <c r="AA104" s="108" t="n">
        <v>70</v>
      </c>
      <c r="AB104" s="108" t="n">
        <v>70</v>
      </c>
      <c r="AC104" s="108" t="n">
        <v>70</v>
      </c>
      <c r="AD104" s="108" t="n">
        <v>70</v>
      </c>
      <c r="AE104" s="108" t="n">
        <v>70</v>
      </c>
      <c r="AF104" s="108" t="n">
        <v>70</v>
      </c>
      <c r="AG104" s="108" t="n">
        <v>70</v>
      </c>
      <c r="AI104" s="109" t="n">
        <f aca="false">INDEX($F104:$AG104,1,MATCH(AI$7,$F$7:$AG$7,1))</f>
        <v>0</v>
      </c>
      <c r="AJ104" s="109" t="n">
        <f aca="false">INDEX($F104:$AG104,1,MATCH(AJ$7,$F$7:$AG$7,1))</f>
        <v>0</v>
      </c>
      <c r="AK104" s="109" t="n">
        <f aca="false">INDEX($F104:$AG104,1,MATCH(AK$7,$F$7:$AG$7,1))</f>
        <v>0</v>
      </c>
      <c r="AL104" s="109" t="n">
        <f aca="false">INDEX($F104:$AG104,1,MATCH(AL$7,$F$7:$AG$7,1))</f>
        <v>0</v>
      </c>
      <c r="AM104" s="109" t="n">
        <f aca="false">INDEX($F104:$AG104,1,MATCH(AM$7,$F$7:$AG$7,1))</f>
        <v>70</v>
      </c>
      <c r="AN104" s="109" t="n">
        <f aca="false">INDEX($F104:$AG104,1,MATCH(AN$7,$F$7:$AG$7,1))</f>
        <v>70</v>
      </c>
      <c r="AO104" s="109" t="n">
        <f aca="false">INDEX($F104:$AG104,1,MATCH(AO$7,$F$7:$AG$7,1))</f>
        <v>70</v>
      </c>
    </row>
    <row r="105" customFormat="false" ht="15" hidden="false" customHeight="false" outlineLevel="0" collapsed="false">
      <c r="A105" s="107" t="s">
        <v>1542</v>
      </c>
      <c r="B105" s="22" t="s">
        <v>664</v>
      </c>
      <c r="C105" s="22" t="s">
        <v>558</v>
      </c>
      <c r="D105" s="22" t="s">
        <v>1478</v>
      </c>
      <c r="F105" s="108" t="n">
        <v>0</v>
      </c>
      <c r="G105" s="108" t="n">
        <v>0</v>
      </c>
      <c r="H105" s="108" t="n">
        <v>0</v>
      </c>
      <c r="I105" s="108" t="n">
        <v>0</v>
      </c>
      <c r="J105" s="108" t="n">
        <v>0</v>
      </c>
      <c r="K105" s="108" t="n">
        <v>0</v>
      </c>
      <c r="L105" s="108" t="n">
        <v>0</v>
      </c>
      <c r="M105" s="108" t="n">
        <v>0</v>
      </c>
      <c r="N105" s="108" t="n">
        <v>0</v>
      </c>
      <c r="O105" s="108" t="n">
        <v>0</v>
      </c>
      <c r="P105" s="108" t="n">
        <v>0</v>
      </c>
      <c r="Q105" s="108" t="n">
        <v>0</v>
      </c>
      <c r="R105" s="108" t="n">
        <v>0</v>
      </c>
      <c r="S105" s="108" t="n">
        <v>0</v>
      </c>
      <c r="T105" s="108" t="n">
        <v>0</v>
      </c>
      <c r="U105" s="108" t="n">
        <v>0</v>
      </c>
      <c r="V105" s="108" t="n">
        <v>35</v>
      </c>
      <c r="W105" s="108" t="n">
        <v>70</v>
      </c>
      <c r="X105" s="108" t="n">
        <v>70</v>
      </c>
      <c r="Y105" s="108" t="n">
        <v>70</v>
      </c>
      <c r="Z105" s="108" t="n">
        <v>70</v>
      </c>
      <c r="AA105" s="108" t="n">
        <v>70</v>
      </c>
      <c r="AB105" s="108" t="n">
        <v>70</v>
      </c>
      <c r="AC105" s="108" t="n">
        <v>70</v>
      </c>
      <c r="AD105" s="108" t="n">
        <v>70</v>
      </c>
      <c r="AE105" s="108" t="n">
        <v>70</v>
      </c>
      <c r="AF105" s="108" t="n">
        <v>70</v>
      </c>
      <c r="AG105" s="108" t="n">
        <v>70</v>
      </c>
      <c r="AI105" s="109" t="n">
        <f aca="false">INDEX($F105:$AG105,1,MATCH(AI$7,$F$7:$AG$7,1))</f>
        <v>0</v>
      </c>
      <c r="AJ105" s="109" t="n">
        <f aca="false">INDEX($F105:$AG105,1,MATCH(AJ$7,$F$7:$AG$7,1))</f>
        <v>0</v>
      </c>
      <c r="AK105" s="109" t="n">
        <f aca="false">INDEX($F105:$AG105,1,MATCH(AK$7,$F$7:$AG$7,1))</f>
        <v>0</v>
      </c>
      <c r="AL105" s="109" t="n">
        <f aca="false">INDEX($F105:$AG105,1,MATCH(AL$7,$F$7:$AG$7,1))</f>
        <v>0</v>
      </c>
      <c r="AM105" s="109" t="n">
        <f aca="false">INDEX($F105:$AG105,1,MATCH(AM$7,$F$7:$AG$7,1))</f>
        <v>70</v>
      </c>
      <c r="AN105" s="109" t="n">
        <f aca="false">INDEX($F105:$AG105,1,MATCH(AN$7,$F$7:$AG$7,1))</f>
        <v>70</v>
      </c>
      <c r="AO105" s="109" t="n">
        <f aca="false">INDEX($F105:$AG105,1,MATCH(AO$7,$F$7:$AG$7,1))</f>
        <v>70</v>
      </c>
    </row>
    <row r="106" customFormat="false" ht="15" hidden="false" customHeight="false" outlineLevel="0" collapsed="false">
      <c r="A106" s="107" t="s">
        <v>1543</v>
      </c>
      <c r="B106" s="22" t="s">
        <v>664</v>
      </c>
      <c r="C106" s="22" t="s">
        <v>540</v>
      </c>
      <c r="D106" s="22" t="s">
        <v>1480</v>
      </c>
      <c r="F106" s="109" t="n">
        <f aca="false">IF(CapV=2,N(F105),N(F104))</f>
        <v>0</v>
      </c>
      <c r="G106" s="109" t="n">
        <f aca="false">IF(CapV=2,N(G105),N(G104))</f>
        <v>0</v>
      </c>
      <c r="H106" s="109" t="n">
        <f aca="false">IF(CapV=2,N(H105),N(H104))</f>
        <v>0</v>
      </c>
      <c r="I106" s="109" t="n">
        <f aca="false">IF(CapV=2,N(I105),N(I104))</f>
        <v>0</v>
      </c>
      <c r="J106" s="109" t="n">
        <f aca="false">IF(CapV=2,N(J105),N(J104))</f>
        <v>0</v>
      </c>
      <c r="K106" s="109" t="n">
        <f aca="false">IF(CapV=2,N(K105),N(K104))</f>
        <v>0</v>
      </c>
      <c r="L106" s="109" t="n">
        <f aca="false">IF(CapV=2,N(L105),N(L104))</f>
        <v>0</v>
      </c>
      <c r="M106" s="109" t="n">
        <f aca="false">IF(CapV=2,N(M105),N(M104))</f>
        <v>0</v>
      </c>
      <c r="N106" s="109" t="n">
        <f aca="false">IF(CapV=2,N(N105),N(N104))</f>
        <v>0</v>
      </c>
      <c r="O106" s="109" t="n">
        <f aca="false">IF(CapV=2,N(O105),N(O104))</f>
        <v>0</v>
      </c>
      <c r="P106" s="109" t="n">
        <f aca="false">IF(CapV=2,N(P105),N(P104))</f>
        <v>0</v>
      </c>
      <c r="Q106" s="109" t="n">
        <f aca="false">IF(CapV=2,N(Q105),N(Q104))</f>
        <v>0</v>
      </c>
      <c r="R106" s="109" t="n">
        <f aca="false">IF(CapV=2,N(R105),N(R104))</f>
        <v>0</v>
      </c>
      <c r="S106" s="109" t="n">
        <f aca="false">IF(CapV=2,N(S105),N(S104))</f>
        <v>0</v>
      </c>
      <c r="T106" s="109" t="n">
        <f aca="false">IF(CapV=2,N(T105),N(T104))</f>
        <v>0</v>
      </c>
      <c r="U106" s="109" t="n">
        <f aca="false">IF(CapV=2,N(U105),N(U104))</f>
        <v>0</v>
      </c>
      <c r="V106" s="109" t="n">
        <f aca="false">IF(CapV=2,N(V105),N(V104))</f>
        <v>35</v>
      </c>
      <c r="W106" s="109" t="n">
        <f aca="false">IF(CapV=2,N(W105),N(W104))</f>
        <v>70</v>
      </c>
      <c r="X106" s="109" t="n">
        <f aca="false">IF(CapV=2,N(X105),N(X104))</f>
        <v>70</v>
      </c>
      <c r="Y106" s="109" t="n">
        <f aca="false">IF(CapV=2,N(Y105),N(Y104))</f>
        <v>70</v>
      </c>
      <c r="Z106" s="109" t="n">
        <f aca="false">IF(CapV=2,N(Z105),N(Z104))</f>
        <v>70</v>
      </c>
      <c r="AA106" s="109" t="n">
        <f aca="false">IF(CapV=2,N(AA105),N(AA104))</f>
        <v>70</v>
      </c>
      <c r="AB106" s="109" t="n">
        <f aca="false">IF(CapV=2,N(AB105),N(AB104))</f>
        <v>70</v>
      </c>
      <c r="AC106" s="109" t="n">
        <f aca="false">IF(CapV=2,N(AC105),N(AC104))</f>
        <v>70</v>
      </c>
      <c r="AD106" s="109" t="n">
        <f aca="false">IF(CapV=2,N(AD105),N(AD104))</f>
        <v>70</v>
      </c>
      <c r="AE106" s="109" t="n">
        <f aca="false">IF(CapV=2,N(AE105),N(AE104))</f>
        <v>70</v>
      </c>
      <c r="AF106" s="109" t="n">
        <f aca="false">IF(CapV=2,N(AF105),N(AF104))</f>
        <v>70</v>
      </c>
      <c r="AG106" s="109" t="n">
        <f aca="false">IF(CapV=2,N(AG105),N(AG104))</f>
        <v>70</v>
      </c>
      <c r="AI106" s="109" t="n">
        <f aca="false">INDEX($F106:$AG106,1,MATCH(AI$7,$F$7:$AG$7,1))</f>
        <v>0</v>
      </c>
      <c r="AJ106" s="109" t="n">
        <f aca="false">INDEX($F106:$AG106,1,MATCH(AJ$7,$F$7:$AG$7,1))</f>
        <v>0</v>
      </c>
      <c r="AK106" s="109" t="n">
        <f aca="false">INDEX($F106:$AG106,1,MATCH(AK$7,$F$7:$AG$7,1))</f>
        <v>0</v>
      </c>
      <c r="AL106" s="109" t="n">
        <f aca="false">INDEX($F106:$AG106,1,MATCH(AL$7,$F$7:$AG$7,1))</f>
        <v>0</v>
      </c>
      <c r="AM106" s="109" t="n">
        <f aca="false">INDEX($F106:$AG106,1,MATCH(AM$7,$F$7:$AG$7,1))</f>
        <v>70</v>
      </c>
      <c r="AN106" s="109" t="n">
        <f aca="false">INDEX($F106:$AG106,1,MATCH(AN$7,$F$7:$AG$7,1))</f>
        <v>70</v>
      </c>
      <c r="AO106" s="109" t="n">
        <f aca="false">INDEX($F106:$AG106,1,MATCH(AO$7,$F$7:$AG$7,1))</f>
        <v>70</v>
      </c>
    </row>
    <row r="107" customFormat="false" ht="15" hidden="false" customHeight="false" outlineLevel="0" collapsed="false">
      <c r="A107" s="107" t="s">
        <v>1544</v>
      </c>
      <c r="B107" s="22" t="s">
        <v>664</v>
      </c>
      <c r="C107" s="22" t="s">
        <v>558</v>
      </c>
      <c r="D107" s="22" t="s">
        <v>1476</v>
      </c>
      <c r="F107" s="108" t="n">
        <v>0</v>
      </c>
      <c r="G107" s="108" t="n">
        <v>0</v>
      </c>
      <c r="H107" s="108" t="n">
        <v>0</v>
      </c>
      <c r="I107" s="108" t="n">
        <v>0</v>
      </c>
      <c r="J107" s="108" t="n">
        <v>0</v>
      </c>
      <c r="K107" s="108" t="n">
        <v>0</v>
      </c>
      <c r="L107" s="108" t="n">
        <v>0</v>
      </c>
      <c r="M107" s="108" t="n">
        <v>0</v>
      </c>
      <c r="N107" s="108" t="n">
        <v>0</v>
      </c>
      <c r="O107" s="108" t="n">
        <v>0</v>
      </c>
      <c r="P107" s="108" t="n">
        <v>0</v>
      </c>
      <c r="Q107" s="108" t="n">
        <v>0</v>
      </c>
      <c r="R107" s="108" t="n">
        <v>0</v>
      </c>
      <c r="S107" s="108" t="n">
        <v>0</v>
      </c>
      <c r="T107" s="108" t="n">
        <v>0</v>
      </c>
      <c r="U107" s="108" t="n">
        <v>17.5</v>
      </c>
      <c r="V107" s="108" t="n">
        <v>52.5</v>
      </c>
      <c r="W107" s="108" t="n">
        <v>70</v>
      </c>
      <c r="X107" s="108" t="n">
        <v>70</v>
      </c>
      <c r="Y107" s="108" t="n">
        <v>70</v>
      </c>
      <c r="Z107" s="108" t="n">
        <v>70</v>
      </c>
      <c r="AA107" s="108" t="n">
        <v>70</v>
      </c>
      <c r="AB107" s="108" t="n">
        <v>70</v>
      </c>
      <c r="AC107" s="108" t="n">
        <v>70</v>
      </c>
      <c r="AD107" s="108" t="n">
        <v>70</v>
      </c>
      <c r="AE107" s="108" t="n">
        <v>70</v>
      </c>
      <c r="AF107" s="108" t="n">
        <v>70</v>
      </c>
      <c r="AG107" s="108" t="n">
        <v>70</v>
      </c>
      <c r="AI107" s="109" t="n">
        <f aca="false">INDEX($F107:$AG107,1,MATCH(AI$7,$F$7:$AG$7,1))</f>
        <v>0</v>
      </c>
      <c r="AJ107" s="109" t="n">
        <f aca="false">INDEX($F107:$AG107,1,MATCH(AJ$7,$F$7:$AG$7,1))</f>
        <v>0</v>
      </c>
      <c r="AK107" s="109" t="n">
        <f aca="false">INDEX($F107:$AG107,1,MATCH(AK$7,$F$7:$AG$7,1))</f>
        <v>0</v>
      </c>
      <c r="AL107" s="109" t="n">
        <f aca="false">INDEX($F107:$AG107,1,MATCH(AL$7,$F$7:$AG$7,1))</f>
        <v>17.5</v>
      </c>
      <c r="AM107" s="109" t="n">
        <f aca="false">INDEX($F107:$AG107,1,MATCH(AM$7,$F$7:$AG$7,1))</f>
        <v>70</v>
      </c>
      <c r="AN107" s="109" t="n">
        <f aca="false">INDEX($F107:$AG107,1,MATCH(AN$7,$F$7:$AG$7,1))</f>
        <v>70</v>
      </c>
      <c r="AO107" s="109" t="n">
        <f aca="false">INDEX($F107:$AG107,1,MATCH(AO$7,$F$7:$AG$7,1))</f>
        <v>70</v>
      </c>
    </row>
    <row r="108" customFormat="false" ht="15" hidden="false" customHeight="false" outlineLevel="0" collapsed="false">
      <c r="A108" s="107" t="s">
        <v>1545</v>
      </c>
      <c r="B108" s="22" t="s">
        <v>664</v>
      </c>
      <c r="C108" s="22" t="s">
        <v>558</v>
      </c>
      <c r="D108" s="22" t="s">
        <v>1478</v>
      </c>
      <c r="F108" s="108" t="n">
        <v>0</v>
      </c>
      <c r="G108" s="108" t="n">
        <v>0</v>
      </c>
      <c r="H108" s="108" t="n">
        <v>0</v>
      </c>
      <c r="I108" s="108" t="n">
        <v>0</v>
      </c>
      <c r="J108" s="108" t="n">
        <v>0</v>
      </c>
      <c r="K108" s="108" t="n">
        <v>0</v>
      </c>
      <c r="L108" s="108" t="n">
        <v>0</v>
      </c>
      <c r="M108" s="108" t="n">
        <v>0</v>
      </c>
      <c r="N108" s="108" t="n">
        <v>0</v>
      </c>
      <c r="O108" s="108" t="n">
        <v>0</v>
      </c>
      <c r="P108" s="108" t="n">
        <v>0</v>
      </c>
      <c r="Q108" s="108" t="n">
        <v>0</v>
      </c>
      <c r="R108" s="108" t="n">
        <v>0</v>
      </c>
      <c r="S108" s="108" t="n">
        <v>0</v>
      </c>
      <c r="T108" s="108" t="n">
        <v>0</v>
      </c>
      <c r="U108" s="108" t="n">
        <v>17.5</v>
      </c>
      <c r="V108" s="108" t="n">
        <v>52.5</v>
      </c>
      <c r="W108" s="108" t="n">
        <v>70</v>
      </c>
      <c r="X108" s="108" t="n">
        <v>70</v>
      </c>
      <c r="Y108" s="108" t="n">
        <v>70</v>
      </c>
      <c r="Z108" s="108" t="n">
        <v>70</v>
      </c>
      <c r="AA108" s="108" t="n">
        <v>70</v>
      </c>
      <c r="AB108" s="108" t="n">
        <v>70</v>
      </c>
      <c r="AC108" s="108" t="n">
        <v>70</v>
      </c>
      <c r="AD108" s="108" t="n">
        <v>70</v>
      </c>
      <c r="AE108" s="108" t="n">
        <v>70</v>
      </c>
      <c r="AF108" s="108" t="n">
        <v>70</v>
      </c>
      <c r="AG108" s="108" t="n">
        <v>70</v>
      </c>
      <c r="AI108" s="109" t="n">
        <f aca="false">INDEX($F108:$AG108,1,MATCH(AI$7,$F$7:$AG$7,1))</f>
        <v>0</v>
      </c>
      <c r="AJ108" s="109" t="n">
        <f aca="false">INDEX($F108:$AG108,1,MATCH(AJ$7,$F$7:$AG$7,1))</f>
        <v>0</v>
      </c>
      <c r="AK108" s="109" t="n">
        <f aca="false">INDEX($F108:$AG108,1,MATCH(AK$7,$F$7:$AG$7,1))</f>
        <v>0</v>
      </c>
      <c r="AL108" s="109" t="n">
        <f aca="false">INDEX($F108:$AG108,1,MATCH(AL$7,$F$7:$AG$7,1))</f>
        <v>17.5</v>
      </c>
      <c r="AM108" s="109" t="n">
        <f aca="false">INDEX($F108:$AG108,1,MATCH(AM$7,$F$7:$AG$7,1))</f>
        <v>70</v>
      </c>
      <c r="AN108" s="109" t="n">
        <f aca="false">INDEX($F108:$AG108,1,MATCH(AN$7,$F$7:$AG$7,1))</f>
        <v>70</v>
      </c>
      <c r="AO108" s="109" t="n">
        <f aca="false">INDEX($F108:$AG108,1,MATCH(AO$7,$F$7:$AG$7,1))</f>
        <v>70</v>
      </c>
    </row>
    <row r="109" customFormat="false" ht="15" hidden="false" customHeight="false" outlineLevel="0" collapsed="false">
      <c r="A109" s="107" t="s">
        <v>1546</v>
      </c>
      <c r="B109" s="22" t="s">
        <v>664</v>
      </c>
      <c r="C109" s="22" t="s">
        <v>540</v>
      </c>
      <c r="D109" s="22" t="s">
        <v>1480</v>
      </c>
      <c r="F109" s="109" t="n">
        <f aca="false">IF(CapV=2,N(F108),N(F107))</f>
        <v>0</v>
      </c>
      <c r="G109" s="109" t="n">
        <f aca="false">IF(CapV=2,N(G108),N(G107))</f>
        <v>0</v>
      </c>
      <c r="H109" s="109" t="n">
        <f aca="false">IF(CapV=2,N(H108),N(H107))</f>
        <v>0</v>
      </c>
      <c r="I109" s="109" t="n">
        <f aca="false">IF(CapV=2,N(I108),N(I107))</f>
        <v>0</v>
      </c>
      <c r="J109" s="109" t="n">
        <f aca="false">IF(CapV=2,N(J108),N(J107))</f>
        <v>0</v>
      </c>
      <c r="K109" s="109" t="n">
        <f aca="false">IF(CapV=2,N(K108),N(K107))</f>
        <v>0</v>
      </c>
      <c r="L109" s="109" t="n">
        <f aca="false">IF(CapV=2,N(L108),N(L107))</f>
        <v>0</v>
      </c>
      <c r="M109" s="109" t="n">
        <f aca="false">IF(CapV=2,N(M108),N(M107))</f>
        <v>0</v>
      </c>
      <c r="N109" s="109" t="n">
        <f aca="false">IF(CapV=2,N(N108),N(N107))</f>
        <v>0</v>
      </c>
      <c r="O109" s="109" t="n">
        <f aca="false">IF(CapV=2,N(O108),N(O107))</f>
        <v>0</v>
      </c>
      <c r="P109" s="109" t="n">
        <f aca="false">IF(CapV=2,N(P108),N(P107))</f>
        <v>0</v>
      </c>
      <c r="Q109" s="109" t="n">
        <f aca="false">IF(CapV=2,N(Q108),N(Q107))</f>
        <v>0</v>
      </c>
      <c r="R109" s="109" t="n">
        <f aca="false">IF(CapV=2,N(R108),N(R107))</f>
        <v>0</v>
      </c>
      <c r="S109" s="109" t="n">
        <f aca="false">IF(CapV=2,N(S108),N(S107))</f>
        <v>0</v>
      </c>
      <c r="T109" s="109" t="n">
        <f aca="false">IF(CapV=2,N(T108),N(T107))</f>
        <v>0</v>
      </c>
      <c r="U109" s="109" t="n">
        <f aca="false">IF(CapV=2,N(U108),N(U107))</f>
        <v>17.5</v>
      </c>
      <c r="V109" s="109" t="n">
        <f aca="false">IF(CapV=2,N(V108),N(V107))</f>
        <v>52.5</v>
      </c>
      <c r="W109" s="109" t="n">
        <f aca="false">IF(CapV=2,N(W108),N(W107))</f>
        <v>70</v>
      </c>
      <c r="X109" s="109" t="n">
        <f aca="false">IF(CapV=2,N(X108),N(X107))</f>
        <v>70</v>
      </c>
      <c r="Y109" s="109" t="n">
        <f aca="false">IF(CapV=2,N(Y108),N(Y107))</f>
        <v>70</v>
      </c>
      <c r="Z109" s="109" t="n">
        <f aca="false">IF(CapV=2,N(Z108),N(Z107))</f>
        <v>70</v>
      </c>
      <c r="AA109" s="109" t="n">
        <f aca="false">IF(CapV=2,N(AA108),N(AA107))</f>
        <v>70</v>
      </c>
      <c r="AB109" s="109" t="n">
        <f aca="false">IF(CapV=2,N(AB108),N(AB107))</f>
        <v>70</v>
      </c>
      <c r="AC109" s="109" t="n">
        <f aca="false">IF(CapV=2,N(AC108),N(AC107))</f>
        <v>70</v>
      </c>
      <c r="AD109" s="109" t="n">
        <f aca="false">IF(CapV=2,N(AD108),N(AD107))</f>
        <v>70</v>
      </c>
      <c r="AE109" s="109" t="n">
        <f aca="false">IF(CapV=2,N(AE108),N(AE107))</f>
        <v>70</v>
      </c>
      <c r="AF109" s="109" t="n">
        <f aca="false">IF(CapV=2,N(AF108),N(AF107))</f>
        <v>70</v>
      </c>
      <c r="AG109" s="109" t="n">
        <f aca="false">IF(CapV=2,N(AG108),N(AG107))</f>
        <v>70</v>
      </c>
      <c r="AI109" s="109" t="n">
        <f aca="false">INDEX($F109:$AG109,1,MATCH(AI$7,$F$7:$AG$7,1))</f>
        <v>0</v>
      </c>
      <c r="AJ109" s="109" t="n">
        <f aca="false">INDEX($F109:$AG109,1,MATCH(AJ$7,$F$7:$AG$7,1))</f>
        <v>0</v>
      </c>
      <c r="AK109" s="109" t="n">
        <f aca="false">INDEX($F109:$AG109,1,MATCH(AK$7,$F$7:$AG$7,1))</f>
        <v>0</v>
      </c>
      <c r="AL109" s="109" t="n">
        <f aca="false">INDEX($F109:$AG109,1,MATCH(AL$7,$F$7:$AG$7,1))</f>
        <v>17.5</v>
      </c>
      <c r="AM109" s="109" t="n">
        <f aca="false">INDEX($F109:$AG109,1,MATCH(AM$7,$F$7:$AG$7,1))</f>
        <v>70</v>
      </c>
      <c r="AN109" s="109" t="n">
        <f aca="false">INDEX($F109:$AG109,1,MATCH(AN$7,$F$7:$AG$7,1))</f>
        <v>70</v>
      </c>
      <c r="AO109" s="109" t="n">
        <f aca="false">INDEX($F109:$AG109,1,MATCH(AO$7,$F$7:$AG$7,1))</f>
        <v>70</v>
      </c>
    </row>
    <row r="110" customFormat="false" ht="15" hidden="false" customHeight="false" outlineLevel="0" collapsed="false">
      <c r="A110" s="107" t="s">
        <v>1547</v>
      </c>
      <c r="B110" s="22" t="s">
        <v>664</v>
      </c>
      <c r="C110" s="22" t="s">
        <v>558</v>
      </c>
      <c r="D110" s="22" t="s">
        <v>1476</v>
      </c>
      <c r="F110" s="108" t="n">
        <v>0</v>
      </c>
      <c r="G110" s="108" t="n">
        <v>0</v>
      </c>
      <c r="H110" s="108" t="n">
        <v>0</v>
      </c>
      <c r="I110" s="108" t="n">
        <v>0</v>
      </c>
      <c r="J110" s="108" t="n">
        <v>0</v>
      </c>
      <c r="K110" s="108" t="n">
        <v>0</v>
      </c>
      <c r="L110" s="108" t="n">
        <v>0</v>
      </c>
      <c r="M110" s="108" t="n">
        <v>0</v>
      </c>
      <c r="N110" s="108" t="n">
        <v>0</v>
      </c>
      <c r="O110" s="108" t="n">
        <v>0</v>
      </c>
      <c r="P110" s="108" t="n">
        <v>0</v>
      </c>
      <c r="Q110" s="108" t="n">
        <v>0</v>
      </c>
      <c r="R110" s="108" t="n">
        <v>0</v>
      </c>
      <c r="S110" s="108" t="n">
        <v>0</v>
      </c>
      <c r="T110" s="108" t="n">
        <v>0</v>
      </c>
      <c r="U110" s="108" t="n">
        <v>35</v>
      </c>
      <c r="V110" s="108" t="n">
        <v>70</v>
      </c>
      <c r="W110" s="108" t="n">
        <v>70</v>
      </c>
      <c r="X110" s="108" t="n">
        <v>70</v>
      </c>
      <c r="Y110" s="108" t="n">
        <v>70</v>
      </c>
      <c r="Z110" s="108" t="n">
        <v>70</v>
      </c>
      <c r="AA110" s="108" t="n">
        <v>70</v>
      </c>
      <c r="AB110" s="108" t="n">
        <v>70</v>
      </c>
      <c r="AC110" s="108" t="n">
        <v>70</v>
      </c>
      <c r="AD110" s="108" t="n">
        <v>70</v>
      </c>
      <c r="AE110" s="108" t="n">
        <v>70</v>
      </c>
      <c r="AF110" s="108" t="n">
        <v>70</v>
      </c>
      <c r="AG110" s="108" t="n">
        <v>70</v>
      </c>
      <c r="AI110" s="109" t="n">
        <f aca="false">INDEX($F110:$AG110,1,MATCH(AI$7,$F$7:$AG$7,1))</f>
        <v>0</v>
      </c>
      <c r="AJ110" s="109" t="n">
        <f aca="false">INDEX($F110:$AG110,1,MATCH(AJ$7,$F$7:$AG$7,1))</f>
        <v>0</v>
      </c>
      <c r="AK110" s="109" t="n">
        <f aca="false">INDEX($F110:$AG110,1,MATCH(AK$7,$F$7:$AG$7,1))</f>
        <v>0</v>
      </c>
      <c r="AL110" s="109" t="n">
        <f aca="false">INDEX($F110:$AG110,1,MATCH(AL$7,$F$7:$AG$7,1))</f>
        <v>35</v>
      </c>
      <c r="AM110" s="109" t="n">
        <f aca="false">INDEX($F110:$AG110,1,MATCH(AM$7,$F$7:$AG$7,1))</f>
        <v>70</v>
      </c>
      <c r="AN110" s="109" t="n">
        <f aca="false">INDEX($F110:$AG110,1,MATCH(AN$7,$F$7:$AG$7,1))</f>
        <v>70</v>
      </c>
      <c r="AO110" s="109" t="n">
        <f aca="false">INDEX($F110:$AG110,1,MATCH(AO$7,$F$7:$AG$7,1))</f>
        <v>70</v>
      </c>
    </row>
    <row r="111" customFormat="false" ht="15" hidden="false" customHeight="false" outlineLevel="0" collapsed="false">
      <c r="A111" s="107" t="s">
        <v>1548</v>
      </c>
      <c r="B111" s="22" t="s">
        <v>664</v>
      </c>
      <c r="C111" s="22" t="s">
        <v>558</v>
      </c>
      <c r="D111" s="22" t="s">
        <v>1478</v>
      </c>
      <c r="F111" s="108" t="n">
        <v>0</v>
      </c>
      <c r="G111" s="108" t="n">
        <v>0</v>
      </c>
      <c r="H111" s="108" t="n">
        <v>0</v>
      </c>
      <c r="I111" s="108" t="n">
        <v>0</v>
      </c>
      <c r="J111" s="108" t="n">
        <v>0</v>
      </c>
      <c r="K111" s="108" t="n">
        <v>0</v>
      </c>
      <c r="L111" s="108" t="n">
        <v>0</v>
      </c>
      <c r="M111" s="108" t="n">
        <v>0</v>
      </c>
      <c r="N111" s="108" t="n">
        <v>0</v>
      </c>
      <c r="O111" s="108" t="n">
        <v>0</v>
      </c>
      <c r="P111" s="108" t="n">
        <v>0</v>
      </c>
      <c r="Q111" s="108" t="n">
        <v>0</v>
      </c>
      <c r="R111" s="108" t="n">
        <v>0</v>
      </c>
      <c r="S111" s="108" t="n">
        <v>0</v>
      </c>
      <c r="T111" s="108" t="n">
        <v>0</v>
      </c>
      <c r="U111" s="108" t="n">
        <v>35</v>
      </c>
      <c r="V111" s="108" t="n">
        <v>70</v>
      </c>
      <c r="W111" s="108" t="n">
        <v>70</v>
      </c>
      <c r="X111" s="108" t="n">
        <v>70</v>
      </c>
      <c r="Y111" s="108" t="n">
        <v>70</v>
      </c>
      <c r="Z111" s="108" t="n">
        <v>70</v>
      </c>
      <c r="AA111" s="108" t="n">
        <v>70</v>
      </c>
      <c r="AB111" s="108" t="n">
        <v>70</v>
      </c>
      <c r="AC111" s="108" t="n">
        <v>70</v>
      </c>
      <c r="AD111" s="108" t="n">
        <v>70</v>
      </c>
      <c r="AE111" s="108" t="n">
        <v>70</v>
      </c>
      <c r="AF111" s="108" t="n">
        <v>70</v>
      </c>
      <c r="AG111" s="108" t="n">
        <v>70</v>
      </c>
      <c r="AI111" s="109" t="n">
        <f aca="false">INDEX($F111:$AG111,1,MATCH(AI$7,$F$7:$AG$7,1))</f>
        <v>0</v>
      </c>
      <c r="AJ111" s="109" t="n">
        <f aca="false">INDEX($F111:$AG111,1,MATCH(AJ$7,$F$7:$AG$7,1))</f>
        <v>0</v>
      </c>
      <c r="AK111" s="109" t="n">
        <f aca="false">INDEX($F111:$AG111,1,MATCH(AK$7,$F$7:$AG$7,1))</f>
        <v>0</v>
      </c>
      <c r="AL111" s="109" t="n">
        <f aca="false">INDEX($F111:$AG111,1,MATCH(AL$7,$F$7:$AG$7,1))</f>
        <v>35</v>
      </c>
      <c r="AM111" s="109" t="n">
        <f aca="false">INDEX($F111:$AG111,1,MATCH(AM$7,$F$7:$AG$7,1))</f>
        <v>70</v>
      </c>
      <c r="AN111" s="109" t="n">
        <f aca="false">INDEX($F111:$AG111,1,MATCH(AN$7,$F$7:$AG$7,1))</f>
        <v>70</v>
      </c>
      <c r="AO111" s="109" t="n">
        <f aca="false">INDEX($F111:$AG111,1,MATCH(AO$7,$F$7:$AG$7,1))</f>
        <v>70</v>
      </c>
    </row>
    <row r="112" customFormat="false" ht="15" hidden="false" customHeight="false" outlineLevel="0" collapsed="false">
      <c r="A112" s="107" t="s">
        <v>1549</v>
      </c>
      <c r="B112" s="22" t="s">
        <v>664</v>
      </c>
      <c r="C112" s="22" t="s">
        <v>540</v>
      </c>
      <c r="D112" s="22" t="s">
        <v>1480</v>
      </c>
      <c r="F112" s="109" t="n">
        <f aca="false">IF(CapV=2,N(F111),N(F110))</f>
        <v>0</v>
      </c>
      <c r="G112" s="109" t="n">
        <f aca="false">IF(CapV=2,N(G111),N(G110))</f>
        <v>0</v>
      </c>
      <c r="H112" s="109" t="n">
        <f aca="false">IF(CapV=2,N(H111),N(H110))</f>
        <v>0</v>
      </c>
      <c r="I112" s="109" t="n">
        <f aca="false">IF(CapV=2,N(I111),N(I110))</f>
        <v>0</v>
      </c>
      <c r="J112" s="109" t="n">
        <f aca="false">IF(CapV=2,N(J111),N(J110))</f>
        <v>0</v>
      </c>
      <c r="K112" s="109" t="n">
        <f aca="false">IF(CapV=2,N(K111),N(K110))</f>
        <v>0</v>
      </c>
      <c r="L112" s="109" t="n">
        <f aca="false">IF(CapV=2,N(L111),N(L110))</f>
        <v>0</v>
      </c>
      <c r="M112" s="109" t="n">
        <f aca="false">IF(CapV=2,N(M111),N(M110))</f>
        <v>0</v>
      </c>
      <c r="N112" s="109" t="n">
        <f aca="false">IF(CapV=2,N(N111),N(N110))</f>
        <v>0</v>
      </c>
      <c r="O112" s="109" t="n">
        <f aca="false">IF(CapV=2,N(O111),N(O110))</f>
        <v>0</v>
      </c>
      <c r="P112" s="109" t="n">
        <f aca="false">IF(CapV=2,N(P111),N(P110))</f>
        <v>0</v>
      </c>
      <c r="Q112" s="109" t="n">
        <f aca="false">IF(CapV=2,N(Q111),N(Q110))</f>
        <v>0</v>
      </c>
      <c r="R112" s="109" t="n">
        <f aca="false">IF(CapV=2,N(R111),N(R110))</f>
        <v>0</v>
      </c>
      <c r="S112" s="109" t="n">
        <f aca="false">IF(CapV=2,N(S111),N(S110))</f>
        <v>0</v>
      </c>
      <c r="T112" s="109" t="n">
        <f aca="false">IF(CapV=2,N(T111),N(T110))</f>
        <v>0</v>
      </c>
      <c r="U112" s="109" t="n">
        <f aca="false">IF(CapV=2,N(U111),N(U110))</f>
        <v>35</v>
      </c>
      <c r="V112" s="109" t="n">
        <f aca="false">IF(CapV=2,N(V111),N(V110))</f>
        <v>70</v>
      </c>
      <c r="W112" s="109" t="n">
        <f aca="false">IF(CapV=2,N(W111),N(W110))</f>
        <v>70</v>
      </c>
      <c r="X112" s="109" t="n">
        <f aca="false">IF(CapV=2,N(X111),N(X110))</f>
        <v>70</v>
      </c>
      <c r="Y112" s="109" t="n">
        <f aca="false">IF(CapV=2,N(Y111),N(Y110))</f>
        <v>70</v>
      </c>
      <c r="Z112" s="109" t="n">
        <f aca="false">IF(CapV=2,N(Z111),N(Z110))</f>
        <v>70</v>
      </c>
      <c r="AA112" s="109" t="n">
        <f aca="false">IF(CapV=2,N(AA111),N(AA110))</f>
        <v>70</v>
      </c>
      <c r="AB112" s="109" t="n">
        <f aca="false">IF(CapV=2,N(AB111),N(AB110))</f>
        <v>70</v>
      </c>
      <c r="AC112" s="109" t="n">
        <f aca="false">IF(CapV=2,N(AC111),N(AC110))</f>
        <v>70</v>
      </c>
      <c r="AD112" s="109" t="n">
        <f aca="false">IF(CapV=2,N(AD111),N(AD110))</f>
        <v>70</v>
      </c>
      <c r="AE112" s="109" t="n">
        <f aca="false">IF(CapV=2,N(AE111),N(AE110))</f>
        <v>70</v>
      </c>
      <c r="AF112" s="109" t="n">
        <f aca="false">IF(CapV=2,N(AF111),N(AF110))</f>
        <v>70</v>
      </c>
      <c r="AG112" s="109" t="n">
        <f aca="false">IF(CapV=2,N(AG111),N(AG110))</f>
        <v>70</v>
      </c>
      <c r="AI112" s="109" t="n">
        <f aca="false">INDEX($F112:$AG112,1,MATCH(AI$7,$F$7:$AG$7,1))</f>
        <v>0</v>
      </c>
      <c r="AJ112" s="109" t="n">
        <f aca="false">INDEX($F112:$AG112,1,MATCH(AJ$7,$F$7:$AG$7,1))</f>
        <v>0</v>
      </c>
      <c r="AK112" s="109" t="n">
        <f aca="false">INDEX($F112:$AG112,1,MATCH(AK$7,$F$7:$AG$7,1))</f>
        <v>0</v>
      </c>
      <c r="AL112" s="109" t="n">
        <f aca="false">INDEX($F112:$AG112,1,MATCH(AL$7,$F$7:$AG$7,1))</f>
        <v>35</v>
      </c>
      <c r="AM112" s="109" t="n">
        <f aca="false">INDEX($F112:$AG112,1,MATCH(AM$7,$F$7:$AG$7,1))</f>
        <v>70</v>
      </c>
      <c r="AN112" s="109" t="n">
        <f aca="false">INDEX($F112:$AG112,1,MATCH(AN$7,$F$7:$AG$7,1))</f>
        <v>70</v>
      </c>
      <c r="AO112" s="109" t="n">
        <f aca="false">INDEX($F112:$AG112,1,MATCH(AO$7,$F$7:$AG$7,1))</f>
        <v>70</v>
      </c>
    </row>
    <row r="113" customFormat="false" ht="15" hidden="false" customHeight="false" outlineLevel="0" collapsed="false">
      <c r="A113" s="107" t="s">
        <v>1550</v>
      </c>
      <c r="B113" s="22" t="s">
        <v>664</v>
      </c>
      <c r="C113" s="22" t="s">
        <v>558</v>
      </c>
      <c r="D113" s="22" t="s">
        <v>1476</v>
      </c>
      <c r="F113" s="108" t="n">
        <v>0</v>
      </c>
      <c r="G113" s="108" t="n">
        <v>0</v>
      </c>
      <c r="H113" s="108" t="n">
        <v>0</v>
      </c>
      <c r="I113" s="108" t="n">
        <v>0</v>
      </c>
      <c r="J113" s="108" t="n">
        <v>0</v>
      </c>
      <c r="K113" s="108" t="n">
        <v>5</v>
      </c>
      <c r="L113" s="108" t="n">
        <v>5</v>
      </c>
      <c r="M113" s="108" t="n">
        <v>5</v>
      </c>
      <c r="N113" s="108" t="n">
        <v>5</v>
      </c>
      <c r="O113" s="108" t="n">
        <v>5</v>
      </c>
      <c r="P113" s="108" t="n">
        <v>5</v>
      </c>
      <c r="Q113" s="108" t="n">
        <v>5</v>
      </c>
      <c r="R113" s="108" t="n">
        <v>5</v>
      </c>
      <c r="S113" s="108" t="n">
        <v>5</v>
      </c>
      <c r="T113" s="108" t="n">
        <v>5</v>
      </c>
      <c r="U113" s="108" t="n">
        <v>20</v>
      </c>
      <c r="V113" s="108" t="n">
        <v>20</v>
      </c>
      <c r="W113" s="108" t="n">
        <v>20</v>
      </c>
      <c r="X113" s="108" t="n">
        <v>20</v>
      </c>
      <c r="Y113" s="108" t="n">
        <v>20</v>
      </c>
      <c r="Z113" s="108" t="n">
        <v>20</v>
      </c>
      <c r="AA113" s="108" t="n">
        <v>20</v>
      </c>
      <c r="AB113" s="108" t="n">
        <v>20</v>
      </c>
      <c r="AC113" s="108" t="n">
        <v>20</v>
      </c>
      <c r="AD113" s="108" t="n">
        <v>20</v>
      </c>
      <c r="AE113" s="108" t="n">
        <v>20</v>
      </c>
      <c r="AF113" s="108" t="n">
        <v>20</v>
      </c>
      <c r="AG113" s="108" t="n">
        <v>20</v>
      </c>
      <c r="AI113" s="109" t="n">
        <f aca="false">INDEX($F113:$AG113,1,MATCH(AI$7,$F$7:$AG$7,1))</f>
        <v>0</v>
      </c>
      <c r="AJ113" s="109" t="n">
        <f aca="false">INDEX($F113:$AG113,1,MATCH(AJ$7,$F$7:$AG$7,1))</f>
        <v>5</v>
      </c>
      <c r="AK113" s="109" t="n">
        <f aca="false">INDEX($F113:$AG113,1,MATCH(AK$7,$F$7:$AG$7,1))</f>
        <v>5</v>
      </c>
      <c r="AL113" s="109" t="n">
        <f aca="false">INDEX($F113:$AG113,1,MATCH(AL$7,$F$7:$AG$7,1))</f>
        <v>20</v>
      </c>
      <c r="AM113" s="109" t="n">
        <f aca="false">INDEX($F113:$AG113,1,MATCH(AM$7,$F$7:$AG$7,1))</f>
        <v>20</v>
      </c>
      <c r="AN113" s="109" t="n">
        <f aca="false">INDEX($F113:$AG113,1,MATCH(AN$7,$F$7:$AG$7,1))</f>
        <v>20</v>
      </c>
      <c r="AO113" s="109" t="n">
        <f aca="false">INDEX($F113:$AG113,1,MATCH(AO$7,$F$7:$AG$7,1))</f>
        <v>20</v>
      </c>
    </row>
    <row r="114" customFormat="false" ht="15" hidden="false" customHeight="false" outlineLevel="0" collapsed="false">
      <c r="A114" s="107" t="s">
        <v>1551</v>
      </c>
      <c r="B114" s="22" t="s">
        <v>664</v>
      </c>
      <c r="C114" s="22" t="s">
        <v>558</v>
      </c>
      <c r="D114" s="22" t="s">
        <v>1478</v>
      </c>
      <c r="F114" s="108" t="n">
        <v>0</v>
      </c>
      <c r="G114" s="108" t="n">
        <v>0</v>
      </c>
      <c r="H114" s="108" t="n">
        <v>0</v>
      </c>
      <c r="I114" s="108" t="n">
        <v>0</v>
      </c>
      <c r="J114" s="108" t="n">
        <v>5</v>
      </c>
      <c r="K114" s="108" t="n">
        <v>5</v>
      </c>
      <c r="L114" s="108" t="n">
        <v>5</v>
      </c>
      <c r="M114" s="108" t="n">
        <v>5</v>
      </c>
      <c r="N114" s="108" t="n">
        <v>5</v>
      </c>
      <c r="O114" s="108" t="n">
        <v>5</v>
      </c>
      <c r="P114" s="108" t="n">
        <v>5</v>
      </c>
      <c r="Q114" s="108" t="n">
        <v>5</v>
      </c>
      <c r="R114" s="108" t="n">
        <v>5</v>
      </c>
      <c r="S114" s="108" t="n">
        <v>5</v>
      </c>
      <c r="T114" s="108" t="n">
        <v>5</v>
      </c>
      <c r="U114" s="108" t="n">
        <v>20</v>
      </c>
      <c r="V114" s="108" t="n">
        <v>20</v>
      </c>
      <c r="W114" s="108" t="n">
        <v>20</v>
      </c>
      <c r="X114" s="108" t="n">
        <v>20</v>
      </c>
      <c r="Y114" s="108" t="n">
        <v>20</v>
      </c>
      <c r="Z114" s="108" t="n">
        <v>20</v>
      </c>
      <c r="AA114" s="108" t="n">
        <v>20</v>
      </c>
      <c r="AB114" s="108" t="n">
        <v>20</v>
      </c>
      <c r="AC114" s="108" t="n">
        <v>20</v>
      </c>
      <c r="AD114" s="108" t="n">
        <v>20</v>
      </c>
      <c r="AE114" s="108" t="n">
        <v>20</v>
      </c>
      <c r="AF114" s="108" t="n">
        <v>20</v>
      </c>
      <c r="AG114" s="108" t="n">
        <v>20</v>
      </c>
      <c r="AI114" s="109" t="n">
        <f aca="false">INDEX($F114:$AG114,1,MATCH(AI$7,$F$7:$AG$7,1))</f>
        <v>0</v>
      </c>
      <c r="AJ114" s="109" t="n">
        <f aca="false">INDEX($F114:$AG114,1,MATCH(AJ$7,$F$7:$AG$7,1))</f>
        <v>5</v>
      </c>
      <c r="AK114" s="109" t="n">
        <f aca="false">INDEX($F114:$AG114,1,MATCH(AK$7,$F$7:$AG$7,1))</f>
        <v>5</v>
      </c>
      <c r="AL114" s="109" t="n">
        <f aca="false">INDEX($F114:$AG114,1,MATCH(AL$7,$F$7:$AG$7,1))</f>
        <v>20</v>
      </c>
      <c r="AM114" s="109" t="n">
        <f aca="false">INDEX($F114:$AG114,1,MATCH(AM$7,$F$7:$AG$7,1))</f>
        <v>20</v>
      </c>
      <c r="AN114" s="109" t="n">
        <f aca="false">INDEX($F114:$AG114,1,MATCH(AN$7,$F$7:$AG$7,1))</f>
        <v>20</v>
      </c>
      <c r="AO114" s="109" t="n">
        <f aca="false">INDEX($F114:$AG114,1,MATCH(AO$7,$F$7:$AG$7,1))</f>
        <v>20</v>
      </c>
    </row>
    <row r="115" customFormat="false" ht="15" hidden="false" customHeight="false" outlineLevel="0" collapsed="false">
      <c r="A115" s="107" t="s">
        <v>1552</v>
      </c>
      <c r="B115" s="22" t="s">
        <v>664</v>
      </c>
      <c r="C115" s="22" t="s">
        <v>540</v>
      </c>
      <c r="D115" s="22" t="s">
        <v>1480</v>
      </c>
      <c r="F115" s="109" t="n">
        <f aca="false">IF(CapV=2,N(F114),N(F113))</f>
        <v>0</v>
      </c>
      <c r="G115" s="109" t="n">
        <f aca="false">IF(CapV=2,N(G114),N(G113))</f>
        <v>0</v>
      </c>
      <c r="H115" s="109" t="n">
        <f aca="false">IF(CapV=2,N(H114),N(H113))</f>
        <v>0</v>
      </c>
      <c r="I115" s="109" t="n">
        <f aca="false">IF(CapV=2,N(I114),N(I113))</f>
        <v>0</v>
      </c>
      <c r="J115" s="109" t="n">
        <f aca="false">IF(CapV=2,N(J114),N(J113))</f>
        <v>5</v>
      </c>
      <c r="K115" s="109" t="n">
        <f aca="false">IF(CapV=2,N(K114),N(K113))</f>
        <v>5</v>
      </c>
      <c r="L115" s="109" t="n">
        <f aca="false">IF(CapV=2,N(L114),N(L113))</f>
        <v>5</v>
      </c>
      <c r="M115" s="109" t="n">
        <f aca="false">IF(CapV=2,N(M114),N(M113))</f>
        <v>5</v>
      </c>
      <c r="N115" s="109" t="n">
        <f aca="false">IF(CapV=2,N(N114),N(N113))</f>
        <v>5</v>
      </c>
      <c r="O115" s="109" t="n">
        <f aca="false">IF(CapV=2,N(O114),N(O113))</f>
        <v>5</v>
      </c>
      <c r="P115" s="109" t="n">
        <f aca="false">IF(CapV=2,N(P114),N(P113))</f>
        <v>5</v>
      </c>
      <c r="Q115" s="109" t="n">
        <f aca="false">IF(CapV=2,N(Q114),N(Q113))</f>
        <v>5</v>
      </c>
      <c r="R115" s="109" t="n">
        <f aca="false">IF(CapV=2,N(R114),N(R113))</f>
        <v>5</v>
      </c>
      <c r="S115" s="109" t="n">
        <f aca="false">IF(CapV=2,N(S114),N(S113))</f>
        <v>5</v>
      </c>
      <c r="T115" s="109" t="n">
        <f aca="false">IF(CapV=2,N(T114),N(T113))</f>
        <v>5</v>
      </c>
      <c r="U115" s="109" t="n">
        <f aca="false">IF(CapV=2,N(U114),N(U113))</f>
        <v>20</v>
      </c>
      <c r="V115" s="109" t="n">
        <f aca="false">IF(CapV=2,N(V114),N(V113))</f>
        <v>20</v>
      </c>
      <c r="W115" s="109" t="n">
        <f aca="false">IF(CapV=2,N(W114),N(W113))</f>
        <v>20</v>
      </c>
      <c r="X115" s="109" t="n">
        <f aca="false">IF(CapV=2,N(X114),N(X113))</f>
        <v>20</v>
      </c>
      <c r="Y115" s="109" t="n">
        <f aca="false">IF(CapV=2,N(Y114),N(Y113))</f>
        <v>20</v>
      </c>
      <c r="Z115" s="109" t="n">
        <f aca="false">IF(CapV=2,N(Z114),N(Z113))</f>
        <v>20</v>
      </c>
      <c r="AA115" s="109" t="n">
        <f aca="false">IF(CapV=2,N(AA114),N(AA113))</f>
        <v>20</v>
      </c>
      <c r="AB115" s="109" t="n">
        <f aca="false">IF(CapV=2,N(AB114),N(AB113))</f>
        <v>20</v>
      </c>
      <c r="AC115" s="109" t="n">
        <f aca="false">IF(CapV=2,N(AC114),N(AC113))</f>
        <v>20</v>
      </c>
      <c r="AD115" s="109" t="n">
        <f aca="false">IF(CapV=2,N(AD114),N(AD113))</f>
        <v>20</v>
      </c>
      <c r="AE115" s="109" t="n">
        <f aca="false">IF(CapV=2,N(AE114),N(AE113))</f>
        <v>20</v>
      </c>
      <c r="AF115" s="109" t="n">
        <f aca="false">IF(CapV=2,N(AF114),N(AF113))</f>
        <v>20</v>
      </c>
      <c r="AG115" s="109" t="n">
        <f aca="false">IF(CapV=2,N(AG114),N(AG113))</f>
        <v>20</v>
      </c>
      <c r="AI115" s="109" t="n">
        <f aca="false">INDEX($F115:$AG115,1,MATCH(AI$7,$F$7:$AG$7,1))</f>
        <v>0</v>
      </c>
      <c r="AJ115" s="109" t="n">
        <f aca="false">INDEX($F115:$AG115,1,MATCH(AJ$7,$F$7:$AG$7,1))</f>
        <v>5</v>
      </c>
      <c r="AK115" s="109" t="n">
        <f aca="false">INDEX($F115:$AG115,1,MATCH(AK$7,$F$7:$AG$7,1))</f>
        <v>5</v>
      </c>
      <c r="AL115" s="109" t="n">
        <f aca="false">INDEX($F115:$AG115,1,MATCH(AL$7,$F$7:$AG$7,1))</f>
        <v>20</v>
      </c>
      <c r="AM115" s="109" t="n">
        <f aca="false">INDEX($F115:$AG115,1,MATCH(AM$7,$F$7:$AG$7,1))</f>
        <v>20</v>
      </c>
      <c r="AN115" s="109" t="n">
        <f aca="false">INDEX($F115:$AG115,1,MATCH(AN$7,$F$7:$AG$7,1))</f>
        <v>20</v>
      </c>
      <c r="AO115" s="109" t="n">
        <f aca="false">INDEX($F115:$AG115,1,MATCH(AO$7,$F$7:$AG$7,1))</f>
        <v>20</v>
      </c>
    </row>
    <row r="116" customFormat="false" ht="15" hidden="false" customHeight="false" outlineLevel="0" collapsed="false">
      <c r="A116" s="107" t="s">
        <v>1553</v>
      </c>
      <c r="B116" s="22" t="s">
        <v>664</v>
      </c>
      <c r="C116" s="22" t="s">
        <v>558</v>
      </c>
      <c r="D116" s="22" t="s">
        <v>1476</v>
      </c>
      <c r="F116" s="108" t="n">
        <v>0</v>
      </c>
      <c r="G116" s="108" t="n">
        <v>0</v>
      </c>
      <c r="H116" s="108" t="n">
        <v>0</v>
      </c>
      <c r="I116" s="108" t="n">
        <v>0</v>
      </c>
      <c r="J116" s="108" t="n">
        <v>0</v>
      </c>
      <c r="K116" s="108" t="n">
        <v>5</v>
      </c>
      <c r="L116" s="108" t="n">
        <v>10</v>
      </c>
      <c r="M116" s="108" t="n">
        <v>20</v>
      </c>
      <c r="N116" s="108" t="n">
        <v>20</v>
      </c>
      <c r="O116" s="108" t="n">
        <v>20</v>
      </c>
      <c r="P116" s="108" t="n">
        <v>20</v>
      </c>
      <c r="Q116" s="108" t="n">
        <v>20</v>
      </c>
      <c r="R116" s="108" t="n">
        <v>20</v>
      </c>
      <c r="S116" s="108" t="n">
        <v>20</v>
      </c>
      <c r="T116" s="108" t="n">
        <v>20</v>
      </c>
      <c r="U116" s="108" t="n">
        <v>30</v>
      </c>
      <c r="V116" s="108" t="n">
        <v>30</v>
      </c>
      <c r="W116" s="108" t="n">
        <v>30</v>
      </c>
      <c r="X116" s="108" t="n">
        <v>30</v>
      </c>
      <c r="Y116" s="108" t="n">
        <v>30</v>
      </c>
      <c r="Z116" s="108" t="n">
        <v>30</v>
      </c>
      <c r="AA116" s="108" t="n">
        <v>30</v>
      </c>
      <c r="AB116" s="108" t="n">
        <v>30</v>
      </c>
      <c r="AC116" s="108" t="n">
        <v>30</v>
      </c>
      <c r="AD116" s="108" t="n">
        <v>30</v>
      </c>
      <c r="AE116" s="108" t="n">
        <v>30</v>
      </c>
      <c r="AF116" s="108" t="n">
        <v>30</v>
      </c>
      <c r="AG116" s="108" t="n">
        <v>30</v>
      </c>
      <c r="AI116" s="109" t="n">
        <f aca="false">INDEX($F116:$AG116,1,MATCH(AI$7,$F$7:$AG$7,1))</f>
        <v>0</v>
      </c>
      <c r="AJ116" s="109" t="n">
        <f aca="false">INDEX($F116:$AG116,1,MATCH(AJ$7,$F$7:$AG$7,1))</f>
        <v>20</v>
      </c>
      <c r="AK116" s="109" t="n">
        <f aca="false">INDEX($F116:$AG116,1,MATCH(AK$7,$F$7:$AG$7,1))</f>
        <v>20</v>
      </c>
      <c r="AL116" s="109" t="n">
        <f aca="false">INDEX($F116:$AG116,1,MATCH(AL$7,$F$7:$AG$7,1))</f>
        <v>30</v>
      </c>
      <c r="AM116" s="109" t="n">
        <f aca="false">INDEX($F116:$AG116,1,MATCH(AM$7,$F$7:$AG$7,1))</f>
        <v>30</v>
      </c>
      <c r="AN116" s="109" t="n">
        <f aca="false">INDEX($F116:$AG116,1,MATCH(AN$7,$F$7:$AG$7,1))</f>
        <v>30</v>
      </c>
      <c r="AO116" s="109" t="n">
        <f aca="false">INDEX($F116:$AG116,1,MATCH(AO$7,$F$7:$AG$7,1))</f>
        <v>30</v>
      </c>
    </row>
    <row r="117" customFormat="false" ht="15" hidden="false" customHeight="false" outlineLevel="0" collapsed="false">
      <c r="A117" s="107" t="s">
        <v>1554</v>
      </c>
      <c r="B117" s="22" t="s">
        <v>664</v>
      </c>
      <c r="C117" s="22" t="s">
        <v>558</v>
      </c>
      <c r="D117" s="22" t="s">
        <v>1478</v>
      </c>
      <c r="F117" s="108" t="n">
        <v>0</v>
      </c>
      <c r="G117" s="108" t="n">
        <v>0</v>
      </c>
      <c r="H117" s="108" t="n">
        <v>0</v>
      </c>
      <c r="I117" s="108" t="n">
        <v>0</v>
      </c>
      <c r="J117" s="108" t="n">
        <v>10</v>
      </c>
      <c r="K117" s="108" t="n">
        <v>10</v>
      </c>
      <c r="L117" s="108" t="n">
        <v>10</v>
      </c>
      <c r="M117" s="108" t="n">
        <v>20</v>
      </c>
      <c r="N117" s="108" t="n">
        <v>20</v>
      </c>
      <c r="O117" s="108" t="n">
        <v>20</v>
      </c>
      <c r="P117" s="108" t="n">
        <v>20</v>
      </c>
      <c r="Q117" s="108" t="n">
        <v>20</v>
      </c>
      <c r="R117" s="108" t="n">
        <v>20</v>
      </c>
      <c r="S117" s="108" t="n">
        <v>20</v>
      </c>
      <c r="T117" s="108" t="n">
        <v>20</v>
      </c>
      <c r="U117" s="108" t="n">
        <v>30</v>
      </c>
      <c r="V117" s="108" t="n">
        <v>30</v>
      </c>
      <c r="W117" s="108" t="n">
        <v>30</v>
      </c>
      <c r="X117" s="108" t="n">
        <v>30</v>
      </c>
      <c r="Y117" s="108" t="n">
        <v>30</v>
      </c>
      <c r="Z117" s="108" t="n">
        <v>30</v>
      </c>
      <c r="AA117" s="108" t="n">
        <v>30</v>
      </c>
      <c r="AB117" s="108" t="n">
        <v>30</v>
      </c>
      <c r="AC117" s="108" t="n">
        <v>30</v>
      </c>
      <c r="AD117" s="108" t="n">
        <v>30</v>
      </c>
      <c r="AE117" s="108" t="n">
        <v>30</v>
      </c>
      <c r="AF117" s="108" t="n">
        <v>30</v>
      </c>
      <c r="AG117" s="108" t="n">
        <v>30</v>
      </c>
      <c r="AI117" s="109" t="n">
        <f aca="false">INDEX($F117:$AG117,1,MATCH(AI$7,$F$7:$AG$7,1))</f>
        <v>0</v>
      </c>
      <c r="AJ117" s="109" t="n">
        <f aca="false">INDEX($F117:$AG117,1,MATCH(AJ$7,$F$7:$AG$7,1))</f>
        <v>20</v>
      </c>
      <c r="AK117" s="109" t="n">
        <f aca="false">INDEX($F117:$AG117,1,MATCH(AK$7,$F$7:$AG$7,1))</f>
        <v>20</v>
      </c>
      <c r="AL117" s="109" t="n">
        <f aca="false">INDEX($F117:$AG117,1,MATCH(AL$7,$F$7:$AG$7,1))</f>
        <v>30</v>
      </c>
      <c r="AM117" s="109" t="n">
        <f aca="false">INDEX($F117:$AG117,1,MATCH(AM$7,$F$7:$AG$7,1))</f>
        <v>30</v>
      </c>
      <c r="AN117" s="109" t="n">
        <f aca="false">INDEX($F117:$AG117,1,MATCH(AN$7,$F$7:$AG$7,1))</f>
        <v>30</v>
      </c>
      <c r="AO117" s="109" t="n">
        <f aca="false">INDEX($F117:$AG117,1,MATCH(AO$7,$F$7:$AG$7,1))</f>
        <v>30</v>
      </c>
    </row>
    <row r="118" customFormat="false" ht="15" hidden="false" customHeight="false" outlineLevel="0" collapsed="false">
      <c r="A118" s="107" t="s">
        <v>1555</v>
      </c>
      <c r="B118" s="22" t="s">
        <v>664</v>
      </c>
      <c r="C118" s="22" t="s">
        <v>540</v>
      </c>
      <c r="D118" s="22" t="s">
        <v>1480</v>
      </c>
      <c r="F118" s="109" t="n">
        <f aca="false">IF(CapV=2,N(F117),N(F116))</f>
        <v>0</v>
      </c>
      <c r="G118" s="109" t="n">
        <f aca="false">IF(CapV=2,N(G117),N(G116))</f>
        <v>0</v>
      </c>
      <c r="H118" s="109" t="n">
        <f aca="false">IF(CapV=2,N(H117),N(H116))</f>
        <v>0</v>
      </c>
      <c r="I118" s="109" t="n">
        <f aca="false">IF(CapV=2,N(I117),N(I116))</f>
        <v>0</v>
      </c>
      <c r="J118" s="109" t="n">
        <f aca="false">IF(CapV=2,N(J117),N(J116))</f>
        <v>10</v>
      </c>
      <c r="K118" s="109" t="n">
        <f aca="false">IF(CapV=2,N(K117),N(K116))</f>
        <v>10</v>
      </c>
      <c r="L118" s="109" t="n">
        <f aca="false">IF(CapV=2,N(L117),N(L116))</f>
        <v>10</v>
      </c>
      <c r="M118" s="109" t="n">
        <f aca="false">IF(CapV=2,N(M117),N(M116))</f>
        <v>20</v>
      </c>
      <c r="N118" s="109" t="n">
        <f aca="false">IF(CapV=2,N(N117),N(N116))</f>
        <v>20</v>
      </c>
      <c r="O118" s="109" t="n">
        <f aca="false">IF(CapV=2,N(O117),N(O116))</f>
        <v>20</v>
      </c>
      <c r="P118" s="109" t="n">
        <f aca="false">IF(CapV=2,N(P117),N(P116))</f>
        <v>20</v>
      </c>
      <c r="Q118" s="109" t="n">
        <f aca="false">IF(CapV=2,N(Q117),N(Q116))</f>
        <v>20</v>
      </c>
      <c r="R118" s="109" t="n">
        <f aca="false">IF(CapV=2,N(R117),N(R116))</f>
        <v>20</v>
      </c>
      <c r="S118" s="109" t="n">
        <f aca="false">IF(CapV=2,N(S117),N(S116))</f>
        <v>20</v>
      </c>
      <c r="T118" s="109" t="n">
        <f aca="false">IF(CapV=2,N(T117),N(T116))</f>
        <v>20</v>
      </c>
      <c r="U118" s="109" t="n">
        <f aca="false">IF(CapV=2,N(U117),N(U116))</f>
        <v>30</v>
      </c>
      <c r="V118" s="109" t="n">
        <f aca="false">IF(CapV=2,N(V117),N(V116))</f>
        <v>30</v>
      </c>
      <c r="W118" s="109" t="n">
        <f aca="false">IF(CapV=2,N(W117),N(W116))</f>
        <v>30</v>
      </c>
      <c r="X118" s="109" t="n">
        <f aca="false">IF(CapV=2,N(X117),N(X116))</f>
        <v>30</v>
      </c>
      <c r="Y118" s="109" t="n">
        <f aca="false">IF(CapV=2,N(Y117),N(Y116))</f>
        <v>30</v>
      </c>
      <c r="Z118" s="109" t="n">
        <f aca="false">IF(CapV=2,N(Z117),N(Z116))</f>
        <v>30</v>
      </c>
      <c r="AA118" s="109" t="n">
        <f aca="false">IF(CapV=2,N(AA117),N(AA116))</f>
        <v>30</v>
      </c>
      <c r="AB118" s="109" t="n">
        <f aca="false">IF(CapV=2,N(AB117),N(AB116))</f>
        <v>30</v>
      </c>
      <c r="AC118" s="109" t="n">
        <f aca="false">IF(CapV=2,N(AC117),N(AC116))</f>
        <v>30</v>
      </c>
      <c r="AD118" s="109" t="n">
        <f aca="false">IF(CapV=2,N(AD117),N(AD116))</f>
        <v>30</v>
      </c>
      <c r="AE118" s="109" t="n">
        <f aca="false">IF(CapV=2,N(AE117),N(AE116))</f>
        <v>30</v>
      </c>
      <c r="AF118" s="109" t="n">
        <f aca="false">IF(CapV=2,N(AF117),N(AF116))</f>
        <v>30</v>
      </c>
      <c r="AG118" s="109" t="n">
        <f aca="false">IF(CapV=2,N(AG117),N(AG116))</f>
        <v>30</v>
      </c>
      <c r="AI118" s="109" t="n">
        <f aca="false">INDEX($F118:$AG118,1,MATCH(AI$7,$F$7:$AG$7,1))</f>
        <v>0</v>
      </c>
      <c r="AJ118" s="109" t="n">
        <f aca="false">INDEX($F118:$AG118,1,MATCH(AJ$7,$F$7:$AG$7,1))</f>
        <v>20</v>
      </c>
      <c r="AK118" s="109" t="n">
        <f aca="false">INDEX($F118:$AG118,1,MATCH(AK$7,$F$7:$AG$7,1))</f>
        <v>20</v>
      </c>
      <c r="AL118" s="109" t="n">
        <f aca="false">INDEX($F118:$AG118,1,MATCH(AL$7,$F$7:$AG$7,1))</f>
        <v>30</v>
      </c>
      <c r="AM118" s="109" t="n">
        <f aca="false">INDEX($F118:$AG118,1,MATCH(AM$7,$F$7:$AG$7,1))</f>
        <v>30</v>
      </c>
      <c r="AN118" s="109" t="n">
        <f aca="false">INDEX($F118:$AG118,1,MATCH(AN$7,$F$7:$AG$7,1))</f>
        <v>30</v>
      </c>
      <c r="AO118" s="109" t="n">
        <f aca="false">INDEX($F118:$AG118,1,MATCH(AO$7,$F$7:$AG$7,1))</f>
        <v>30</v>
      </c>
    </row>
    <row r="119" customFormat="false" ht="15" hidden="false" customHeight="false" outlineLevel="0" collapsed="false">
      <c r="A119" s="107" t="s">
        <v>1556</v>
      </c>
      <c r="B119" s="22" t="s">
        <v>664</v>
      </c>
      <c r="C119" s="22" t="s">
        <v>558</v>
      </c>
      <c r="D119" s="22" t="s">
        <v>1476</v>
      </c>
      <c r="F119" s="108" t="n">
        <v>0</v>
      </c>
      <c r="G119" s="108" t="n">
        <v>0</v>
      </c>
      <c r="H119" s="108" t="n">
        <v>0</v>
      </c>
      <c r="I119" s="108" t="n">
        <v>0</v>
      </c>
      <c r="J119" s="108" t="n">
        <v>0</v>
      </c>
      <c r="K119" s="108" t="n">
        <v>5</v>
      </c>
      <c r="L119" s="108" t="n">
        <v>15</v>
      </c>
      <c r="M119" s="108" t="n">
        <v>35</v>
      </c>
      <c r="N119" s="108" t="n">
        <v>35</v>
      </c>
      <c r="O119" s="108" t="n">
        <v>35</v>
      </c>
      <c r="P119" s="108" t="n">
        <v>35</v>
      </c>
      <c r="Q119" s="108" t="n">
        <v>35</v>
      </c>
      <c r="R119" s="108" t="n">
        <v>35</v>
      </c>
      <c r="S119" s="108" t="n">
        <v>35</v>
      </c>
      <c r="T119" s="108" t="n">
        <v>35</v>
      </c>
      <c r="U119" s="108" t="n">
        <v>40</v>
      </c>
      <c r="V119" s="108" t="n">
        <v>40</v>
      </c>
      <c r="W119" s="108" t="n">
        <v>40</v>
      </c>
      <c r="X119" s="108" t="n">
        <v>40</v>
      </c>
      <c r="Y119" s="108" t="n">
        <v>40</v>
      </c>
      <c r="Z119" s="108" t="n">
        <v>40</v>
      </c>
      <c r="AA119" s="108" t="n">
        <v>40</v>
      </c>
      <c r="AB119" s="108" t="n">
        <v>40</v>
      </c>
      <c r="AC119" s="108" t="n">
        <v>40</v>
      </c>
      <c r="AD119" s="108" t="n">
        <v>40</v>
      </c>
      <c r="AE119" s="108" t="n">
        <v>40</v>
      </c>
      <c r="AF119" s="108" t="n">
        <v>40</v>
      </c>
      <c r="AG119" s="108" t="n">
        <v>40</v>
      </c>
      <c r="AI119" s="109" t="n">
        <f aca="false">INDEX($F119:$AG119,1,MATCH(AI$7,$F$7:$AG$7,1))</f>
        <v>0</v>
      </c>
      <c r="AJ119" s="109" t="n">
        <f aca="false">INDEX($F119:$AG119,1,MATCH(AJ$7,$F$7:$AG$7,1))</f>
        <v>35</v>
      </c>
      <c r="AK119" s="109" t="n">
        <f aca="false">INDEX($F119:$AG119,1,MATCH(AK$7,$F$7:$AG$7,1))</f>
        <v>35</v>
      </c>
      <c r="AL119" s="109" t="n">
        <f aca="false">INDEX($F119:$AG119,1,MATCH(AL$7,$F$7:$AG$7,1))</f>
        <v>40</v>
      </c>
      <c r="AM119" s="109" t="n">
        <f aca="false">INDEX($F119:$AG119,1,MATCH(AM$7,$F$7:$AG$7,1))</f>
        <v>40</v>
      </c>
      <c r="AN119" s="109" t="n">
        <f aca="false">INDEX($F119:$AG119,1,MATCH(AN$7,$F$7:$AG$7,1))</f>
        <v>40</v>
      </c>
      <c r="AO119" s="109" t="n">
        <f aca="false">INDEX($F119:$AG119,1,MATCH(AO$7,$F$7:$AG$7,1))</f>
        <v>40</v>
      </c>
    </row>
    <row r="120" customFormat="false" ht="15" hidden="false" customHeight="false" outlineLevel="0" collapsed="false">
      <c r="A120" s="107" t="s">
        <v>1557</v>
      </c>
      <c r="B120" s="22" t="s">
        <v>664</v>
      </c>
      <c r="C120" s="22" t="s">
        <v>558</v>
      </c>
      <c r="D120" s="22" t="s">
        <v>1478</v>
      </c>
      <c r="F120" s="108" t="n">
        <v>0</v>
      </c>
      <c r="G120" s="108" t="n">
        <v>0</v>
      </c>
      <c r="H120" s="108" t="n">
        <v>0</v>
      </c>
      <c r="I120" s="108" t="n">
        <v>0</v>
      </c>
      <c r="J120" s="108" t="n">
        <v>15</v>
      </c>
      <c r="K120" s="108" t="n">
        <v>15</v>
      </c>
      <c r="L120" s="108" t="n">
        <v>15</v>
      </c>
      <c r="M120" s="108" t="n">
        <v>35</v>
      </c>
      <c r="N120" s="108" t="n">
        <v>35</v>
      </c>
      <c r="O120" s="108" t="n">
        <v>35</v>
      </c>
      <c r="P120" s="108" t="n">
        <v>35</v>
      </c>
      <c r="Q120" s="108" t="n">
        <v>35</v>
      </c>
      <c r="R120" s="108" t="n">
        <v>35</v>
      </c>
      <c r="S120" s="108" t="n">
        <v>35</v>
      </c>
      <c r="T120" s="108" t="n">
        <v>35</v>
      </c>
      <c r="U120" s="108" t="n">
        <v>40</v>
      </c>
      <c r="V120" s="108" t="n">
        <v>40</v>
      </c>
      <c r="W120" s="108" t="n">
        <v>40</v>
      </c>
      <c r="X120" s="108" t="n">
        <v>40</v>
      </c>
      <c r="Y120" s="108" t="n">
        <v>40</v>
      </c>
      <c r="Z120" s="108" t="n">
        <v>40</v>
      </c>
      <c r="AA120" s="108" t="n">
        <v>40</v>
      </c>
      <c r="AB120" s="108" t="n">
        <v>40</v>
      </c>
      <c r="AC120" s="108" t="n">
        <v>40</v>
      </c>
      <c r="AD120" s="108" t="n">
        <v>40</v>
      </c>
      <c r="AE120" s="108" t="n">
        <v>40</v>
      </c>
      <c r="AF120" s="108" t="n">
        <v>40</v>
      </c>
      <c r="AG120" s="108" t="n">
        <v>40</v>
      </c>
      <c r="AI120" s="109" t="n">
        <f aca="false">INDEX($F120:$AG120,1,MATCH(AI$7,$F$7:$AG$7,1))</f>
        <v>0</v>
      </c>
      <c r="AJ120" s="109" t="n">
        <f aca="false">INDEX($F120:$AG120,1,MATCH(AJ$7,$F$7:$AG$7,1))</f>
        <v>35</v>
      </c>
      <c r="AK120" s="109" t="n">
        <f aca="false">INDEX($F120:$AG120,1,MATCH(AK$7,$F$7:$AG$7,1))</f>
        <v>35</v>
      </c>
      <c r="AL120" s="109" t="n">
        <f aca="false">INDEX($F120:$AG120,1,MATCH(AL$7,$F$7:$AG$7,1))</f>
        <v>40</v>
      </c>
      <c r="AM120" s="109" t="n">
        <f aca="false">INDEX($F120:$AG120,1,MATCH(AM$7,$F$7:$AG$7,1))</f>
        <v>40</v>
      </c>
      <c r="AN120" s="109" t="n">
        <f aca="false">INDEX($F120:$AG120,1,MATCH(AN$7,$F$7:$AG$7,1))</f>
        <v>40</v>
      </c>
      <c r="AO120" s="109" t="n">
        <f aca="false">INDEX($F120:$AG120,1,MATCH(AO$7,$F$7:$AG$7,1))</f>
        <v>40</v>
      </c>
    </row>
    <row r="121" customFormat="false" ht="15" hidden="false" customHeight="false" outlineLevel="0" collapsed="false">
      <c r="A121" s="107" t="s">
        <v>1558</v>
      </c>
      <c r="B121" s="22" t="s">
        <v>664</v>
      </c>
      <c r="C121" s="22" t="s">
        <v>540</v>
      </c>
      <c r="D121" s="22" t="s">
        <v>1480</v>
      </c>
      <c r="F121" s="109" t="n">
        <f aca="false">IF(CapV=2,N(F120),N(F119))</f>
        <v>0</v>
      </c>
      <c r="G121" s="109" t="n">
        <f aca="false">IF(CapV=2,N(G120),N(G119))</f>
        <v>0</v>
      </c>
      <c r="H121" s="109" t="n">
        <f aca="false">IF(CapV=2,N(H120),N(H119))</f>
        <v>0</v>
      </c>
      <c r="I121" s="109" t="n">
        <f aca="false">IF(CapV=2,N(I120),N(I119))</f>
        <v>0</v>
      </c>
      <c r="J121" s="109" t="n">
        <f aca="false">IF(CapV=2,N(J120),N(J119))</f>
        <v>15</v>
      </c>
      <c r="K121" s="109" t="n">
        <f aca="false">IF(CapV=2,N(K120),N(K119))</f>
        <v>15</v>
      </c>
      <c r="L121" s="109" t="n">
        <f aca="false">IF(CapV=2,N(L120),N(L119))</f>
        <v>15</v>
      </c>
      <c r="M121" s="109" t="n">
        <f aca="false">IF(CapV=2,N(M120),N(M119))</f>
        <v>35</v>
      </c>
      <c r="N121" s="109" t="n">
        <f aca="false">IF(CapV=2,N(N120),N(N119))</f>
        <v>35</v>
      </c>
      <c r="O121" s="109" t="n">
        <f aca="false">IF(CapV=2,N(O120),N(O119))</f>
        <v>35</v>
      </c>
      <c r="P121" s="109" t="n">
        <f aca="false">IF(CapV=2,N(P120),N(P119))</f>
        <v>35</v>
      </c>
      <c r="Q121" s="109" t="n">
        <f aca="false">IF(CapV=2,N(Q120),N(Q119))</f>
        <v>35</v>
      </c>
      <c r="R121" s="109" t="n">
        <f aca="false">IF(CapV=2,N(R120),N(R119))</f>
        <v>35</v>
      </c>
      <c r="S121" s="109" t="n">
        <f aca="false">IF(CapV=2,N(S120),N(S119))</f>
        <v>35</v>
      </c>
      <c r="T121" s="109" t="n">
        <f aca="false">IF(CapV=2,N(T120),N(T119))</f>
        <v>35</v>
      </c>
      <c r="U121" s="109" t="n">
        <f aca="false">IF(CapV=2,N(U120),N(U119))</f>
        <v>40</v>
      </c>
      <c r="V121" s="109" t="n">
        <f aca="false">IF(CapV=2,N(V120),N(V119))</f>
        <v>40</v>
      </c>
      <c r="W121" s="109" t="n">
        <f aca="false">IF(CapV=2,N(W120),N(W119))</f>
        <v>40</v>
      </c>
      <c r="X121" s="109" t="n">
        <f aca="false">IF(CapV=2,N(X120),N(X119))</f>
        <v>40</v>
      </c>
      <c r="Y121" s="109" t="n">
        <f aca="false">IF(CapV=2,N(Y120),N(Y119))</f>
        <v>40</v>
      </c>
      <c r="Z121" s="109" t="n">
        <f aca="false">IF(CapV=2,N(Z120),N(Z119))</f>
        <v>40</v>
      </c>
      <c r="AA121" s="109" t="n">
        <f aca="false">IF(CapV=2,N(AA120),N(AA119))</f>
        <v>40</v>
      </c>
      <c r="AB121" s="109" t="n">
        <f aca="false">IF(CapV=2,N(AB120),N(AB119))</f>
        <v>40</v>
      </c>
      <c r="AC121" s="109" t="n">
        <f aca="false">IF(CapV=2,N(AC120),N(AC119))</f>
        <v>40</v>
      </c>
      <c r="AD121" s="109" t="n">
        <f aca="false">IF(CapV=2,N(AD120),N(AD119))</f>
        <v>40</v>
      </c>
      <c r="AE121" s="109" t="n">
        <f aca="false">IF(CapV=2,N(AE120),N(AE119))</f>
        <v>40</v>
      </c>
      <c r="AF121" s="109" t="n">
        <f aca="false">IF(CapV=2,N(AF120),N(AF119))</f>
        <v>40</v>
      </c>
      <c r="AG121" s="109" t="n">
        <f aca="false">IF(CapV=2,N(AG120),N(AG119))</f>
        <v>40</v>
      </c>
      <c r="AI121" s="109" t="n">
        <f aca="false">INDEX($F121:$AG121,1,MATCH(AI$7,$F$7:$AG$7,1))</f>
        <v>0</v>
      </c>
      <c r="AJ121" s="109" t="n">
        <f aca="false">INDEX($F121:$AG121,1,MATCH(AJ$7,$F$7:$AG$7,1))</f>
        <v>35</v>
      </c>
      <c r="AK121" s="109" t="n">
        <f aca="false">INDEX($F121:$AG121,1,MATCH(AK$7,$F$7:$AG$7,1))</f>
        <v>35</v>
      </c>
      <c r="AL121" s="109" t="n">
        <f aca="false">INDEX($F121:$AG121,1,MATCH(AL$7,$F$7:$AG$7,1))</f>
        <v>40</v>
      </c>
      <c r="AM121" s="109" t="n">
        <f aca="false">INDEX($F121:$AG121,1,MATCH(AM$7,$F$7:$AG$7,1))</f>
        <v>40</v>
      </c>
      <c r="AN121" s="109" t="n">
        <f aca="false">INDEX($F121:$AG121,1,MATCH(AN$7,$F$7:$AG$7,1))</f>
        <v>40</v>
      </c>
      <c r="AO121" s="109" t="n">
        <f aca="false">INDEX($F121:$AG121,1,MATCH(AO$7,$F$7:$AG$7,1))</f>
        <v>40</v>
      </c>
    </row>
    <row r="122" customFormat="false" ht="15" hidden="false" customHeight="false" outlineLevel="0" collapsed="false">
      <c r="A122" s="107" t="s">
        <v>1559</v>
      </c>
      <c r="B122" s="22" t="s">
        <v>664</v>
      </c>
      <c r="C122" s="22" t="s">
        <v>558</v>
      </c>
      <c r="D122" s="22" t="s">
        <v>1476</v>
      </c>
      <c r="F122" s="108" t="n">
        <v>0</v>
      </c>
      <c r="G122" s="108" t="n">
        <v>0</v>
      </c>
      <c r="H122" s="108" t="n">
        <v>0</v>
      </c>
      <c r="I122" s="108" t="n">
        <v>5</v>
      </c>
      <c r="J122" s="108" t="n">
        <v>5</v>
      </c>
      <c r="K122" s="108" t="n">
        <v>5</v>
      </c>
      <c r="L122" s="108" t="n">
        <v>5</v>
      </c>
      <c r="M122" s="108" t="n">
        <v>5</v>
      </c>
      <c r="N122" s="108" t="n">
        <v>5</v>
      </c>
      <c r="O122" s="108" t="n">
        <v>5</v>
      </c>
      <c r="P122" s="108" t="n">
        <v>5</v>
      </c>
      <c r="Q122" s="108" t="n">
        <v>5</v>
      </c>
      <c r="R122" s="108" t="n">
        <v>5</v>
      </c>
      <c r="S122" s="108" t="n">
        <v>5</v>
      </c>
      <c r="T122" s="108" t="n">
        <v>5</v>
      </c>
      <c r="U122" s="108" t="n">
        <v>5</v>
      </c>
      <c r="V122" s="108" t="n">
        <v>5</v>
      </c>
      <c r="W122" s="108" t="n">
        <v>5</v>
      </c>
      <c r="X122" s="108" t="n">
        <v>5</v>
      </c>
      <c r="Y122" s="108" t="n">
        <v>5</v>
      </c>
      <c r="Z122" s="108" t="n">
        <v>5</v>
      </c>
      <c r="AA122" s="108" t="n">
        <v>5</v>
      </c>
      <c r="AB122" s="108" t="n">
        <v>5</v>
      </c>
      <c r="AC122" s="108" t="n">
        <v>5</v>
      </c>
      <c r="AD122" s="108" t="n">
        <v>5</v>
      </c>
      <c r="AE122" s="108" t="n">
        <v>5</v>
      </c>
      <c r="AF122" s="108" t="n">
        <v>5</v>
      </c>
      <c r="AG122" s="108" t="n">
        <v>5</v>
      </c>
      <c r="AI122" s="109" t="n">
        <f aca="false">INDEX($F122:$AG122,1,MATCH(AI$7,$F$7:$AG$7,1))</f>
        <v>5</v>
      </c>
      <c r="AJ122" s="109" t="n">
        <f aca="false">INDEX($F122:$AG122,1,MATCH(AJ$7,$F$7:$AG$7,1))</f>
        <v>5</v>
      </c>
      <c r="AK122" s="109" t="n">
        <f aca="false">INDEX($F122:$AG122,1,MATCH(AK$7,$F$7:$AG$7,1))</f>
        <v>5</v>
      </c>
      <c r="AL122" s="109" t="n">
        <f aca="false">INDEX($F122:$AG122,1,MATCH(AL$7,$F$7:$AG$7,1))</f>
        <v>5</v>
      </c>
      <c r="AM122" s="109" t="n">
        <f aca="false">INDEX($F122:$AG122,1,MATCH(AM$7,$F$7:$AG$7,1))</f>
        <v>5</v>
      </c>
      <c r="AN122" s="109" t="n">
        <f aca="false">INDEX($F122:$AG122,1,MATCH(AN$7,$F$7:$AG$7,1))</f>
        <v>5</v>
      </c>
      <c r="AO122" s="109" t="n">
        <f aca="false">INDEX($F122:$AG122,1,MATCH(AO$7,$F$7:$AG$7,1))</f>
        <v>5</v>
      </c>
    </row>
    <row r="123" customFormat="false" ht="15" hidden="false" customHeight="false" outlineLevel="0" collapsed="false">
      <c r="A123" s="107" t="s">
        <v>1560</v>
      </c>
      <c r="B123" s="22" t="s">
        <v>664</v>
      </c>
      <c r="C123" s="22" t="s">
        <v>558</v>
      </c>
      <c r="D123" s="22" t="s">
        <v>1478</v>
      </c>
      <c r="F123" s="108" t="n">
        <v>0</v>
      </c>
      <c r="G123" s="108" t="n">
        <v>0</v>
      </c>
      <c r="H123" s="108" t="n">
        <v>0</v>
      </c>
      <c r="I123" s="108" t="n">
        <v>5</v>
      </c>
      <c r="J123" s="108" t="n">
        <v>5</v>
      </c>
      <c r="K123" s="108" t="n">
        <v>5</v>
      </c>
      <c r="L123" s="108" t="n">
        <v>5</v>
      </c>
      <c r="M123" s="108" t="n">
        <v>5</v>
      </c>
      <c r="N123" s="108" t="n">
        <v>5</v>
      </c>
      <c r="O123" s="108" t="n">
        <v>5</v>
      </c>
      <c r="P123" s="108" t="n">
        <v>5</v>
      </c>
      <c r="Q123" s="108" t="n">
        <v>5</v>
      </c>
      <c r="R123" s="108" t="n">
        <v>5</v>
      </c>
      <c r="S123" s="108" t="n">
        <v>5</v>
      </c>
      <c r="T123" s="108" t="n">
        <v>5</v>
      </c>
      <c r="U123" s="108" t="n">
        <v>5</v>
      </c>
      <c r="V123" s="108" t="n">
        <v>5</v>
      </c>
      <c r="W123" s="108" t="n">
        <v>5</v>
      </c>
      <c r="X123" s="108" t="n">
        <v>5</v>
      </c>
      <c r="Y123" s="108" t="n">
        <v>5</v>
      </c>
      <c r="Z123" s="108" t="n">
        <v>5</v>
      </c>
      <c r="AA123" s="108" t="n">
        <v>5</v>
      </c>
      <c r="AB123" s="108" t="n">
        <v>5</v>
      </c>
      <c r="AC123" s="108" t="n">
        <v>5</v>
      </c>
      <c r="AD123" s="108" t="n">
        <v>5</v>
      </c>
      <c r="AE123" s="108" t="n">
        <v>5</v>
      </c>
      <c r="AF123" s="108" t="n">
        <v>5</v>
      </c>
      <c r="AG123" s="108" t="n">
        <v>5</v>
      </c>
      <c r="AI123" s="109" t="n">
        <f aca="false">INDEX($F123:$AG123,1,MATCH(AI$7,$F$7:$AG$7,1))</f>
        <v>5</v>
      </c>
      <c r="AJ123" s="109" t="n">
        <f aca="false">INDEX($F123:$AG123,1,MATCH(AJ$7,$F$7:$AG$7,1))</f>
        <v>5</v>
      </c>
      <c r="AK123" s="109" t="n">
        <f aca="false">INDEX($F123:$AG123,1,MATCH(AK$7,$F$7:$AG$7,1))</f>
        <v>5</v>
      </c>
      <c r="AL123" s="109" t="n">
        <f aca="false">INDEX($F123:$AG123,1,MATCH(AL$7,$F$7:$AG$7,1))</f>
        <v>5</v>
      </c>
      <c r="AM123" s="109" t="n">
        <f aca="false">INDEX($F123:$AG123,1,MATCH(AM$7,$F$7:$AG$7,1))</f>
        <v>5</v>
      </c>
      <c r="AN123" s="109" t="n">
        <f aca="false">INDEX($F123:$AG123,1,MATCH(AN$7,$F$7:$AG$7,1))</f>
        <v>5</v>
      </c>
      <c r="AO123" s="109" t="n">
        <f aca="false">INDEX($F123:$AG123,1,MATCH(AO$7,$F$7:$AG$7,1))</f>
        <v>5</v>
      </c>
    </row>
    <row r="124" customFormat="false" ht="15" hidden="false" customHeight="false" outlineLevel="0" collapsed="false">
      <c r="A124" s="107" t="s">
        <v>1561</v>
      </c>
      <c r="B124" s="22" t="s">
        <v>664</v>
      </c>
      <c r="C124" s="22" t="s">
        <v>540</v>
      </c>
      <c r="D124" s="22" t="s">
        <v>1480</v>
      </c>
      <c r="F124" s="109" t="n">
        <f aca="false">IF(CapV=2,N(F123),N(F122))</f>
        <v>0</v>
      </c>
      <c r="G124" s="109" t="n">
        <f aca="false">IF(CapV=2,N(G123),N(G122))</f>
        <v>0</v>
      </c>
      <c r="H124" s="109" t="n">
        <f aca="false">IF(CapV=2,N(H123),N(H122))</f>
        <v>0</v>
      </c>
      <c r="I124" s="109" t="n">
        <f aca="false">IF(CapV=2,N(I123),N(I122))</f>
        <v>5</v>
      </c>
      <c r="J124" s="109" t="n">
        <f aca="false">IF(CapV=2,N(J123),N(J122))</f>
        <v>5</v>
      </c>
      <c r="K124" s="109" t="n">
        <f aca="false">IF(CapV=2,N(K123),N(K122))</f>
        <v>5</v>
      </c>
      <c r="L124" s="109" t="n">
        <f aca="false">IF(CapV=2,N(L123),N(L122))</f>
        <v>5</v>
      </c>
      <c r="M124" s="109" t="n">
        <f aca="false">IF(CapV=2,N(M123),N(M122))</f>
        <v>5</v>
      </c>
      <c r="N124" s="109" t="n">
        <f aca="false">IF(CapV=2,N(N123),N(N122))</f>
        <v>5</v>
      </c>
      <c r="O124" s="109" t="n">
        <f aca="false">IF(CapV=2,N(O123),N(O122))</f>
        <v>5</v>
      </c>
      <c r="P124" s="109" t="n">
        <f aca="false">IF(CapV=2,N(P123),N(P122))</f>
        <v>5</v>
      </c>
      <c r="Q124" s="109" t="n">
        <f aca="false">IF(CapV=2,N(Q123),N(Q122))</f>
        <v>5</v>
      </c>
      <c r="R124" s="109" t="n">
        <f aca="false">IF(CapV=2,N(R123),N(R122))</f>
        <v>5</v>
      </c>
      <c r="S124" s="109" t="n">
        <f aca="false">IF(CapV=2,N(S123),N(S122))</f>
        <v>5</v>
      </c>
      <c r="T124" s="109" t="n">
        <f aca="false">IF(CapV=2,N(T123),N(T122))</f>
        <v>5</v>
      </c>
      <c r="U124" s="109" t="n">
        <f aca="false">IF(CapV=2,N(U123),N(U122))</f>
        <v>5</v>
      </c>
      <c r="V124" s="109" t="n">
        <f aca="false">IF(CapV=2,N(V123),N(V122))</f>
        <v>5</v>
      </c>
      <c r="W124" s="109" t="n">
        <f aca="false">IF(CapV=2,N(W123),N(W122))</f>
        <v>5</v>
      </c>
      <c r="X124" s="109" t="n">
        <f aca="false">IF(CapV=2,N(X123),N(X122))</f>
        <v>5</v>
      </c>
      <c r="Y124" s="109" t="n">
        <f aca="false">IF(CapV=2,N(Y123),N(Y122))</f>
        <v>5</v>
      </c>
      <c r="Z124" s="109" t="n">
        <f aca="false">IF(CapV=2,N(Z123),N(Z122))</f>
        <v>5</v>
      </c>
      <c r="AA124" s="109" t="n">
        <f aca="false">IF(CapV=2,N(AA123),N(AA122))</f>
        <v>5</v>
      </c>
      <c r="AB124" s="109" t="n">
        <f aca="false">IF(CapV=2,N(AB123),N(AB122))</f>
        <v>5</v>
      </c>
      <c r="AC124" s="109" t="n">
        <f aca="false">IF(CapV=2,N(AC123),N(AC122))</f>
        <v>5</v>
      </c>
      <c r="AD124" s="109" t="n">
        <f aca="false">IF(CapV=2,N(AD123),N(AD122))</f>
        <v>5</v>
      </c>
      <c r="AE124" s="109" t="n">
        <f aca="false">IF(CapV=2,N(AE123),N(AE122))</f>
        <v>5</v>
      </c>
      <c r="AF124" s="109" t="n">
        <f aca="false">IF(CapV=2,N(AF123),N(AF122))</f>
        <v>5</v>
      </c>
      <c r="AG124" s="109" t="n">
        <f aca="false">IF(CapV=2,N(AG123),N(AG122))</f>
        <v>5</v>
      </c>
      <c r="AI124" s="109" t="n">
        <f aca="false">INDEX($F124:$AG124,1,MATCH(AI$7,$F$7:$AG$7,1))</f>
        <v>5</v>
      </c>
      <c r="AJ124" s="109" t="n">
        <f aca="false">INDEX($F124:$AG124,1,MATCH(AJ$7,$F$7:$AG$7,1))</f>
        <v>5</v>
      </c>
      <c r="AK124" s="109" t="n">
        <f aca="false">INDEX($F124:$AG124,1,MATCH(AK$7,$F$7:$AG$7,1))</f>
        <v>5</v>
      </c>
      <c r="AL124" s="109" t="n">
        <f aca="false">INDEX($F124:$AG124,1,MATCH(AL$7,$F$7:$AG$7,1))</f>
        <v>5</v>
      </c>
      <c r="AM124" s="109" t="n">
        <f aca="false">INDEX($F124:$AG124,1,MATCH(AM$7,$F$7:$AG$7,1))</f>
        <v>5</v>
      </c>
      <c r="AN124" s="109" t="n">
        <f aca="false">INDEX($F124:$AG124,1,MATCH(AN$7,$F$7:$AG$7,1))</f>
        <v>5</v>
      </c>
      <c r="AO124" s="109" t="n">
        <f aca="false">INDEX($F124:$AG124,1,MATCH(AO$7,$F$7:$AG$7,1))</f>
        <v>5</v>
      </c>
    </row>
    <row r="125" customFormat="false" ht="15" hidden="false" customHeight="false" outlineLevel="0" collapsed="false">
      <c r="A125" s="107" t="s">
        <v>1562</v>
      </c>
      <c r="B125" s="22" t="s">
        <v>664</v>
      </c>
      <c r="C125" s="22" t="s">
        <v>558</v>
      </c>
      <c r="D125" s="22" t="s">
        <v>1476</v>
      </c>
      <c r="F125" s="108" t="n">
        <v>0</v>
      </c>
      <c r="G125" s="108" t="n">
        <v>0</v>
      </c>
      <c r="H125" s="108" t="n">
        <v>0</v>
      </c>
      <c r="I125" s="108" t="n">
        <v>5</v>
      </c>
      <c r="J125" s="108" t="n">
        <v>5</v>
      </c>
      <c r="K125" s="108" t="n">
        <v>5</v>
      </c>
      <c r="L125" s="108" t="n">
        <v>5</v>
      </c>
      <c r="M125" s="108" t="n">
        <v>5</v>
      </c>
      <c r="N125" s="108" t="n">
        <v>5</v>
      </c>
      <c r="O125" s="108" t="n">
        <v>5</v>
      </c>
      <c r="P125" s="108" t="n">
        <v>5</v>
      </c>
      <c r="Q125" s="108" t="n">
        <v>5</v>
      </c>
      <c r="R125" s="108" t="n">
        <v>5</v>
      </c>
      <c r="S125" s="108" t="n">
        <v>5</v>
      </c>
      <c r="T125" s="108" t="n">
        <v>5</v>
      </c>
      <c r="U125" s="108" t="n">
        <v>5</v>
      </c>
      <c r="V125" s="108" t="n">
        <v>5</v>
      </c>
      <c r="W125" s="108" t="n">
        <v>5</v>
      </c>
      <c r="X125" s="108" t="n">
        <v>5</v>
      </c>
      <c r="Y125" s="108" t="n">
        <v>5</v>
      </c>
      <c r="Z125" s="108" t="n">
        <v>5</v>
      </c>
      <c r="AA125" s="108" t="n">
        <v>5</v>
      </c>
      <c r="AB125" s="108" t="n">
        <v>5</v>
      </c>
      <c r="AC125" s="108" t="n">
        <v>5</v>
      </c>
      <c r="AD125" s="108" t="n">
        <v>5</v>
      </c>
      <c r="AE125" s="108" t="n">
        <v>5</v>
      </c>
      <c r="AF125" s="108" t="n">
        <v>5</v>
      </c>
      <c r="AG125" s="108" t="n">
        <v>5</v>
      </c>
      <c r="AI125" s="109" t="n">
        <f aca="false">INDEX($F125:$AG125,1,MATCH(AI$7,$F$7:$AG$7,1))</f>
        <v>5</v>
      </c>
      <c r="AJ125" s="109" t="n">
        <f aca="false">INDEX($F125:$AG125,1,MATCH(AJ$7,$F$7:$AG$7,1))</f>
        <v>5</v>
      </c>
      <c r="AK125" s="109" t="n">
        <f aca="false">INDEX($F125:$AG125,1,MATCH(AK$7,$F$7:$AG$7,1))</f>
        <v>5</v>
      </c>
      <c r="AL125" s="109" t="n">
        <f aca="false">INDEX($F125:$AG125,1,MATCH(AL$7,$F$7:$AG$7,1))</f>
        <v>5</v>
      </c>
      <c r="AM125" s="109" t="n">
        <f aca="false">INDEX($F125:$AG125,1,MATCH(AM$7,$F$7:$AG$7,1))</f>
        <v>5</v>
      </c>
      <c r="AN125" s="109" t="n">
        <f aca="false">INDEX($F125:$AG125,1,MATCH(AN$7,$F$7:$AG$7,1))</f>
        <v>5</v>
      </c>
      <c r="AO125" s="109" t="n">
        <f aca="false">INDEX($F125:$AG125,1,MATCH(AO$7,$F$7:$AG$7,1))</f>
        <v>5</v>
      </c>
    </row>
    <row r="126" customFormat="false" ht="15" hidden="false" customHeight="false" outlineLevel="0" collapsed="false">
      <c r="A126" s="107" t="s">
        <v>1563</v>
      </c>
      <c r="B126" s="22" t="s">
        <v>664</v>
      </c>
      <c r="C126" s="22" t="s">
        <v>558</v>
      </c>
      <c r="D126" s="22" t="s">
        <v>1478</v>
      </c>
      <c r="F126" s="108" t="n">
        <v>0</v>
      </c>
      <c r="G126" s="108" t="n">
        <v>0</v>
      </c>
      <c r="H126" s="108" t="n">
        <v>0</v>
      </c>
      <c r="I126" s="108" t="n">
        <v>5</v>
      </c>
      <c r="J126" s="108" t="n">
        <v>5</v>
      </c>
      <c r="K126" s="108" t="n">
        <v>5</v>
      </c>
      <c r="L126" s="108" t="n">
        <v>5</v>
      </c>
      <c r="M126" s="108" t="n">
        <v>5</v>
      </c>
      <c r="N126" s="108" t="n">
        <v>5</v>
      </c>
      <c r="O126" s="108" t="n">
        <v>5</v>
      </c>
      <c r="P126" s="108" t="n">
        <v>5</v>
      </c>
      <c r="Q126" s="108" t="n">
        <v>5</v>
      </c>
      <c r="R126" s="108" t="n">
        <v>5</v>
      </c>
      <c r="S126" s="108" t="n">
        <v>5</v>
      </c>
      <c r="T126" s="108" t="n">
        <v>5</v>
      </c>
      <c r="U126" s="108" t="n">
        <v>5</v>
      </c>
      <c r="V126" s="108" t="n">
        <v>5</v>
      </c>
      <c r="W126" s="108" t="n">
        <v>5</v>
      </c>
      <c r="X126" s="108" t="n">
        <v>5</v>
      </c>
      <c r="Y126" s="108" t="n">
        <v>5</v>
      </c>
      <c r="Z126" s="108" t="n">
        <v>5</v>
      </c>
      <c r="AA126" s="108" t="n">
        <v>5</v>
      </c>
      <c r="AB126" s="108" t="n">
        <v>5</v>
      </c>
      <c r="AC126" s="108" t="n">
        <v>5</v>
      </c>
      <c r="AD126" s="108" t="n">
        <v>5</v>
      </c>
      <c r="AE126" s="108" t="n">
        <v>5</v>
      </c>
      <c r="AF126" s="108" t="n">
        <v>5</v>
      </c>
      <c r="AG126" s="108" t="n">
        <v>5</v>
      </c>
      <c r="AI126" s="109" t="n">
        <f aca="false">INDEX($F126:$AG126,1,MATCH(AI$7,$F$7:$AG$7,1))</f>
        <v>5</v>
      </c>
      <c r="AJ126" s="109" t="n">
        <f aca="false">INDEX($F126:$AG126,1,MATCH(AJ$7,$F$7:$AG$7,1))</f>
        <v>5</v>
      </c>
      <c r="AK126" s="109" t="n">
        <f aca="false">INDEX($F126:$AG126,1,MATCH(AK$7,$F$7:$AG$7,1))</f>
        <v>5</v>
      </c>
      <c r="AL126" s="109" t="n">
        <f aca="false">INDEX($F126:$AG126,1,MATCH(AL$7,$F$7:$AG$7,1))</f>
        <v>5</v>
      </c>
      <c r="AM126" s="109" t="n">
        <f aca="false">INDEX($F126:$AG126,1,MATCH(AM$7,$F$7:$AG$7,1))</f>
        <v>5</v>
      </c>
      <c r="AN126" s="109" t="n">
        <f aca="false">INDEX($F126:$AG126,1,MATCH(AN$7,$F$7:$AG$7,1))</f>
        <v>5</v>
      </c>
      <c r="AO126" s="109" t="n">
        <f aca="false">INDEX($F126:$AG126,1,MATCH(AO$7,$F$7:$AG$7,1))</f>
        <v>5</v>
      </c>
    </row>
    <row r="127" customFormat="false" ht="15" hidden="false" customHeight="false" outlineLevel="0" collapsed="false">
      <c r="A127" s="107" t="s">
        <v>1564</v>
      </c>
      <c r="B127" s="22" t="s">
        <v>664</v>
      </c>
      <c r="C127" s="22" t="s">
        <v>540</v>
      </c>
      <c r="D127" s="22" t="s">
        <v>1480</v>
      </c>
      <c r="F127" s="109" t="n">
        <f aca="false">IF(CapV=2,N(F126),N(F125))</f>
        <v>0</v>
      </c>
      <c r="G127" s="109" t="n">
        <f aca="false">IF(CapV=2,N(G126),N(G125))</f>
        <v>0</v>
      </c>
      <c r="H127" s="109" t="n">
        <f aca="false">IF(CapV=2,N(H126),N(H125))</f>
        <v>0</v>
      </c>
      <c r="I127" s="109" t="n">
        <f aca="false">IF(CapV=2,N(I126),N(I125))</f>
        <v>5</v>
      </c>
      <c r="J127" s="109" t="n">
        <f aca="false">IF(CapV=2,N(J126),N(J125))</f>
        <v>5</v>
      </c>
      <c r="K127" s="109" t="n">
        <f aca="false">IF(CapV=2,N(K126),N(K125))</f>
        <v>5</v>
      </c>
      <c r="L127" s="109" t="n">
        <f aca="false">IF(CapV=2,N(L126),N(L125))</f>
        <v>5</v>
      </c>
      <c r="M127" s="109" t="n">
        <f aca="false">IF(CapV=2,N(M126),N(M125))</f>
        <v>5</v>
      </c>
      <c r="N127" s="109" t="n">
        <f aca="false">IF(CapV=2,N(N126),N(N125))</f>
        <v>5</v>
      </c>
      <c r="O127" s="109" t="n">
        <f aca="false">IF(CapV=2,N(O126),N(O125))</f>
        <v>5</v>
      </c>
      <c r="P127" s="109" t="n">
        <f aca="false">IF(CapV=2,N(P126),N(P125))</f>
        <v>5</v>
      </c>
      <c r="Q127" s="109" t="n">
        <f aca="false">IF(CapV=2,N(Q126),N(Q125))</f>
        <v>5</v>
      </c>
      <c r="R127" s="109" t="n">
        <f aca="false">IF(CapV=2,N(R126),N(R125))</f>
        <v>5</v>
      </c>
      <c r="S127" s="109" t="n">
        <f aca="false">IF(CapV=2,N(S126),N(S125))</f>
        <v>5</v>
      </c>
      <c r="T127" s="109" t="n">
        <f aca="false">IF(CapV=2,N(T126),N(T125))</f>
        <v>5</v>
      </c>
      <c r="U127" s="109" t="n">
        <f aca="false">IF(CapV=2,N(U126),N(U125))</f>
        <v>5</v>
      </c>
      <c r="V127" s="109" t="n">
        <f aca="false">IF(CapV=2,N(V126),N(V125))</f>
        <v>5</v>
      </c>
      <c r="W127" s="109" t="n">
        <f aca="false">IF(CapV=2,N(W126),N(W125))</f>
        <v>5</v>
      </c>
      <c r="X127" s="109" t="n">
        <f aca="false">IF(CapV=2,N(X126),N(X125))</f>
        <v>5</v>
      </c>
      <c r="Y127" s="109" t="n">
        <f aca="false">IF(CapV=2,N(Y126),N(Y125))</f>
        <v>5</v>
      </c>
      <c r="Z127" s="109" t="n">
        <f aca="false">IF(CapV=2,N(Z126),N(Z125))</f>
        <v>5</v>
      </c>
      <c r="AA127" s="109" t="n">
        <f aca="false">IF(CapV=2,N(AA126),N(AA125))</f>
        <v>5</v>
      </c>
      <c r="AB127" s="109" t="n">
        <f aca="false">IF(CapV=2,N(AB126),N(AB125))</f>
        <v>5</v>
      </c>
      <c r="AC127" s="109" t="n">
        <f aca="false">IF(CapV=2,N(AC126),N(AC125))</f>
        <v>5</v>
      </c>
      <c r="AD127" s="109" t="n">
        <f aca="false">IF(CapV=2,N(AD126),N(AD125))</f>
        <v>5</v>
      </c>
      <c r="AE127" s="109" t="n">
        <f aca="false">IF(CapV=2,N(AE126),N(AE125))</f>
        <v>5</v>
      </c>
      <c r="AF127" s="109" t="n">
        <f aca="false">IF(CapV=2,N(AF126),N(AF125))</f>
        <v>5</v>
      </c>
      <c r="AG127" s="109" t="n">
        <f aca="false">IF(CapV=2,N(AG126),N(AG125))</f>
        <v>5</v>
      </c>
      <c r="AI127" s="109" t="n">
        <f aca="false">INDEX($F127:$AG127,1,MATCH(AI$7,$F$7:$AG$7,1))</f>
        <v>5</v>
      </c>
      <c r="AJ127" s="109" t="n">
        <f aca="false">INDEX($F127:$AG127,1,MATCH(AJ$7,$F$7:$AG$7,1))</f>
        <v>5</v>
      </c>
      <c r="AK127" s="109" t="n">
        <f aca="false">INDEX($F127:$AG127,1,MATCH(AK$7,$F$7:$AG$7,1))</f>
        <v>5</v>
      </c>
      <c r="AL127" s="109" t="n">
        <f aca="false">INDEX($F127:$AG127,1,MATCH(AL$7,$F$7:$AG$7,1))</f>
        <v>5</v>
      </c>
      <c r="AM127" s="109" t="n">
        <f aca="false">INDEX($F127:$AG127,1,MATCH(AM$7,$F$7:$AG$7,1))</f>
        <v>5</v>
      </c>
      <c r="AN127" s="109" t="n">
        <f aca="false">INDEX($F127:$AG127,1,MATCH(AN$7,$F$7:$AG$7,1))</f>
        <v>5</v>
      </c>
      <c r="AO127" s="109" t="n">
        <f aca="false">INDEX($F127:$AG127,1,MATCH(AO$7,$F$7:$AG$7,1))</f>
        <v>5</v>
      </c>
    </row>
    <row r="128" customFormat="false" ht="15" hidden="false" customHeight="false" outlineLevel="0" collapsed="false">
      <c r="A128" s="107" t="s">
        <v>1565</v>
      </c>
      <c r="B128" s="22" t="s">
        <v>664</v>
      </c>
      <c r="C128" s="22" t="s">
        <v>558</v>
      </c>
      <c r="D128" s="22" t="s">
        <v>1476</v>
      </c>
      <c r="F128" s="108" t="n">
        <v>0</v>
      </c>
      <c r="G128" s="108" t="n">
        <v>0</v>
      </c>
      <c r="H128" s="108" t="n">
        <v>0</v>
      </c>
      <c r="I128" s="108" t="n">
        <v>5</v>
      </c>
      <c r="J128" s="108" t="n">
        <v>5</v>
      </c>
      <c r="K128" s="108" t="n">
        <v>5</v>
      </c>
      <c r="L128" s="108" t="n">
        <v>5</v>
      </c>
      <c r="M128" s="108" t="n">
        <v>5</v>
      </c>
      <c r="N128" s="108" t="n">
        <v>5</v>
      </c>
      <c r="O128" s="108" t="n">
        <v>5</v>
      </c>
      <c r="P128" s="108" t="n">
        <v>5</v>
      </c>
      <c r="Q128" s="108" t="n">
        <v>5</v>
      </c>
      <c r="R128" s="108" t="n">
        <v>5</v>
      </c>
      <c r="S128" s="108" t="n">
        <v>5</v>
      </c>
      <c r="T128" s="108" t="n">
        <v>5</v>
      </c>
      <c r="U128" s="108" t="n">
        <v>5</v>
      </c>
      <c r="V128" s="108" t="n">
        <v>5</v>
      </c>
      <c r="W128" s="108" t="n">
        <v>5</v>
      </c>
      <c r="X128" s="108" t="n">
        <v>5</v>
      </c>
      <c r="Y128" s="108" t="n">
        <v>5</v>
      </c>
      <c r="Z128" s="108" t="n">
        <v>5</v>
      </c>
      <c r="AA128" s="108" t="n">
        <v>5</v>
      </c>
      <c r="AB128" s="108" t="n">
        <v>5</v>
      </c>
      <c r="AC128" s="108" t="n">
        <v>5</v>
      </c>
      <c r="AD128" s="108" t="n">
        <v>5</v>
      </c>
      <c r="AE128" s="108" t="n">
        <v>5</v>
      </c>
      <c r="AF128" s="108" t="n">
        <v>5</v>
      </c>
      <c r="AG128" s="108" t="n">
        <v>5</v>
      </c>
      <c r="AI128" s="109" t="n">
        <f aca="false">INDEX($F128:$AG128,1,MATCH(AI$7,$F$7:$AG$7,1))</f>
        <v>5</v>
      </c>
      <c r="AJ128" s="109" t="n">
        <f aca="false">INDEX($F128:$AG128,1,MATCH(AJ$7,$F$7:$AG$7,1))</f>
        <v>5</v>
      </c>
      <c r="AK128" s="109" t="n">
        <f aca="false">INDEX($F128:$AG128,1,MATCH(AK$7,$F$7:$AG$7,1))</f>
        <v>5</v>
      </c>
      <c r="AL128" s="109" t="n">
        <f aca="false">INDEX($F128:$AG128,1,MATCH(AL$7,$F$7:$AG$7,1))</f>
        <v>5</v>
      </c>
      <c r="AM128" s="109" t="n">
        <f aca="false">INDEX($F128:$AG128,1,MATCH(AM$7,$F$7:$AG$7,1))</f>
        <v>5</v>
      </c>
      <c r="AN128" s="109" t="n">
        <f aca="false">INDEX($F128:$AG128,1,MATCH(AN$7,$F$7:$AG$7,1))</f>
        <v>5</v>
      </c>
      <c r="AO128" s="109" t="n">
        <f aca="false">INDEX($F128:$AG128,1,MATCH(AO$7,$F$7:$AG$7,1))</f>
        <v>5</v>
      </c>
    </row>
    <row r="129" customFormat="false" ht="15" hidden="false" customHeight="false" outlineLevel="0" collapsed="false">
      <c r="A129" s="107" t="s">
        <v>1566</v>
      </c>
      <c r="B129" s="22" t="s">
        <v>664</v>
      </c>
      <c r="C129" s="22" t="s">
        <v>558</v>
      </c>
      <c r="D129" s="22" t="s">
        <v>1478</v>
      </c>
      <c r="F129" s="108" t="n">
        <v>0</v>
      </c>
      <c r="G129" s="108" t="n">
        <v>0</v>
      </c>
      <c r="H129" s="108" t="n">
        <v>0</v>
      </c>
      <c r="I129" s="108" t="n">
        <v>5</v>
      </c>
      <c r="J129" s="108" t="n">
        <v>5</v>
      </c>
      <c r="K129" s="108" t="n">
        <v>5</v>
      </c>
      <c r="L129" s="108" t="n">
        <v>5</v>
      </c>
      <c r="M129" s="108" t="n">
        <v>5</v>
      </c>
      <c r="N129" s="108" t="n">
        <v>5</v>
      </c>
      <c r="O129" s="108" t="n">
        <v>5</v>
      </c>
      <c r="P129" s="108" t="n">
        <v>5</v>
      </c>
      <c r="Q129" s="108" t="n">
        <v>5</v>
      </c>
      <c r="R129" s="108" t="n">
        <v>5</v>
      </c>
      <c r="S129" s="108" t="n">
        <v>5</v>
      </c>
      <c r="T129" s="108" t="n">
        <v>5</v>
      </c>
      <c r="U129" s="108" t="n">
        <v>5</v>
      </c>
      <c r="V129" s="108" t="n">
        <v>5</v>
      </c>
      <c r="W129" s="108" t="n">
        <v>5</v>
      </c>
      <c r="X129" s="108" t="n">
        <v>5</v>
      </c>
      <c r="Y129" s="108" t="n">
        <v>5</v>
      </c>
      <c r="Z129" s="108" t="n">
        <v>5</v>
      </c>
      <c r="AA129" s="108" t="n">
        <v>5</v>
      </c>
      <c r="AB129" s="108" t="n">
        <v>5</v>
      </c>
      <c r="AC129" s="108" t="n">
        <v>5</v>
      </c>
      <c r="AD129" s="108" t="n">
        <v>5</v>
      </c>
      <c r="AE129" s="108" t="n">
        <v>5</v>
      </c>
      <c r="AF129" s="108" t="n">
        <v>5</v>
      </c>
      <c r="AG129" s="108" t="n">
        <v>5</v>
      </c>
      <c r="AI129" s="109" t="n">
        <f aca="false">INDEX($F129:$AG129,1,MATCH(AI$7,$F$7:$AG$7,1))</f>
        <v>5</v>
      </c>
      <c r="AJ129" s="109" t="n">
        <f aca="false">INDEX($F129:$AG129,1,MATCH(AJ$7,$F$7:$AG$7,1))</f>
        <v>5</v>
      </c>
      <c r="AK129" s="109" t="n">
        <f aca="false">INDEX($F129:$AG129,1,MATCH(AK$7,$F$7:$AG$7,1))</f>
        <v>5</v>
      </c>
      <c r="AL129" s="109" t="n">
        <f aca="false">INDEX($F129:$AG129,1,MATCH(AL$7,$F$7:$AG$7,1))</f>
        <v>5</v>
      </c>
      <c r="AM129" s="109" t="n">
        <f aca="false">INDEX($F129:$AG129,1,MATCH(AM$7,$F$7:$AG$7,1))</f>
        <v>5</v>
      </c>
      <c r="AN129" s="109" t="n">
        <f aca="false">INDEX($F129:$AG129,1,MATCH(AN$7,$F$7:$AG$7,1))</f>
        <v>5</v>
      </c>
      <c r="AO129" s="109" t="n">
        <f aca="false">INDEX($F129:$AG129,1,MATCH(AO$7,$F$7:$AG$7,1))</f>
        <v>5</v>
      </c>
    </row>
    <row r="130" customFormat="false" ht="15" hidden="false" customHeight="false" outlineLevel="0" collapsed="false">
      <c r="A130" s="107" t="s">
        <v>1567</v>
      </c>
      <c r="B130" s="22" t="s">
        <v>664</v>
      </c>
      <c r="C130" s="22" t="s">
        <v>540</v>
      </c>
      <c r="D130" s="22" t="s">
        <v>1480</v>
      </c>
      <c r="F130" s="109" t="n">
        <f aca="false">IF(CapV=2,N(F129),N(F128))</f>
        <v>0</v>
      </c>
      <c r="G130" s="109" t="n">
        <f aca="false">IF(CapV=2,N(G129),N(G128))</f>
        <v>0</v>
      </c>
      <c r="H130" s="109" t="n">
        <f aca="false">IF(CapV=2,N(H129),N(H128))</f>
        <v>0</v>
      </c>
      <c r="I130" s="109" t="n">
        <f aca="false">IF(CapV=2,N(I129),N(I128))</f>
        <v>5</v>
      </c>
      <c r="J130" s="109" t="n">
        <f aca="false">IF(CapV=2,N(J129),N(J128))</f>
        <v>5</v>
      </c>
      <c r="K130" s="109" t="n">
        <f aca="false">IF(CapV=2,N(K129),N(K128))</f>
        <v>5</v>
      </c>
      <c r="L130" s="109" t="n">
        <f aca="false">IF(CapV=2,N(L129),N(L128))</f>
        <v>5</v>
      </c>
      <c r="M130" s="109" t="n">
        <f aca="false">IF(CapV=2,N(M129),N(M128))</f>
        <v>5</v>
      </c>
      <c r="N130" s="109" t="n">
        <f aca="false">IF(CapV=2,N(N129),N(N128))</f>
        <v>5</v>
      </c>
      <c r="O130" s="109" t="n">
        <f aca="false">IF(CapV=2,N(O129),N(O128))</f>
        <v>5</v>
      </c>
      <c r="P130" s="109" t="n">
        <f aca="false">IF(CapV=2,N(P129),N(P128))</f>
        <v>5</v>
      </c>
      <c r="Q130" s="109" t="n">
        <f aca="false">IF(CapV=2,N(Q129),N(Q128))</f>
        <v>5</v>
      </c>
      <c r="R130" s="109" t="n">
        <f aca="false">IF(CapV=2,N(R129),N(R128))</f>
        <v>5</v>
      </c>
      <c r="S130" s="109" t="n">
        <f aca="false">IF(CapV=2,N(S129),N(S128))</f>
        <v>5</v>
      </c>
      <c r="T130" s="109" t="n">
        <f aca="false">IF(CapV=2,N(T129),N(T128))</f>
        <v>5</v>
      </c>
      <c r="U130" s="109" t="n">
        <f aca="false">IF(CapV=2,N(U129),N(U128))</f>
        <v>5</v>
      </c>
      <c r="V130" s="109" t="n">
        <f aca="false">IF(CapV=2,N(V129),N(V128))</f>
        <v>5</v>
      </c>
      <c r="W130" s="109" t="n">
        <f aca="false">IF(CapV=2,N(W129),N(W128))</f>
        <v>5</v>
      </c>
      <c r="X130" s="109" t="n">
        <f aca="false">IF(CapV=2,N(X129),N(X128))</f>
        <v>5</v>
      </c>
      <c r="Y130" s="109" t="n">
        <f aca="false">IF(CapV=2,N(Y129),N(Y128))</f>
        <v>5</v>
      </c>
      <c r="Z130" s="109" t="n">
        <f aca="false">IF(CapV=2,N(Z129),N(Z128))</f>
        <v>5</v>
      </c>
      <c r="AA130" s="109" t="n">
        <f aca="false">IF(CapV=2,N(AA129),N(AA128))</f>
        <v>5</v>
      </c>
      <c r="AB130" s="109" t="n">
        <f aca="false">IF(CapV=2,N(AB129),N(AB128))</f>
        <v>5</v>
      </c>
      <c r="AC130" s="109" t="n">
        <f aca="false">IF(CapV=2,N(AC129),N(AC128))</f>
        <v>5</v>
      </c>
      <c r="AD130" s="109" t="n">
        <f aca="false">IF(CapV=2,N(AD129),N(AD128))</f>
        <v>5</v>
      </c>
      <c r="AE130" s="109" t="n">
        <f aca="false">IF(CapV=2,N(AE129),N(AE128))</f>
        <v>5</v>
      </c>
      <c r="AF130" s="109" t="n">
        <f aca="false">IF(CapV=2,N(AF129),N(AF128))</f>
        <v>5</v>
      </c>
      <c r="AG130" s="109" t="n">
        <f aca="false">IF(CapV=2,N(AG129),N(AG128))</f>
        <v>5</v>
      </c>
      <c r="AI130" s="109" t="n">
        <f aca="false">INDEX($F130:$AG130,1,MATCH(AI$7,$F$7:$AG$7,1))</f>
        <v>5</v>
      </c>
      <c r="AJ130" s="109" t="n">
        <f aca="false">INDEX($F130:$AG130,1,MATCH(AJ$7,$F$7:$AG$7,1))</f>
        <v>5</v>
      </c>
      <c r="AK130" s="109" t="n">
        <f aca="false">INDEX($F130:$AG130,1,MATCH(AK$7,$F$7:$AG$7,1))</f>
        <v>5</v>
      </c>
      <c r="AL130" s="109" t="n">
        <f aca="false">INDEX($F130:$AG130,1,MATCH(AL$7,$F$7:$AG$7,1))</f>
        <v>5</v>
      </c>
      <c r="AM130" s="109" t="n">
        <f aca="false">INDEX($F130:$AG130,1,MATCH(AM$7,$F$7:$AG$7,1))</f>
        <v>5</v>
      </c>
      <c r="AN130" s="109" t="n">
        <f aca="false">INDEX($F130:$AG130,1,MATCH(AN$7,$F$7:$AG$7,1))</f>
        <v>5</v>
      </c>
      <c r="AO130" s="109" t="n">
        <f aca="false">INDEX($F130:$AG130,1,MATCH(AO$7,$F$7:$AG$7,1))</f>
        <v>5</v>
      </c>
    </row>
    <row r="131" customFormat="false" ht="15" hidden="false" customHeight="false" outlineLevel="0" collapsed="false">
      <c r="A131" s="107" t="s">
        <v>1568</v>
      </c>
      <c r="B131" s="22" t="s">
        <v>664</v>
      </c>
      <c r="C131" s="22" t="s">
        <v>558</v>
      </c>
      <c r="D131" s="22" t="s">
        <v>1476</v>
      </c>
      <c r="F131" s="108" t="n">
        <v>0</v>
      </c>
      <c r="G131" s="108" t="n">
        <v>0</v>
      </c>
      <c r="H131" s="108" t="n">
        <v>0</v>
      </c>
      <c r="I131" s="108" t="n">
        <v>0</v>
      </c>
      <c r="J131" s="108" t="n">
        <v>10</v>
      </c>
      <c r="K131" s="108" t="n">
        <v>10</v>
      </c>
      <c r="L131" s="108" t="n">
        <v>10</v>
      </c>
      <c r="M131" s="108" t="n">
        <v>10</v>
      </c>
      <c r="N131" s="108" t="n">
        <v>10</v>
      </c>
      <c r="O131" s="108" t="n">
        <v>10</v>
      </c>
      <c r="P131" s="108" t="n">
        <v>10</v>
      </c>
      <c r="Q131" s="108" t="n">
        <v>10</v>
      </c>
      <c r="R131" s="108" t="n">
        <v>10</v>
      </c>
      <c r="S131" s="108" t="n">
        <v>10</v>
      </c>
      <c r="T131" s="108" t="n">
        <v>10</v>
      </c>
      <c r="U131" s="108" t="n">
        <v>10</v>
      </c>
      <c r="V131" s="108" t="n">
        <v>10</v>
      </c>
      <c r="W131" s="108" t="n">
        <v>10</v>
      </c>
      <c r="X131" s="108" t="n">
        <v>10</v>
      </c>
      <c r="Y131" s="108" t="n">
        <v>10</v>
      </c>
      <c r="Z131" s="108" t="n">
        <v>10</v>
      </c>
      <c r="AA131" s="108" t="n">
        <v>10</v>
      </c>
      <c r="AB131" s="108" t="n">
        <v>10</v>
      </c>
      <c r="AC131" s="108" t="n">
        <v>10</v>
      </c>
      <c r="AD131" s="108" t="n">
        <v>10</v>
      </c>
      <c r="AE131" s="108" t="n">
        <v>10</v>
      </c>
      <c r="AF131" s="108" t="n">
        <v>10</v>
      </c>
      <c r="AG131" s="108" t="n">
        <v>10</v>
      </c>
      <c r="AI131" s="109" t="n">
        <f aca="false">INDEX($F131:$AG131,1,MATCH(AI$7,$F$7:$AG$7,1))</f>
        <v>0</v>
      </c>
      <c r="AJ131" s="109" t="n">
        <f aca="false">INDEX($F131:$AG131,1,MATCH(AJ$7,$F$7:$AG$7,1))</f>
        <v>10</v>
      </c>
      <c r="AK131" s="109" t="n">
        <f aca="false">INDEX($F131:$AG131,1,MATCH(AK$7,$F$7:$AG$7,1))</f>
        <v>10</v>
      </c>
      <c r="AL131" s="109" t="n">
        <f aca="false">INDEX($F131:$AG131,1,MATCH(AL$7,$F$7:$AG$7,1))</f>
        <v>10</v>
      </c>
      <c r="AM131" s="109" t="n">
        <f aca="false">INDEX($F131:$AG131,1,MATCH(AM$7,$F$7:$AG$7,1))</f>
        <v>10</v>
      </c>
      <c r="AN131" s="109" t="n">
        <f aca="false">INDEX($F131:$AG131,1,MATCH(AN$7,$F$7:$AG$7,1))</f>
        <v>10</v>
      </c>
      <c r="AO131" s="109" t="n">
        <f aca="false">INDEX($F131:$AG131,1,MATCH(AO$7,$F$7:$AG$7,1))</f>
        <v>10</v>
      </c>
    </row>
    <row r="132" customFormat="false" ht="15" hidden="false" customHeight="false" outlineLevel="0" collapsed="false">
      <c r="A132" s="107" t="s">
        <v>1569</v>
      </c>
      <c r="B132" s="22" t="s">
        <v>664</v>
      </c>
      <c r="C132" s="22" t="s">
        <v>558</v>
      </c>
      <c r="D132" s="22" t="s">
        <v>1478</v>
      </c>
      <c r="F132" s="108" t="n">
        <v>0</v>
      </c>
      <c r="G132" s="108" t="n">
        <v>0</v>
      </c>
      <c r="H132" s="108" t="n">
        <v>0</v>
      </c>
      <c r="I132" s="108" t="n">
        <v>0</v>
      </c>
      <c r="J132" s="108" t="n">
        <v>10</v>
      </c>
      <c r="K132" s="108" t="n">
        <v>10</v>
      </c>
      <c r="L132" s="108" t="n">
        <v>10</v>
      </c>
      <c r="M132" s="108" t="n">
        <v>10</v>
      </c>
      <c r="N132" s="108" t="n">
        <v>10</v>
      </c>
      <c r="O132" s="108" t="n">
        <v>10</v>
      </c>
      <c r="P132" s="108" t="n">
        <v>10</v>
      </c>
      <c r="Q132" s="108" t="n">
        <v>10</v>
      </c>
      <c r="R132" s="108" t="n">
        <v>10</v>
      </c>
      <c r="S132" s="108" t="n">
        <v>10</v>
      </c>
      <c r="T132" s="108" t="n">
        <v>10</v>
      </c>
      <c r="U132" s="108" t="n">
        <v>10</v>
      </c>
      <c r="V132" s="108" t="n">
        <v>10</v>
      </c>
      <c r="W132" s="108" t="n">
        <v>10</v>
      </c>
      <c r="X132" s="108" t="n">
        <v>10</v>
      </c>
      <c r="Y132" s="108" t="n">
        <v>10</v>
      </c>
      <c r="Z132" s="108" t="n">
        <v>10</v>
      </c>
      <c r="AA132" s="108" t="n">
        <v>10</v>
      </c>
      <c r="AB132" s="108" t="n">
        <v>10</v>
      </c>
      <c r="AC132" s="108" t="n">
        <v>10</v>
      </c>
      <c r="AD132" s="108" t="n">
        <v>10</v>
      </c>
      <c r="AE132" s="108" t="n">
        <v>10</v>
      </c>
      <c r="AF132" s="108" t="n">
        <v>10</v>
      </c>
      <c r="AG132" s="108" t="n">
        <v>10</v>
      </c>
      <c r="AI132" s="109" t="n">
        <f aca="false">INDEX($F132:$AG132,1,MATCH(AI$7,$F$7:$AG$7,1))</f>
        <v>0</v>
      </c>
      <c r="AJ132" s="109" t="n">
        <f aca="false">INDEX($F132:$AG132,1,MATCH(AJ$7,$F$7:$AG$7,1))</f>
        <v>10</v>
      </c>
      <c r="AK132" s="109" t="n">
        <f aca="false">INDEX($F132:$AG132,1,MATCH(AK$7,$F$7:$AG$7,1))</f>
        <v>10</v>
      </c>
      <c r="AL132" s="109" t="n">
        <f aca="false">INDEX($F132:$AG132,1,MATCH(AL$7,$F$7:$AG$7,1))</f>
        <v>10</v>
      </c>
      <c r="AM132" s="109" t="n">
        <f aca="false">INDEX($F132:$AG132,1,MATCH(AM$7,$F$7:$AG$7,1))</f>
        <v>10</v>
      </c>
      <c r="AN132" s="109" t="n">
        <f aca="false">INDEX($F132:$AG132,1,MATCH(AN$7,$F$7:$AG$7,1))</f>
        <v>10</v>
      </c>
      <c r="AO132" s="109" t="n">
        <f aca="false">INDEX($F132:$AG132,1,MATCH(AO$7,$F$7:$AG$7,1))</f>
        <v>10</v>
      </c>
    </row>
    <row r="133" customFormat="false" ht="15" hidden="false" customHeight="false" outlineLevel="0" collapsed="false">
      <c r="A133" s="107" t="s">
        <v>1570</v>
      </c>
      <c r="B133" s="22" t="s">
        <v>664</v>
      </c>
      <c r="C133" s="22" t="s">
        <v>540</v>
      </c>
      <c r="D133" s="22" t="s">
        <v>1480</v>
      </c>
      <c r="F133" s="109" t="n">
        <f aca="false">IF(CapV=2,N(F132),N(F131))</f>
        <v>0</v>
      </c>
      <c r="G133" s="109" t="n">
        <f aca="false">IF(CapV=2,N(G132),N(G131))</f>
        <v>0</v>
      </c>
      <c r="H133" s="109" t="n">
        <f aca="false">IF(CapV=2,N(H132),N(H131))</f>
        <v>0</v>
      </c>
      <c r="I133" s="109" t="n">
        <f aca="false">IF(CapV=2,N(I132),N(I131))</f>
        <v>0</v>
      </c>
      <c r="J133" s="109" t="n">
        <f aca="false">IF(CapV=2,N(J132),N(J131))</f>
        <v>10</v>
      </c>
      <c r="K133" s="109" t="n">
        <f aca="false">IF(CapV=2,N(K132),N(K131))</f>
        <v>10</v>
      </c>
      <c r="L133" s="109" t="n">
        <f aca="false">IF(CapV=2,N(L132),N(L131))</f>
        <v>10</v>
      </c>
      <c r="M133" s="109" t="n">
        <f aca="false">IF(CapV=2,N(M132),N(M131))</f>
        <v>10</v>
      </c>
      <c r="N133" s="109" t="n">
        <f aca="false">IF(CapV=2,N(N132),N(N131))</f>
        <v>10</v>
      </c>
      <c r="O133" s="109" t="n">
        <f aca="false">IF(CapV=2,N(O132),N(O131))</f>
        <v>10</v>
      </c>
      <c r="P133" s="109" t="n">
        <f aca="false">IF(CapV=2,N(P132),N(P131))</f>
        <v>10</v>
      </c>
      <c r="Q133" s="109" t="n">
        <f aca="false">IF(CapV=2,N(Q132),N(Q131))</f>
        <v>10</v>
      </c>
      <c r="R133" s="109" t="n">
        <f aca="false">IF(CapV=2,N(R132),N(R131))</f>
        <v>10</v>
      </c>
      <c r="S133" s="109" t="n">
        <f aca="false">IF(CapV=2,N(S132),N(S131))</f>
        <v>10</v>
      </c>
      <c r="T133" s="109" t="n">
        <f aca="false">IF(CapV=2,N(T132),N(T131))</f>
        <v>10</v>
      </c>
      <c r="U133" s="109" t="n">
        <f aca="false">IF(CapV=2,N(U132),N(U131))</f>
        <v>10</v>
      </c>
      <c r="V133" s="109" t="n">
        <f aca="false">IF(CapV=2,N(V132),N(V131))</f>
        <v>10</v>
      </c>
      <c r="W133" s="109" t="n">
        <f aca="false">IF(CapV=2,N(W132),N(W131))</f>
        <v>10</v>
      </c>
      <c r="X133" s="109" t="n">
        <f aca="false">IF(CapV=2,N(X132),N(X131))</f>
        <v>10</v>
      </c>
      <c r="Y133" s="109" t="n">
        <f aca="false">IF(CapV=2,N(Y132),N(Y131))</f>
        <v>10</v>
      </c>
      <c r="Z133" s="109" t="n">
        <f aca="false">IF(CapV=2,N(Z132),N(Z131))</f>
        <v>10</v>
      </c>
      <c r="AA133" s="109" t="n">
        <f aca="false">IF(CapV=2,N(AA132),N(AA131))</f>
        <v>10</v>
      </c>
      <c r="AB133" s="109" t="n">
        <f aca="false">IF(CapV=2,N(AB132),N(AB131))</f>
        <v>10</v>
      </c>
      <c r="AC133" s="109" t="n">
        <f aca="false">IF(CapV=2,N(AC132),N(AC131))</f>
        <v>10</v>
      </c>
      <c r="AD133" s="109" t="n">
        <f aca="false">IF(CapV=2,N(AD132),N(AD131))</f>
        <v>10</v>
      </c>
      <c r="AE133" s="109" t="n">
        <f aca="false">IF(CapV=2,N(AE132),N(AE131))</f>
        <v>10</v>
      </c>
      <c r="AF133" s="109" t="n">
        <f aca="false">IF(CapV=2,N(AF132),N(AF131))</f>
        <v>10</v>
      </c>
      <c r="AG133" s="109" t="n">
        <f aca="false">IF(CapV=2,N(AG132),N(AG131))</f>
        <v>10</v>
      </c>
      <c r="AI133" s="109" t="n">
        <f aca="false">INDEX($F133:$AG133,1,MATCH(AI$7,$F$7:$AG$7,1))</f>
        <v>0</v>
      </c>
      <c r="AJ133" s="109" t="n">
        <f aca="false">INDEX($F133:$AG133,1,MATCH(AJ$7,$F$7:$AG$7,1))</f>
        <v>10</v>
      </c>
      <c r="AK133" s="109" t="n">
        <f aca="false">INDEX($F133:$AG133,1,MATCH(AK$7,$F$7:$AG$7,1))</f>
        <v>10</v>
      </c>
      <c r="AL133" s="109" t="n">
        <f aca="false">INDEX($F133:$AG133,1,MATCH(AL$7,$F$7:$AG$7,1))</f>
        <v>10</v>
      </c>
      <c r="AM133" s="109" t="n">
        <f aca="false">INDEX($F133:$AG133,1,MATCH(AM$7,$F$7:$AG$7,1))</f>
        <v>10</v>
      </c>
      <c r="AN133" s="109" t="n">
        <f aca="false">INDEX($F133:$AG133,1,MATCH(AN$7,$F$7:$AG$7,1))</f>
        <v>10</v>
      </c>
      <c r="AO133" s="109" t="n">
        <f aca="false">INDEX($F133:$AG133,1,MATCH(AO$7,$F$7:$AG$7,1))</f>
        <v>10</v>
      </c>
    </row>
    <row r="134" customFormat="false" ht="15" hidden="false" customHeight="false" outlineLevel="0" collapsed="false">
      <c r="A134" s="107" t="s">
        <v>1571</v>
      </c>
      <c r="B134" s="22" t="s">
        <v>664</v>
      </c>
      <c r="C134" s="22" t="s">
        <v>558</v>
      </c>
      <c r="D134" s="22" t="s">
        <v>1476</v>
      </c>
      <c r="F134" s="108" t="n">
        <v>0</v>
      </c>
      <c r="G134" s="108" t="n">
        <v>0</v>
      </c>
      <c r="H134" s="108" t="n">
        <v>0</v>
      </c>
      <c r="I134" s="108" t="n">
        <v>0</v>
      </c>
      <c r="J134" s="108" t="n">
        <v>10</v>
      </c>
      <c r="K134" s="108" t="n">
        <v>10</v>
      </c>
      <c r="L134" s="108" t="n">
        <v>10</v>
      </c>
      <c r="M134" s="108" t="n">
        <v>10</v>
      </c>
      <c r="N134" s="108" t="n">
        <v>10</v>
      </c>
      <c r="O134" s="108" t="n">
        <v>10</v>
      </c>
      <c r="P134" s="108" t="n">
        <v>10</v>
      </c>
      <c r="Q134" s="108" t="n">
        <v>10</v>
      </c>
      <c r="R134" s="108" t="n">
        <v>10</v>
      </c>
      <c r="S134" s="108" t="n">
        <v>10</v>
      </c>
      <c r="T134" s="108" t="n">
        <v>10</v>
      </c>
      <c r="U134" s="108" t="n">
        <v>10</v>
      </c>
      <c r="V134" s="108" t="n">
        <v>10</v>
      </c>
      <c r="W134" s="108" t="n">
        <v>10</v>
      </c>
      <c r="X134" s="108" t="n">
        <v>10</v>
      </c>
      <c r="Y134" s="108" t="n">
        <v>10</v>
      </c>
      <c r="Z134" s="108" t="n">
        <v>10</v>
      </c>
      <c r="AA134" s="108" t="n">
        <v>10</v>
      </c>
      <c r="AB134" s="108" t="n">
        <v>10</v>
      </c>
      <c r="AC134" s="108" t="n">
        <v>10</v>
      </c>
      <c r="AD134" s="108" t="n">
        <v>10</v>
      </c>
      <c r="AE134" s="108" t="n">
        <v>10</v>
      </c>
      <c r="AF134" s="108" t="n">
        <v>10</v>
      </c>
      <c r="AG134" s="108" t="n">
        <v>10</v>
      </c>
      <c r="AI134" s="109" t="n">
        <f aca="false">INDEX($F134:$AG134,1,MATCH(AI$7,$F$7:$AG$7,1))</f>
        <v>0</v>
      </c>
      <c r="AJ134" s="109" t="n">
        <f aca="false">INDEX($F134:$AG134,1,MATCH(AJ$7,$F$7:$AG$7,1))</f>
        <v>10</v>
      </c>
      <c r="AK134" s="109" t="n">
        <f aca="false">INDEX($F134:$AG134,1,MATCH(AK$7,$F$7:$AG$7,1))</f>
        <v>10</v>
      </c>
      <c r="AL134" s="109" t="n">
        <f aca="false">INDEX($F134:$AG134,1,MATCH(AL$7,$F$7:$AG$7,1))</f>
        <v>10</v>
      </c>
      <c r="AM134" s="109" t="n">
        <f aca="false">INDEX($F134:$AG134,1,MATCH(AM$7,$F$7:$AG$7,1))</f>
        <v>10</v>
      </c>
      <c r="AN134" s="109" t="n">
        <f aca="false">INDEX($F134:$AG134,1,MATCH(AN$7,$F$7:$AG$7,1))</f>
        <v>10</v>
      </c>
      <c r="AO134" s="109" t="n">
        <f aca="false">INDEX($F134:$AG134,1,MATCH(AO$7,$F$7:$AG$7,1))</f>
        <v>10</v>
      </c>
    </row>
    <row r="135" customFormat="false" ht="15" hidden="false" customHeight="false" outlineLevel="0" collapsed="false">
      <c r="A135" s="107" t="s">
        <v>1572</v>
      </c>
      <c r="B135" s="22" t="s">
        <v>664</v>
      </c>
      <c r="C135" s="22" t="s">
        <v>558</v>
      </c>
      <c r="D135" s="22" t="s">
        <v>1478</v>
      </c>
      <c r="F135" s="108" t="n">
        <v>0</v>
      </c>
      <c r="G135" s="108" t="n">
        <v>0</v>
      </c>
      <c r="H135" s="108" t="n">
        <v>0</v>
      </c>
      <c r="I135" s="108" t="n">
        <v>0</v>
      </c>
      <c r="J135" s="108" t="n">
        <v>10</v>
      </c>
      <c r="K135" s="108" t="n">
        <v>10</v>
      </c>
      <c r="L135" s="108" t="n">
        <v>10</v>
      </c>
      <c r="M135" s="108" t="n">
        <v>10</v>
      </c>
      <c r="N135" s="108" t="n">
        <v>10</v>
      </c>
      <c r="O135" s="108" t="n">
        <v>10</v>
      </c>
      <c r="P135" s="108" t="n">
        <v>10</v>
      </c>
      <c r="Q135" s="108" t="n">
        <v>10</v>
      </c>
      <c r="R135" s="108" t="n">
        <v>10</v>
      </c>
      <c r="S135" s="108" t="n">
        <v>10</v>
      </c>
      <c r="T135" s="108" t="n">
        <v>10</v>
      </c>
      <c r="U135" s="108" t="n">
        <v>10</v>
      </c>
      <c r="V135" s="108" t="n">
        <v>10</v>
      </c>
      <c r="W135" s="108" t="n">
        <v>10</v>
      </c>
      <c r="X135" s="108" t="n">
        <v>10</v>
      </c>
      <c r="Y135" s="108" t="n">
        <v>10</v>
      </c>
      <c r="Z135" s="108" t="n">
        <v>10</v>
      </c>
      <c r="AA135" s="108" t="n">
        <v>10</v>
      </c>
      <c r="AB135" s="108" t="n">
        <v>10</v>
      </c>
      <c r="AC135" s="108" t="n">
        <v>10</v>
      </c>
      <c r="AD135" s="108" t="n">
        <v>10</v>
      </c>
      <c r="AE135" s="108" t="n">
        <v>10</v>
      </c>
      <c r="AF135" s="108" t="n">
        <v>10</v>
      </c>
      <c r="AG135" s="108" t="n">
        <v>10</v>
      </c>
      <c r="AI135" s="109" t="n">
        <f aca="false">INDEX($F135:$AG135,1,MATCH(AI$7,$F$7:$AG$7,1))</f>
        <v>0</v>
      </c>
      <c r="AJ135" s="109" t="n">
        <f aca="false">INDEX($F135:$AG135,1,MATCH(AJ$7,$F$7:$AG$7,1))</f>
        <v>10</v>
      </c>
      <c r="AK135" s="109" t="n">
        <f aca="false">INDEX($F135:$AG135,1,MATCH(AK$7,$F$7:$AG$7,1))</f>
        <v>10</v>
      </c>
      <c r="AL135" s="109" t="n">
        <f aca="false">INDEX($F135:$AG135,1,MATCH(AL$7,$F$7:$AG$7,1))</f>
        <v>10</v>
      </c>
      <c r="AM135" s="109" t="n">
        <f aca="false">INDEX($F135:$AG135,1,MATCH(AM$7,$F$7:$AG$7,1))</f>
        <v>10</v>
      </c>
      <c r="AN135" s="109" t="n">
        <f aca="false">INDEX($F135:$AG135,1,MATCH(AN$7,$F$7:$AG$7,1))</f>
        <v>10</v>
      </c>
      <c r="AO135" s="109" t="n">
        <f aca="false">INDEX($F135:$AG135,1,MATCH(AO$7,$F$7:$AG$7,1))</f>
        <v>10</v>
      </c>
    </row>
    <row r="136" customFormat="false" ht="15" hidden="false" customHeight="false" outlineLevel="0" collapsed="false">
      <c r="A136" s="107" t="s">
        <v>1573</v>
      </c>
      <c r="B136" s="22" t="s">
        <v>664</v>
      </c>
      <c r="C136" s="22" t="s">
        <v>540</v>
      </c>
      <c r="D136" s="22" t="s">
        <v>1480</v>
      </c>
      <c r="F136" s="109" t="n">
        <f aca="false">IF(CapV=2,N(F135),N(F134))</f>
        <v>0</v>
      </c>
      <c r="G136" s="109" t="n">
        <f aca="false">IF(CapV=2,N(G135),N(G134))</f>
        <v>0</v>
      </c>
      <c r="H136" s="109" t="n">
        <f aca="false">IF(CapV=2,N(H135),N(H134))</f>
        <v>0</v>
      </c>
      <c r="I136" s="109" t="n">
        <f aca="false">IF(CapV=2,N(I135),N(I134))</f>
        <v>0</v>
      </c>
      <c r="J136" s="109" t="n">
        <f aca="false">IF(CapV=2,N(J135),N(J134))</f>
        <v>10</v>
      </c>
      <c r="K136" s="109" t="n">
        <f aca="false">IF(CapV=2,N(K135),N(K134))</f>
        <v>10</v>
      </c>
      <c r="L136" s="109" t="n">
        <f aca="false">IF(CapV=2,N(L135),N(L134))</f>
        <v>10</v>
      </c>
      <c r="M136" s="109" t="n">
        <f aca="false">IF(CapV=2,N(M135),N(M134))</f>
        <v>10</v>
      </c>
      <c r="N136" s="109" t="n">
        <f aca="false">IF(CapV=2,N(N135),N(N134))</f>
        <v>10</v>
      </c>
      <c r="O136" s="109" t="n">
        <f aca="false">IF(CapV=2,N(O135),N(O134))</f>
        <v>10</v>
      </c>
      <c r="P136" s="109" t="n">
        <f aca="false">IF(CapV=2,N(P135),N(P134))</f>
        <v>10</v>
      </c>
      <c r="Q136" s="109" t="n">
        <f aca="false">IF(CapV=2,N(Q135),N(Q134))</f>
        <v>10</v>
      </c>
      <c r="R136" s="109" t="n">
        <f aca="false">IF(CapV=2,N(R135),N(R134))</f>
        <v>10</v>
      </c>
      <c r="S136" s="109" t="n">
        <f aca="false">IF(CapV=2,N(S135),N(S134))</f>
        <v>10</v>
      </c>
      <c r="T136" s="109" t="n">
        <f aca="false">IF(CapV=2,N(T135),N(T134))</f>
        <v>10</v>
      </c>
      <c r="U136" s="109" t="n">
        <f aca="false">IF(CapV=2,N(U135),N(U134))</f>
        <v>10</v>
      </c>
      <c r="V136" s="109" t="n">
        <f aca="false">IF(CapV=2,N(V135),N(V134))</f>
        <v>10</v>
      </c>
      <c r="W136" s="109" t="n">
        <f aca="false">IF(CapV=2,N(W135),N(W134))</f>
        <v>10</v>
      </c>
      <c r="X136" s="109" t="n">
        <f aca="false">IF(CapV=2,N(X135),N(X134))</f>
        <v>10</v>
      </c>
      <c r="Y136" s="109" t="n">
        <f aca="false">IF(CapV=2,N(Y135),N(Y134))</f>
        <v>10</v>
      </c>
      <c r="Z136" s="109" t="n">
        <f aca="false">IF(CapV=2,N(Z135),N(Z134))</f>
        <v>10</v>
      </c>
      <c r="AA136" s="109" t="n">
        <f aca="false">IF(CapV=2,N(AA135),N(AA134))</f>
        <v>10</v>
      </c>
      <c r="AB136" s="109" t="n">
        <f aca="false">IF(CapV=2,N(AB135),N(AB134))</f>
        <v>10</v>
      </c>
      <c r="AC136" s="109" t="n">
        <f aca="false">IF(CapV=2,N(AC135),N(AC134))</f>
        <v>10</v>
      </c>
      <c r="AD136" s="109" t="n">
        <f aca="false">IF(CapV=2,N(AD135),N(AD134))</f>
        <v>10</v>
      </c>
      <c r="AE136" s="109" t="n">
        <f aca="false">IF(CapV=2,N(AE135),N(AE134))</f>
        <v>10</v>
      </c>
      <c r="AF136" s="109" t="n">
        <f aca="false">IF(CapV=2,N(AF135),N(AF134))</f>
        <v>10</v>
      </c>
      <c r="AG136" s="109" t="n">
        <f aca="false">IF(CapV=2,N(AG135),N(AG134))</f>
        <v>10</v>
      </c>
      <c r="AI136" s="109" t="n">
        <f aca="false">INDEX($F136:$AG136,1,MATCH(AI$7,$F$7:$AG$7,1))</f>
        <v>0</v>
      </c>
      <c r="AJ136" s="109" t="n">
        <f aca="false">INDEX($F136:$AG136,1,MATCH(AJ$7,$F$7:$AG$7,1))</f>
        <v>10</v>
      </c>
      <c r="AK136" s="109" t="n">
        <f aca="false">INDEX($F136:$AG136,1,MATCH(AK$7,$F$7:$AG$7,1))</f>
        <v>10</v>
      </c>
      <c r="AL136" s="109" t="n">
        <f aca="false">INDEX($F136:$AG136,1,MATCH(AL$7,$F$7:$AG$7,1))</f>
        <v>10</v>
      </c>
      <c r="AM136" s="109" t="n">
        <f aca="false">INDEX($F136:$AG136,1,MATCH(AM$7,$F$7:$AG$7,1))</f>
        <v>10</v>
      </c>
      <c r="AN136" s="109" t="n">
        <f aca="false">INDEX($F136:$AG136,1,MATCH(AN$7,$F$7:$AG$7,1))</f>
        <v>10</v>
      </c>
      <c r="AO136" s="109" t="n">
        <f aca="false">INDEX($F136:$AG136,1,MATCH(AO$7,$F$7:$AG$7,1))</f>
        <v>10</v>
      </c>
    </row>
    <row r="137" customFormat="false" ht="15" hidden="false" customHeight="false" outlineLevel="0" collapsed="false">
      <c r="A137" s="107" t="s">
        <v>1574</v>
      </c>
      <c r="B137" s="22" t="s">
        <v>664</v>
      </c>
      <c r="C137" s="22" t="s">
        <v>558</v>
      </c>
      <c r="D137" s="22" t="s">
        <v>1476</v>
      </c>
      <c r="F137" s="108" t="n">
        <v>0</v>
      </c>
      <c r="G137" s="108" t="n">
        <v>0</v>
      </c>
      <c r="H137" s="108" t="n">
        <v>0</v>
      </c>
      <c r="I137" s="108" t="n">
        <v>0</v>
      </c>
      <c r="J137" s="108" t="n">
        <v>10</v>
      </c>
      <c r="K137" s="108" t="n">
        <v>10</v>
      </c>
      <c r="L137" s="108" t="n">
        <v>10</v>
      </c>
      <c r="M137" s="108" t="n">
        <v>10</v>
      </c>
      <c r="N137" s="108" t="n">
        <v>10</v>
      </c>
      <c r="O137" s="108" t="n">
        <v>10</v>
      </c>
      <c r="P137" s="108" t="n">
        <v>10</v>
      </c>
      <c r="Q137" s="108" t="n">
        <v>10</v>
      </c>
      <c r="R137" s="108" t="n">
        <v>10</v>
      </c>
      <c r="S137" s="108" t="n">
        <v>10</v>
      </c>
      <c r="T137" s="108" t="n">
        <v>10</v>
      </c>
      <c r="U137" s="108" t="n">
        <v>10</v>
      </c>
      <c r="V137" s="108" t="n">
        <v>10</v>
      </c>
      <c r="W137" s="108" t="n">
        <v>10</v>
      </c>
      <c r="X137" s="108" t="n">
        <v>10</v>
      </c>
      <c r="Y137" s="108" t="n">
        <v>10</v>
      </c>
      <c r="Z137" s="108" t="n">
        <v>10</v>
      </c>
      <c r="AA137" s="108" t="n">
        <v>10</v>
      </c>
      <c r="AB137" s="108" t="n">
        <v>10</v>
      </c>
      <c r="AC137" s="108" t="n">
        <v>10</v>
      </c>
      <c r="AD137" s="108" t="n">
        <v>10</v>
      </c>
      <c r="AE137" s="108" t="n">
        <v>10</v>
      </c>
      <c r="AF137" s="108" t="n">
        <v>10</v>
      </c>
      <c r="AG137" s="108" t="n">
        <v>10</v>
      </c>
      <c r="AI137" s="109" t="n">
        <f aca="false">INDEX($F137:$AG137,1,MATCH(AI$7,$F$7:$AG$7,1))</f>
        <v>0</v>
      </c>
      <c r="AJ137" s="109" t="n">
        <f aca="false">INDEX($F137:$AG137,1,MATCH(AJ$7,$F$7:$AG$7,1))</f>
        <v>10</v>
      </c>
      <c r="AK137" s="109" t="n">
        <f aca="false">INDEX($F137:$AG137,1,MATCH(AK$7,$F$7:$AG$7,1))</f>
        <v>10</v>
      </c>
      <c r="AL137" s="109" t="n">
        <f aca="false">INDEX($F137:$AG137,1,MATCH(AL$7,$F$7:$AG$7,1))</f>
        <v>10</v>
      </c>
      <c r="AM137" s="109" t="n">
        <f aca="false">INDEX($F137:$AG137,1,MATCH(AM$7,$F$7:$AG$7,1))</f>
        <v>10</v>
      </c>
      <c r="AN137" s="109" t="n">
        <f aca="false">INDEX($F137:$AG137,1,MATCH(AN$7,$F$7:$AG$7,1))</f>
        <v>10</v>
      </c>
      <c r="AO137" s="109" t="n">
        <f aca="false">INDEX($F137:$AG137,1,MATCH(AO$7,$F$7:$AG$7,1))</f>
        <v>10</v>
      </c>
    </row>
    <row r="138" customFormat="false" ht="15" hidden="false" customHeight="false" outlineLevel="0" collapsed="false">
      <c r="A138" s="107" t="s">
        <v>1575</v>
      </c>
      <c r="B138" s="22" t="s">
        <v>664</v>
      </c>
      <c r="C138" s="22" t="s">
        <v>558</v>
      </c>
      <c r="D138" s="22" t="s">
        <v>1478</v>
      </c>
      <c r="F138" s="108" t="n">
        <v>0</v>
      </c>
      <c r="G138" s="108" t="n">
        <v>0</v>
      </c>
      <c r="H138" s="108" t="n">
        <v>0</v>
      </c>
      <c r="I138" s="108" t="n">
        <v>0</v>
      </c>
      <c r="J138" s="108" t="n">
        <v>10</v>
      </c>
      <c r="K138" s="108" t="n">
        <v>10</v>
      </c>
      <c r="L138" s="108" t="n">
        <v>10</v>
      </c>
      <c r="M138" s="108" t="n">
        <v>10</v>
      </c>
      <c r="N138" s="108" t="n">
        <v>10</v>
      </c>
      <c r="O138" s="108" t="n">
        <v>10</v>
      </c>
      <c r="P138" s="108" t="n">
        <v>10</v>
      </c>
      <c r="Q138" s="108" t="n">
        <v>10</v>
      </c>
      <c r="R138" s="108" t="n">
        <v>10</v>
      </c>
      <c r="S138" s="108" t="n">
        <v>10</v>
      </c>
      <c r="T138" s="108" t="n">
        <v>10</v>
      </c>
      <c r="U138" s="108" t="n">
        <v>10</v>
      </c>
      <c r="V138" s="108" t="n">
        <v>10</v>
      </c>
      <c r="W138" s="108" t="n">
        <v>10</v>
      </c>
      <c r="X138" s="108" t="n">
        <v>10</v>
      </c>
      <c r="Y138" s="108" t="n">
        <v>10</v>
      </c>
      <c r="Z138" s="108" t="n">
        <v>10</v>
      </c>
      <c r="AA138" s="108" t="n">
        <v>10</v>
      </c>
      <c r="AB138" s="108" t="n">
        <v>10</v>
      </c>
      <c r="AC138" s="108" t="n">
        <v>10</v>
      </c>
      <c r="AD138" s="108" t="n">
        <v>10</v>
      </c>
      <c r="AE138" s="108" t="n">
        <v>10</v>
      </c>
      <c r="AF138" s="108" t="n">
        <v>10</v>
      </c>
      <c r="AG138" s="108" t="n">
        <v>10</v>
      </c>
      <c r="AI138" s="109" t="n">
        <f aca="false">INDEX($F138:$AG138,1,MATCH(AI$7,$F$7:$AG$7,1))</f>
        <v>0</v>
      </c>
      <c r="AJ138" s="109" t="n">
        <f aca="false">INDEX($F138:$AG138,1,MATCH(AJ$7,$F$7:$AG$7,1))</f>
        <v>10</v>
      </c>
      <c r="AK138" s="109" t="n">
        <f aca="false">INDEX($F138:$AG138,1,MATCH(AK$7,$F$7:$AG$7,1))</f>
        <v>10</v>
      </c>
      <c r="AL138" s="109" t="n">
        <f aca="false">INDEX($F138:$AG138,1,MATCH(AL$7,$F$7:$AG$7,1))</f>
        <v>10</v>
      </c>
      <c r="AM138" s="109" t="n">
        <f aca="false">INDEX($F138:$AG138,1,MATCH(AM$7,$F$7:$AG$7,1))</f>
        <v>10</v>
      </c>
      <c r="AN138" s="109" t="n">
        <f aca="false">INDEX($F138:$AG138,1,MATCH(AN$7,$F$7:$AG$7,1))</f>
        <v>10</v>
      </c>
      <c r="AO138" s="109" t="n">
        <f aca="false">INDEX($F138:$AG138,1,MATCH(AO$7,$F$7:$AG$7,1))</f>
        <v>10</v>
      </c>
    </row>
    <row r="139" customFormat="false" ht="15" hidden="false" customHeight="false" outlineLevel="0" collapsed="false">
      <c r="A139" s="107" t="s">
        <v>1576</v>
      </c>
      <c r="B139" s="22" t="s">
        <v>664</v>
      </c>
      <c r="C139" s="22" t="s">
        <v>540</v>
      </c>
      <c r="D139" s="22" t="s">
        <v>1480</v>
      </c>
      <c r="F139" s="109" t="n">
        <f aca="false">IF(CapV=2,N(F138),N(F137))</f>
        <v>0</v>
      </c>
      <c r="G139" s="109" t="n">
        <f aca="false">IF(CapV=2,N(G138),N(G137))</f>
        <v>0</v>
      </c>
      <c r="H139" s="109" t="n">
        <f aca="false">IF(CapV=2,N(H138),N(H137))</f>
        <v>0</v>
      </c>
      <c r="I139" s="109" t="n">
        <f aca="false">IF(CapV=2,N(I138),N(I137))</f>
        <v>0</v>
      </c>
      <c r="J139" s="109" t="n">
        <f aca="false">IF(CapV=2,N(J138),N(J137))</f>
        <v>10</v>
      </c>
      <c r="K139" s="109" t="n">
        <f aca="false">IF(CapV=2,N(K138),N(K137))</f>
        <v>10</v>
      </c>
      <c r="L139" s="109" t="n">
        <f aca="false">IF(CapV=2,N(L138),N(L137))</f>
        <v>10</v>
      </c>
      <c r="M139" s="109" t="n">
        <f aca="false">IF(CapV=2,N(M138),N(M137))</f>
        <v>10</v>
      </c>
      <c r="N139" s="109" t="n">
        <f aca="false">IF(CapV=2,N(N138),N(N137))</f>
        <v>10</v>
      </c>
      <c r="O139" s="109" t="n">
        <f aca="false">IF(CapV=2,N(O138),N(O137))</f>
        <v>10</v>
      </c>
      <c r="P139" s="109" t="n">
        <f aca="false">IF(CapV=2,N(P138),N(P137))</f>
        <v>10</v>
      </c>
      <c r="Q139" s="109" t="n">
        <f aca="false">IF(CapV=2,N(Q138),N(Q137))</f>
        <v>10</v>
      </c>
      <c r="R139" s="109" t="n">
        <f aca="false">IF(CapV=2,N(R138),N(R137))</f>
        <v>10</v>
      </c>
      <c r="S139" s="109" t="n">
        <f aca="false">IF(CapV=2,N(S138),N(S137))</f>
        <v>10</v>
      </c>
      <c r="T139" s="109" t="n">
        <f aca="false">IF(CapV=2,N(T138),N(T137))</f>
        <v>10</v>
      </c>
      <c r="U139" s="109" t="n">
        <f aca="false">IF(CapV=2,N(U138),N(U137))</f>
        <v>10</v>
      </c>
      <c r="V139" s="109" t="n">
        <f aca="false">IF(CapV=2,N(V138),N(V137))</f>
        <v>10</v>
      </c>
      <c r="W139" s="109" t="n">
        <f aca="false">IF(CapV=2,N(W138),N(W137))</f>
        <v>10</v>
      </c>
      <c r="X139" s="109" t="n">
        <f aca="false">IF(CapV=2,N(X138),N(X137))</f>
        <v>10</v>
      </c>
      <c r="Y139" s="109" t="n">
        <f aca="false">IF(CapV=2,N(Y138),N(Y137))</f>
        <v>10</v>
      </c>
      <c r="Z139" s="109" t="n">
        <f aca="false">IF(CapV=2,N(Z138),N(Z137))</f>
        <v>10</v>
      </c>
      <c r="AA139" s="109" t="n">
        <f aca="false">IF(CapV=2,N(AA138),N(AA137))</f>
        <v>10</v>
      </c>
      <c r="AB139" s="109" t="n">
        <f aca="false">IF(CapV=2,N(AB138),N(AB137))</f>
        <v>10</v>
      </c>
      <c r="AC139" s="109" t="n">
        <f aca="false">IF(CapV=2,N(AC138),N(AC137))</f>
        <v>10</v>
      </c>
      <c r="AD139" s="109" t="n">
        <f aca="false">IF(CapV=2,N(AD138),N(AD137))</f>
        <v>10</v>
      </c>
      <c r="AE139" s="109" t="n">
        <f aca="false">IF(CapV=2,N(AE138),N(AE137))</f>
        <v>10</v>
      </c>
      <c r="AF139" s="109" t="n">
        <f aca="false">IF(CapV=2,N(AF138),N(AF137))</f>
        <v>10</v>
      </c>
      <c r="AG139" s="109" t="n">
        <f aca="false">IF(CapV=2,N(AG138),N(AG137))</f>
        <v>10</v>
      </c>
      <c r="AI139" s="109" t="n">
        <f aca="false">INDEX($F139:$AG139,1,MATCH(AI$7,$F$7:$AG$7,1))</f>
        <v>0</v>
      </c>
      <c r="AJ139" s="109" t="n">
        <f aca="false">INDEX($F139:$AG139,1,MATCH(AJ$7,$F$7:$AG$7,1))</f>
        <v>10</v>
      </c>
      <c r="AK139" s="109" t="n">
        <f aca="false">INDEX($F139:$AG139,1,MATCH(AK$7,$F$7:$AG$7,1))</f>
        <v>10</v>
      </c>
      <c r="AL139" s="109" t="n">
        <f aca="false">INDEX($F139:$AG139,1,MATCH(AL$7,$F$7:$AG$7,1))</f>
        <v>10</v>
      </c>
      <c r="AM139" s="109" t="n">
        <f aca="false">INDEX($F139:$AG139,1,MATCH(AM$7,$F$7:$AG$7,1))</f>
        <v>10</v>
      </c>
      <c r="AN139" s="109" t="n">
        <f aca="false">INDEX($F139:$AG139,1,MATCH(AN$7,$F$7:$AG$7,1))</f>
        <v>10</v>
      </c>
      <c r="AO139" s="109" t="n">
        <f aca="false">INDEX($F139:$AG139,1,MATCH(AO$7,$F$7:$AG$7,1))</f>
        <v>10</v>
      </c>
    </row>
    <row r="140" customFormat="false" ht="15" hidden="false" customHeight="false" outlineLevel="0" collapsed="false">
      <c r="A140" s="107" t="s">
        <v>1577</v>
      </c>
      <c r="B140" s="22" t="s">
        <v>664</v>
      </c>
      <c r="C140" s="22" t="s">
        <v>558</v>
      </c>
      <c r="D140" s="22" t="s">
        <v>1476</v>
      </c>
      <c r="F140" s="108" t="n">
        <v>0</v>
      </c>
      <c r="G140" s="108" t="n">
        <v>0</v>
      </c>
      <c r="H140" s="108" t="n">
        <v>0</v>
      </c>
      <c r="I140" s="108" t="n">
        <v>0</v>
      </c>
      <c r="J140" s="108" t="n">
        <v>0</v>
      </c>
      <c r="K140" s="108" t="n">
        <v>0</v>
      </c>
      <c r="L140" s="108" t="n">
        <v>0</v>
      </c>
      <c r="M140" s="108" t="n">
        <v>16</v>
      </c>
      <c r="N140" s="108" t="n">
        <v>16</v>
      </c>
      <c r="O140" s="108" t="n">
        <v>16</v>
      </c>
      <c r="P140" s="108" t="n">
        <v>16</v>
      </c>
      <c r="Q140" s="108" t="n">
        <v>16</v>
      </c>
      <c r="R140" s="108" t="n">
        <v>19</v>
      </c>
      <c r="S140" s="108" t="n">
        <v>19</v>
      </c>
      <c r="T140" s="108" t="n">
        <v>19</v>
      </c>
      <c r="U140" s="108" t="n">
        <v>19</v>
      </c>
      <c r="V140" s="108" t="n">
        <v>19</v>
      </c>
      <c r="W140" s="108" t="n">
        <v>19</v>
      </c>
      <c r="X140" s="108" t="n">
        <v>19</v>
      </c>
      <c r="Y140" s="108" t="n">
        <v>19</v>
      </c>
      <c r="Z140" s="108" t="n">
        <v>19</v>
      </c>
      <c r="AA140" s="108" t="n">
        <v>19</v>
      </c>
      <c r="AB140" s="108" t="n">
        <v>19</v>
      </c>
      <c r="AC140" s="108" t="n">
        <v>19</v>
      </c>
      <c r="AD140" s="108" t="n">
        <v>19</v>
      </c>
      <c r="AE140" s="108" t="n">
        <v>19</v>
      </c>
      <c r="AF140" s="108" t="n">
        <v>19</v>
      </c>
      <c r="AG140" s="108" t="n">
        <v>19</v>
      </c>
      <c r="AI140" s="109" t="n">
        <f aca="false">INDEX($F140:$AG140,1,MATCH(AI$7,$F$7:$AG$7,1))</f>
        <v>0</v>
      </c>
      <c r="AJ140" s="109" t="n">
        <f aca="false">INDEX($F140:$AG140,1,MATCH(AJ$7,$F$7:$AG$7,1))</f>
        <v>16</v>
      </c>
      <c r="AK140" s="109" t="n">
        <f aca="false">INDEX($F140:$AG140,1,MATCH(AK$7,$F$7:$AG$7,1))</f>
        <v>16</v>
      </c>
      <c r="AL140" s="109" t="n">
        <f aca="false">INDEX($F140:$AG140,1,MATCH(AL$7,$F$7:$AG$7,1))</f>
        <v>19</v>
      </c>
      <c r="AM140" s="109" t="n">
        <f aca="false">INDEX($F140:$AG140,1,MATCH(AM$7,$F$7:$AG$7,1))</f>
        <v>19</v>
      </c>
      <c r="AN140" s="109" t="n">
        <f aca="false">INDEX($F140:$AG140,1,MATCH(AN$7,$F$7:$AG$7,1))</f>
        <v>19</v>
      </c>
      <c r="AO140" s="109" t="n">
        <f aca="false">INDEX($F140:$AG140,1,MATCH(AO$7,$F$7:$AG$7,1))</f>
        <v>19</v>
      </c>
    </row>
    <row r="141" customFormat="false" ht="15" hidden="false" customHeight="false" outlineLevel="0" collapsed="false">
      <c r="A141" s="107" t="s">
        <v>1578</v>
      </c>
      <c r="B141" s="22" t="s">
        <v>664</v>
      </c>
      <c r="C141" s="22" t="s">
        <v>558</v>
      </c>
      <c r="D141" s="22" t="s">
        <v>1478</v>
      </c>
      <c r="F141" s="108" t="n">
        <v>0</v>
      </c>
      <c r="G141" s="108" t="n">
        <v>0</v>
      </c>
      <c r="H141" s="108" t="n">
        <v>0</v>
      </c>
      <c r="I141" s="108" t="n">
        <v>0</v>
      </c>
      <c r="J141" s="108" t="n">
        <v>0</v>
      </c>
      <c r="K141" s="108" t="n">
        <v>0</v>
      </c>
      <c r="L141" s="108" t="n">
        <v>0</v>
      </c>
      <c r="M141" s="108" t="n">
        <v>16</v>
      </c>
      <c r="N141" s="108" t="n">
        <v>16</v>
      </c>
      <c r="O141" s="108" t="n">
        <v>16</v>
      </c>
      <c r="P141" s="108" t="n">
        <v>16</v>
      </c>
      <c r="Q141" s="108" t="n">
        <v>16</v>
      </c>
      <c r="R141" s="108" t="n">
        <v>19</v>
      </c>
      <c r="S141" s="108" t="n">
        <v>19</v>
      </c>
      <c r="T141" s="108" t="n">
        <v>19</v>
      </c>
      <c r="U141" s="108" t="n">
        <v>19</v>
      </c>
      <c r="V141" s="108" t="n">
        <v>19</v>
      </c>
      <c r="W141" s="108" t="n">
        <v>19</v>
      </c>
      <c r="X141" s="108" t="n">
        <v>19</v>
      </c>
      <c r="Y141" s="108" t="n">
        <v>19</v>
      </c>
      <c r="Z141" s="108" t="n">
        <v>19</v>
      </c>
      <c r="AA141" s="108" t="n">
        <v>19</v>
      </c>
      <c r="AB141" s="108" t="n">
        <v>19</v>
      </c>
      <c r="AC141" s="108" t="n">
        <v>19</v>
      </c>
      <c r="AD141" s="108" t="n">
        <v>19</v>
      </c>
      <c r="AE141" s="108" t="n">
        <v>19</v>
      </c>
      <c r="AF141" s="108" t="n">
        <v>19</v>
      </c>
      <c r="AG141" s="108" t="n">
        <v>19</v>
      </c>
      <c r="AI141" s="109" t="n">
        <f aca="false">INDEX($F141:$AG141,1,MATCH(AI$7,$F$7:$AG$7,1))</f>
        <v>0</v>
      </c>
      <c r="AJ141" s="109" t="n">
        <f aca="false">INDEX($F141:$AG141,1,MATCH(AJ$7,$F$7:$AG$7,1))</f>
        <v>16</v>
      </c>
      <c r="AK141" s="109" t="n">
        <f aca="false">INDEX($F141:$AG141,1,MATCH(AK$7,$F$7:$AG$7,1))</f>
        <v>16</v>
      </c>
      <c r="AL141" s="109" t="n">
        <f aca="false">INDEX($F141:$AG141,1,MATCH(AL$7,$F$7:$AG$7,1))</f>
        <v>19</v>
      </c>
      <c r="AM141" s="109" t="n">
        <f aca="false">INDEX($F141:$AG141,1,MATCH(AM$7,$F$7:$AG$7,1))</f>
        <v>19</v>
      </c>
      <c r="AN141" s="109" t="n">
        <f aca="false">INDEX($F141:$AG141,1,MATCH(AN$7,$F$7:$AG$7,1))</f>
        <v>19</v>
      </c>
      <c r="AO141" s="109" t="n">
        <f aca="false">INDEX($F141:$AG141,1,MATCH(AO$7,$F$7:$AG$7,1))</f>
        <v>19</v>
      </c>
    </row>
    <row r="142" customFormat="false" ht="15" hidden="false" customHeight="false" outlineLevel="0" collapsed="false">
      <c r="A142" s="107" t="s">
        <v>1579</v>
      </c>
      <c r="B142" s="22" t="s">
        <v>664</v>
      </c>
      <c r="C142" s="22" t="s">
        <v>540</v>
      </c>
      <c r="D142" s="22" t="s">
        <v>1480</v>
      </c>
      <c r="F142" s="109" t="n">
        <f aca="false">IF(CapV=2,N(F141),N(F140))</f>
        <v>0</v>
      </c>
      <c r="G142" s="109" t="n">
        <f aca="false">IF(CapV=2,N(G141),N(G140))</f>
        <v>0</v>
      </c>
      <c r="H142" s="109" t="n">
        <f aca="false">IF(CapV=2,N(H141),N(H140))</f>
        <v>0</v>
      </c>
      <c r="I142" s="109" t="n">
        <f aca="false">IF(CapV=2,N(I141),N(I140))</f>
        <v>0</v>
      </c>
      <c r="J142" s="109" t="n">
        <f aca="false">IF(CapV=2,N(J141),N(J140))</f>
        <v>0</v>
      </c>
      <c r="K142" s="109" t="n">
        <f aca="false">IF(CapV=2,N(K141),N(K140))</f>
        <v>0</v>
      </c>
      <c r="L142" s="109" t="n">
        <f aca="false">IF(CapV=2,N(L141),N(L140))</f>
        <v>0</v>
      </c>
      <c r="M142" s="109" t="n">
        <f aca="false">IF(CapV=2,N(M141),N(M140))</f>
        <v>16</v>
      </c>
      <c r="N142" s="109" t="n">
        <f aca="false">IF(CapV=2,N(N141),N(N140))</f>
        <v>16</v>
      </c>
      <c r="O142" s="109" t="n">
        <f aca="false">IF(CapV=2,N(O141),N(O140))</f>
        <v>16</v>
      </c>
      <c r="P142" s="109" t="n">
        <f aca="false">IF(CapV=2,N(P141),N(P140))</f>
        <v>16</v>
      </c>
      <c r="Q142" s="109" t="n">
        <f aca="false">IF(CapV=2,N(Q141),N(Q140))</f>
        <v>16</v>
      </c>
      <c r="R142" s="109" t="n">
        <f aca="false">IF(CapV=2,N(R141),N(R140))</f>
        <v>19</v>
      </c>
      <c r="S142" s="109" t="n">
        <f aca="false">IF(CapV=2,N(S141),N(S140))</f>
        <v>19</v>
      </c>
      <c r="T142" s="109" t="n">
        <f aca="false">IF(CapV=2,N(T141),N(T140))</f>
        <v>19</v>
      </c>
      <c r="U142" s="109" t="n">
        <f aca="false">IF(CapV=2,N(U141),N(U140))</f>
        <v>19</v>
      </c>
      <c r="V142" s="109" t="n">
        <f aca="false">IF(CapV=2,N(V141),N(V140))</f>
        <v>19</v>
      </c>
      <c r="W142" s="109" t="n">
        <f aca="false">IF(CapV=2,N(W141),N(W140))</f>
        <v>19</v>
      </c>
      <c r="X142" s="109" t="n">
        <f aca="false">IF(CapV=2,N(X141),N(X140))</f>
        <v>19</v>
      </c>
      <c r="Y142" s="109" t="n">
        <f aca="false">IF(CapV=2,N(Y141),N(Y140))</f>
        <v>19</v>
      </c>
      <c r="Z142" s="109" t="n">
        <f aca="false">IF(CapV=2,N(Z141),N(Z140))</f>
        <v>19</v>
      </c>
      <c r="AA142" s="109" t="n">
        <f aca="false">IF(CapV=2,N(AA141),N(AA140))</f>
        <v>19</v>
      </c>
      <c r="AB142" s="109" t="n">
        <f aca="false">IF(CapV=2,N(AB141),N(AB140))</f>
        <v>19</v>
      </c>
      <c r="AC142" s="109" t="n">
        <f aca="false">IF(CapV=2,N(AC141),N(AC140))</f>
        <v>19</v>
      </c>
      <c r="AD142" s="109" t="n">
        <f aca="false">IF(CapV=2,N(AD141),N(AD140))</f>
        <v>19</v>
      </c>
      <c r="AE142" s="109" t="n">
        <f aca="false">IF(CapV=2,N(AE141),N(AE140))</f>
        <v>19</v>
      </c>
      <c r="AF142" s="109" t="n">
        <f aca="false">IF(CapV=2,N(AF141),N(AF140))</f>
        <v>19</v>
      </c>
      <c r="AG142" s="109" t="n">
        <f aca="false">IF(CapV=2,N(AG141),N(AG140))</f>
        <v>19</v>
      </c>
      <c r="AI142" s="109" t="n">
        <f aca="false">INDEX($F142:$AG142,1,MATCH(AI$7,$F$7:$AG$7,1))</f>
        <v>0</v>
      </c>
      <c r="AJ142" s="109" t="n">
        <f aca="false">INDEX($F142:$AG142,1,MATCH(AJ$7,$F$7:$AG$7,1))</f>
        <v>16</v>
      </c>
      <c r="AK142" s="109" t="n">
        <f aca="false">INDEX($F142:$AG142,1,MATCH(AK$7,$F$7:$AG$7,1))</f>
        <v>16</v>
      </c>
      <c r="AL142" s="109" t="n">
        <f aca="false">INDEX($F142:$AG142,1,MATCH(AL$7,$F$7:$AG$7,1))</f>
        <v>19</v>
      </c>
      <c r="AM142" s="109" t="n">
        <f aca="false">INDEX($F142:$AG142,1,MATCH(AM$7,$F$7:$AG$7,1))</f>
        <v>19</v>
      </c>
      <c r="AN142" s="109" t="n">
        <f aca="false">INDEX($F142:$AG142,1,MATCH(AN$7,$F$7:$AG$7,1))</f>
        <v>19</v>
      </c>
      <c r="AO142" s="109" t="n">
        <f aca="false">INDEX($F142:$AG142,1,MATCH(AO$7,$F$7:$AG$7,1))</f>
        <v>19</v>
      </c>
    </row>
    <row r="143" customFormat="false" ht="15" hidden="false" customHeight="false" outlineLevel="0" collapsed="false">
      <c r="A143" s="107" t="s">
        <v>1580</v>
      </c>
      <c r="B143" s="22" t="s">
        <v>664</v>
      </c>
      <c r="C143" s="22" t="s">
        <v>558</v>
      </c>
      <c r="D143" s="22" t="s">
        <v>1476</v>
      </c>
      <c r="F143" s="108" t="n">
        <v>0</v>
      </c>
      <c r="G143" s="108" t="n">
        <v>0</v>
      </c>
      <c r="H143" s="108" t="n">
        <v>0</v>
      </c>
      <c r="I143" s="108" t="n">
        <v>0</v>
      </c>
      <c r="J143" s="108" t="n">
        <v>0</v>
      </c>
      <c r="K143" s="108" t="n">
        <v>0</v>
      </c>
      <c r="L143" s="108" t="n">
        <v>0</v>
      </c>
      <c r="M143" s="108" t="n">
        <v>16</v>
      </c>
      <c r="N143" s="108" t="n">
        <v>16</v>
      </c>
      <c r="O143" s="108" t="n">
        <v>16</v>
      </c>
      <c r="P143" s="108" t="n">
        <v>16</v>
      </c>
      <c r="Q143" s="108" t="n">
        <v>17.5</v>
      </c>
      <c r="R143" s="108" t="n">
        <v>19</v>
      </c>
      <c r="S143" s="108" t="n">
        <v>19</v>
      </c>
      <c r="T143" s="108" t="n">
        <v>19</v>
      </c>
      <c r="U143" s="108" t="n">
        <v>19</v>
      </c>
      <c r="V143" s="108" t="n">
        <v>19</v>
      </c>
      <c r="W143" s="108" t="n">
        <v>19</v>
      </c>
      <c r="X143" s="108" t="n">
        <v>19</v>
      </c>
      <c r="Y143" s="108" t="n">
        <v>19</v>
      </c>
      <c r="Z143" s="108" t="n">
        <v>19</v>
      </c>
      <c r="AA143" s="108" t="n">
        <v>19</v>
      </c>
      <c r="AB143" s="108" t="n">
        <v>19</v>
      </c>
      <c r="AC143" s="108" t="n">
        <v>19</v>
      </c>
      <c r="AD143" s="108" t="n">
        <v>19</v>
      </c>
      <c r="AE143" s="108" t="n">
        <v>19</v>
      </c>
      <c r="AF143" s="108" t="n">
        <v>19</v>
      </c>
      <c r="AG143" s="108" t="n">
        <v>19</v>
      </c>
      <c r="AI143" s="109" t="n">
        <f aca="false">INDEX($F143:$AG143,1,MATCH(AI$7,$F$7:$AG$7,1))</f>
        <v>0</v>
      </c>
      <c r="AJ143" s="109" t="n">
        <f aca="false">INDEX($F143:$AG143,1,MATCH(AJ$7,$F$7:$AG$7,1))</f>
        <v>16</v>
      </c>
      <c r="AK143" s="109" t="n">
        <f aca="false">INDEX($F143:$AG143,1,MATCH(AK$7,$F$7:$AG$7,1))</f>
        <v>17.5</v>
      </c>
      <c r="AL143" s="109" t="n">
        <f aca="false">INDEX($F143:$AG143,1,MATCH(AL$7,$F$7:$AG$7,1))</f>
        <v>19</v>
      </c>
      <c r="AM143" s="109" t="n">
        <f aca="false">INDEX($F143:$AG143,1,MATCH(AM$7,$F$7:$AG$7,1))</f>
        <v>19</v>
      </c>
      <c r="AN143" s="109" t="n">
        <f aca="false">INDEX($F143:$AG143,1,MATCH(AN$7,$F$7:$AG$7,1))</f>
        <v>19</v>
      </c>
      <c r="AO143" s="109" t="n">
        <f aca="false">INDEX($F143:$AG143,1,MATCH(AO$7,$F$7:$AG$7,1))</f>
        <v>19</v>
      </c>
    </row>
    <row r="144" customFormat="false" ht="15" hidden="false" customHeight="false" outlineLevel="0" collapsed="false">
      <c r="A144" s="107" t="s">
        <v>1581</v>
      </c>
      <c r="B144" s="22" t="s">
        <v>664</v>
      </c>
      <c r="C144" s="22" t="s">
        <v>558</v>
      </c>
      <c r="D144" s="22" t="s">
        <v>1478</v>
      </c>
      <c r="F144" s="108" t="n">
        <v>0</v>
      </c>
      <c r="G144" s="108" t="n">
        <v>0</v>
      </c>
      <c r="H144" s="108" t="n">
        <v>0</v>
      </c>
      <c r="I144" s="108" t="n">
        <v>0</v>
      </c>
      <c r="J144" s="108" t="n">
        <v>0</v>
      </c>
      <c r="K144" s="108" t="n">
        <v>0</v>
      </c>
      <c r="L144" s="108" t="n">
        <v>0</v>
      </c>
      <c r="M144" s="108" t="n">
        <v>16</v>
      </c>
      <c r="N144" s="108" t="n">
        <v>16</v>
      </c>
      <c r="O144" s="108" t="n">
        <v>16</v>
      </c>
      <c r="P144" s="108" t="n">
        <v>16</v>
      </c>
      <c r="Q144" s="108" t="n">
        <v>17.5</v>
      </c>
      <c r="R144" s="108" t="n">
        <v>19</v>
      </c>
      <c r="S144" s="108" t="n">
        <v>19</v>
      </c>
      <c r="T144" s="108" t="n">
        <v>19</v>
      </c>
      <c r="U144" s="108" t="n">
        <v>19</v>
      </c>
      <c r="V144" s="108" t="n">
        <v>19</v>
      </c>
      <c r="W144" s="108" t="n">
        <v>19</v>
      </c>
      <c r="X144" s="108" t="n">
        <v>19</v>
      </c>
      <c r="Y144" s="108" t="n">
        <v>19</v>
      </c>
      <c r="Z144" s="108" t="n">
        <v>19</v>
      </c>
      <c r="AA144" s="108" t="n">
        <v>19</v>
      </c>
      <c r="AB144" s="108" t="n">
        <v>19</v>
      </c>
      <c r="AC144" s="108" t="n">
        <v>19</v>
      </c>
      <c r="AD144" s="108" t="n">
        <v>19</v>
      </c>
      <c r="AE144" s="108" t="n">
        <v>19</v>
      </c>
      <c r="AF144" s="108" t="n">
        <v>19</v>
      </c>
      <c r="AG144" s="108" t="n">
        <v>19</v>
      </c>
      <c r="AI144" s="109" t="n">
        <f aca="false">INDEX($F144:$AG144,1,MATCH(AI$7,$F$7:$AG$7,1))</f>
        <v>0</v>
      </c>
      <c r="AJ144" s="109" t="n">
        <f aca="false">INDEX($F144:$AG144,1,MATCH(AJ$7,$F$7:$AG$7,1))</f>
        <v>16</v>
      </c>
      <c r="AK144" s="109" t="n">
        <f aca="false">INDEX($F144:$AG144,1,MATCH(AK$7,$F$7:$AG$7,1))</f>
        <v>17.5</v>
      </c>
      <c r="AL144" s="109" t="n">
        <f aca="false">INDEX($F144:$AG144,1,MATCH(AL$7,$F$7:$AG$7,1))</f>
        <v>19</v>
      </c>
      <c r="AM144" s="109" t="n">
        <f aca="false">INDEX($F144:$AG144,1,MATCH(AM$7,$F$7:$AG$7,1))</f>
        <v>19</v>
      </c>
      <c r="AN144" s="109" t="n">
        <f aca="false">INDEX($F144:$AG144,1,MATCH(AN$7,$F$7:$AG$7,1))</f>
        <v>19</v>
      </c>
      <c r="AO144" s="109" t="n">
        <f aca="false">INDEX($F144:$AG144,1,MATCH(AO$7,$F$7:$AG$7,1))</f>
        <v>19</v>
      </c>
    </row>
    <row r="145" customFormat="false" ht="15" hidden="false" customHeight="false" outlineLevel="0" collapsed="false">
      <c r="A145" s="107" t="s">
        <v>1582</v>
      </c>
      <c r="B145" s="22" t="s">
        <v>664</v>
      </c>
      <c r="C145" s="22" t="s">
        <v>540</v>
      </c>
      <c r="D145" s="22" t="s">
        <v>1480</v>
      </c>
      <c r="F145" s="109" t="n">
        <f aca="false">IF(CapV=2,N(F144),N(F143))</f>
        <v>0</v>
      </c>
      <c r="G145" s="109" t="n">
        <f aca="false">IF(CapV=2,N(G144),N(G143))</f>
        <v>0</v>
      </c>
      <c r="H145" s="109" t="n">
        <f aca="false">IF(CapV=2,N(H144),N(H143))</f>
        <v>0</v>
      </c>
      <c r="I145" s="109" t="n">
        <f aca="false">IF(CapV=2,N(I144),N(I143))</f>
        <v>0</v>
      </c>
      <c r="J145" s="109" t="n">
        <f aca="false">IF(CapV=2,N(J144),N(J143))</f>
        <v>0</v>
      </c>
      <c r="K145" s="109" t="n">
        <f aca="false">IF(CapV=2,N(K144),N(K143))</f>
        <v>0</v>
      </c>
      <c r="L145" s="109" t="n">
        <f aca="false">IF(CapV=2,N(L144),N(L143))</f>
        <v>0</v>
      </c>
      <c r="M145" s="109" t="n">
        <f aca="false">IF(CapV=2,N(M144),N(M143))</f>
        <v>16</v>
      </c>
      <c r="N145" s="109" t="n">
        <f aca="false">IF(CapV=2,N(N144),N(N143))</f>
        <v>16</v>
      </c>
      <c r="O145" s="109" t="n">
        <f aca="false">IF(CapV=2,N(O144),N(O143))</f>
        <v>16</v>
      </c>
      <c r="P145" s="109" t="n">
        <f aca="false">IF(CapV=2,N(P144),N(P143))</f>
        <v>16</v>
      </c>
      <c r="Q145" s="109" t="n">
        <f aca="false">IF(CapV=2,N(Q144),N(Q143))</f>
        <v>17.5</v>
      </c>
      <c r="R145" s="109" t="n">
        <f aca="false">IF(CapV=2,N(R144),N(R143))</f>
        <v>19</v>
      </c>
      <c r="S145" s="109" t="n">
        <f aca="false">IF(CapV=2,N(S144),N(S143))</f>
        <v>19</v>
      </c>
      <c r="T145" s="109" t="n">
        <f aca="false">IF(CapV=2,N(T144),N(T143))</f>
        <v>19</v>
      </c>
      <c r="U145" s="109" t="n">
        <f aca="false">IF(CapV=2,N(U144),N(U143))</f>
        <v>19</v>
      </c>
      <c r="V145" s="109" t="n">
        <f aca="false">IF(CapV=2,N(V144),N(V143))</f>
        <v>19</v>
      </c>
      <c r="W145" s="109" t="n">
        <f aca="false">IF(CapV=2,N(W144),N(W143))</f>
        <v>19</v>
      </c>
      <c r="X145" s="109" t="n">
        <f aca="false">IF(CapV=2,N(X144),N(X143))</f>
        <v>19</v>
      </c>
      <c r="Y145" s="109" t="n">
        <f aca="false">IF(CapV=2,N(Y144),N(Y143))</f>
        <v>19</v>
      </c>
      <c r="Z145" s="109" t="n">
        <f aca="false">IF(CapV=2,N(Z144),N(Z143))</f>
        <v>19</v>
      </c>
      <c r="AA145" s="109" t="n">
        <f aca="false">IF(CapV=2,N(AA144),N(AA143))</f>
        <v>19</v>
      </c>
      <c r="AB145" s="109" t="n">
        <f aca="false">IF(CapV=2,N(AB144),N(AB143))</f>
        <v>19</v>
      </c>
      <c r="AC145" s="109" t="n">
        <f aca="false">IF(CapV=2,N(AC144),N(AC143))</f>
        <v>19</v>
      </c>
      <c r="AD145" s="109" t="n">
        <f aca="false">IF(CapV=2,N(AD144),N(AD143))</f>
        <v>19</v>
      </c>
      <c r="AE145" s="109" t="n">
        <f aca="false">IF(CapV=2,N(AE144),N(AE143))</f>
        <v>19</v>
      </c>
      <c r="AF145" s="109" t="n">
        <f aca="false">IF(CapV=2,N(AF144),N(AF143))</f>
        <v>19</v>
      </c>
      <c r="AG145" s="109" t="n">
        <f aca="false">IF(CapV=2,N(AG144),N(AG143))</f>
        <v>19</v>
      </c>
      <c r="AI145" s="109" t="n">
        <f aca="false">INDEX($F145:$AG145,1,MATCH(AI$7,$F$7:$AG$7,1))</f>
        <v>0</v>
      </c>
      <c r="AJ145" s="109" t="n">
        <f aca="false">INDEX($F145:$AG145,1,MATCH(AJ$7,$F$7:$AG$7,1))</f>
        <v>16</v>
      </c>
      <c r="AK145" s="109" t="n">
        <f aca="false">INDEX($F145:$AG145,1,MATCH(AK$7,$F$7:$AG$7,1))</f>
        <v>17.5</v>
      </c>
      <c r="AL145" s="109" t="n">
        <f aca="false">INDEX($F145:$AG145,1,MATCH(AL$7,$F$7:$AG$7,1))</f>
        <v>19</v>
      </c>
      <c r="AM145" s="109" t="n">
        <f aca="false">INDEX($F145:$AG145,1,MATCH(AM$7,$F$7:$AG$7,1))</f>
        <v>19</v>
      </c>
      <c r="AN145" s="109" t="n">
        <f aca="false">INDEX($F145:$AG145,1,MATCH(AN$7,$F$7:$AG$7,1))</f>
        <v>19</v>
      </c>
      <c r="AO145" s="109" t="n">
        <f aca="false">INDEX($F145:$AG145,1,MATCH(AO$7,$F$7:$AG$7,1))</f>
        <v>19</v>
      </c>
    </row>
    <row r="146" customFormat="false" ht="15" hidden="false" customHeight="false" outlineLevel="0" collapsed="false">
      <c r="A146" s="107" t="s">
        <v>1583</v>
      </c>
      <c r="B146" s="22" t="s">
        <v>664</v>
      </c>
      <c r="C146" s="22" t="s">
        <v>558</v>
      </c>
      <c r="D146" s="22" t="s">
        <v>1476</v>
      </c>
      <c r="F146" s="108" t="n">
        <v>0</v>
      </c>
      <c r="G146" s="108" t="n">
        <v>0</v>
      </c>
      <c r="H146" s="108" t="n">
        <v>0</v>
      </c>
      <c r="I146" s="108" t="n">
        <v>0</v>
      </c>
      <c r="J146" s="108" t="n">
        <v>0</v>
      </c>
      <c r="K146" s="108" t="n">
        <v>0</v>
      </c>
      <c r="L146" s="108" t="n">
        <v>0</v>
      </c>
      <c r="M146" s="108" t="n">
        <v>16</v>
      </c>
      <c r="N146" s="108" t="n">
        <v>16</v>
      </c>
      <c r="O146" s="108" t="n">
        <v>16</v>
      </c>
      <c r="P146" s="108" t="n">
        <v>16</v>
      </c>
      <c r="Q146" s="108" t="n">
        <v>19</v>
      </c>
      <c r="R146" s="108" t="n">
        <v>19</v>
      </c>
      <c r="S146" s="108" t="n">
        <v>19</v>
      </c>
      <c r="T146" s="108" t="n">
        <v>19</v>
      </c>
      <c r="U146" s="108" t="n">
        <v>19</v>
      </c>
      <c r="V146" s="108" t="n">
        <v>19</v>
      </c>
      <c r="W146" s="108" t="n">
        <v>19</v>
      </c>
      <c r="X146" s="108" t="n">
        <v>19</v>
      </c>
      <c r="Y146" s="108" t="n">
        <v>19</v>
      </c>
      <c r="Z146" s="108" t="n">
        <v>19</v>
      </c>
      <c r="AA146" s="108" t="n">
        <v>19</v>
      </c>
      <c r="AB146" s="108" t="n">
        <v>19</v>
      </c>
      <c r="AC146" s="108" t="n">
        <v>19</v>
      </c>
      <c r="AD146" s="108" t="n">
        <v>19</v>
      </c>
      <c r="AE146" s="108" t="n">
        <v>19</v>
      </c>
      <c r="AF146" s="108" t="n">
        <v>19</v>
      </c>
      <c r="AG146" s="108" t="n">
        <v>19</v>
      </c>
      <c r="AI146" s="109" t="n">
        <f aca="false">INDEX($F146:$AG146,1,MATCH(AI$7,$F$7:$AG$7,1))</f>
        <v>0</v>
      </c>
      <c r="AJ146" s="109" t="n">
        <f aca="false">INDEX($F146:$AG146,1,MATCH(AJ$7,$F$7:$AG$7,1))</f>
        <v>16</v>
      </c>
      <c r="AK146" s="109" t="n">
        <f aca="false">INDEX($F146:$AG146,1,MATCH(AK$7,$F$7:$AG$7,1))</f>
        <v>19</v>
      </c>
      <c r="AL146" s="109" t="n">
        <f aca="false">INDEX($F146:$AG146,1,MATCH(AL$7,$F$7:$AG$7,1))</f>
        <v>19</v>
      </c>
      <c r="AM146" s="109" t="n">
        <f aca="false">INDEX($F146:$AG146,1,MATCH(AM$7,$F$7:$AG$7,1))</f>
        <v>19</v>
      </c>
      <c r="AN146" s="109" t="n">
        <f aca="false">INDEX($F146:$AG146,1,MATCH(AN$7,$F$7:$AG$7,1))</f>
        <v>19</v>
      </c>
      <c r="AO146" s="109" t="n">
        <f aca="false">INDEX($F146:$AG146,1,MATCH(AO$7,$F$7:$AG$7,1))</f>
        <v>19</v>
      </c>
    </row>
    <row r="147" customFormat="false" ht="15" hidden="false" customHeight="false" outlineLevel="0" collapsed="false">
      <c r="A147" s="107" t="s">
        <v>1584</v>
      </c>
      <c r="B147" s="22" t="s">
        <v>664</v>
      </c>
      <c r="C147" s="22" t="s">
        <v>558</v>
      </c>
      <c r="D147" s="22" t="s">
        <v>1478</v>
      </c>
      <c r="F147" s="108" t="n">
        <v>0</v>
      </c>
      <c r="G147" s="108" t="n">
        <v>0</v>
      </c>
      <c r="H147" s="108" t="n">
        <v>0</v>
      </c>
      <c r="I147" s="108" t="n">
        <v>0</v>
      </c>
      <c r="J147" s="108" t="n">
        <v>0</v>
      </c>
      <c r="K147" s="108" t="n">
        <v>0</v>
      </c>
      <c r="L147" s="108" t="n">
        <v>0</v>
      </c>
      <c r="M147" s="108" t="n">
        <v>16</v>
      </c>
      <c r="N147" s="108" t="n">
        <v>16</v>
      </c>
      <c r="O147" s="108" t="n">
        <v>16</v>
      </c>
      <c r="P147" s="108" t="n">
        <v>16</v>
      </c>
      <c r="Q147" s="108" t="n">
        <v>19</v>
      </c>
      <c r="R147" s="108" t="n">
        <v>19</v>
      </c>
      <c r="S147" s="108" t="n">
        <v>19</v>
      </c>
      <c r="T147" s="108" t="n">
        <v>19</v>
      </c>
      <c r="U147" s="108" t="n">
        <v>19</v>
      </c>
      <c r="V147" s="108" t="n">
        <v>19</v>
      </c>
      <c r="W147" s="108" t="n">
        <v>19</v>
      </c>
      <c r="X147" s="108" t="n">
        <v>19</v>
      </c>
      <c r="Y147" s="108" t="n">
        <v>19</v>
      </c>
      <c r="Z147" s="108" t="n">
        <v>19</v>
      </c>
      <c r="AA147" s="108" t="n">
        <v>19</v>
      </c>
      <c r="AB147" s="108" t="n">
        <v>19</v>
      </c>
      <c r="AC147" s="108" t="n">
        <v>19</v>
      </c>
      <c r="AD147" s="108" t="n">
        <v>19</v>
      </c>
      <c r="AE147" s="108" t="n">
        <v>19</v>
      </c>
      <c r="AF147" s="108" t="n">
        <v>19</v>
      </c>
      <c r="AG147" s="108" t="n">
        <v>19</v>
      </c>
      <c r="AI147" s="109" t="n">
        <f aca="false">INDEX($F147:$AG147,1,MATCH(AI$7,$F$7:$AG$7,1))</f>
        <v>0</v>
      </c>
      <c r="AJ147" s="109" t="n">
        <f aca="false">INDEX($F147:$AG147,1,MATCH(AJ$7,$F$7:$AG$7,1))</f>
        <v>16</v>
      </c>
      <c r="AK147" s="109" t="n">
        <f aca="false">INDEX($F147:$AG147,1,MATCH(AK$7,$F$7:$AG$7,1))</f>
        <v>19</v>
      </c>
      <c r="AL147" s="109" t="n">
        <f aca="false">INDEX($F147:$AG147,1,MATCH(AL$7,$F$7:$AG$7,1))</f>
        <v>19</v>
      </c>
      <c r="AM147" s="109" t="n">
        <f aca="false">INDEX($F147:$AG147,1,MATCH(AM$7,$F$7:$AG$7,1))</f>
        <v>19</v>
      </c>
      <c r="AN147" s="109" t="n">
        <f aca="false">INDEX($F147:$AG147,1,MATCH(AN$7,$F$7:$AG$7,1))</f>
        <v>19</v>
      </c>
      <c r="AO147" s="109" t="n">
        <f aca="false">INDEX($F147:$AG147,1,MATCH(AO$7,$F$7:$AG$7,1))</f>
        <v>19</v>
      </c>
    </row>
    <row r="148" customFormat="false" ht="15" hidden="false" customHeight="false" outlineLevel="0" collapsed="false">
      <c r="A148" s="107" t="s">
        <v>1585</v>
      </c>
      <c r="B148" s="22" t="s">
        <v>664</v>
      </c>
      <c r="C148" s="22" t="s">
        <v>540</v>
      </c>
      <c r="D148" s="22" t="s">
        <v>1480</v>
      </c>
      <c r="F148" s="109" t="n">
        <f aca="false">IF(CapV=2,N(F147),N(F146))</f>
        <v>0</v>
      </c>
      <c r="G148" s="109" t="n">
        <f aca="false">IF(CapV=2,N(G147),N(G146))</f>
        <v>0</v>
      </c>
      <c r="H148" s="109" t="n">
        <f aca="false">IF(CapV=2,N(H147),N(H146))</f>
        <v>0</v>
      </c>
      <c r="I148" s="109" t="n">
        <f aca="false">IF(CapV=2,N(I147),N(I146))</f>
        <v>0</v>
      </c>
      <c r="J148" s="109" t="n">
        <f aca="false">IF(CapV=2,N(J147),N(J146))</f>
        <v>0</v>
      </c>
      <c r="K148" s="109" t="n">
        <f aca="false">IF(CapV=2,N(K147),N(K146))</f>
        <v>0</v>
      </c>
      <c r="L148" s="109" t="n">
        <f aca="false">IF(CapV=2,N(L147),N(L146))</f>
        <v>0</v>
      </c>
      <c r="M148" s="109" t="n">
        <f aca="false">IF(CapV=2,N(M147),N(M146))</f>
        <v>16</v>
      </c>
      <c r="N148" s="109" t="n">
        <f aca="false">IF(CapV=2,N(N147),N(N146))</f>
        <v>16</v>
      </c>
      <c r="O148" s="109" t="n">
        <f aca="false">IF(CapV=2,N(O147),N(O146))</f>
        <v>16</v>
      </c>
      <c r="P148" s="109" t="n">
        <f aca="false">IF(CapV=2,N(P147),N(P146))</f>
        <v>16</v>
      </c>
      <c r="Q148" s="109" t="n">
        <f aca="false">IF(CapV=2,N(Q147),N(Q146))</f>
        <v>19</v>
      </c>
      <c r="R148" s="109" t="n">
        <f aca="false">IF(CapV=2,N(R147),N(R146))</f>
        <v>19</v>
      </c>
      <c r="S148" s="109" t="n">
        <f aca="false">IF(CapV=2,N(S147),N(S146))</f>
        <v>19</v>
      </c>
      <c r="T148" s="109" t="n">
        <f aca="false">IF(CapV=2,N(T147),N(T146))</f>
        <v>19</v>
      </c>
      <c r="U148" s="109" t="n">
        <f aca="false">IF(CapV=2,N(U147),N(U146))</f>
        <v>19</v>
      </c>
      <c r="V148" s="109" t="n">
        <f aca="false">IF(CapV=2,N(V147),N(V146))</f>
        <v>19</v>
      </c>
      <c r="W148" s="109" t="n">
        <f aca="false">IF(CapV=2,N(W147),N(W146))</f>
        <v>19</v>
      </c>
      <c r="X148" s="109" t="n">
        <f aca="false">IF(CapV=2,N(X147),N(X146))</f>
        <v>19</v>
      </c>
      <c r="Y148" s="109" t="n">
        <f aca="false">IF(CapV=2,N(Y147),N(Y146))</f>
        <v>19</v>
      </c>
      <c r="Z148" s="109" t="n">
        <f aca="false">IF(CapV=2,N(Z147),N(Z146))</f>
        <v>19</v>
      </c>
      <c r="AA148" s="109" t="n">
        <f aca="false">IF(CapV=2,N(AA147),N(AA146))</f>
        <v>19</v>
      </c>
      <c r="AB148" s="109" t="n">
        <f aca="false">IF(CapV=2,N(AB147),N(AB146))</f>
        <v>19</v>
      </c>
      <c r="AC148" s="109" t="n">
        <f aca="false">IF(CapV=2,N(AC147),N(AC146))</f>
        <v>19</v>
      </c>
      <c r="AD148" s="109" t="n">
        <f aca="false">IF(CapV=2,N(AD147),N(AD146))</f>
        <v>19</v>
      </c>
      <c r="AE148" s="109" t="n">
        <f aca="false">IF(CapV=2,N(AE147),N(AE146))</f>
        <v>19</v>
      </c>
      <c r="AF148" s="109" t="n">
        <f aca="false">IF(CapV=2,N(AF147),N(AF146))</f>
        <v>19</v>
      </c>
      <c r="AG148" s="109" t="n">
        <f aca="false">IF(CapV=2,N(AG147),N(AG146))</f>
        <v>19</v>
      </c>
      <c r="AI148" s="109" t="n">
        <f aca="false">INDEX($F148:$AG148,1,MATCH(AI$7,$F$7:$AG$7,1))</f>
        <v>0</v>
      </c>
      <c r="AJ148" s="109" t="n">
        <f aca="false">INDEX($F148:$AG148,1,MATCH(AJ$7,$F$7:$AG$7,1))</f>
        <v>16</v>
      </c>
      <c r="AK148" s="109" t="n">
        <f aca="false">INDEX($F148:$AG148,1,MATCH(AK$7,$F$7:$AG$7,1))</f>
        <v>19</v>
      </c>
      <c r="AL148" s="109" t="n">
        <f aca="false">INDEX($F148:$AG148,1,MATCH(AL$7,$F$7:$AG$7,1))</f>
        <v>19</v>
      </c>
      <c r="AM148" s="109" t="n">
        <f aca="false">INDEX($F148:$AG148,1,MATCH(AM$7,$F$7:$AG$7,1))</f>
        <v>19</v>
      </c>
      <c r="AN148" s="109" t="n">
        <f aca="false">INDEX($F148:$AG148,1,MATCH(AN$7,$F$7:$AG$7,1))</f>
        <v>19</v>
      </c>
      <c r="AO148" s="109" t="n">
        <f aca="false">INDEX($F148:$AG148,1,MATCH(AO$7,$F$7:$AG$7,1))</f>
        <v>19</v>
      </c>
    </row>
    <row r="149" customFormat="false" ht="15" hidden="false" customHeight="false" outlineLevel="0" collapsed="false">
      <c r="A149" s="107" t="s">
        <v>1586</v>
      </c>
      <c r="B149" s="22" t="s">
        <v>664</v>
      </c>
      <c r="C149" s="22" t="s">
        <v>558</v>
      </c>
      <c r="D149" s="22" t="s">
        <v>1476</v>
      </c>
      <c r="F149" s="108" t="n">
        <v>0</v>
      </c>
      <c r="G149" s="108" t="n">
        <v>0</v>
      </c>
      <c r="H149" s="108" t="n">
        <v>0</v>
      </c>
      <c r="I149" s="108" t="n">
        <v>0</v>
      </c>
      <c r="J149" s="108" t="n">
        <v>0</v>
      </c>
      <c r="K149" s="108" t="n">
        <v>0</v>
      </c>
      <c r="L149" s="108" t="n">
        <v>0</v>
      </c>
      <c r="M149" s="108" t="n">
        <v>0</v>
      </c>
      <c r="N149" s="108" t="n">
        <v>0</v>
      </c>
      <c r="O149" s="108" t="n">
        <v>0</v>
      </c>
      <c r="P149" s="108" t="n">
        <v>0</v>
      </c>
      <c r="Q149" s="108" t="n">
        <v>0</v>
      </c>
      <c r="R149" s="108" t="n">
        <v>4.4</v>
      </c>
      <c r="S149" s="108" t="n">
        <v>4.4</v>
      </c>
      <c r="T149" s="108" t="n">
        <v>22</v>
      </c>
      <c r="U149" s="108" t="n">
        <v>22</v>
      </c>
      <c r="V149" s="108" t="n">
        <v>22</v>
      </c>
      <c r="W149" s="108" t="n">
        <v>22</v>
      </c>
      <c r="X149" s="108" t="n">
        <v>22</v>
      </c>
      <c r="Y149" s="108" t="n">
        <v>22</v>
      </c>
      <c r="Z149" s="108" t="n">
        <v>22</v>
      </c>
      <c r="AA149" s="108" t="n">
        <v>22</v>
      </c>
      <c r="AB149" s="108" t="n">
        <v>22</v>
      </c>
      <c r="AC149" s="108" t="n">
        <v>22</v>
      </c>
      <c r="AD149" s="108" t="n">
        <v>22</v>
      </c>
      <c r="AE149" s="108" t="n">
        <v>22</v>
      </c>
      <c r="AF149" s="108" t="n">
        <v>22</v>
      </c>
      <c r="AG149" s="108" t="n">
        <v>22</v>
      </c>
      <c r="AI149" s="109" t="n">
        <f aca="false">INDEX($F149:$AG149,1,MATCH(AI$7,$F$7:$AG$7,1))</f>
        <v>0</v>
      </c>
      <c r="AJ149" s="109" t="n">
        <f aca="false">INDEX($F149:$AG149,1,MATCH(AJ$7,$F$7:$AG$7,1))</f>
        <v>0</v>
      </c>
      <c r="AK149" s="109" t="n">
        <f aca="false">INDEX($F149:$AG149,1,MATCH(AK$7,$F$7:$AG$7,1))</f>
        <v>0</v>
      </c>
      <c r="AL149" s="109" t="n">
        <f aca="false">INDEX($F149:$AG149,1,MATCH(AL$7,$F$7:$AG$7,1))</f>
        <v>22</v>
      </c>
      <c r="AM149" s="109" t="n">
        <f aca="false">INDEX($F149:$AG149,1,MATCH(AM$7,$F$7:$AG$7,1))</f>
        <v>22</v>
      </c>
      <c r="AN149" s="109" t="n">
        <f aca="false">INDEX($F149:$AG149,1,MATCH(AN$7,$F$7:$AG$7,1))</f>
        <v>22</v>
      </c>
      <c r="AO149" s="109" t="n">
        <f aca="false">INDEX($F149:$AG149,1,MATCH(AO$7,$F$7:$AG$7,1))</f>
        <v>22</v>
      </c>
    </row>
    <row r="150" customFormat="false" ht="15" hidden="false" customHeight="false" outlineLevel="0" collapsed="false">
      <c r="A150" s="107" t="s">
        <v>1587</v>
      </c>
      <c r="B150" s="22" t="s">
        <v>664</v>
      </c>
      <c r="C150" s="22" t="s">
        <v>558</v>
      </c>
      <c r="D150" s="22" t="s">
        <v>1478</v>
      </c>
      <c r="F150" s="108" t="n">
        <v>0</v>
      </c>
      <c r="G150" s="108" t="n">
        <v>0</v>
      </c>
      <c r="H150" s="108" t="n">
        <v>0</v>
      </c>
      <c r="I150" s="108" t="n">
        <v>0</v>
      </c>
      <c r="J150" s="108" t="n">
        <v>0</v>
      </c>
      <c r="K150" s="108" t="n">
        <v>0</v>
      </c>
      <c r="L150" s="108" t="n">
        <v>0</v>
      </c>
      <c r="M150" s="108" t="n">
        <v>0</v>
      </c>
      <c r="N150" s="108" t="n">
        <v>0</v>
      </c>
      <c r="O150" s="108" t="n">
        <v>0</v>
      </c>
      <c r="P150" s="108" t="n">
        <v>0</v>
      </c>
      <c r="Q150" s="108" t="n">
        <v>0</v>
      </c>
      <c r="R150" s="108" t="n">
        <v>4.4</v>
      </c>
      <c r="S150" s="108" t="n">
        <v>4.4</v>
      </c>
      <c r="T150" s="108" t="n">
        <v>22</v>
      </c>
      <c r="U150" s="108" t="n">
        <v>22</v>
      </c>
      <c r="V150" s="108" t="n">
        <v>22</v>
      </c>
      <c r="W150" s="108" t="n">
        <v>22</v>
      </c>
      <c r="X150" s="108" t="n">
        <v>22</v>
      </c>
      <c r="Y150" s="108" t="n">
        <v>22</v>
      </c>
      <c r="Z150" s="108" t="n">
        <v>22</v>
      </c>
      <c r="AA150" s="108" t="n">
        <v>22</v>
      </c>
      <c r="AB150" s="108" t="n">
        <v>22</v>
      </c>
      <c r="AC150" s="108" t="n">
        <v>22</v>
      </c>
      <c r="AD150" s="108" t="n">
        <v>22</v>
      </c>
      <c r="AE150" s="108" t="n">
        <v>22</v>
      </c>
      <c r="AF150" s="108" t="n">
        <v>22</v>
      </c>
      <c r="AG150" s="108" t="n">
        <v>22</v>
      </c>
      <c r="AI150" s="109" t="n">
        <f aca="false">INDEX($F150:$AG150,1,MATCH(AI$7,$F$7:$AG$7,1))</f>
        <v>0</v>
      </c>
      <c r="AJ150" s="109" t="n">
        <f aca="false">INDEX($F150:$AG150,1,MATCH(AJ$7,$F$7:$AG$7,1))</f>
        <v>0</v>
      </c>
      <c r="AK150" s="109" t="n">
        <f aca="false">INDEX($F150:$AG150,1,MATCH(AK$7,$F$7:$AG$7,1))</f>
        <v>0</v>
      </c>
      <c r="AL150" s="109" t="n">
        <f aca="false">INDEX($F150:$AG150,1,MATCH(AL$7,$F$7:$AG$7,1))</f>
        <v>22</v>
      </c>
      <c r="AM150" s="109" t="n">
        <f aca="false">INDEX($F150:$AG150,1,MATCH(AM$7,$F$7:$AG$7,1))</f>
        <v>22</v>
      </c>
      <c r="AN150" s="109" t="n">
        <f aca="false">INDEX($F150:$AG150,1,MATCH(AN$7,$F$7:$AG$7,1))</f>
        <v>22</v>
      </c>
      <c r="AO150" s="109" t="n">
        <f aca="false">INDEX($F150:$AG150,1,MATCH(AO$7,$F$7:$AG$7,1))</f>
        <v>22</v>
      </c>
    </row>
    <row r="151" customFormat="false" ht="15" hidden="false" customHeight="false" outlineLevel="0" collapsed="false">
      <c r="A151" s="107" t="s">
        <v>1588</v>
      </c>
      <c r="B151" s="22" t="s">
        <v>664</v>
      </c>
      <c r="C151" s="22" t="s">
        <v>540</v>
      </c>
      <c r="D151" s="22" t="s">
        <v>1480</v>
      </c>
      <c r="F151" s="109" t="n">
        <f aca="false">IF(CapV=2,N(F150),N(F149))</f>
        <v>0</v>
      </c>
      <c r="G151" s="109" t="n">
        <f aca="false">IF(CapV=2,N(G150),N(G149))</f>
        <v>0</v>
      </c>
      <c r="H151" s="109" t="n">
        <f aca="false">IF(CapV=2,N(H150),N(H149))</f>
        <v>0</v>
      </c>
      <c r="I151" s="109" t="n">
        <f aca="false">IF(CapV=2,N(I150),N(I149))</f>
        <v>0</v>
      </c>
      <c r="J151" s="109" t="n">
        <f aca="false">IF(CapV=2,N(J150),N(J149))</f>
        <v>0</v>
      </c>
      <c r="K151" s="109" t="n">
        <f aca="false">IF(CapV=2,N(K150),N(K149))</f>
        <v>0</v>
      </c>
      <c r="L151" s="109" t="n">
        <f aca="false">IF(CapV=2,N(L150),N(L149))</f>
        <v>0</v>
      </c>
      <c r="M151" s="109" t="n">
        <f aca="false">IF(CapV=2,N(M150),N(M149))</f>
        <v>0</v>
      </c>
      <c r="N151" s="109" t="n">
        <f aca="false">IF(CapV=2,N(N150),N(N149))</f>
        <v>0</v>
      </c>
      <c r="O151" s="109" t="n">
        <f aca="false">IF(CapV=2,N(O150),N(O149))</f>
        <v>0</v>
      </c>
      <c r="P151" s="109" t="n">
        <f aca="false">IF(CapV=2,N(P150),N(P149))</f>
        <v>0</v>
      </c>
      <c r="Q151" s="109" t="n">
        <f aca="false">IF(CapV=2,N(Q150),N(Q149))</f>
        <v>0</v>
      </c>
      <c r="R151" s="109" t="n">
        <f aca="false">IF(CapV=2,N(R150),N(R149))</f>
        <v>4.4</v>
      </c>
      <c r="S151" s="109" t="n">
        <f aca="false">IF(CapV=2,N(S150),N(S149))</f>
        <v>4.4</v>
      </c>
      <c r="T151" s="109" t="n">
        <f aca="false">IF(CapV=2,N(T150),N(T149))</f>
        <v>22</v>
      </c>
      <c r="U151" s="109" t="n">
        <f aca="false">IF(CapV=2,N(U150),N(U149))</f>
        <v>22</v>
      </c>
      <c r="V151" s="109" t="n">
        <f aca="false">IF(CapV=2,N(V150),N(V149))</f>
        <v>22</v>
      </c>
      <c r="W151" s="109" t="n">
        <f aca="false">IF(CapV=2,N(W150),N(W149))</f>
        <v>22</v>
      </c>
      <c r="X151" s="109" t="n">
        <f aca="false">IF(CapV=2,N(X150),N(X149))</f>
        <v>22</v>
      </c>
      <c r="Y151" s="109" t="n">
        <f aca="false">IF(CapV=2,N(Y150),N(Y149))</f>
        <v>22</v>
      </c>
      <c r="Z151" s="109" t="n">
        <f aca="false">IF(CapV=2,N(Z150),N(Z149))</f>
        <v>22</v>
      </c>
      <c r="AA151" s="109" t="n">
        <f aca="false">IF(CapV=2,N(AA150),N(AA149))</f>
        <v>22</v>
      </c>
      <c r="AB151" s="109" t="n">
        <f aca="false">IF(CapV=2,N(AB150),N(AB149))</f>
        <v>22</v>
      </c>
      <c r="AC151" s="109" t="n">
        <f aca="false">IF(CapV=2,N(AC150),N(AC149))</f>
        <v>22</v>
      </c>
      <c r="AD151" s="109" t="n">
        <f aca="false">IF(CapV=2,N(AD150),N(AD149))</f>
        <v>22</v>
      </c>
      <c r="AE151" s="109" t="n">
        <f aca="false">IF(CapV=2,N(AE150),N(AE149))</f>
        <v>22</v>
      </c>
      <c r="AF151" s="109" t="n">
        <f aca="false">IF(CapV=2,N(AF150),N(AF149))</f>
        <v>22</v>
      </c>
      <c r="AG151" s="109" t="n">
        <f aca="false">IF(CapV=2,N(AG150),N(AG149))</f>
        <v>22</v>
      </c>
      <c r="AI151" s="109" t="n">
        <f aca="false">INDEX($F151:$AG151,1,MATCH(AI$7,$F$7:$AG$7,1))</f>
        <v>0</v>
      </c>
      <c r="AJ151" s="109" t="n">
        <f aca="false">INDEX($F151:$AG151,1,MATCH(AJ$7,$F$7:$AG$7,1))</f>
        <v>0</v>
      </c>
      <c r="AK151" s="109" t="n">
        <f aca="false">INDEX($F151:$AG151,1,MATCH(AK$7,$F$7:$AG$7,1))</f>
        <v>0</v>
      </c>
      <c r="AL151" s="109" t="n">
        <f aca="false">INDEX($F151:$AG151,1,MATCH(AL$7,$F$7:$AG$7,1))</f>
        <v>22</v>
      </c>
      <c r="AM151" s="109" t="n">
        <f aca="false">INDEX($F151:$AG151,1,MATCH(AM$7,$F$7:$AG$7,1))</f>
        <v>22</v>
      </c>
      <c r="AN151" s="109" t="n">
        <f aca="false">INDEX($F151:$AG151,1,MATCH(AN$7,$F$7:$AG$7,1))</f>
        <v>22</v>
      </c>
      <c r="AO151" s="109" t="n">
        <f aca="false">INDEX($F151:$AG151,1,MATCH(AO$7,$F$7:$AG$7,1))</f>
        <v>22</v>
      </c>
    </row>
    <row r="152" customFormat="false" ht="15" hidden="false" customHeight="false" outlineLevel="0" collapsed="false">
      <c r="A152" s="107" t="s">
        <v>1589</v>
      </c>
      <c r="B152" s="22" t="s">
        <v>664</v>
      </c>
      <c r="C152" s="22" t="s">
        <v>558</v>
      </c>
      <c r="D152" s="22" t="s">
        <v>1476</v>
      </c>
      <c r="F152" s="108" t="n">
        <v>0</v>
      </c>
      <c r="G152" s="108" t="n">
        <v>0</v>
      </c>
      <c r="H152" s="108" t="n">
        <v>0</v>
      </c>
      <c r="I152" s="108" t="n">
        <v>0</v>
      </c>
      <c r="J152" s="108" t="n">
        <v>0</v>
      </c>
      <c r="K152" s="108" t="n">
        <v>0</v>
      </c>
      <c r="L152" s="108" t="n">
        <v>0</v>
      </c>
      <c r="M152" s="108" t="n">
        <v>0</v>
      </c>
      <c r="N152" s="108" t="n">
        <v>0</v>
      </c>
      <c r="O152" s="108" t="n">
        <v>0</v>
      </c>
      <c r="P152" s="108" t="n">
        <v>0</v>
      </c>
      <c r="Q152" s="108" t="n">
        <v>2.2</v>
      </c>
      <c r="R152" s="108" t="n">
        <v>13.2</v>
      </c>
      <c r="S152" s="108" t="n">
        <v>13.2</v>
      </c>
      <c r="T152" s="108" t="n">
        <v>22</v>
      </c>
      <c r="U152" s="108" t="n">
        <v>22</v>
      </c>
      <c r="V152" s="108" t="n">
        <v>22</v>
      </c>
      <c r="W152" s="108" t="n">
        <v>22</v>
      </c>
      <c r="X152" s="108" t="n">
        <v>22</v>
      </c>
      <c r="Y152" s="108" t="n">
        <v>22</v>
      </c>
      <c r="Z152" s="108" t="n">
        <v>22</v>
      </c>
      <c r="AA152" s="108" t="n">
        <v>22</v>
      </c>
      <c r="AB152" s="108" t="n">
        <v>22</v>
      </c>
      <c r="AC152" s="108" t="n">
        <v>22</v>
      </c>
      <c r="AD152" s="108" t="n">
        <v>22</v>
      </c>
      <c r="AE152" s="108" t="n">
        <v>22</v>
      </c>
      <c r="AF152" s="108" t="n">
        <v>22</v>
      </c>
      <c r="AG152" s="108" t="n">
        <v>22</v>
      </c>
      <c r="AI152" s="109" t="n">
        <f aca="false">INDEX($F152:$AG152,1,MATCH(AI$7,$F$7:$AG$7,1))</f>
        <v>0</v>
      </c>
      <c r="AJ152" s="109" t="n">
        <f aca="false">INDEX($F152:$AG152,1,MATCH(AJ$7,$F$7:$AG$7,1))</f>
        <v>0</v>
      </c>
      <c r="AK152" s="109" t="n">
        <f aca="false">INDEX($F152:$AG152,1,MATCH(AK$7,$F$7:$AG$7,1))</f>
        <v>2.2</v>
      </c>
      <c r="AL152" s="109" t="n">
        <f aca="false">INDEX($F152:$AG152,1,MATCH(AL$7,$F$7:$AG$7,1))</f>
        <v>22</v>
      </c>
      <c r="AM152" s="109" t="n">
        <f aca="false">INDEX($F152:$AG152,1,MATCH(AM$7,$F$7:$AG$7,1))</f>
        <v>22</v>
      </c>
      <c r="AN152" s="109" t="n">
        <f aca="false">INDEX($F152:$AG152,1,MATCH(AN$7,$F$7:$AG$7,1))</f>
        <v>22</v>
      </c>
      <c r="AO152" s="109" t="n">
        <f aca="false">INDEX($F152:$AG152,1,MATCH(AO$7,$F$7:$AG$7,1))</f>
        <v>22</v>
      </c>
    </row>
    <row r="153" customFormat="false" ht="15" hidden="false" customHeight="false" outlineLevel="0" collapsed="false">
      <c r="A153" s="107" t="s">
        <v>1590</v>
      </c>
      <c r="B153" s="22" t="s">
        <v>664</v>
      </c>
      <c r="C153" s="22" t="s">
        <v>558</v>
      </c>
      <c r="D153" s="22" t="s">
        <v>1478</v>
      </c>
      <c r="F153" s="108" t="n">
        <v>0</v>
      </c>
      <c r="G153" s="108" t="n">
        <v>0</v>
      </c>
      <c r="H153" s="108" t="n">
        <v>0</v>
      </c>
      <c r="I153" s="108" t="n">
        <v>0</v>
      </c>
      <c r="J153" s="108" t="n">
        <v>0</v>
      </c>
      <c r="K153" s="108" t="n">
        <v>0</v>
      </c>
      <c r="L153" s="108" t="n">
        <v>0</v>
      </c>
      <c r="M153" s="108" t="n">
        <v>0</v>
      </c>
      <c r="N153" s="108" t="n">
        <v>0</v>
      </c>
      <c r="O153" s="108" t="n">
        <v>0</v>
      </c>
      <c r="P153" s="108" t="n">
        <v>0</v>
      </c>
      <c r="Q153" s="108" t="n">
        <v>2.2</v>
      </c>
      <c r="R153" s="108" t="n">
        <v>13.2</v>
      </c>
      <c r="S153" s="108" t="n">
        <v>13.2</v>
      </c>
      <c r="T153" s="108" t="n">
        <v>22</v>
      </c>
      <c r="U153" s="108" t="n">
        <v>22</v>
      </c>
      <c r="V153" s="108" t="n">
        <v>22</v>
      </c>
      <c r="W153" s="108" t="n">
        <v>22</v>
      </c>
      <c r="X153" s="108" t="n">
        <v>22</v>
      </c>
      <c r="Y153" s="108" t="n">
        <v>22</v>
      </c>
      <c r="Z153" s="108" t="n">
        <v>22</v>
      </c>
      <c r="AA153" s="108" t="n">
        <v>22</v>
      </c>
      <c r="AB153" s="108" t="n">
        <v>22</v>
      </c>
      <c r="AC153" s="108" t="n">
        <v>22</v>
      </c>
      <c r="AD153" s="108" t="n">
        <v>22</v>
      </c>
      <c r="AE153" s="108" t="n">
        <v>22</v>
      </c>
      <c r="AF153" s="108" t="n">
        <v>22</v>
      </c>
      <c r="AG153" s="108" t="n">
        <v>22</v>
      </c>
      <c r="AI153" s="109" t="n">
        <f aca="false">INDEX($F153:$AG153,1,MATCH(AI$7,$F$7:$AG$7,1))</f>
        <v>0</v>
      </c>
      <c r="AJ153" s="109" t="n">
        <f aca="false">INDEX($F153:$AG153,1,MATCH(AJ$7,$F$7:$AG$7,1))</f>
        <v>0</v>
      </c>
      <c r="AK153" s="109" t="n">
        <f aca="false">INDEX($F153:$AG153,1,MATCH(AK$7,$F$7:$AG$7,1))</f>
        <v>2.2</v>
      </c>
      <c r="AL153" s="109" t="n">
        <f aca="false">INDEX($F153:$AG153,1,MATCH(AL$7,$F$7:$AG$7,1))</f>
        <v>22</v>
      </c>
      <c r="AM153" s="109" t="n">
        <f aca="false">INDEX($F153:$AG153,1,MATCH(AM$7,$F$7:$AG$7,1))</f>
        <v>22</v>
      </c>
      <c r="AN153" s="109" t="n">
        <f aca="false">INDEX($F153:$AG153,1,MATCH(AN$7,$F$7:$AG$7,1))</f>
        <v>22</v>
      </c>
      <c r="AO153" s="109" t="n">
        <f aca="false">INDEX($F153:$AG153,1,MATCH(AO$7,$F$7:$AG$7,1))</f>
        <v>22</v>
      </c>
    </row>
    <row r="154" customFormat="false" ht="15" hidden="false" customHeight="false" outlineLevel="0" collapsed="false">
      <c r="A154" s="107" t="s">
        <v>1591</v>
      </c>
      <c r="B154" s="22" t="s">
        <v>664</v>
      </c>
      <c r="C154" s="22" t="s">
        <v>540</v>
      </c>
      <c r="D154" s="22" t="s">
        <v>1480</v>
      </c>
      <c r="F154" s="109" t="n">
        <f aca="false">IF(CapV=2,N(F153),N(F152))</f>
        <v>0</v>
      </c>
      <c r="G154" s="109" t="n">
        <f aca="false">IF(CapV=2,N(G153),N(G152))</f>
        <v>0</v>
      </c>
      <c r="H154" s="109" t="n">
        <f aca="false">IF(CapV=2,N(H153),N(H152))</f>
        <v>0</v>
      </c>
      <c r="I154" s="109" t="n">
        <f aca="false">IF(CapV=2,N(I153),N(I152))</f>
        <v>0</v>
      </c>
      <c r="J154" s="109" t="n">
        <f aca="false">IF(CapV=2,N(J153),N(J152))</f>
        <v>0</v>
      </c>
      <c r="K154" s="109" t="n">
        <f aca="false">IF(CapV=2,N(K153),N(K152))</f>
        <v>0</v>
      </c>
      <c r="L154" s="109" t="n">
        <f aca="false">IF(CapV=2,N(L153),N(L152))</f>
        <v>0</v>
      </c>
      <c r="M154" s="109" t="n">
        <f aca="false">IF(CapV=2,N(M153),N(M152))</f>
        <v>0</v>
      </c>
      <c r="N154" s="109" t="n">
        <f aca="false">IF(CapV=2,N(N153),N(N152))</f>
        <v>0</v>
      </c>
      <c r="O154" s="109" t="n">
        <f aca="false">IF(CapV=2,N(O153),N(O152))</f>
        <v>0</v>
      </c>
      <c r="P154" s="109" t="n">
        <f aca="false">IF(CapV=2,N(P153),N(P152))</f>
        <v>0</v>
      </c>
      <c r="Q154" s="109" t="n">
        <f aca="false">IF(CapV=2,N(Q153),N(Q152))</f>
        <v>2.2</v>
      </c>
      <c r="R154" s="109" t="n">
        <f aca="false">IF(CapV=2,N(R153),N(R152))</f>
        <v>13.2</v>
      </c>
      <c r="S154" s="109" t="n">
        <f aca="false">IF(CapV=2,N(S153),N(S152))</f>
        <v>13.2</v>
      </c>
      <c r="T154" s="109" t="n">
        <f aca="false">IF(CapV=2,N(T153),N(T152))</f>
        <v>22</v>
      </c>
      <c r="U154" s="109" t="n">
        <f aca="false">IF(CapV=2,N(U153),N(U152))</f>
        <v>22</v>
      </c>
      <c r="V154" s="109" t="n">
        <f aca="false">IF(CapV=2,N(V153),N(V152))</f>
        <v>22</v>
      </c>
      <c r="W154" s="109" t="n">
        <f aca="false">IF(CapV=2,N(W153),N(W152))</f>
        <v>22</v>
      </c>
      <c r="X154" s="109" t="n">
        <f aca="false">IF(CapV=2,N(X153),N(X152))</f>
        <v>22</v>
      </c>
      <c r="Y154" s="109" t="n">
        <f aca="false">IF(CapV=2,N(Y153),N(Y152))</f>
        <v>22</v>
      </c>
      <c r="Z154" s="109" t="n">
        <f aca="false">IF(CapV=2,N(Z153),N(Z152))</f>
        <v>22</v>
      </c>
      <c r="AA154" s="109" t="n">
        <f aca="false">IF(CapV=2,N(AA153),N(AA152))</f>
        <v>22</v>
      </c>
      <c r="AB154" s="109" t="n">
        <f aca="false">IF(CapV=2,N(AB153),N(AB152))</f>
        <v>22</v>
      </c>
      <c r="AC154" s="109" t="n">
        <f aca="false">IF(CapV=2,N(AC153),N(AC152))</f>
        <v>22</v>
      </c>
      <c r="AD154" s="109" t="n">
        <f aca="false">IF(CapV=2,N(AD153),N(AD152))</f>
        <v>22</v>
      </c>
      <c r="AE154" s="109" t="n">
        <f aca="false">IF(CapV=2,N(AE153),N(AE152))</f>
        <v>22</v>
      </c>
      <c r="AF154" s="109" t="n">
        <f aca="false">IF(CapV=2,N(AF153),N(AF152))</f>
        <v>22</v>
      </c>
      <c r="AG154" s="109" t="n">
        <f aca="false">IF(CapV=2,N(AG153),N(AG152))</f>
        <v>22</v>
      </c>
      <c r="AI154" s="109" t="n">
        <f aca="false">INDEX($F154:$AG154,1,MATCH(AI$7,$F$7:$AG$7,1))</f>
        <v>0</v>
      </c>
      <c r="AJ154" s="109" t="n">
        <f aca="false">INDEX($F154:$AG154,1,MATCH(AJ$7,$F$7:$AG$7,1))</f>
        <v>0</v>
      </c>
      <c r="AK154" s="109" t="n">
        <f aca="false">INDEX($F154:$AG154,1,MATCH(AK$7,$F$7:$AG$7,1))</f>
        <v>2.2</v>
      </c>
      <c r="AL154" s="109" t="n">
        <f aca="false">INDEX($F154:$AG154,1,MATCH(AL$7,$F$7:$AG$7,1))</f>
        <v>22</v>
      </c>
      <c r="AM154" s="109" t="n">
        <f aca="false">INDEX($F154:$AG154,1,MATCH(AM$7,$F$7:$AG$7,1))</f>
        <v>22</v>
      </c>
      <c r="AN154" s="109" t="n">
        <f aca="false">INDEX($F154:$AG154,1,MATCH(AN$7,$F$7:$AG$7,1))</f>
        <v>22</v>
      </c>
      <c r="AO154" s="109" t="n">
        <f aca="false">INDEX($F154:$AG154,1,MATCH(AO$7,$F$7:$AG$7,1))</f>
        <v>22</v>
      </c>
    </row>
    <row r="155" customFormat="false" ht="15" hidden="false" customHeight="false" outlineLevel="0" collapsed="false">
      <c r="A155" s="107" t="s">
        <v>1592</v>
      </c>
      <c r="B155" s="22" t="s">
        <v>664</v>
      </c>
      <c r="C155" s="22" t="s">
        <v>558</v>
      </c>
      <c r="D155" s="22" t="s">
        <v>1476</v>
      </c>
      <c r="F155" s="108" t="n">
        <v>0</v>
      </c>
      <c r="G155" s="108" t="n">
        <v>0</v>
      </c>
      <c r="H155" s="108" t="n">
        <v>0</v>
      </c>
      <c r="I155" s="108" t="n">
        <v>0</v>
      </c>
      <c r="J155" s="108" t="n">
        <v>0</v>
      </c>
      <c r="K155" s="108" t="n">
        <v>0</v>
      </c>
      <c r="L155" s="108" t="n">
        <v>0</v>
      </c>
      <c r="M155" s="108" t="n">
        <v>0</v>
      </c>
      <c r="N155" s="108" t="n">
        <v>0</v>
      </c>
      <c r="O155" s="108" t="n">
        <v>0</v>
      </c>
      <c r="P155" s="108" t="n">
        <v>0</v>
      </c>
      <c r="Q155" s="108" t="n">
        <v>4.4</v>
      </c>
      <c r="R155" s="108" t="n">
        <v>22</v>
      </c>
      <c r="S155" s="108" t="n">
        <v>22</v>
      </c>
      <c r="T155" s="108" t="n">
        <v>22</v>
      </c>
      <c r="U155" s="108" t="n">
        <v>22</v>
      </c>
      <c r="V155" s="108" t="n">
        <v>22</v>
      </c>
      <c r="W155" s="108" t="n">
        <v>22</v>
      </c>
      <c r="X155" s="108" t="n">
        <v>22</v>
      </c>
      <c r="Y155" s="108" t="n">
        <v>22</v>
      </c>
      <c r="Z155" s="108" t="n">
        <v>22</v>
      </c>
      <c r="AA155" s="108" t="n">
        <v>22</v>
      </c>
      <c r="AB155" s="108" t="n">
        <v>22</v>
      </c>
      <c r="AC155" s="108" t="n">
        <v>22</v>
      </c>
      <c r="AD155" s="108" t="n">
        <v>22</v>
      </c>
      <c r="AE155" s="108" t="n">
        <v>22</v>
      </c>
      <c r="AF155" s="108" t="n">
        <v>22</v>
      </c>
      <c r="AG155" s="108" t="n">
        <v>22</v>
      </c>
      <c r="AI155" s="109" t="n">
        <f aca="false">INDEX($F155:$AG155,1,MATCH(AI$7,$F$7:$AG$7,1))</f>
        <v>0</v>
      </c>
      <c r="AJ155" s="109" t="n">
        <f aca="false">INDEX($F155:$AG155,1,MATCH(AJ$7,$F$7:$AG$7,1))</f>
        <v>0</v>
      </c>
      <c r="AK155" s="109" t="n">
        <f aca="false">INDEX($F155:$AG155,1,MATCH(AK$7,$F$7:$AG$7,1))</f>
        <v>4.4</v>
      </c>
      <c r="AL155" s="109" t="n">
        <f aca="false">INDEX($F155:$AG155,1,MATCH(AL$7,$F$7:$AG$7,1))</f>
        <v>22</v>
      </c>
      <c r="AM155" s="109" t="n">
        <f aca="false">INDEX($F155:$AG155,1,MATCH(AM$7,$F$7:$AG$7,1))</f>
        <v>22</v>
      </c>
      <c r="AN155" s="109" t="n">
        <f aca="false">INDEX($F155:$AG155,1,MATCH(AN$7,$F$7:$AG$7,1))</f>
        <v>22</v>
      </c>
      <c r="AO155" s="109" t="n">
        <f aca="false">INDEX($F155:$AG155,1,MATCH(AO$7,$F$7:$AG$7,1))</f>
        <v>22</v>
      </c>
    </row>
    <row r="156" customFormat="false" ht="15" hidden="false" customHeight="false" outlineLevel="0" collapsed="false">
      <c r="A156" s="107" t="s">
        <v>1593</v>
      </c>
      <c r="B156" s="22" t="s">
        <v>664</v>
      </c>
      <c r="C156" s="22" t="s">
        <v>558</v>
      </c>
      <c r="D156" s="22" t="s">
        <v>1478</v>
      </c>
      <c r="F156" s="108" t="n">
        <v>0</v>
      </c>
      <c r="G156" s="108" t="n">
        <v>0</v>
      </c>
      <c r="H156" s="108" t="n">
        <v>0</v>
      </c>
      <c r="I156" s="108" t="n">
        <v>0</v>
      </c>
      <c r="J156" s="108" t="n">
        <v>0</v>
      </c>
      <c r="K156" s="108" t="n">
        <v>0</v>
      </c>
      <c r="L156" s="108" t="n">
        <v>0</v>
      </c>
      <c r="M156" s="108" t="n">
        <v>0</v>
      </c>
      <c r="N156" s="108" t="n">
        <v>0</v>
      </c>
      <c r="O156" s="108" t="n">
        <v>0</v>
      </c>
      <c r="P156" s="108" t="n">
        <v>0</v>
      </c>
      <c r="Q156" s="108" t="n">
        <v>4.4</v>
      </c>
      <c r="R156" s="108" t="n">
        <v>22</v>
      </c>
      <c r="S156" s="108" t="n">
        <v>22</v>
      </c>
      <c r="T156" s="108" t="n">
        <v>22</v>
      </c>
      <c r="U156" s="108" t="n">
        <v>22</v>
      </c>
      <c r="V156" s="108" t="n">
        <v>22</v>
      </c>
      <c r="W156" s="108" t="n">
        <v>22</v>
      </c>
      <c r="X156" s="108" t="n">
        <v>22</v>
      </c>
      <c r="Y156" s="108" t="n">
        <v>22</v>
      </c>
      <c r="Z156" s="108" t="n">
        <v>22</v>
      </c>
      <c r="AA156" s="108" t="n">
        <v>22</v>
      </c>
      <c r="AB156" s="108" t="n">
        <v>22</v>
      </c>
      <c r="AC156" s="108" t="n">
        <v>22</v>
      </c>
      <c r="AD156" s="108" t="n">
        <v>22</v>
      </c>
      <c r="AE156" s="108" t="n">
        <v>22</v>
      </c>
      <c r="AF156" s="108" t="n">
        <v>22</v>
      </c>
      <c r="AG156" s="108" t="n">
        <v>22</v>
      </c>
      <c r="AI156" s="109" t="n">
        <f aca="false">INDEX($F156:$AG156,1,MATCH(AI$7,$F$7:$AG$7,1))</f>
        <v>0</v>
      </c>
      <c r="AJ156" s="109" t="n">
        <f aca="false">INDEX($F156:$AG156,1,MATCH(AJ$7,$F$7:$AG$7,1))</f>
        <v>0</v>
      </c>
      <c r="AK156" s="109" t="n">
        <f aca="false">INDEX($F156:$AG156,1,MATCH(AK$7,$F$7:$AG$7,1))</f>
        <v>4.4</v>
      </c>
      <c r="AL156" s="109" t="n">
        <f aca="false">INDEX($F156:$AG156,1,MATCH(AL$7,$F$7:$AG$7,1))</f>
        <v>22</v>
      </c>
      <c r="AM156" s="109" t="n">
        <f aca="false">INDEX($F156:$AG156,1,MATCH(AM$7,$F$7:$AG$7,1))</f>
        <v>22</v>
      </c>
      <c r="AN156" s="109" t="n">
        <f aca="false">INDEX($F156:$AG156,1,MATCH(AN$7,$F$7:$AG$7,1))</f>
        <v>22</v>
      </c>
      <c r="AO156" s="109" t="n">
        <f aca="false">INDEX($F156:$AG156,1,MATCH(AO$7,$F$7:$AG$7,1))</f>
        <v>22</v>
      </c>
    </row>
    <row r="157" customFormat="false" ht="15" hidden="false" customHeight="false" outlineLevel="0" collapsed="false">
      <c r="A157" s="107" t="s">
        <v>1594</v>
      </c>
      <c r="B157" s="22" t="s">
        <v>664</v>
      </c>
      <c r="C157" s="22" t="s">
        <v>540</v>
      </c>
      <c r="D157" s="22" t="s">
        <v>1480</v>
      </c>
      <c r="F157" s="109" t="n">
        <f aca="false">IF(CapV=2,N(F156),N(F155))</f>
        <v>0</v>
      </c>
      <c r="G157" s="109" t="n">
        <f aca="false">IF(CapV=2,N(G156),N(G155))</f>
        <v>0</v>
      </c>
      <c r="H157" s="109" t="n">
        <f aca="false">IF(CapV=2,N(H156),N(H155))</f>
        <v>0</v>
      </c>
      <c r="I157" s="109" t="n">
        <f aca="false">IF(CapV=2,N(I156),N(I155))</f>
        <v>0</v>
      </c>
      <c r="J157" s="109" t="n">
        <f aca="false">IF(CapV=2,N(J156),N(J155))</f>
        <v>0</v>
      </c>
      <c r="K157" s="109" t="n">
        <f aca="false">IF(CapV=2,N(K156),N(K155))</f>
        <v>0</v>
      </c>
      <c r="L157" s="109" t="n">
        <f aca="false">IF(CapV=2,N(L156),N(L155))</f>
        <v>0</v>
      </c>
      <c r="M157" s="109" t="n">
        <f aca="false">IF(CapV=2,N(M156),N(M155))</f>
        <v>0</v>
      </c>
      <c r="N157" s="109" t="n">
        <f aca="false">IF(CapV=2,N(N156),N(N155))</f>
        <v>0</v>
      </c>
      <c r="O157" s="109" t="n">
        <f aca="false">IF(CapV=2,N(O156),N(O155))</f>
        <v>0</v>
      </c>
      <c r="P157" s="109" t="n">
        <f aca="false">IF(CapV=2,N(P156),N(P155))</f>
        <v>0</v>
      </c>
      <c r="Q157" s="109" t="n">
        <f aca="false">IF(CapV=2,N(Q156),N(Q155))</f>
        <v>4.4</v>
      </c>
      <c r="R157" s="109" t="n">
        <f aca="false">IF(CapV=2,N(R156),N(R155))</f>
        <v>22</v>
      </c>
      <c r="S157" s="109" t="n">
        <f aca="false">IF(CapV=2,N(S156),N(S155))</f>
        <v>22</v>
      </c>
      <c r="T157" s="109" t="n">
        <f aca="false">IF(CapV=2,N(T156),N(T155))</f>
        <v>22</v>
      </c>
      <c r="U157" s="109" t="n">
        <f aca="false">IF(CapV=2,N(U156),N(U155))</f>
        <v>22</v>
      </c>
      <c r="V157" s="109" t="n">
        <f aca="false">IF(CapV=2,N(V156),N(V155))</f>
        <v>22</v>
      </c>
      <c r="W157" s="109" t="n">
        <f aca="false">IF(CapV=2,N(W156),N(W155))</f>
        <v>22</v>
      </c>
      <c r="X157" s="109" t="n">
        <f aca="false">IF(CapV=2,N(X156),N(X155))</f>
        <v>22</v>
      </c>
      <c r="Y157" s="109" t="n">
        <f aca="false">IF(CapV=2,N(Y156),N(Y155))</f>
        <v>22</v>
      </c>
      <c r="Z157" s="109" t="n">
        <f aca="false">IF(CapV=2,N(Z156),N(Z155))</f>
        <v>22</v>
      </c>
      <c r="AA157" s="109" t="n">
        <f aca="false">IF(CapV=2,N(AA156),N(AA155))</f>
        <v>22</v>
      </c>
      <c r="AB157" s="109" t="n">
        <f aca="false">IF(CapV=2,N(AB156),N(AB155))</f>
        <v>22</v>
      </c>
      <c r="AC157" s="109" t="n">
        <f aca="false">IF(CapV=2,N(AC156),N(AC155))</f>
        <v>22</v>
      </c>
      <c r="AD157" s="109" t="n">
        <f aca="false">IF(CapV=2,N(AD156),N(AD155))</f>
        <v>22</v>
      </c>
      <c r="AE157" s="109" t="n">
        <f aca="false">IF(CapV=2,N(AE156),N(AE155))</f>
        <v>22</v>
      </c>
      <c r="AF157" s="109" t="n">
        <f aca="false">IF(CapV=2,N(AF156),N(AF155))</f>
        <v>22</v>
      </c>
      <c r="AG157" s="109" t="n">
        <f aca="false">IF(CapV=2,N(AG156),N(AG155))</f>
        <v>22</v>
      </c>
      <c r="AI157" s="109" t="n">
        <f aca="false">INDEX($F157:$AG157,1,MATCH(AI$7,$F$7:$AG$7,1))</f>
        <v>0</v>
      </c>
      <c r="AJ157" s="109" t="n">
        <f aca="false">INDEX($F157:$AG157,1,MATCH(AJ$7,$F$7:$AG$7,1))</f>
        <v>0</v>
      </c>
      <c r="AK157" s="109" t="n">
        <f aca="false">INDEX($F157:$AG157,1,MATCH(AK$7,$F$7:$AG$7,1))</f>
        <v>4.4</v>
      </c>
      <c r="AL157" s="109" t="n">
        <f aca="false">INDEX($F157:$AG157,1,MATCH(AL$7,$F$7:$AG$7,1))</f>
        <v>22</v>
      </c>
      <c r="AM157" s="109" t="n">
        <f aca="false">INDEX($F157:$AG157,1,MATCH(AM$7,$F$7:$AG$7,1))</f>
        <v>22</v>
      </c>
      <c r="AN157" s="109" t="n">
        <f aca="false">INDEX($F157:$AG157,1,MATCH(AN$7,$F$7:$AG$7,1))</f>
        <v>22</v>
      </c>
      <c r="AO157" s="109" t="n">
        <f aca="false">INDEX($F157:$AG157,1,MATCH(AO$7,$F$7:$AG$7,1))</f>
        <v>22</v>
      </c>
    </row>
    <row r="158" customFormat="false" ht="15" hidden="false" customHeight="false" outlineLevel="0" collapsed="false">
      <c r="A158" s="107" t="s">
        <v>1595</v>
      </c>
      <c r="B158" s="22" t="s">
        <v>664</v>
      </c>
      <c r="C158" s="22" t="s">
        <v>558</v>
      </c>
      <c r="D158" s="22" t="s">
        <v>1476</v>
      </c>
      <c r="AI158" s="109" t="n">
        <f aca="false">INDEX($F158:$AG158,1,MATCH(AI$7,$F$7:$AG$7,1))</f>
        <v>0</v>
      </c>
      <c r="AJ158" s="109" t="n">
        <f aca="false">INDEX($F158:$AG158,1,MATCH(AJ$7,$F$7:$AG$7,1))</f>
        <v>0</v>
      </c>
      <c r="AK158" s="109" t="n">
        <f aca="false">INDEX($F158:$AG158,1,MATCH(AK$7,$F$7:$AG$7,1))</f>
        <v>0</v>
      </c>
      <c r="AL158" s="109" t="n">
        <f aca="false">INDEX($F158:$AG158,1,MATCH(AL$7,$F$7:$AG$7,1))</f>
        <v>0</v>
      </c>
      <c r="AM158" s="109" t="n">
        <f aca="false">INDEX($F158:$AG158,1,MATCH(AM$7,$F$7:$AG$7,1))</f>
        <v>0</v>
      </c>
      <c r="AN158" s="109" t="n">
        <f aca="false">INDEX($F158:$AG158,1,MATCH(AN$7,$F$7:$AG$7,1))</f>
        <v>0</v>
      </c>
      <c r="AO158" s="109" t="n">
        <f aca="false">INDEX($F158:$AG158,1,MATCH(AO$7,$F$7:$AG$7,1))</f>
        <v>0</v>
      </c>
    </row>
    <row r="159" customFormat="false" ht="15" hidden="false" customHeight="false" outlineLevel="0" collapsed="false">
      <c r="A159" s="107" t="s">
        <v>1596</v>
      </c>
      <c r="B159" s="22" t="s">
        <v>664</v>
      </c>
      <c r="C159" s="22" t="s">
        <v>558</v>
      </c>
      <c r="D159" s="22" t="s">
        <v>1478</v>
      </c>
      <c r="F159" s="108" t="n">
        <v>0</v>
      </c>
      <c r="G159" s="108" t="n">
        <v>0</v>
      </c>
      <c r="H159" s="108" t="n">
        <v>0</v>
      </c>
      <c r="I159" s="108" t="n">
        <v>0</v>
      </c>
      <c r="J159" s="108" t="n">
        <v>0</v>
      </c>
      <c r="K159" s="108" t="n">
        <v>0</v>
      </c>
      <c r="L159" s="108" t="n">
        <v>0</v>
      </c>
      <c r="M159" s="108" t="n">
        <v>0</v>
      </c>
      <c r="N159" s="108" t="n">
        <v>0</v>
      </c>
      <c r="O159" s="108" t="n">
        <v>0</v>
      </c>
      <c r="P159" s="108" t="n">
        <v>0</v>
      </c>
      <c r="Q159" s="108" t="n">
        <v>0</v>
      </c>
      <c r="R159" s="108" t="n">
        <v>0</v>
      </c>
      <c r="S159" s="108" t="n">
        <v>0</v>
      </c>
      <c r="T159" s="108" t="n">
        <v>0</v>
      </c>
      <c r="U159" s="108" t="n">
        <v>0</v>
      </c>
      <c r="V159" s="108" t="n">
        <v>0</v>
      </c>
      <c r="W159" s="108" t="n">
        <v>0</v>
      </c>
      <c r="X159" s="108" t="n">
        <v>0</v>
      </c>
      <c r="Y159" s="108" t="n">
        <v>0</v>
      </c>
      <c r="Z159" s="108" t="n">
        <v>0</v>
      </c>
      <c r="AA159" s="108" t="n">
        <v>0</v>
      </c>
      <c r="AB159" s="108" t="n">
        <v>0</v>
      </c>
      <c r="AC159" s="108" t="n">
        <v>0</v>
      </c>
      <c r="AD159" s="108" t="n">
        <v>0</v>
      </c>
      <c r="AE159" s="108" t="n">
        <v>0</v>
      </c>
      <c r="AF159" s="108" t="n">
        <v>0</v>
      </c>
      <c r="AG159" s="108" t="n">
        <v>0</v>
      </c>
      <c r="AI159" s="109" t="n">
        <f aca="false">INDEX($F159:$AG159,1,MATCH(AI$7,$F$7:$AG$7,1))</f>
        <v>0</v>
      </c>
      <c r="AJ159" s="109" t="n">
        <f aca="false">INDEX($F159:$AG159,1,MATCH(AJ$7,$F$7:$AG$7,1))</f>
        <v>0</v>
      </c>
      <c r="AK159" s="109" t="n">
        <f aca="false">INDEX($F159:$AG159,1,MATCH(AK$7,$F$7:$AG$7,1))</f>
        <v>0</v>
      </c>
      <c r="AL159" s="109" t="n">
        <f aca="false">INDEX($F159:$AG159,1,MATCH(AL$7,$F$7:$AG$7,1))</f>
        <v>0</v>
      </c>
      <c r="AM159" s="109" t="n">
        <f aca="false">INDEX($F159:$AG159,1,MATCH(AM$7,$F$7:$AG$7,1))</f>
        <v>0</v>
      </c>
      <c r="AN159" s="109" t="n">
        <f aca="false">INDEX($F159:$AG159,1,MATCH(AN$7,$F$7:$AG$7,1))</f>
        <v>0</v>
      </c>
      <c r="AO159" s="109" t="n">
        <f aca="false">INDEX($F159:$AG159,1,MATCH(AO$7,$F$7:$AG$7,1))</f>
        <v>0</v>
      </c>
    </row>
    <row r="160" customFormat="false" ht="15" hidden="false" customHeight="false" outlineLevel="0" collapsed="false">
      <c r="A160" s="107" t="s">
        <v>1597</v>
      </c>
      <c r="B160" s="22" t="s">
        <v>664</v>
      </c>
      <c r="C160" s="22" t="s">
        <v>540</v>
      </c>
      <c r="D160" s="22" t="s">
        <v>1480</v>
      </c>
      <c r="F160" s="109" t="n">
        <f aca="false">IF(CapV=2,N(F159),N(F158))</f>
        <v>0</v>
      </c>
      <c r="G160" s="109" t="n">
        <f aca="false">IF(CapV=2,N(G159),N(G158))</f>
        <v>0</v>
      </c>
      <c r="H160" s="109" t="n">
        <f aca="false">IF(CapV=2,N(H159),N(H158))</f>
        <v>0</v>
      </c>
      <c r="I160" s="109" t="n">
        <f aca="false">IF(CapV=2,N(I159),N(I158))</f>
        <v>0</v>
      </c>
      <c r="J160" s="109" t="n">
        <f aca="false">IF(CapV=2,N(J159),N(J158))</f>
        <v>0</v>
      </c>
      <c r="K160" s="109" t="n">
        <f aca="false">IF(CapV=2,N(K159),N(K158))</f>
        <v>0</v>
      </c>
      <c r="L160" s="109" t="n">
        <f aca="false">IF(CapV=2,N(L159),N(L158))</f>
        <v>0</v>
      </c>
      <c r="M160" s="109" t="n">
        <f aca="false">IF(CapV=2,N(M159),N(M158))</f>
        <v>0</v>
      </c>
      <c r="N160" s="109" t="n">
        <f aca="false">IF(CapV=2,N(N159),N(N158))</f>
        <v>0</v>
      </c>
      <c r="O160" s="109" t="n">
        <f aca="false">IF(CapV=2,N(O159),N(O158))</f>
        <v>0</v>
      </c>
      <c r="P160" s="109" t="n">
        <f aca="false">IF(CapV=2,N(P159),N(P158))</f>
        <v>0</v>
      </c>
      <c r="Q160" s="109" t="n">
        <f aca="false">IF(CapV=2,N(Q159),N(Q158))</f>
        <v>0</v>
      </c>
      <c r="R160" s="109" t="n">
        <f aca="false">IF(CapV=2,N(R159),N(R158))</f>
        <v>0</v>
      </c>
      <c r="S160" s="109" t="n">
        <f aca="false">IF(CapV=2,N(S159),N(S158))</f>
        <v>0</v>
      </c>
      <c r="T160" s="109" t="n">
        <f aca="false">IF(CapV=2,N(T159),N(T158))</f>
        <v>0</v>
      </c>
      <c r="U160" s="109" t="n">
        <f aca="false">IF(CapV=2,N(U159),N(U158))</f>
        <v>0</v>
      </c>
      <c r="V160" s="109" t="n">
        <f aca="false">IF(CapV=2,N(V159),N(V158))</f>
        <v>0</v>
      </c>
      <c r="W160" s="109" t="n">
        <f aca="false">IF(CapV=2,N(W159),N(W158))</f>
        <v>0</v>
      </c>
      <c r="X160" s="109" t="n">
        <f aca="false">IF(CapV=2,N(X159),N(X158))</f>
        <v>0</v>
      </c>
      <c r="Y160" s="109" t="n">
        <f aca="false">IF(CapV=2,N(Y159),N(Y158))</f>
        <v>0</v>
      </c>
      <c r="Z160" s="109" t="n">
        <f aca="false">IF(CapV=2,N(Z159),N(Z158))</f>
        <v>0</v>
      </c>
      <c r="AA160" s="109" t="n">
        <f aca="false">IF(CapV=2,N(AA159),N(AA158))</f>
        <v>0</v>
      </c>
      <c r="AB160" s="109" t="n">
        <f aca="false">IF(CapV=2,N(AB159),N(AB158))</f>
        <v>0</v>
      </c>
      <c r="AC160" s="109" t="n">
        <f aca="false">IF(CapV=2,N(AC159),N(AC158))</f>
        <v>0</v>
      </c>
      <c r="AD160" s="109" t="n">
        <f aca="false">IF(CapV=2,N(AD159),N(AD158))</f>
        <v>0</v>
      </c>
      <c r="AE160" s="109" t="n">
        <f aca="false">IF(CapV=2,N(AE159),N(AE158))</f>
        <v>0</v>
      </c>
      <c r="AF160" s="109" t="n">
        <f aca="false">IF(CapV=2,N(AF159),N(AF158))</f>
        <v>0</v>
      </c>
      <c r="AG160" s="109" t="n">
        <f aca="false">IF(CapV=2,N(AG159),N(AG158))</f>
        <v>0</v>
      </c>
      <c r="AI160" s="109" t="n">
        <f aca="false">INDEX($F160:$AG160,1,MATCH(AI$7,$F$7:$AG$7,1))</f>
        <v>0</v>
      </c>
      <c r="AJ160" s="109" t="n">
        <f aca="false">INDEX($F160:$AG160,1,MATCH(AJ$7,$F$7:$AG$7,1))</f>
        <v>0</v>
      </c>
      <c r="AK160" s="109" t="n">
        <f aca="false">INDEX($F160:$AG160,1,MATCH(AK$7,$F$7:$AG$7,1))</f>
        <v>0</v>
      </c>
      <c r="AL160" s="109" t="n">
        <f aca="false">INDEX($F160:$AG160,1,MATCH(AL$7,$F$7:$AG$7,1))</f>
        <v>0</v>
      </c>
      <c r="AM160" s="109" t="n">
        <f aca="false">INDEX($F160:$AG160,1,MATCH(AM$7,$F$7:$AG$7,1))</f>
        <v>0</v>
      </c>
      <c r="AN160" s="109" t="n">
        <f aca="false">INDEX($F160:$AG160,1,MATCH(AN$7,$F$7:$AG$7,1))</f>
        <v>0</v>
      </c>
      <c r="AO160" s="109" t="n">
        <f aca="false">INDEX($F160:$AG160,1,MATCH(AO$7,$F$7:$AG$7,1))</f>
        <v>0</v>
      </c>
    </row>
    <row r="161" customFormat="false" ht="15" hidden="false" customHeight="false" outlineLevel="0" collapsed="false">
      <c r="A161" s="107" t="s">
        <v>1598</v>
      </c>
      <c r="B161" s="22" t="s">
        <v>664</v>
      </c>
      <c r="C161" s="22" t="s">
        <v>558</v>
      </c>
      <c r="D161" s="22" t="s">
        <v>1476</v>
      </c>
      <c r="AI161" s="109" t="n">
        <f aca="false">INDEX($F161:$AG161,1,MATCH(AI$7,$F$7:$AG$7,1))</f>
        <v>0</v>
      </c>
      <c r="AJ161" s="109" t="n">
        <f aca="false">INDEX($F161:$AG161,1,MATCH(AJ$7,$F$7:$AG$7,1))</f>
        <v>0</v>
      </c>
      <c r="AK161" s="109" t="n">
        <f aca="false">INDEX($F161:$AG161,1,MATCH(AK$7,$F$7:$AG$7,1))</f>
        <v>0</v>
      </c>
      <c r="AL161" s="109" t="n">
        <f aca="false">INDEX($F161:$AG161,1,MATCH(AL$7,$F$7:$AG$7,1))</f>
        <v>0</v>
      </c>
      <c r="AM161" s="109" t="n">
        <f aca="false">INDEX($F161:$AG161,1,MATCH(AM$7,$F$7:$AG$7,1))</f>
        <v>0</v>
      </c>
      <c r="AN161" s="109" t="n">
        <f aca="false">INDEX($F161:$AG161,1,MATCH(AN$7,$F$7:$AG$7,1))</f>
        <v>0</v>
      </c>
      <c r="AO161" s="109" t="n">
        <f aca="false">INDEX($F161:$AG161,1,MATCH(AO$7,$F$7:$AG$7,1))</f>
        <v>0</v>
      </c>
    </row>
    <row r="162" customFormat="false" ht="15" hidden="false" customHeight="false" outlineLevel="0" collapsed="false">
      <c r="A162" s="107" t="s">
        <v>1599</v>
      </c>
      <c r="B162" s="22" t="s">
        <v>664</v>
      </c>
      <c r="C162" s="22" t="s">
        <v>558</v>
      </c>
      <c r="D162" s="22" t="s">
        <v>1478</v>
      </c>
      <c r="F162" s="108" t="n">
        <v>0</v>
      </c>
      <c r="G162" s="108" t="n">
        <v>0</v>
      </c>
      <c r="H162" s="108" t="n">
        <v>0</v>
      </c>
      <c r="I162" s="108" t="n">
        <v>0</v>
      </c>
      <c r="J162" s="108" t="n">
        <v>0</v>
      </c>
      <c r="K162" s="108" t="n">
        <v>0</v>
      </c>
      <c r="L162" s="108" t="n">
        <v>0</v>
      </c>
      <c r="M162" s="108" t="n">
        <v>0</v>
      </c>
      <c r="N162" s="108" t="n">
        <v>0</v>
      </c>
      <c r="O162" s="108" t="n">
        <v>0</v>
      </c>
      <c r="P162" s="108" t="n">
        <v>0</v>
      </c>
      <c r="Q162" s="108" t="n">
        <v>0</v>
      </c>
      <c r="R162" s="108" t="n">
        <v>0</v>
      </c>
      <c r="S162" s="108" t="n">
        <v>2.5</v>
      </c>
      <c r="T162" s="108" t="n">
        <v>6</v>
      </c>
      <c r="U162" s="108" t="n">
        <v>7</v>
      </c>
      <c r="V162" s="108" t="n">
        <v>7</v>
      </c>
      <c r="W162" s="108" t="n">
        <v>7</v>
      </c>
      <c r="X162" s="108" t="n">
        <v>7</v>
      </c>
      <c r="Y162" s="108" t="n">
        <v>7</v>
      </c>
      <c r="Z162" s="108" t="n">
        <v>7</v>
      </c>
      <c r="AA162" s="108" t="n">
        <v>7</v>
      </c>
      <c r="AB162" s="108" t="n">
        <v>7</v>
      </c>
      <c r="AC162" s="108" t="n">
        <v>7</v>
      </c>
      <c r="AD162" s="108" t="n">
        <v>7</v>
      </c>
      <c r="AE162" s="108" t="n">
        <v>7</v>
      </c>
      <c r="AF162" s="108" t="n">
        <v>7</v>
      </c>
      <c r="AG162" s="108" t="n">
        <v>7</v>
      </c>
      <c r="AI162" s="109" t="n">
        <f aca="false">INDEX($F162:$AG162,1,MATCH(AI$7,$F$7:$AG$7,1))</f>
        <v>0</v>
      </c>
      <c r="AJ162" s="109" t="n">
        <f aca="false">INDEX($F162:$AG162,1,MATCH(AJ$7,$F$7:$AG$7,1))</f>
        <v>0</v>
      </c>
      <c r="AK162" s="109" t="n">
        <f aca="false">INDEX($F162:$AG162,1,MATCH(AK$7,$F$7:$AG$7,1))</f>
        <v>0</v>
      </c>
      <c r="AL162" s="109" t="n">
        <f aca="false">INDEX($F162:$AG162,1,MATCH(AL$7,$F$7:$AG$7,1))</f>
        <v>7</v>
      </c>
      <c r="AM162" s="109" t="n">
        <f aca="false">INDEX($F162:$AG162,1,MATCH(AM$7,$F$7:$AG$7,1))</f>
        <v>7</v>
      </c>
      <c r="AN162" s="109" t="n">
        <f aca="false">INDEX($F162:$AG162,1,MATCH(AN$7,$F$7:$AG$7,1))</f>
        <v>7</v>
      </c>
      <c r="AO162" s="109" t="n">
        <f aca="false">INDEX($F162:$AG162,1,MATCH(AO$7,$F$7:$AG$7,1))</f>
        <v>7</v>
      </c>
    </row>
    <row r="163" customFormat="false" ht="15" hidden="false" customHeight="false" outlineLevel="0" collapsed="false">
      <c r="A163" s="107" t="s">
        <v>1600</v>
      </c>
      <c r="B163" s="22" t="s">
        <v>664</v>
      </c>
      <c r="C163" s="22" t="s">
        <v>540</v>
      </c>
      <c r="D163" s="22" t="s">
        <v>1480</v>
      </c>
      <c r="F163" s="109" t="n">
        <f aca="false">IF(CapV=2,N(F162),N(F161))</f>
        <v>0</v>
      </c>
      <c r="G163" s="109" t="n">
        <f aca="false">IF(CapV=2,N(G162),N(G161))</f>
        <v>0</v>
      </c>
      <c r="H163" s="109" t="n">
        <f aca="false">IF(CapV=2,N(H162),N(H161))</f>
        <v>0</v>
      </c>
      <c r="I163" s="109" t="n">
        <f aca="false">IF(CapV=2,N(I162),N(I161))</f>
        <v>0</v>
      </c>
      <c r="J163" s="109" t="n">
        <f aca="false">IF(CapV=2,N(J162),N(J161))</f>
        <v>0</v>
      </c>
      <c r="K163" s="109" t="n">
        <f aca="false">IF(CapV=2,N(K162),N(K161))</f>
        <v>0</v>
      </c>
      <c r="L163" s="109" t="n">
        <f aca="false">IF(CapV=2,N(L162),N(L161))</f>
        <v>0</v>
      </c>
      <c r="M163" s="109" t="n">
        <f aca="false">IF(CapV=2,N(M162),N(M161))</f>
        <v>0</v>
      </c>
      <c r="N163" s="109" t="n">
        <f aca="false">IF(CapV=2,N(N162),N(N161))</f>
        <v>0</v>
      </c>
      <c r="O163" s="109" t="n">
        <f aca="false">IF(CapV=2,N(O162),N(O161))</f>
        <v>0</v>
      </c>
      <c r="P163" s="109" t="n">
        <f aca="false">IF(CapV=2,N(P162),N(P161))</f>
        <v>0</v>
      </c>
      <c r="Q163" s="109" t="n">
        <f aca="false">IF(CapV=2,N(Q162),N(Q161))</f>
        <v>0</v>
      </c>
      <c r="R163" s="109" t="n">
        <f aca="false">IF(CapV=2,N(R162),N(R161))</f>
        <v>0</v>
      </c>
      <c r="S163" s="109" t="n">
        <f aca="false">IF(CapV=2,N(S162),N(S161))</f>
        <v>2.5</v>
      </c>
      <c r="T163" s="109" t="n">
        <f aca="false">IF(CapV=2,N(T162),N(T161))</f>
        <v>6</v>
      </c>
      <c r="U163" s="109" t="n">
        <f aca="false">IF(CapV=2,N(U162),N(U161))</f>
        <v>7</v>
      </c>
      <c r="V163" s="109" t="n">
        <f aca="false">IF(CapV=2,N(V162),N(V161))</f>
        <v>7</v>
      </c>
      <c r="W163" s="109" t="n">
        <f aca="false">IF(CapV=2,N(W162),N(W161))</f>
        <v>7</v>
      </c>
      <c r="X163" s="109" t="n">
        <f aca="false">IF(CapV=2,N(X162),N(X161))</f>
        <v>7</v>
      </c>
      <c r="Y163" s="109" t="n">
        <f aca="false">IF(CapV=2,N(Y162),N(Y161))</f>
        <v>7</v>
      </c>
      <c r="Z163" s="109" t="n">
        <f aca="false">IF(CapV=2,N(Z162),N(Z161))</f>
        <v>7</v>
      </c>
      <c r="AA163" s="109" t="n">
        <f aca="false">IF(CapV=2,N(AA162),N(AA161))</f>
        <v>7</v>
      </c>
      <c r="AB163" s="109" t="n">
        <f aca="false">IF(CapV=2,N(AB162),N(AB161))</f>
        <v>7</v>
      </c>
      <c r="AC163" s="109" t="n">
        <f aca="false">IF(CapV=2,N(AC162),N(AC161))</f>
        <v>7</v>
      </c>
      <c r="AD163" s="109" t="n">
        <f aca="false">IF(CapV=2,N(AD162),N(AD161))</f>
        <v>7</v>
      </c>
      <c r="AE163" s="109" t="n">
        <f aca="false">IF(CapV=2,N(AE162),N(AE161))</f>
        <v>7</v>
      </c>
      <c r="AF163" s="109" t="n">
        <f aca="false">IF(CapV=2,N(AF162),N(AF161))</f>
        <v>7</v>
      </c>
      <c r="AG163" s="109" t="n">
        <f aca="false">IF(CapV=2,N(AG162),N(AG161))</f>
        <v>7</v>
      </c>
      <c r="AI163" s="109" t="n">
        <f aca="false">INDEX($F163:$AG163,1,MATCH(AI$7,$F$7:$AG$7,1))</f>
        <v>0</v>
      </c>
      <c r="AJ163" s="109" t="n">
        <f aca="false">INDEX($F163:$AG163,1,MATCH(AJ$7,$F$7:$AG$7,1))</f>
        <v>0</v>
      </c>
      <c r="AK163" s="109" t="n">
        <f aca="false">INDEX($F163:$AG163,1,MATCH(AK$7,$F$7:$AG$7,1))</f>
        <v>0</v>
      </c>
      <c r="AL163" s="109" t="n">
        <f aca="false">INDEX($F163:$AG163,1,MATCH(AL$7,$F$7:$AG$7,1))</f>
        <v>7</v>
      </c>
      <c r="AM163" s="109" t="n">
        <f aca="false">INDEX($F163:$AG163,1,MATCH(AM$7,$F$7:$AG$7,1))</f>
        <v>7</v>
      </c>
      <c r="AN163" s="109" t="n">
        <f aca="false">INDEX($F163:$AG163,1,MATCH(AN$7,$F$7:$AG$7,1))</f>
        <v>7</v>
      </c>
      <c r="AO163" s="109" t="n">
        <f aca="false">INDEX($F163:$AG163,1,MATCH(AO$7,$F$7:$AG$7,1))</f>
        <v>7</v>
      </c>
    </row>
    <row r="164" customFormat="false" ht="15" hidden="false" customHeight="false" outlineLevel="0" collapsed="false">
      <c r="A164" s="107" t="s">
        <v>1601</v>
      </c>
      <c r="B164" s="22" t="s">
        <v>664</v>
      </c>
      <c r="C164" s="22" t="s">
        <v>558</v>
      </c>
      <c r="D164" s="22" t="s">
        <v>1476</v>
      </c>
      <c r="AI164" s="109" t="n">
        <f aca="false">INDEX($F164:$AG164,1,MATCH(AI$7,$F$7:$AG$7,1))</f>
        <v>0</v>
      </c>
      <c r="AJ164" s="109" t="n">
        <f aca="false">INDEX($F164:$AG164,1,MATCH(AJ$7,$F$7:$AG$7,1))</f>
        <v>0</v>
      </c>
      <c r="AK164" s="109" t="n">
        <f aca="false">INDEX($F164:$AG164,1,MATCH(AK$7,$F$7:$AG$7,1))</f>
        <v>0</v>
      </c>
      <c r="AL164" s="109" t="n">
        <f aca="false">INDEX($F164:$AG164,1,MATCH(AL$7,$F$7:$AG$7,1))</f>
        <v>0</v>
      </c>
      <c r="AM164" s="109" t="n">
        <f aca="false">INDEX($F164:$AG164,1,MATCH(AM$7,$F$7:$AG$7,1))</f>
        <v>0</v>
      </c>
      <c r="AN164" s="109" t="n">
        <f aca="false">INDEX($F164:$AG164,1,MATCH(AN$7,$F$7:$AG$7,1))</f>
        <v>0</v>
      </c>
      <c r="AO164" s="109" t="n">
        <f aca="false">INDEX($F164:$AG164,1,MATCH(AO$7,$F$7:$AG$7,1))</f>
        <v>0</v>
      </c>
    </row>
    <row r="165" customFormat="false" ht="15" hidden="false" customHeight="false" outlineLevel="0" collapsed="false">
      <c r="A165" s="107" t="s">
        <v>1602</v>
      </c>
      <c r="B165" s="22" t="s">
        <v>664</v>
      </c>
      <c r="C165" s="22" t="s">
        <v>558</v>
      </c>
      <c r="D165" s="22" t="s">
        <v>1478</v>
      </c>
      <c r="F165" s="108" t="n">
        <v>0</v>
      </c>
      <c r="G165" s="108" t="n">
        <v>0</v>
      </c>
      <c r="H165" s="108" t="n">
        <v>0</v>
      </c>
      <c r="I165" s="108" t="n">
        <v>0</v>
      </c>
      <c r="J165" s="108" t="n">
        <v>0</v>
      </c>
      <c r="K165" s="108" t="n">
        <v>0</v>
      </c>
      <c r="L165" s="108" t="n">
        <v>0</v>
      </c>
      <c r="M165" s="108" t="n">
        <v>0</v>
      </c>
      <c r="N165" s="108" t="n">
        <v>0</v>
      </c>
      <c r="O165" s="108" t="n">
        <v>0</v>
      </c>
      <c r="P165" s="108" t="n">
        <v>0</v>
      </c>
      <c r="Q165" s="108" t="n">
        <v>0</v>
      </c>
      <c r="R165" s="108" t="n">
        <v>0</v>
      </c>
      <c r="S165" s="108" t="n">
        <v>5</v>
      </c>
      <c r="T165" s="108" t="n">
        <v>12</v>
      </c>
      <c r="U165" s="108" t="n">
        <v>14</v>
      </c>
      <c r="V165" s="108" t="n">
        <v>14</v>
      </c>
      <c r="W165" s="108" t="n">
        <v>14</v>
      </c>
      <c r="X165" s="108" t="n">
        <v>14</v>
      </c>
      <c r="Y165" s="108" t="n">
        <v>14</v>
      </c>
      <c r="Z165" s="108" t="n">
        <v>14</v>
      </c>
      <c r="AA165" s="108" t="n">
        <v>14</v>
      </c>
      <c r="AB165" s="108" t="n">
        <v>14</v>
      </c>
      <c r="AC165" s="108" t="n">
        <v>14</v>
      </c>
      <c r="AD165" s="108" t="n">
        <v>14</v>
      </c>
      <c r="AE165" s="108" t="n">
        <v>14</v>
      </c>
      <c r="AF165" s="108" t="n">
        <v>14</v>
      </c>
      <c r="AG165" s="108" t="n">
        <v>14</v>
      </c>
      <c r="AI165" s="109" t="n">
        <f aca="false">INDEX($F165:$AG165,1,MATCH(AI$7,$F$7:$AG$7,1))</f>
        <v>0</v>
      </c>
      <c r="AJ165" s="109" t="n">
        <f aca="false">INDEX($F165:$AG165,1,MATCH(AJ$7,$F$7:$AG$7,1))</f>
        <v>0</v>
      </c>
      <c r="AK165" s="109" t="n">
        <f aca="false">INDEX($F165:$AG165,1,MATCH(AK$7,$F$7:$AG$7,1))</f>
        <v>0</v>
      </c>
      <c r="AL165" s="109" t="n">
        <f aca="false">INDEX($F165:$AG165,1,MATCH(AL$7,$F$7:$AG$7,1))</f>
        <v>14</v>
      </c>
      <c r="AM165" s="109" t="n">
        <f aca="false">INDEX($F165:$AG165,1,MATCH(AM$7,$F$7:$AG$7,1))</f>
        <v>14</v>
      </c>
      <c r="AN165" s="109" t="n">
        <f aca="false">INDEX($F165:$AG165,1,MATCH(AN$7,$F$7:$AG$7,1))</f>
        <v>14</v>
      </c>
      <c r="AO165" s="109" t="n">
        <f aca="false">INDEX($F165:$AG165,1,MATCH(AO$7,$F$7:$AG$7,1))</f>
        <v>14</v>
      </c>
    </row>
    <row r="166" customFormat="false" ht="15" hidden="false" customHeight="false" outlineLevel="0" collapsed="false">
      <c r="A166" s="107" t="s">
        <v>1603</v>
      </c>
      <c r="B166" s="22" t="s">
        <v>664</v>
      </c>
      <c r="C166" s="22" t="s">
        <v>540</v>
      </c>
      <c r="D166" s="22" t="s">
        <v>1480</v>
      </c>
      <c r="F166" s="109" t="n">
        <f aca="false">IF(CapV=2,N(F165),N(F164))</f>
        <v>0</v>
      </c>
      <c r="G166" s="109" t="n">
        <f aca="false">IF(CapV=2,N(G165),N(G164))</f>
        <v>0</v>
      </c>
      <c r="H166" s="109" t="n">
        <f aca="false">IF(CapV=2,N(H165),N(H164))</f>
        <v>0</v>
      </c>
      <c r="I166" s="109" t="n">
        <f aca="false">IF(CapV=2,N(I165),N(I164))</f>
        <v>0</v>
      </c>
      <c r="J166" s="109" t="n">
        <f aca="false">IF(CapV=2,N(J165),N(J164))</f>
        <v>0</v>
      </c>
      <c r="K166" s="109" t="n">
        <f aca="false">IF(CapV=2,N(K165),N(K164))</f>
        <v>0</v>
      </c>
      <c r="L166" s="109" t="n">
        <f aca="false">IF(CapV=2,N(L165),N(L164))</f>
        <v>0</v>
      </c>
      <c r="M166" s="109" t="n">
        <f aca="false">IF(CapV=2,N(M165),N(M164))</f>
        <v>0</v>
      </c>
      <c r="N166" s="109" t="n">
        <f aca="false">IF(CapV=2,N(N165),N(N164))</f>
        <v>0</v>
      </c>
      <c r="O166" s="109" t="n">
        <f aca="false">IF(CapV=2,N(O165),N(O164))</f>
        <v>0</v>
      </c>
      <c r="P166" s="109" t="n">
        <f aca="false">IF(CapV=2,N(P165),N(P164))</f>
        <v>0</v>
      </c>
      <c r="Q166" s="109" t="n">
        <f aca="false">IF(CapV=2,N(Q165),N(Q164))</f>
        <v>0</v>
      </c>
      <c r="R166" s="109" t="n">
        <f aca="false">IF(CapV=2,N(R165),N(R164))</f>
        <v>0</v>
      </c>
      <c r="S166" s="109" t="n">
        <f aca="false">IF(CapV=2,N(S165),N(S164))</f>
        <v>5</v>
      </c>
      <c r="T166" s="109" t="n">
        <f aca="false">IF(CapV=2,N(T165),N(T164))</f>
        <v>12</v>
      </c>
      <c r="U166" s="109" t="n">
        <f aca="false">IF(CapV=2,N(U165),N(U164))</f>
        <v>14</v>
      </c>
      <c r="V166" s="109" t="n">
        <f aca="false">IF(CapV=2,N(V165),N(V164))</f>
        <v>14</v>
      </c>
      <c r="W166" s="109" t="n">
        <f aca="false">IF(CapV=2,N(W165),N(W164))</f>
        <v>14</v>
      </c>
      <c r="X166" s="109" t="n">
        <f aca="false">IF(CapV=2,N(X165),N(X164))</f>
        <v>14</v>
      </c>
      <c r="Y166" s="109" t="n">
        <f aca="false">IF(CapV=2,N(Y165),N(Y164))</f>
        <v>14</v>
      </c>
      <c r="Z166" s="109" t="n">
        <f aca="false">IF(CapV=2,N(Z165),N(Z164))</f>
        <v>14</v>
      </c>
      <c r="AA166" s="109" t="n">
        <f aca="false">IF(CapV=2,N(AA165),N(AA164))</f>
        <v>14</v>
      </c>
      <c r="AB166" s="109" t="n">
        <f aca="false">IF(CapV=2,N(AB165),N(AB164))</f>
        <v>14</v>
      </c>
      <c r="AC166" s="109" t="n">
        <f aca="false">IF(CapV=2,N(AC165),N(AC164))</f>
        <v>14</v>
      </c>
      <c r="AD166" s="109" t="n">
        <f aca="false">IF(CapV=2,N(AD165),N(AD164))</f>
        <v>14</v>
      </c>
      <c r="AE166" s="109" t="n">
        <f aca="false">IF(CapV=2,N(AE165),N(AE164))</f>
        <v>14</v>
      </c>
      <c r="AF166" s="109" t="n">
        <f aca="false">IF(CapV=2,N(AF165),N(AF164))</f>
        <v>14</v>
      </c>
      <c r="AG166" s="109" t="n">
        <f aca="false">IF(CapV=2,N(AG165),N(AG164))</f>
        <v>14</v>
      </c>
      <c r="AI166" s="109" t="n">
        <f aca="false">INDEX($F166:$AG166,1,MATCH(AI$7,$F$7:$AG$7,1))</f>
        <v>0</v>
      </c>
      <c r="AJ166" s="109" t="n">
        <f aca="false">INDEX($F166:$AG166,1,MATCH(AJ$7,$F$7:$AG$7,1))</f>
        <v>0</v>
      </c>
      <c r="AK166" s="109" t="n">
        <f aca="false">INDEX($F166:$AG166,1,MATCH(AK$7,$F$7:$AG$7,1))</f>
        <v>0</v>
      </c>
      <c r="AL166" s="109" t="n">
        <f aca="false">INDEX($F166:$AG166,1,MATCH(AL$7,$F$7:$AG$7,1))</f>
        <v>14</v>
      </c>
      <c r="AM166" s="109" t="n">
        <f aca="false">INDEX($F166:$AG166,1,MATCH(AM$7,$F$7:$AG$7,1))</f>
        <v>14</v>
      </c>
      <c r="AN166" s="109" t="n">
        <f aca="false">INDEX($F166:$AG166,1,MATCH(AN$7,$F$7:$AG$7,1))</f>
        <v>14</v>
      </c>
      <c r="AO166" s="109" t="n">
        <f aca="false">INDEX($F166:$AG166,1,MATCH(AO$7,$F$7:$AG$7,1))</f>
        <v>14</v>
      </c>
    </row>
    <row r="167" customFormat="false" ht="15" hidden="false" customHeight="false" outlineLevel="0" collapsed="false">
      <c r="A167" s="107" t="s">
        <v>1604</v>
      </c>
      <c r="B167" s="22" t="s">
        <v>664</v>
      </c>
      <c r="C167" s="22" t="s">
        <v>558</v>
      </c>
      <c r="D167" s="22" t="s">
        <v>1476</v>
      </c>
      <c r="F167" s="108" t="n">
        <v>0</v>
      </c>
      <c r="G167" s="108" t="n">
        <v>0</v>
      </c>
      <c r="H167" s="108" t="n">
        <v>0</v>
      </c>
      <c r="I167" s="108" t="n">
        <v>0</v>
      </c>
      <c r="J167" s="108" t="n">
        <v>0</v>
      </c>
      <c r="K167" s="108" t="n">
        <v>0</v>
      </c>
      <c r="L167" s="108" t="n">
        <v>0</v>
      </c>
      <c r="M167" s="108" t="n">
        <v>8</v>
      </c>
      <c r="N167" s="108" t="n">
        <v>8</v>
      </c>
      <c r="O167" s="108" t="n">
        <v>8</v>
      </c>
      <c r="P167" s="108" t="n">
        <v>8</v>
      </c>
      <c r="Q167" s="108" t="n">
        <v>8</v>
      </c>
      <c r="R167" s="108" t="n">
        <v>8</v>
      </c>
      <c r="S167" s="108" t="n">
        <v>8</v>
      </c>
      <c r="T167" s="108" t="n">
        <v>8</v>
      </c>
      <c r="U167" s="108" t="n">
        <v>8</v>
      </c>
      <c r="V167" s="108" t="n">
        <v>8</v>
      </c>
      <c r="W167" s="108" t="n">
        <v>8</v>
      </c>
      <c r="X167" s="108" t="n">
        <v>8</v>
      </c>
      <c r="Y167" s="108" t="n">
        <v>8</v>
      </c>
      <c r="Z167" s="108" t="n">
        <v>8</v>
      </c>
      <c r="AA167" s="108" t="n">
        <v>8</v>
      </c>
      <c r="AB167" s="108" t="n">
        <v>8</v>
      </c>
      <c r="AC167" s="108" t="n">
        <v>8</v>
      </c>
      <c r="AD167" s="108" t="n">
        <v>8</v>
      </c>
      <c r="AE167" s="108" t="n">
        <v>8</v>
      </c>
      <c r="AF167" s="108" t="n">
        <v>8</v>
      </c>
      <c r="AG167" s="108" t="n">
        <v>8</v>
      </c>
      <c r="AI167" s="109" t="n">
        <f aca="false">INDEX($F167:$AG167,1,MATCH(AI$7,$F$7:$AG$7,1))</f>
        <v>0</v>
      </c>
      <c r="AJ167" s="109" t="n">
        <f aca="false">INDEX($F167:$AG167,1,MATCH(AJ$7,$F$7:$AG$7,1))</f>
        <v>8</v>
      </c>
      <c r="AK167" s="109" t="n">
        <f aca="false">INDEX($F167:$AG167,1,MATCH(AK$7,$F$7:$AG$7,1))</f>
        <v>8</v>
      </c>
      <c r="AL167" s="109" t="n">
        <f aca="false">INDEX($F167:$AG167,1,MATCH(AL$7,$F$7:$AG$7,1))</f>
        <v>8</v>
      </c>
      <c r="AM167" s="109" t="n">
        <f aca="false">INDEX($F167:$AG167,1,MATCH(AM$7,$F$7:$AG$7,1))</f>
        <v>8</v>
      </c>
      <c r="AN167" s="109" t="n">
        <f aca="false">INDEX($F167:$AG167,1,MATCH(AN$7,$F$7:$AG$7,1))</f>
        <v>8</v>
      </c>
      <c r="AO167" s="109" t="n">
        <f aca="false">INDEX($F167:$AG167,1,MATCH(AO$7,$F$7:$AG$7,1))</f>
        <v>8</v>
      </c>
    </row>
    <row r="168" customFormat="false" ht="15" hidden="false" customHeight="false" outlineLevel="0" collapsed="false">
      <c r="A168" s="107" t="s">
        <v>1605</v>
      </c>
      <c r="B168" s="22" t="s">
        <v>664</v>
      </c>
      <c r="C168" s="22" t="s">
        <v>558</v>
      </c>
      <c r="D168" s="22" t="s">
        <v>1478</v>
      </c>
      <c r="F168" s="108" t="n">
        <v>0</v>
      </c>
      <c r="G168" s="108" t="n">
        <v>0</v>
      </c>
      <c r="H168" s="108" t="n">
        <v>0</v>
      </c>
      <c r="I168" s="108" t="n">
        <v>0</v>
      </c>
      <c r="J168" s="108" t="n">
        <v>0</v>
      </c>
      <c r="K168" s="108" t="n">
        <v>0</v>
      </c>
      <c r="L168" s="108" t="n">
        <v>0</v>
      </c>
      <c r="M168" s="108" t="n">
        <v>8</v>
      </c>
      <c r="N168" s="108" t="n">
        <v>8</v>
      </c>
      <c r="O168" s="108" t="n">
        <v>8</v>
      </c>
      <c r="P168" s="108" t="n">
        <v>8</v>
      </c>
      <c r="Q168" s="108" t="n">
        <v>8</v>
      </c>
      <c r="R168" s="108" t="n">
        <v>8</v>
      </c>
      <c r="S168" s="108" t="n">
        <v>8</v>
      </c>
      <c r="T168" s="108" t="n">
        <v>8</v>
      </c>
      <c r="U168" s="108" t="n">
        <v>8</v>
      </c>
      <c r="V168" s="108" t="n">
        <v>8</v>
      </c>
      <c r="W168" s="108" t="n">
        <v>8</v>
      </c>
      <c r="X168" s="108" t="n">
        <v>8</v>
      </c>
      <c r="Y168" s="108" t="n">
        <v>8</v>
      </c>
      <c r="Z168" s="108" t="n">
        <v>8</v>
      </c>
      <c r="AA168" s="108" t="n">
        <v>8</v>
      </c>
      <c r="AB168" s="108" t="n">
        <v>8</v>
      </c>
      <c r="AC168" s="108" t="n">
        <v>8</v>
      </c>
      <c r="AD168" s="108" t="n">
        <v>8</v>
      </c>
      <c r="AE168" s="108" t="n">
        <v>8</v>
      </c>
      <c r="AF168" s="108" t="n">
        <v>8</v>
      </c>
      <c r="AG168" s="108" t="n">
        <v>8</v>
      </c>
      <c r="AI168" s="109" t="n">
        <f aca="false">INDEX($F168:$AG168,1,MATCH(AI$7,$F$7:$AG$7,1))</f>
        <v>0</v>
      </c>
      <c r="AJ168" s="109" t="n">
        <f aca="false">INDEX($F168:$AG168,1,MATCH(AJ$7,$F$7:$AG$7,1))</f>
        <v>8</v>
      </c>
      <c r="AK168" s="109" t="n">
        <f aca="false">INDEX($F168:$AG168,1,MATCH(AK$7,$F$7:$AG$7,1))</f>
        <v>8</v>
      </c>
      <c r="AL168" s="109" t="n">
        <f aca="false">INDEX($F168:$AG168,1,MATCH(AL$7,$F$7:$AG$7,1))</f>
        <v>8</v>
      </c>
      <c r="AM168" s="109" t="n">
        <f aca="false">INDEX($F168:$AG168,1,MATCH(AM$7,$F$7:$AG$7,1))</f>
        <v>8</v>
      </c>
      <c r="AN168" s="109" t="n">
        <f aca="false">INDEX($F168:$AG168,1,MATCH(AN$7,$F$7:$AG$7,1))</f>
        <v>8</v>
      </c>
      <c r="AO168" s="109" t="n">
        <f aca="false">INDEX($F168:$AG168,1,MATCH(AO$7,$F$7:$AG$7,1))</f>
        <v>8</v>
      </c>
    </row>
    <row r="169" customFormat="false" ht="15" hidden="false" customHeight="false" outlineLevel="0" collapsed="false">
      <c r="A169" s="107" t="s">
        <v>1606</v>
      </c>
      <c r="B169" s="22" t="s">
        <v>664</v>
      </c>
      <c r="C169" s="22" t="s">
        <v>540</v>
      </c>
      <c r="D169" s="22" t="s">
        <v>1480</v>
      </c>
      <c r="F169" s="109" t="n">
        <f aca="false">IF(CapV=2,N(F168),N(F167))</f>
        <v>0</v>
      </c>
      <c r="G169" s="109" t="n">
        <f aca="false">IF(CapV=2,N(G168),N(G167))</f>
        <v>0</v>
      </c>
      <c r="H169" s="109" t="n">
        <f aca="false">IF(CapV=2,N(H168),N(H167))</f>
        <v>0</v>
      </c>
      <c r="I169" s="109" t="n">
        <f aca="false">IF(CapV=2,N(I168),N(I167))</f>
        <v>0</v>
      </c>
      <c r="J169" s="109" t="n">
        <f aca="false">IF(CapV=2,N(J168),N(J167))</f>
        <v>0</v>
      </c>
      <c r="K169" s="109" t="n">
        <f aca="false">IF(CapV=2,N(K168),N(K167))</f>
        <v>0</v>
      </c>
      <c r="L169" s="109" t="n">
        <f aca="false">IF(CapV=2,N(L168),N(L167))</f>
        <v>0</v>
      </c>
      <c r="M169" s="109" t="n">
        <f aca="false">IF(CapV=2,N(M168),N(M167))</f>
        <v>8</v>
      </c>
      <c r="N169" s="109" t="n">
        <f aca="false">IF(CapV=2,N(N168),N(N167))</f>
        <v>8</v>
      </c>
      <c r="O169" s="109" t="n">
        <f aca="false">IF(CapV=2,N(O168),N(O167))</f>
        <v>8</v>
      </c>
      <c r="P169" s="109" t="n">
        <f aca="false">IF(CapV=2,N(P168),N(P167))</f>
        <v>8</v>
      </c>
      <c r="Q169" s="109" t="n">
        <f aca="false">IF(CapV=2,N(Q168),N(Q167))</f>
        <v>8</v>
      </c>
      <c r="R169" s="109" t="n">
        <f aca="false">IF(CapV=2,N(R168),N(R167))</f>
        <v>8</v>
      </c>
      <c r="S169" s="109" t="n">
        <f aca="false">IF(CapV=2,N(S168),N(S167))</f>
        <v>8</v>
      </c>
      <c r="T169" s="109" t="n">
        <f aca="false">IF(CapV=2,N(T168),N(T167))</f>
        <v>8</v>
      </c>
      <c r="U169" s="109" t="n">
        <f aca="false">IF(CapV=2,N(U168),N(U167))</f>
        <v>8</v>
      </c>
      <c r="V169" s="109" t="n">
        <f aca="false">IF(CapV=2,N(V168),N(V167))</f>
        <v>8</v>
      </c>
      <c r="W169" s="109" t="n">
        <f aca="false">IF(CapV=2,N(W168),N(W167))</f>
        <v>8</v>
      </c>
      <c r="X169" s="109" t="n">
        <f aca="false">IF(CapV=2,N(X168),N(X167))</f>
        <v>8</v>
      </c>
      <c r="Y169" s="109" t="n">
        <f aca="false">IF(CapV=2,N(Y168),N(Y167))</f>
        <v>8</v>
      </c>
      <c r="Z169" s="109" t="n">
        <f aca="false">IF(CapV=2,N(Z168),N(Z167))</f>
        <v>8</v>
      </c>
      <c r="AA169" s="109" t="n">
        <f aca="false">IF(CapV=2,N(AA168),N(AA167))</f>
        <v>8</v>
      </c>
      <c r="AB169" s="109" t="n">
        <f aca="false">IF(CapV=2,N(AB168),N(AB167))</f>
        <v>8</v>
      </c>
      <c r="AC169" s="109" t="n">
        <f aca="false">IF(CapV=2,N(AC168),N(AC167))</f>
        <v>8</v>
      </c>
      <c r="AD169" s="109" t="n">
        <f aca="false">IF(CapV=2,N(AD168),N(AD167))</f>
        <v>8</v>
      </c>
      <c r="AE169" s="109" t="n">
        <f aca="false">IF(CapV=2,N(AE168),N(AE167))</f>
        <v>8</v>
      </c>
      <c r="AF169" s="109" t="n">
        <f aca="false">IF(CapV=2,N(AF168),N(AF167))</f>
        <v>8</v>
      </c>
      <c r="AG169" s="109" t="n">
        <f aca="false">IF(CapV=2,N(AG168),N(AG167))</f>
        <v>8</v>
      </c>
      <c r="AI169" s="109" t="n">
        <f aca="false">INDEX($F169:$AG169,1,MATCH(AI$7,$F$7:$AG$7,1))</f>
        <v>0</v>
      </c>
      <c r="AJ169" s="109" t="n">
        <f aca="false">INDEX($F169:$AG169,1,MATCH(AJ$7,$F$7:$AG$7,1))</f>
        <v>8</v>
      </c>
      <c r="AK169" s="109" t="n">
        <f aca="false">INDEX($F169:$AG169,1,MATCH(AK$7,$F$7:$AG$7,1))</f>
        <v>8</v>
      </c>
      <c r="AL169" s="109" t="n">
        <f aca="false">INDEX($F169:$AG169,1,MATCH(AL$7,$F$7:$AG$7,1))</f>
        <v>8</v>
      </c>
      <c r="AM169" s="109" t="n">
        <f aca="false">INDEX($F169:$AG169,1,MATCH(AM$7,$F$7:$AG$7,1))</f>
        <v>8</v>
      </c>
      <c r="AN169" s="109" t="n">
        <f aca="false">INDEX($F169:$AG169,1,MATCH(AN$7,$F$7:$AG$7,1))</f>
        <v>8</v>
      </c>
      <c r="AO169" s="109" t="n">
        <f aca="false">INDEX($F169:$AG169,1,MATCH(AO$7,$F$7:$AG$7,1))</f>
        <v>8</v>
      </c>
    </row>
    <row r="170" customFormat="false" ht="15" hidden="false" customHeight="false" outlineLevel="0" collapsed="false">
      <c r="A170" s="107" t="s">
        <v>1607</v>
      </c>
      <c r="B170" s="22" t="s">
        <v>664</v>
      </c>
      <c r="C170" s="22" t="s">
        <v>558</v>
      </c>
      <c r="D170" s="22" t="s">
        <v>1476</v>
      </c>
      <c r="F170" s="108" t="n">
        <v>0</v>
      </c>
      <c r="G170" s="108" t="n">
        <v>0</v>
      </c>
      <c r="H170" s="108" t="n">
        <v>0</v>
      </c>
      <c r="I170" s="108" t="n">
        <v>0</v>
      </c>
      <c r="J170" s="108" t="n">
        <v>0</v>
      </c>
      <c r="K170" s="108" t="n">
        <v>0</v>
      </c>
      <c r="L170" s="108" t="n">
        <v>0</v>
      </c>
      <c r="M170" s="108" t="n">
        <v>8</v>
      </c>
      <c r="N170" s="108" t="n">
        <v>8</v>
      </c>
      <c r="O170" s="108" t="n">
        <v>8</v>
      </c>
      <c r="P170" s="108" t="n">
        <v>8</v>
      </c>
      <c r="Q170" s="108" t="n">
        <v>8</v>
      </c>
      <c r="R170" s="108" t="n">
        <v>8</v>
      </c>
      <c r="S170" s="108" t="n">
        <v>8</v>
      </c>
      <c r="T170" s="108" t="n">
        <v>8</v>
      </c>
      <c r="U170" s="108" t="n">
        <v>8</v>
      </c>
      <c r="V170" s="108" t="n">
        <v>8</v>
      </c>
      <c r="W170" s="108" t="n">
        <v>8</v>
      </c>
      <c r="X170" s="108" t="n">
        <v>8</v>
      </c>
      <c r="Y170" s="108" t="n">
        <v>8</v>
      </c>
      <c r="Z170" s="108" t="n">
        <v>8</v>
      </c>
      <c r="AA170" s="108" t="n">
        <v>8</v>
      </c>
      <c r="AB170" s="108" t="n">
        <v>8</v>
      </c>
      <c r="AC170" s="108" t="n">
        <v>8</v>
      </c>
      <c r="AD170" s="108" t="n">
        <v>8</v>
      </c>
      <c r="AE170" s="108" t="n">
        <v>8</v>
      </c>
      <c r="AF170" s="108" t="n">
        <v>8</v>
      </c>
      <c r="AG170" s="108" t="n">
        <v>8</v>
      </c>
      <c r="AI170" s="109" t="n">
        <f aca="false">INDEX($F170:$AG170,1,MATCH(AI$7,$F$7:$AG$7,1))</f>
        <v>0</v>
      </c>
      <c r="AJ170" s="109" t="n">
        <f aca="false">INDEX($F170:$AG170,1,MATCH(AJ$7,$F$7:$AG$7,1))</f>
        <v>8</v>
      </c>
      <c r="AK170" s="109" t="n">
        <f aca="false">INDEX($F170:$AG170,1,MATCH(AK$7,$F$7:$AG$7,1))</f>
        <v>8</v>
      </c>
      <c r="AL170" s="109" t="n">
        <f aca="false">INDEX($F170:$AG170,1,MATCH(AL$7,$F$7:$AG$7,1))</f>
        <v>8</v>
      </c>
      <c r="AM170" s="109" t="n">
        <f aca="false">INDEX($F170:$AG170,1,MATCH(AM$7,$F$7:$AG$7,1))</f>
        <v>8</v>
      </c>
      <c r="AN170" s="109" t="n">
        <f aca="false">INDEX($F170:$AG170,1,MATCH(AN$7,$F$7:$AG$7,1))</f>
        <v>8</v>
      </c>
      <c r="AO170" s="109" t="n">
        <f aca="false">INDEX($F170:$AG170,1,MATCH(AO$7,$F$7:$AG$7,1))</f>
        <v>8</v>
      </c>
    </row>
    <row r="171" customFormat="false" ht="15" hidden="false" customHeight="false" outlineLevel="0" collapsed="false">
      <c r="A171" s="107" t="s">
        <v>1608</v>
      </c>
      <c r="B171" s="22" t="s">
        <v>664</v>
      </c>
      <c r="C171" s="22" t="s">
        <v>558</v>
      </c>
      <c r="D171" s="22" t="s">
        <v>1478</v>
      </c>
      <c r="F171" s="108" t="n">
        <v>0</v>
      </c>
      <c r="G171" s="108" t="n">
        <v>0</v>
      </c>
      <c r="H171" s="108" t="n">
        <v>0</v>
      </c>
      <c r="I171" s="108" t="n">
        <v>0</v>
      </c>
      <c r="J171" s="108" t="n">
        <v>0</v>
      </c>
      <c r="K171" s="108" t="n">
        <v>0</v>
      </c>
      <c r="L171" s="108" t="n">
        <v>0</v>
      </c>
      <c r="M171" s="108" t="n">
        <v>8</v>
      </c>
      <c r="N171" s="108" t="n">
        <v>8</v>
      </c>
      <c r="O171" s="108" t="n">
        <v>8</v>
      </c>
      <c r="P171" s="108" t="n">
        <v>8</v>
      </c>
      <c r="Q171" s="108" t="n">
        <v>8</v>
      </c>
      <c r="R171" s="108" t="n">
        <v>8</v>
      </c>
      <c r="S171" s="108" t="n">
        <v>8</v>
      </c>
      <c r="T171" s="108" t="n">
        <v>8</v>
      </c>
      <c r="U171" s="108" t="n">
        <v>8</v>
      </c>
      <c r="V171" s="108" t="n">
        <v>8</v>
      </c>
      <c r="W171" s="108" t="n">
        <v>8</v>
      </c>
      <c r="X171" s="108" t="n">
        <v>8</v>
      </c>
      <c r="Y171" s="108" t="n">
        <v>8</v>
      </c>
      <c r="Z171" s="108" t="n">
        <v>8</v>
      </c>
      <c r="AA171" s="108" t="n">
        <v>8</v>
      </c>
      <c r="AB171" s="108" t="n">
        <v>8</v>
      </c>
      <c r="AC171" s="108" t="n">
        <v>8</v>
      </c>
      <c r="AD171" s="108" t="n">
        <v>8</v>
      </c>
      <c r="AE171" s="108" t="n">
        <v>8</v>
      </c>
      <c r="AF171" s="108" t="n">
        <v>8</v>
      </c>
      <c r="AG171" s="108" t="n">
        <v>8</v>
      </c>
      <c r="AI171" s="109" t="n">
        <f aca="false">INDEX($F171:$AG171,1,MATCH(AI$7,$F$7:$AG$7,1))</f>
        <v>0</v>
      </c>
      <c r="AJ171" s="109" t="n">
        <f aca="false">INDEX($F171:$AG171,1,MATCH(AJ$7,$F$7:$AG$7,1))</f>
        <v>8</v>
      </c>
      <c r="AK171" s="109" t="n">
        <f aca="false">INDEX($F171:$AG171,1,MATCH(AK$7,$F$7:$AG$7,1))</f>
        <v>8</v>
      </c>
      <c r="AL171" s="109" t="n">
        <f aca="false">INDEX($F171:$AG171,1,MATCH(AL$7,$F$7:$AG$7,1))</f>
        <v>8</v>
      </c>
      <c r="AM171" s="109" t="n">
        <f aca="false">INDEX($F171:$AG171,1,MATCH(AM$7,$F$7:$AG$7,1))</f>
        <v>8</v>
      </c>
      <c r="AN171" s="109" t="n">
        <f aca="false">INDEX($F171:$AG171,1,MATCH(AN$7,$F$7:$AG$7,1))</f>
        <v>8</v>
      </c>
      <c r="AO171" s="109" t="n">
        <f aca="false">INDEX($F171:$AG171,1,MATCH(AO$7,$F$7:$AG$7,1))</f>
        <v>8</v>
      </c>
    </row>
    <row r="172" customFormat="false" ht="15" hidden="false" customHeight="false" outlineLevel="0" collapsed="false">
      <c r="A172" s="107" t="s">
        <v>1609</v>
      </c>
      <c r="B172" s="22" t="s">
        <v>664</v>
      </c>
      <c r="C172" s="22" t="s">
        <v>540</v>
      </c>
      <c r="D172" s="22" t="s">
        <v>1480</v>
      </c>
      <c r="F172" s="109" t="n">
        <f aca="false">IF(CapV=2,N(F171),N(F170))</f>
        <v>0</v>
      </c>
      <c r="G172" s="109" t="n">
        <f aca="false">IF(CapV=2,N(G171),N(G170))</f>
        <v>0</v>
      </c>
      <c r="H172" s="109" t="n">
        <f aca="false">IF(CapV=2,N(H171),N(H170))</f>
        <v>0</v>
      </c>
      <c r="I172" s="109" t="n">
        <f aca="false">IF(CapV=2,N(I171),N(I170))</f>
        <v>0</v>
      </c>
      <c r="J172" s="109" t="n">
        <f aca="false">IF(CapV=2,N(J171),N(J170))</f>
        <v>0</v>
      </c>
      <c r="K172" s="109" t="n">
        <f aca="false">IF(CapV=2,N(K171),N(K170))</f>
        <v>0</v>
      </c>
      <c r="L172" s="109" t="n">
        <f aca="false">IF(CapV=2,N(L171),N(L170))</f>
        <v>0</v>
      </c>
      <c r="M172" s="109" t="n">
        <f aca="false">IF(CapV=2,N(M171),N(M170))</f>
        <v>8</v>
      </c>
      <c r="N172" s="109" t="n">
        <f aca="false">IF(CapV=2,N(N171),N(N170))</f>
        <v>8</v>
      </c>
      <c r="O172" s="109" t="n">
        <f aca="false">IF(CapV=2,N(O171),N(O170))</f>
        <v>8</v>
      </c>
      <c r="P172" s="109" t="n">
        <f aca="false">IF(CapV=2,N(P171),N(P170))</f>
        <v>8</v>
      </c>
      <c r="Q172" s="109" t="n">
        <f aca="false">IF(CapV=2,N(Q171),N(Q170))</f>
        <v>8</v>
      </c>
      <c r="R172" s="109" t="n">
        <f aca="false">IF(CapV=2,N(R171),N(R170))</f>
        <v>8</v>
      </c>
      <c r="S172" s="109" t="n">
        <f aca="false">IF(CapV=2,N(S171),N(S170))</f>
        <v>8</v>
      </c>
      <c r="T172" s="109" t="n">
        <f aca="false">IF(CapV=2,N(T171),N(T170))</f>
        <v>8</v>
      </c>
      <c r="U172" s="109" t="n">
        <f aca="false">IF(CapV=2,N(U171),N(U170))</f>
        <v>8</v>
      </c>
      <c r="V172" s="109" t="n">
        <f aca="false">IF(CapV=2,N(V171),N(V170))</f>
        <v>8</v>
      </c>
      <c r="W172" s="109" t="n">
        <f aca="false">IF(CapV=2,N(W171),N(W170))</f>
        <v>8</v>
      </c>
      <c r="X172" s="109" t="n">
        <f aca="false">IF(CapV=2,N(X171),N(X170))</f>
        <v>8</v>
      </c>
      <c r="Y172" s="109" t="n">
        <f aca="false">IF(CapV=2,N(Y171),N(Y170))</f>
        <v>8</v>
      </c>
      <c r="Z172" s="109" t="n">
        <f aca="false">IF(CapV=2,N(Z171),N(Z170))</f>
        <v>8</v>
      </c>
      <c r="AA172" s="109" t="n">
        <f aca="false">IF(CapV=2,N(AA171),N(AA170))</f>
        <v>8</v>
      </c>
      <c r="AB172" s="109" t="n">
        <f aca="false">IF(CapV=2,N(AB171),N(AB170))</f>
        <v>8</v>
      </c>
      <c r="AC172" s="109" t="n">
        <f aca="false">IF(CapV=2,N(AC171),N(AC170))</f>
        <v>8</v>
      </c>
      <c r="AD172" s="109" t="n">
        <f aca="false">IF(CapV=2,N(AD171),N(AD170))</f>
        <v>8</v>
      </c>
      <c r="AE172" s="109" t="n">
        <f aca="false">IF(CapV=2,N(AE171),N(AE170))</f>
        <v>8</v>
      </c>
      <c r="AF172" s="109" t="n">
        <f aca="false">IF(CapV=2,N(AF171),N(AF170))</f>
        <v>8</v>
      </c>
      <c r="AG172" s="109" t="n">
        <f aca="false">IF(CapV=2,N(AG171),N(AG170))</f>
        <v>8</v>
      </c>
      <c r="AI172" s="109" t="n">
        <f aca="false">INDEX($F172:$AG172,1,MATCH(AI$7,$F$7:$AG$7,1))</f>
        <v>0</v>
      </c>
      <c r="AJ172" s="109" t="n">
        <f aca="false">INDEX($F172:$AG172,1,MATCH(AJ$7,$F$7:$AG$7,1))</f>
        <v>8</v>
      </c>
      <c r="AK172" s="109" t="n">
        <f aca="false">INDEX($F172:$AG172,1,MATCH(AK$7,$F$7:$AG$7,1))</f>
        <v>8</v>
      </c>
      <c r="AL172" s="109" t="n">
        <f aca="false">INDEX($F172:$AG172,1,MATCH(AL$7,$F$7:$AG$7,1))</f>
        <v>8</v>
      </c>
      <c r="AM172" s="109" t="n">
        <f aca="false">INDEX($F172:$AG172,1,MATCH(AM$7,$F$7:$AG$7,1))</f>
        <v>8</v>
      </c>
      <c r="AN172" s="109" t="n">
        <f aca="false">INDEX($F172:$AG172,1,MATCH(AN$7,$F$7:$AG$7,1))</f>
        <v>8</v>
      </c>
      <c r="AO172" s="109" t="n">
        <f aca="false">INDEX($F172:$AG172,1,MATCH(AO$7,$F$7:$AG$7,1))</f>
        <v>8</v>
      </c>
    </row>
    <row r="173" customFormat="false" ht="15" hidden="false" customHeight="false" outlineLevel="0" collapsed="false">
      <c r="A173" s="107" t="s">
        <v>1610</v>
      </c>
      <c r="B173" s="22" t="s">
        <v>664</v>
      </c>
      <c r="C173" s="22" t="s">
        <v>558</v>
      </c>
      <c r="D173" s="22" t="s">
        <v>1476</v>
      </c>
      <c r="F173" s="108" t="n">
        <v>0</v>
      </c>
      <c r="G173" s="108" t="n">
        <v>0</v>
      </c>
      <c r="H173" s="108" t="n">
        <v>0</v>
      </c>
      <c r="I173" s="108" t="n">
        <v>0</v>
      </c>
      <c r="J173" s="108" t="n">
        <v>0</v>
      </c>
      <c r="K173" s="108" t="n">
        <v>0</v>
      </c>
      <c r="L173" s="108" t="n">
        <v>0</v>
      </c>
      <c r="M173" s="108" t="n">
        <v>8</v>
      </c>
      <c r="N173" s="108" t="n">
        <v>8</v>
      </c>
      <c r="O173" s="108" t="n">
        <v>8</v>
      </c>
      <c r="P173" s="108" t="n">
        <v>8</v>
      </c>
      <c r="Q173" s="108" t="n">
        <v>8</v>
      </c>
      <c r="R173" s="108" t="n">
        <v>8</v>
      </c>
      <c r="S173" s="108" t="n">
        <v>8</v>
      </c>
      <c r="T173" s="108" t="n">
        <v>8</v>
      </c>
      <c r="U173" s="108" t="n">
        <v>8</v>
      </c>
      <c r="V173" s="108" t="n">
        <v>8</v>
      </c>
      <c r="W173" s="108" t="n">
        <v>8</v>
      </c>
      <c r="X173" s="108" t="n">
        <v>8</v>
      </c>
      <c r="Y173" s="108" t="n">
        <v>8</v>
      </c>
      <c r="Z173" s="108" t="n">
        <v>8</v>
      </c>
      <c r="AA173" s="108" t="n">
        <v>8</v>
      </c>
      <c r="AB173" s="108" t="n">
        <v>8</v>
      </c>
      <c r="AC173" s="108" t="n">
        <v>8</v>
      </c>
      <c r="AD173" s="108" t="n">
        <v>8</v>
      </c>
      <c r="AE173" s="108" t="n">
        <v>8</v>
      </c>
      <c r="AF173" s="108" t="n">
        <v>8</v>
      </c>
      <c r="AG173" s="108" t="n">
        <v>8</v>
      </c>
      <c r="AI173" s="109" t="n">
        <f aca="false">INDEX($F173:$AG173,1,MATCH(AI$7,$F$7:$AG$7,1))</f>
        <v>0</v>
      </c>
      <c r="AJ173" s="109" t="n">
        <f aca="false">INDEX($F173:$AG173,1,MATCH(AJ$7,$F$7:$AG$7,1))</f>
        <v>8</v>
      </c>
      <c r="AK173" s="109" t="n">
        <f aca="false">INDEX($F173:$AG173,1,MATCH(AK$7,$F$7:$AG$7,1))</f>
        <v>8</v>
      </c>
      <c r="AL173" s="109" t="n">
        <f aca="false">INDEX($F173:$AG173,1,MATCH(AL$7,$F$7:$AG$7,1))</f>
        <v>8</v>
      </c>
      <c r="AM173" s="109" t="n">
        <f aca="false">INDEX($F173:$AG173,1,MATCH(AM$7,$F$7:$AG$7,1))</f>
        <v>8</v>
      </c>
      <c r="AN173" s="109" t="n">
        <f aca="false">INDEX($F173:$AG173,1,MATCH(AN$7,$F$7:$AG$7,1))</f>
        <v>8</v>
      </c>
      <c r="AO173" s="109" t="n">
        <f aca="false">INDEX($F173:$AG173,1,MATCH(AO$7,$F$7:$AG$7,1))</f>
        <v>8</v>
      </c>
    </row>
    <row r="174" customFormat="false" ht="15" hidden="false" customHeight="false" outlineLevel="0" collapsed="false">
      <c r="A174" s="107" t="s">
        <v>1611</v>
      </c>
      <c r="B174" s="22" t="s">
        <v>664</v>
      </c>
      <c r="C174" s="22" t="s">
        <v>558</v>
      </c>
      <c r="D174" s="22" t="s">
        <v>1478</v>
      </c>
      <c r="F174" s="108" t="n">
        <v>0</v>
      </c>
      <c r="G174" s="108" t="n">
        <v>0</v>
      </c>
      <c r="H174" s="108" t="n">
        <v>0</v>
      </c>
      <c r="I174" s="108" t="n">
        <v>0</v>
      </c>
      <c r="J174" s="108" t="n">
        <v>0</v>
      </c>
      <c r="K174" s="108" t="n">
        <v>0</v>
      </c>
      <c r="L174" s="108" t="n">
        <v>0</v>
      </c>
      <c r="M174" s="108" t="n">
        <v>8</v>
      </c>
      <c r="N174" s="108" t="n">
        <v>8</v>
      </c>
      <c r="O174" s="108" t="n">
        <v>8</v>
      </c>
      <c r="P174" s="108" t="n">
        <v>8</v>
      </c>
      <c r="Q174" s="108" t="n">
        <v>8</v>
      </c>
      <c r="R174" s="108" t="n">
        <v>8</v>
      </c>
      <c r="S174" s="108" t="n">
        <v>8</v>
      </c>
      <c r="T174" s="108" t="n">
        <v>8</v>
      </c>
      <c r="U174" s="108" t="n">
        <v>8</v>
      </c>
      <c r="V174" s="108" t="n">
        <v>8</v>
      </c>
      <c r="W174" s="108" t="n">
        <v>8</v>
      </c>
      <c r="X174" s="108" t="n">
        <v>8</v>
      </c>
      <c r="Y174" s="108" t="n">
        <v>8</v>
      </c>
      <c r="Z174" s="108" t="n">
        <v>8</v>
      </c>
      <c r="AA174" s="108" t="n">
        <v>8</v>
      </c>
      <c r="AB174" s="108" t="n">
        <v>8</v>
      </c>
      <c r="AC174" s="108" t="n">
        <v>8</v>
      </c>
      <c r="AD174" s="108" t="n">
        <v>8</v>
      </c>
      <c r="AE174" s="108" t="n">
        <v>8</v>
      </c>
      <c r="AF174" s="108" t="n">
        <v>8</v>
      </c>
      <c r="AG174" s="108" t="n">
        <v>8</v>
      </c>
      <c r="AI174" s="109" t="n">
        <f aca="false">INDEX($F174:$AG174,1,MATCH(AI$7,$F$7:$AG$7,1))</f>
        <v>0</v>
      </c>
      <c r="AJ174" s="109" t="n">
        <f aca="false">INDEX($F174:$AG174,1,MATCH(AJ$7,$F$7:$AG$7,1))</f>
        <v>8</v>
      </c>
      <c r="AK174" s="109" t="n">
        <f aca="false">INDEX($F174:$AG174,1,MATCH(AK$7,$F$7:$AG$7,1))</f>
        <v>8</v>
      </c>
      <c r="AL174" s="109" t="n">
        <f aca="false">INDEX($F174:$AG174,1,MATCH(AL$7,$F$7:$AG$7,1))</f>
        <v>8</v>
      </c>
      <c r="AM174" s="109" t="n">
        <f aca="false">INDEX($F174:$AG174,1,MATCH(AM$7,$F$7:$AG$7,1))</f>
        <v>8</v>
      </c>
      <c r="AN174" s="109" t="n">
        <f aca="false">INDEX($F174:$AG174,1,MATCH(AN$7,$F$7:$AG$7,1))</f>
        <v>8</v>
      </c>
      <c r="AO174" s="109" t="n">
        <f aca="false">INDEX($F174:$AG174,1,MATCH(AO$7,$F$7:$AG$7,1))</f>
        <v>8</v>
      </c>
    </row>
    <row r="175" customFormat="false" ht="15" hidden="false" customHeight="false" outlineLevel="0" collapsed="false">
      <c r="A175" s="107" t="s">
        <v>1612</v>
      </c>
      <c r="B175" s="22" t="s">
        <v>664</v>
      </c>
      <c r="C175" s="22" t="s">
        <v>540</v>
      </c>
      <c r="D175" s="22" t="s">
        <v>1480</v>
      </c>
      <c r="F175" s="109" t="n">
        <f aca="false">IF(CapV=2,N(F174),N(F173))</f>
        <v>0</v>
      </c>
      <c r="G175" s="109" t="n">
        <f aca="false">IF(CapV=2,N(G174),N(G173))</f>
        <v>0</v>
      </c>
      <c r="H175" s="109" t="n">
        <f aca="false">IF(CapV=2,N(H174),N(H173))</f>
        <v>0</v>
      </c>
      <c r="I175" s="109" t="n">
        <f aca="false">IF(CapV=2,N(I174),N(I173))</f>
        <v>0</v>
      </c>
      <c r="J175" s="109" t="n">
        <f aca="false">IF(CapV=2,N(J174),N(J173))</f>
        <v>0</v>
      </c>
      <c r="K175" s="109" t="n">
        <f aca="false">IF(CapV=2,N(K174),N(K173))</f>
        <v>0</v>
      </c>
      <c r="L175" s="109" t="n">
        <f aca="false">IF(CapV=2,N(L174),N(L173))</f>
        <v>0</v>
      </c>
      <c r="M175" s="109" t="n">
        <f aca="false">IF(CapV=2,N(M174),N(M173))</f>
        <v>8</v>
      </c>
      <c r="N175" s="109" t="n">
        <f aca="false">IF(CapV=2,N(N174),N(N173))</f>
        <v>8</v>
      </c>
      <c r="O175" s="109" t="n">
        <f aca="false">IF(CapV=2,N(O174),N(O173))</f>
        <v>8</v>
      </c>
      <c r="P175" s="109" t="n">
        <f aca="false">IF(CapV=2,N(P174),N(P173))</f>
        <v>8</v>
      </c>
      <c r="Q175" s="109" t="n">
        <f aca="false">IF(CapV=2,N(Q174),N(Q173))</f>
        <v>8</v>
      </c>
      <c r="R175" s="109" t="n">
        <f aca="false">IF(CapV=2,N(R174),N(R173))</f>
        <v>8</v>
      </c>
      <c r="S175" s="109" t="n">
        <f aca="false">IF(CapV=2,N(S174),N(S173))</f>
        <v>8</v>
      </c>
      <c r="T175" s="109" t="n">
        <f aca="false">IF(CapV=2,N(T174),N(T173))</f>
        <v>8</v>
      </c>
      <c r="U175" s="109" t="n">
        <f aca="false">IF(CapV=2,N(U174),N(U173))</f>
        <v>8</v>
      </c>
      <c r="V175" s="109" t="n">
        <f aca="false">IF(CapV=2,N(V174),N(V173))</f>
        <v>8</v>
      </c>
      <c r="W175" s="109" t="n">
        <f aca="false">IF(CapV=2,N(W174),N(W173))</f>
        <v>8</v>
      </c>
      <c r="X175" s="109" t="n">
        <f aca="false">IF(CapV=2,N(X174),N(X173))</f>
        <v>8</v>
      </c>
      <c r="Y175" s="109" t="n">
        <f aca="false">IF(CapV=2,N(Y174),N(Y173))</f>
        <v>8</v>
      </c>
      <c r="Z175" s="109" t="n">
        <f aca="false">IF(CapV=2,N(Z174),N(Z173))</f>
        <v>8</v>
      </c>
      <c r="AA175" s="109" t="n">
        <f aca="false">IF(CapV=2,N(AA174),N(AA173))</f>
        <v>8</v>
      </c>
      <c r="AB175" s="109" t="n">
        <f aca="false">IF(CapV=2,N(AB174),N(AB173))</f>
        <v>8</v>
      </c>
      <c r="AC175" s="109" t="n">
        <f aca="false">IF(CapV=2,N(AC174),N(AC173))</f>
        <v>8</v>
      </c>
      <c r="AD175" s="109" t="n">
        <f aca="false">IF(CapV=2,N(AD174),N(AD173))</f>
        <v>8</v>
      </c>
      <c r="AE175" s="109" t="n">
        <f aca="false">IF(CapV=2,N(AE174),N(AE173))</f>
        <v>8</v>
      </c>
      <c r="AF175" s="109" t="n">
        <f aca="false">IF(CapV=2,N(AF174),N(AF173))</f>
        <v>8</v>
      </c>
      <c r="AG175" s="109" t="n">
        <f aca="false">IF(CapV=2,N(AG174),N(AG173))</f>
        <v>8</v>
      </c>
      <c r="AI175" s="109" t="n">
        <f aca="false">INDEX($F175:$AG175,1,MATCH(AI$7,$F$7:$AG$7,1))</f>
        <v>0</v>
      </c>
      <c r="AJ175" s="109" t="n">
        <f aca="false">INDEX($F175:$AG175,1,MATCH(AJ$7,$F$7:$AG$7,1))</f>
        <v>8</v>
      </c>
      <c r="AK175" s="109" t="n">
        <f aca="false">INDEX($F175:$AG175,1,MATCH(AK$7,$F$7:$AG$7,1))</f>
        <v>8</v>
      </c>
      <c r="AL175" s="109" t="n">
        <f aca="false">INDEX($F175:$AG175,1,MATCH(AL$7,$F$7:$AG$7,1))</f>
        <v>8</v>
      </c>
      <c r="AM175" s="109" t="n">
        <f aca="false">INDEX($F175:$AG175,1,MATCH(AM$7,$F$7:$AG$7,1))</f>
        <v>8</v>
      </c>
      <c r="AN175" s="109" t="n">
        <f aca="false">INDEX($F175:$AG175,1,MATCH(AN$7,$F$7:$AG$7,1))</f>
        <v>8</v>
      </c>
      <c r="AO175" s="109" t="n">
        <f aca="false">INDEX($F175:$AG175,1,MATCH(AO$7,$F$7:$AG$7,1))</f>
        <v>8</v>
      </c>
    </row>
    <row r="176" customFormat="false" ht="15" hidden="false" customHeight="false" outlineLevel="0" collapsed="false">
      <c r="A176" s="107" t="s">
        <v>1613</v>
      </c>
      <c r="B176" s="22" t="s">
        <v>664</v>
      </c>
      <c r="C176" s="22" t="s">
        <v>558</v>
      </c>
      <c r="D176" s="22" t="s">
        <v>1476</v>
      </c>
      <c r="F176" s="108" t="n">
        <v>0</v>
      </c>
      <c r="G176" s="108" t="n">
        <v>0</v>
      </c>
      <c r="H176" s="108" t="n">
        <v>0</v>
      </c>
      <c r="I176" s="108" t="n">
        <v>0</v>
      </c>
      <c r="J176" s="108" t="n">
        <v>0</v>
      </c>
      <c r="K176" s="108" t="n">
        <v>0</v>
      </c>
      <c r="L176" s="108" t="n">
        <v>0</v>
      </c>
      <c r="M176" s="108" t="n">
        <v>0</v>
      </c>
      <c r="N176" s="108" t="n">
        <v>0</v>
      </c>
      <c r="O176" s="108" t="n">
        <v>0</v>
      </c>
      <c r="P176" s="108" t="n">
        <v>0</v>
      </c>
      <c r="Q176" s="108" t="n">
        <v>0</v>
      </c>
      <c r="R176" s="108" t="n">
        <v>11</v>
      </c>
      <c r="S176" s="108" t="n">
        <v>22</v>
      </c>
      <c r="T176" s="108" t="n">
        <v>22</v>
      </c>
      <c r="U176" s="108" t="n">
        <v>22</v>
      </c>
      <c r="V176" s="108" t="n">
        <v>22</v>
      </c>
      <c r="W176" s="108" t="n">
        <v>22</v>
      </c>
      <c r="X176" s="108" t="n">
        <v>22</v>
      </c>
      <c r="Y176" s="108" t="n">
        <v>22</v>
      </c>
      <c r="Z176" s="108" t="n">
        <v>22</v>
      </c>
      <c r="AA176" s="108" t="n">
        <v>22</v>
      </c>
      <c r="AB176" s="108" t="n">
        <v>22</v>
      </c>
      <c r="AC176" s="108" t="n">
        <v>22</v>
      </c>
      <c r="AD176" s="108" t="n">
        <v>22</v>
      </c>
      <c r="AE176" s="108" t="n">
        <v>22</v>
      </c>
      <c r="AF176" s="108" t="n">
        <v>22</v>
      </c>
      <c r="AG176" s="108" t="n">
        <v>22</v>
      </c>
      <c r="AI176" s="109" t="n">
        <f aca="false">INDEX($F176:$AG176,1,MATCH(AI$7,$F$7:$AG$7,1))</f>
        <v>0</v>
      </c>
      <c r="AJ176" s="109" t="n">
        <f aca="false">INDEX($F176:$AG176,1,MATCH(AJ$7,$F$7:$AG$7,1))</f>
        <v>0</v>
      </c>
      <c r="AK176" s="109" t="n">
        <f aca="false">INDEX($F176:$AG176,1,MATCH(AK$7,$F$7:$AG$7,1))</f>
        <v>0</v>
      </c>
      <c r="AL176" s="109" t="n">
        <f aca="false">INDEX($F176:$AG176,1,MATCH(AL$7,$F$7:$AG$7,1))</f>
        <v>22</v>
      </c>
      <c r="AM176" s="109" t="n">
        <f aca="false">INDEX($F176:$AG176,1,MATCH(AM$7,$F$7:$AG$7,1))</f>
        <v>22</v>
      </c>
      <c r="AN176" s="109" t="n">
        <f aca="false">INDEX($F176:$AG176,1,MATCH(AN$7,$F$7:$AG$7,1))</f>
        <v>22</v>
      </c>
      <c r="AO176" s="109" t="n">
        <f aca="false">INDEX($F176:$AG176,1,MATCH(AO$7,$F$7:$AG$7,1))</f>
        <v>22</v>
      </c>
    </row>
    <row r="177" customFormat="false" ht="15" hidden="false" customHeight="false" outlineLevel="0" collapsed="false">
      <c r="A177" s="107" t="s">
        <v>1614</v>
      </c>
      <c r="B177" s="22" t="s">
        <v>664</v>
      </c>
      <c r="C177" s="22" t="s">
        <v>558</v>
      </c>
      <c r="D177" s="22" t="s">
        <v>1478</v>
      </c>
      <c r="F177" s="108" t="n">
        <v>0</v>
      </c>
      <c r="G177" s="108" t="n">
        <v>0</v>
      </c>
      <c r="H177" s="108" t="n">
        <v>0</v>
      </c>
      <c r="I177" s="108" t="n">
        <v>0</v>
      </c>
      <c r="J177" s="108" t="n">
        <v>0</v>
      </c>
      <c r="K177" s="108" t="n">
        <v>0</v>
      </c>
      <c r="L177" s="108" t="n">
        <v>0</v>
      </c>
      <c r="M177" s="108" t="n">
        <v>0</v>
      </c>
      <c r="N177" s="108" t="n">
        <v>0</v>
      </c>
      <c r="O177" s="108" t="n">
        <v>0</v>
      </c>
      <c r="P177" s="108" t="n">
        <v>0</v>
      </c>
      <c r="Q177" s="108" t="n">
        <v>0</v>
      </c>
      <c r="R177" s="108" t="n">
        <v>0</v>
      </c>
      <c r="S177" s="108" t="n">
        <v>11</v>
      </c>
      <c r="T177" s="108" t="n">
        <v>22</v>
      </c>
      <c r="U177" s="108" t="n">
        <v>22</v>
      </c>
      <c r="V177" s="108" t="n">
        <v>22</v>
      </c>
      <c r="W177" s="108" t="n">
        <v>22</v>
      </c>
      <c r="X177" s="108" t="n">
        <v>22</v>
      </c>
      <c r="Y177" s="108" t="n">
        <v>22</v>
      </c>
      <c r="Z177" s="108" t="n">
        <v>22</v>
      </c>
      <c r="AA177" s="108" t="n">
        <v>22</v>
      </c>
      <c r="AB177" s="108" t="n">
        <v>22</v>
      </c>
      <c r="AC177" s="108" t="n">
        <v>22</v>
      </c>
      <c r="AD177" s="108" t="n">
        <v>22</v>
      </c>
      <c r="AE177" s="108" t="n">
        <v>22</v>
      </c>
      <c r="AF177" s="108" t="n">
        <v>22</v>
      </c>
      <c r="AG177" s="108" t="n">
        <v>22</v>
      </c>
      <c r="AI177" s="109" t="n">
        <f aca="false">INDEX($F177:$AG177,1,MATCH(AI$7,$F$7:$AG$7,1))</f>
        <v>0</v>
      </c>
      <c r="AJ177" s="109" t="n">
        <f aca="false">INDEX($F177:$AG177,1,MATCH(AJ$7,$F$7:$AG$7,1))</f>
        <v>0</v>
      </c>
      <c r="AK177" s="109" t="n">
        <f aca="false">INDEX($F177:$AG177,1,MATCH(AK$7,$F$7:$AG$7,1))</f>
        <v>0</v>
      </c>
      <c r="AL177" s="109" t="n">
        <f aca="false">INDEX($F177:$AG177,1,MATCH(AL$7,$F$7:$AG$7,1))</f>
        <v>22</v>
      </c>
      <c r="AM177" s="109" t="n">
        <f aca="false">INDEX($F177:$AG177,1,MATCH(AM$7,$F$7:$AG$7,1))</f>
        <v>22</v>
      </c>
      <c r="AN177" s="109" t="n">
        <f aca="false">INDEX($F177:$AG177,1,MATCH(AN$7,$F$7:$AG$7,1))</f>
        <v>22</v>
      </c>
      <c r="AO177" s="109" t="n">
        <f aca="false">INDEX($F177:$AG177,1,MATCH(AO$7,$F$7:$AG$7,1))</f>
        <v>22</v>
      </c>
    </row>
    <row r="178" customFormat="false" ht="15" hidden="false" customHeight="false" outlineLevel="0" collapsed="false">
      <c r="A178" s="107" t="s">
        <v>1615</v>
      </c>
      <c r="B178" s="22" t="s">
        <v>664</v>
      </c>
      <c r="C178" s="22" t="s">
        <v>540</v>
      </c>
      <c r="D178" s="22" t="s">
        <v>1480</v>
      </c>
      <c r="F178" s="109" t="n">
        <f aca="false">IF(CapV=2,N(F177),N(F176))</f>
        <v>0</v>
      </c>
      <c r="G178" s="109" t="n">
        <f aca="false">IF(CapV=2,N(G177),N(G176))</f>
        <v>0</v>
      </c>
      <c r="H178" s="109" t="n">
        <f aca="false">IF(CapV=2,N(H177),N(H176))</f>
        <v>0</v>
      </c>
      <c r="I178" s="109" t="n">
        <f aca="false">IF(CapV=2,N(I177),N(I176))</f>
        <v>0</v>
      </c>
      <c r="J178" s="109" t="n">
        <f aca="false">IF(CapV=2,N(J177),N(J176))</f>
        <v>0</v>
      </c>
      <c r="K178" s="109" t="n">
        <f aca="false">IF(CapV=2,N(K177),N(K176))</f>
        <v>0</v>
      </c>
      <c r="L178" s="109" t="n">
        <f aca="false">IF(CapV=2,N(L177),N(L176))</f>
        <v>0</v>
      </c>
      <c r="M178" s="109" t="n">
        <f aca="false">IF(CapV=2,N(M177),N(M176))</f>
        <v>0</v>
      </c>
      <c r="N178" s="109" t="n">
        <f aca="false">IF(CapV=2,N(N177),N(N176))</f>
        <v>0</v>
      </c>
      <c r="O178" s="109" t="n">
        <f aca="false">IF(CapV=2,N(O177),N(O176))</f>
        <v>0</v>
      </c>
      <c r="P178" s="109" t="n">
        <f aca="false">IF(CapV=2,N(P177),N(P176))</f>
        <v>0</v>
      </c>
      <c r="Q178" s="109" t="n">
        <f aca="false">IF(CapV=2,N(Q177),N(Q176))</f>
        <v>0</v>
      </c>
      <c r="R178" s="109" t="n">
        <f aca="false">IF(CapV=2,N(R177),N(R176))</f>
        <v>0</v>
      </c>
      <c r="S178" s="109" t="n">
        <f aca="false">IF(CapV=2,N(S177),N(S176))</f>
        <v>11</v>
      </c>
      <c r="T178" s="109" t="n">
        <f aca="false">IF(CapV=2,N(T177),N(T176))</f>
        <v>22</v>
      </c>
      <c r="U178" s="109" t="n">
        <f aca="false">IF(CapV=2,N(U177),N(U176))</f>
        <v>22</v>
      </c>
      <c r="V178" s="109" t="n">
        <f aca="false">IF(CapV=2,N(V177),N(V176))</f>
        <v>22</v>
      </c>
      <c r="W178" s="109" t="n">
        <f aca="false">IF(CapV=2,N(W177),N(W176))</f>
        <v>22</v>
      </c>
      <c r="X178" s="109" t="n">
        <f aca="false">IF(CapV=2,N(X177),N(X176))</f>
        <v>22</v>
      </c>
      <c r="Y178" s="109" t="n">
        <f aca="false">IF(CapV=2,N(Y177),N(Y176))</f>
        <v>22</v>
      </c>
      <c r="Z178" s="109" t="n">
        <f aca="false">IF(CapV=2,N(Z177),N(Z176))</f>
        <v>22</v>
      </c>
      <c r="AA178" s="109" t="n">
        <f aca="false">IF(CapV=2,N(AA177),N(AA176))</f>
        <v>22</v>
      </c>
      <c r="AB178" s="109" t="n">
        <f aca="false">IF(CapV=2,N(AB177),N(AB176))</f>
        <v>22</v>
      </c>
      <c r="AC178" s="109" t="n">
        <f aca="false">IF(CapV=2,N(AC177),N(AC176))</f>
        <v>22</v>
      </c>
      <c r="AD178" s="109" t="n">
        <f aca="false">IF(CapV=2,N(AD177),N(AD176))</f>
        <v>22</v>
      </c>
      <c r="AE178" s="109" t="n">
        <f aca="false">IF(CapV=2,N(AE177),N(AE176))</f>
        <v>22</v>
      </c>
      <c r="AF178" s="109" t="n">
        <f aca="false">IF(CapV=2,N(AF177),N(AF176))</f>
        <v>22</v>
      </c>
      <c r="AG178" s="109" t="n">
        <f aca="false">IF(CapV=2,N(AG177),N(AG176))</f>
        <v>22</v>
      </c>
      <c r="AI178" s="109" t="n">
        <f aca="false">INDEX($F178:$AG178,1,MATCH(AI$7,$F$7:$AG$7,1))</f>
        <v>0</v>
      </c>
      <c r="AJ178" s="109" t="n">
        <f aca="false">INDEX($F178:$AG178,1,MATCH(AJ$7,$F$7:$AG$7,1))</f>
        <v>0</v>
      </c>
      <c r="AK178" s="109" t="n">
        <f aca="false">INDEX($F178:$AG178,1,MATCH(AK$7,$F$7:$AG$7,1))</f>
        <v>0</v>
      </c>
      <c r="AL178" s="109" t="n">
        <f aca="false">INDEX($F178:$AG178,1,MATCH(AL$7,$F$7:$AG$7,1))</f>
        <v>22</v>
      </c>
      <c r="AM178" s="109" t="n">
        <f aca="false">INDEX($F178:$AG178,1,MATCH(AM$7,$F$7:$AG$7,1))</f>
        <v>22</v>
      </c>
      <c r="AN178" s="109" t="n">
        <f aca="false">INDEX($F178:$AG178,1,MATCH(AN$7,$F$7:$AG$7,1))</f>
        <v>22</v>
      </c>
      <c r="AO178" s="109" t="n">
        <f aca="false">INDEX($F178:$AG178,1,MATCH(AO$7,$F$7:$AG$7,1))</f>
        <v>22</v>
      </c>
    </row>
    <row r="179" customFormat="false" ht="15" hidden="false" customHeight="false" outlineLevel="0" collapsed="false">
      <c r="A179" s="107" t="s">
        <v>1616</v>
      </c>
      <c r="B179" s="22" t="s">
        <v>664</v>
      </c>
      <c r="C179" s="22" t="s">
        <v>558</v>
      </c>
      <c r="D179" s="22" t="s">
        <v>1476</v>
      </c>
      <c r="F179" s="108" t="n">
        <v>0</v>
      </c>
      <c r="G179" s="108" t="n">
        <v>0</v>
      </c>
      <c r="H179" s="108" t="n">
        <v>0</v>
      </c>
      <c r="I179" s="108" t="n">
        <v>0</v>
      </c>
      <c r="J179" s="108" t="n">
        <v>0</v>
      </c>
      <c r="K179" s="108" t="n">
        <v>0</v>
      </c>
      <c r="L179" s="108" t="n">
        <v>0</v>
      </c>
      <c r="M179" s="108" t="n">
        <v>0</v>
      </c>
      <c r="N179" s="108" t="n">
        <v>0</v>
      </c>
      <c r="O179" s="108" t="n">
        <v>0</v>
      </c>
      <c r="P179" s="108" t="n">
        <v>0</v>
      </c>
      <c r="Q179" s="108" t="n">
        <v>11</v>
      </c>
      <c r="R179" s="108" t="n">
        <v>16.5</v>
      </c>
      <c r="S179" s="108" t="n">
        <v>22</v>
      </c>
      <c r="T179" s="108" t="n">
        <v>22</v>
      </c>
      <c r="U179" s="108" t="n">
        <v>22</v>
      </c>
      <c r="V179" s="108" t="n">
        <v>22</v>
      </c>
      <c r="W179" s="108" t="n">
        <v>22</v>
      </c>
      <c r="X179" s="108" t="n">
        <v>22</v>
      </c>
      <c r="Y179" s="108" t="n">
        <v>22</v>
      </c>
      <c r="Z179" s="108" t="n">
        <v>22</v>
      </c>
      <c r="AA179" s="108" t="n">
        <v>22</v>
      </c>
      <c r="AB179" s="108" t="n">
        <v>22</v>
      </c>
      <c r="AC179" s="108" t="n">
        <v>22</v>
      </c>
      <c r="AD179" s="108" t="n">
        <v>22</v>
      </c>
      <c r="AE179" s="108" t="n">
        <v>22</v>
      </c>
      <c r="AF179" s="108" t="n">
        <v>22</v>
      </c>
      <c r="AG179" s="108" t="n">
        <v>22</v>
      </c>
      <c r="AI179" s="109" t="n">
        <f aca="false">INDEX($F179:$AG179,1,MATCH(AI$7,$F$7:$AG$7,1))</f>
        <v>0</v>
      </c>
      <c r="AJ179" s="109" t="n">
        <f aca="false">INDEX($F179:$AG179,1,MATCH(AJ$7,$F$7:$AG$7,1))</f>
        <v>0</v>
      </c>
      <c r="AK179" s="109" t="n">
        <f aca="false">INDEX($F179:$AG179,1,MATCH(AK$7,$F$7:$AG$7,1))</f>
        <v>11</v>
      </c>
      <c r="AL179" s="109" t="n">
        <f aca="false">INDEX($F179:$AG179,1,MATCH(AL$7,$F$7:$AG$7,1))</f>
        <v>22</v>
      </c>
      <c r="AM179" s="109" t="n">
        <f aca="false">INDEX($F179:$AG179,1,MATCH(AM$7,$F$7:$AG$7,1))</f>
        <v>22</v>
      </c>
      <c r="AN179" s="109" t="n">
        <f aca="false">INDEX($F179:$AG179,1,MATCH(AN$7,$F$7:$AG$7,1))</f>
        <v>22</v>
      </c>
      <c r="AO179" s="109" t="n">
        <f aca="false">INDEX($F179:$AG179,1,MATCH(AO$7,$F$7:$AG$7,1))</f>
        <v>22</v>
      </c>
    </row>
    <row r="180" customFormat="false" ht="15" hidden="false" customHeight="false" outlineLevel="0" collapsed="false">
      <c r="A180" s="107" t="s">
        <v>1617</v>
      </c>
      <c r="B180" s="22" t="s">
        <v>664</v>
      </c>
      <c r="C180" s="22" t="s">
        <v>558</v>
      </c>
      <c r="D180" s="22" t="s">
        <v>1478</v>
      </c>
      <c r="F180" s="108" t="n">
        <v>0</v>
      </c>
      <c r="G180" s="108" t="n">
        <v>0</v>
      </c>
      <c r="H180" s="108" t="n">
        <v>0</v>
      </c>
      <c r="I180" s="108" t="n">
        <v>0</v>
      </c>
      <c r="J180" s="108" t="n">
        <v>0</v>
      </c>
      <c r="K180" s="108" t="n">
        <v>0</v>
      </c>
      <c r="L180" s="108" t="n">
        <v>0</v>
      </c>
      <c r="M180" s="108" t="n">
        <v>0</v>
      </c>
      <c r="N180" s="108" t="n">
        <v>0</v>
      </c>
      <c r="O180" s="108" t="n">
        <v>0</v>
      </c>
      <c r="P180" s="108" t="n">
        <v>0</v>
      </c>
      <c r="Q180" s="108" t="n">
        <v>5.5</v>
      </c>
      <c r="R180" s="108" t="n">
        <v>11</v>
      </c>
      <c r="S180" s="108" t="n">
        <v>16.5</v>
      </c>
      <c r="T180" s="108" t="n">
        <v>22</v>
      </c>
      <c r="U180" s="108" t="n">
        <v>22</v>
      </c>
      <c r="V180" s="108" t="n">
        <v>22</v>
      </c>
      <c r="W180" s="108" t="n">
        <v>22</v>
      </c>
      <c r="X180" s="108" t="n">
        <v>22</v>
      </c>
      <c r="Y180" s="108" t="n">
        <v>22</v>
      </c>
      <c r="Z180" s="108" t="n">
        <v>22</v>
      </c>
      <c r="AA180" s="108" t="n">
        <v>22</v>
      </c>
      <c r="AB180" s="108" t="n">
        <v>22</v>
      </c>
      <c r="AC180" s="108" t="n">
        <v>22</v>
      </c>
      <c r="AD180" s="108" t="n">
        <v>22</v>
      </c>
      <c r="AE180" s="108" t="n">
        <v>22</v>
      </c>
      <c r="AF180" s="108" t="n">
        <v>22</v>
      </c>
      <c r="AG180" s="108" t="n">
        <v>22</v>
      </c>
      <c r="AI180" s="109" t="n">
        <f aca="false">INDEX($F180:$AG180,1,MATCH(AI$7,$F$7:$AG$7,1))</f>
        <v>0</v>
      </c>
      <c r="AJ180" s="109" t="n">
        <f aca="false">INDEX($F180:$AG180,1,MATCH(AJ$7,$F$7:$AG$7,1))</f>
        <v>0</v>
      </c>
      <c r="AK180" s="109" t="n">
        <f aca="false">INDEX($F180:$AG180,1,MATCH(AK$7,$F$7:$AG$7,1))</f>
        <v>5.5</v>
      </c>
      <c r="AL180" s="109" t="n">
        <f aca="false">INDEX($F180:$AG180,1,MATCH(AL$7,$F$7:$AG$7,1))</f>
        <v>22</v>
      </c>
      <c r="AM180" s="109" t="n">
        <f aca="false">INDEX($F180:$AG180,1,MATCH(AM$7,$F$7:$AG$7,1))</f>
        <v>22</v>
      </c>
      <c r="AN180" s="109" t="n">
        <f aca="false">INDEX($F180:$AG180,1,MATCH(AN$7,$F$7:$AG$7,1))</f>
        <v>22</v>
      </c>
      <c r="AO180" s="109" t="n">
        <f aca="false">INDEX($F180:$AG180,1,MATCH(AO$7,$F$7:$AG$7,1))</f>
        <v>22</v>
      </c>
    </row>
    <row r="181" customFormat="false" ht="15" hidden="false" customHeight="false" outlineLevel="0" collapsed="false">
      <c r="A181" s="107" t="s">
        <v>1618</v>
      </c>
      <c r="B181" s="22" t="s">
        <v>664</v>
      </c>
      <c r="C181" s="22" t="s">
        <v>540</v>
      </c>
      <c r="D181" s="22" t="s">
        <v>1480</v>
      </c>
      <c r="F181" s="109" t="n">
        <f aca="false">IF(CapV=2,N(F180),N(F179))</f>
        <v>0</v>
      </c>
      <c r="G181" s="109" t="n">
        <f aca="false">IF(CapV=2,N(G180),N(G179))</f>
        <v>0</v>
      </c>
      <c r="H181" s="109" t="n">
        <f aca="false">IF(CapV=2,N(H180),N(H179))</f>
        <v>0</v>
      </c>
      <c r="I181" s="109" t="n">
        <f aca="false">IF(CapV=2,N(I180),N(I179))</f>
        <v>0</v>
      </c>
      <c r="J181" s="109" t="n">
        <f aca="false">IF(CapV=2,N(J180),N(J179))</f>
        <v>0</v>
      </c>
      <c r="K181" s="109" t="n">
        <f aca="false">IF(CapV=2,N(K180),N(K179))</f>
        <v>0</v>
      </c>
      <c r="L181" s="109" t="n">
        <f aca="false">IF(CapV=2,N(L180),N(L179))</f>
        <v>0</v>
      </c>
      <c r="M181" s="109" t="n">
        <f aca="false">IF(CapV=2,N(M180),N(M179))</f>
        <v>0</v>
      </c>
      <c r="N181" s="109" t="n">
        <f aca="false">IF(CapV=2,N(N180),N(N179))</f>
        <v>0</v>
      </c>
      <c r="O181" s="109" t="n">
        <f aca="false">IF(CapV=2,N(O180),N(O179))</f>
        <v>0</v>
      </c>
      <c r="P181" s="109" t="n">
        <f aca="false">IF(CapV=2,N(P180),N(P179))</f>
        <v>0</v>
      </c>
      <c r="Q181" s="109" t="n">
        <f aca="false">IF(CapV=2,N(Q180),N(Q179))</f>
        <v>5.5</v>
      </c>
      <c r="R181" s="109" t="n">
        <f aca="false">IF(CapV=2,N(R180),N(R179))</f>
        <v>11</v>
      </c>
      <c r="S181" s="109" t="n">
        <f aca="false">IF(CapV=2,N(S180),N(S179))</f>
        <v>16.5</v>
      </c>
      <c r="T181" s="109" t="n">
        <f aca="false">IF(CapV=2,N(T180),N(T179))</f>
        <v>22</v>
      </c>
      <c r="U181" s="109" t="n">
        <f aca="false">IF(CapV=2,N(U180),N(U179))</f>
        <v>22</v>
      </c>
      <c r="V181" s="109" t="n">
        <f aca="false">IF(CapV=2,N(V180),N(V179))</f>
        <v>22</v>
      </c>
      <c r="W181" s="109" t="n">
        <f aca="false">IF(CapV=2,N(W180),N(W179))</f>
        <v>22</v>
      </c>
      <c r="X181" s="109" t="n">
        <f aca="false">IF(CapV=2,N(X180),N(X179))</f>
        <v>22</v>
      </c>
      <c r="Y181" s="109" t="n">
        <f aca="false">IF(CapV=2,N(Y180),N(Y179))</f>
        <v>22</v>
      </c>
      <c r="Z181" s="109" t="n">
        <f aca="false">IF(CapV=2,N(Z180),N(Z179))</f>
        <v>22</v>
      </c>
      <c r="AA181" s="109" t="n">
        <f aca="false">IF(CapV=2,N(AA180),N(AA179))</f>
        <v>22</v>
      </c>
      <c r="AB181" s="109" t="n">
        <f aca="false">IF(CapV=2,N(AB180),N(AB179))</f>
        <v>22</v>
      </c>
      <c r="AC181" s="109" t="n">
        <f aca="false">IF(CapV=2,N(AC180),N(AC179))</f>
        <v>22</v>
      </c>
      <c r="AD181" s="109" t="n">
        <f aca="false">IF(CapV=2,N(AD180),N(AD179))</f>
        <v>22</v>
      </c>
      <c r="AE181" s="109" t="n">
        <f aca="false">IF(CapV=2,N(AE180),N(AE179))</f>
        <v>22</v>
      </c>
      <c r="AF181" s="109" t="n">
        <f aca="false">IF(CapV=2,N(AF180),N(AF179))</f>
        <v>22</v>
      </c>
      <c r="AG181" s="109" t="n">
        <f aca="false">IF(CapV=2,N(AG180),N(AG179))</f>
        <v>22</v>
      </c>
      <c r="AI181" s="109" t="n">
        <f aca="false">INDEX($F181:$AG181,1,MATCH(AI$7,$F$7:$AG$7,1))</f>
        <v>0</v>
      </c>
      <c r="AJ181" s="109" t="n">
        <f aca="false">INDEX($F181:$AG181,1,MATCH(AJ$7,$F$7:$AG$7,1))</f>
        <v>0</v>
      </c>
      <c r="AK181" s="109" t="n">
        <f aca="false">INDEX($F181:$AG181,1,MATCH(AK$7,$F$7:$AG$7,1))</f>
        <v>5.5</v>
      </c>
      <c r="AL181" s="109" t="n">
        <f aca="false">INDEX($F181:$AG181,1,MATCH(AL$7,$F$7:$AG$7,1))</f>
        <v>22</v>
      </c>
      <c r="AM181" s="109" t="n">
        <f aca="false">INDEX($F181:$AG181,1,MATCH(AM$7,$F$7:$AG$7,1))</f>
        <v>22</v>
      </c>
      <c r="AN181" s="109" t="n">
        <f aca="false">INDEX($F181:$AG181,1,MATCH(AN$7,$F$7:$AG$7,1))</f>
        <v>22</v>
      </c>
      <c r="AO181" s="109" t="n">
        <f aca="false">INDEX($F181:$AG181,1,MATCH(AO$7,$F$7:$AG$7,1))</f>
        <v>22</v>
      </c>
    </row>
    <row r="182" customFormat="false" ht="15" hidden="false" customHeight="false" outlineLevel="0" collapsed="false">
      <c r="A182" s="107" t="s">
        <v>1619</v>
      </c>
      <c r="B182" s="22" t="s">
        <v>664</v>
      </c>
      <c r="C182" s="22" t="s">
        <v>558</v>
      </c>
      <c r="D182" s="22" t="s">
        <v>1476</v>
      </c>
      <c r="F182" s="108" t="n">
        <v>0</v>
      </c>
      <c r="G182" s="108" t="n">
        <v>0</v>
      </c>
      <c r="H182" s="108" t="n">
        <v>0</v>
      </c>
      <c r="I182" s="108" t="n">
        <v>0</v>
      </c>
      <c r="J182" s="108" t="n">
        <v>0</v>
      </c>
      <c r="K182" s="108" t="n">
        <v>0</v>
      </c>
      <c r="L182" s="108" t="n">
        <v>0</v>
      </c>
      <c r="M182" s="108" t="n">
        <v>0</v>
      </c>
      <c r="N182" s="108" t="n">
        <v>0</v>
      </c>
      <c r="O182" s="108" t="n">
        <v>0</v>
      </c>
      <c r="P182" s="108" t="n">
        <v>0</v>
      </c>
      <c r="Q182" s="108" t="n">
        <v>22</v>
      </c>
      <c r="R182" s="108" t="n">
        <v>22</v>
      </c>
      <c r="S182" s="108" t="n">
        <v>22</v>
      </c>
      <c r="T182" s="108" t="n">
        <v>22</v>
      </c>
      <c r="U182" s="108" t="n">
        <v>22</v>
      </c>
      <c r="V182" s="108" t="n">
        <v>22</v>
      </c>
      <c r="W182" s="108" t="n">
        <v>22</v>
      </c>
      <c r="X182" s="108" t="n">
        <v>22</v>
      </c>
      <c r="Y182" s="108" t="n">
        <v>22</v>
      </c>
      <c r="Z182" s="108" t="n">
        <v>22</v>
      </c>
      <c r="AA182" s="108" t="n">
        <v>22</v>
      </c>
      <c r="AB182" s="108" t="n">
        <v>22</v>
      </c>
      <c r="AC182" s="108" t="n">
        <v>22</v>
      </c>
      <c r="AD182" s="108" t="n">
        <v>22</v>
      </c>
      <c r="AE182" s="108" t="n">
        <v>22</v>
      </c>
      <c r="AF182" s="108" t="n">
        <v>22</v>
      </c>
      <c r="AG182" s="108" t="n">
        <v>22</v>
      </c>
      <c r="AI182" s="109" t="n">
        <f aca="false">INDEX($F182:$AG182,1,MATCH(AI$7,$F$7:$AG$7,1))</f>
        <v>0</v>
      </c>
      <c r="AJ182" s="109" t="n">
        <f aca="false">INDEX($F182:$AG182,1,MATCH(AJ$7,$F$7:$AG$7,1))</f>
        <v>0</v>
      </c>
      <c r="AK182" s="109" t="n">
        <f aca="false">INDEX($F182:$AG182,1,MATCH(AK$7,$F$7:$AG$7,1))</f>
        <v>22</v>
      </c>
      <c r="AL182" s="109" t="n">
        <f aca="false">INDEX($F182:$AG182,1,MATCH(AL$7,$F$7:$AG$7,1))</f>
        <v>22</v>
      </c>
      <c r="AM182" s="109" t="n">
        <f aca="false">INDEX($F182:$AG182,1,MATCH(AM$7,$F$7:$AG$7,1))</f>
        <v>22</v>
      </c>
      <c r="AN182" s="109" t="n">
        <f aca="false">INDEX($F182:$AG182,1,MATCH(AN$7,$F$7:$AG$7,1))</f>
        <v>22</v>
      </c>
      <c r="AO182" s="109" t="n">
        <f aca="false">INDEX($F182:$AG182,1,MATCH(AO$7,$F$7:$AG$7,1))</f>
        <v>22</v>
      </c>
    </row>
    <row r="183" customFormat="false" ht="15" hidden="false" customHeight="false" outlineLevel="0" collapsed="false">
      <c r="A183" s="107" t="s">
        <v>1620</v>
      </c>
      <c r="B183" s="22" t="s">
        <v>664</v>
      </c>
      <c r="C183" s="22" t="s">
        <v>558</v>
      </c>
      <c r="D183" s="22" t="s">
        <v>1478</v>
      </c>
      <c r="F183" s="108" t="n">
        <v>0</v>
      </c>
      <c r="G183" s="108" t="n">
        <v>0</v>
      </c>
      <c r="H183" s="108" t="n">
        <v>0</v>
      </c>
      <c r="I183" s="108" t="n">
        <v>0</v>
      </c>
      <c r="J183" s="108" t="n">
        <v>0</v>
      </c>
      <c r="K183" s="108" t="n">
        <v>0</v>
      </c>
      <c r="L183" s="108" t="n">
        <v>0</v>
      </c>
      <c r="M183" s="108" t="n">
        <v>0</v>
      </c>
      <c r="N183" s="108" t="n">
        <v>0</v>
      </c>
      <c r="O183" s="108" t="n">
        <v>0</v>
      </c>
      <c r="P183" s="108" t="n">
        <v>0</v>
      </c>
      <c r="Q183" s="108" t="n">
        <v>11</v>
      </c>
      <c r="R183" s="108" t="n">
        <v>22</v>
      </c>
      <c r="S183" s="108" t="n">
        <v>22</v>
      </c>
      <c r="T183" s="108" t="n">
        <v>22</v>
      </c>
      <c r="U183" s="108" t="n">
        <v>22</v>
      </c>
      <c r="V183" s="108" t="n">
        <v>22</v>
      </c>
      <c r="W183" s="108" t="n">
        <v>22</v>
      </c>
      <c r="X183" s="108" t="n">
        <v>22</v>
      </c>
      <c r="Y183" s="108" t="n">
        <v>22</v>
      </c>
      <c r="Z183" s="108" t="n">
        <v>22</v>
      </c>
      <c r="AA183" s="108" t="n">
        <v>22</v>
      </c>
      <c r="AB183" s="108" t="n">
        <v>22</v>
      </c>
      <c r="AC183" s="108" t="n">
        <v>22</v>
      </c>
      <c r="AD183" s="108" t="n">
        <v>22</v>
      </c>
      <c r="AE183" s="108" t="n">
        <v>22</v>
      </c>
      <c r="AF183" s="108" t="n">
        <v>22</v>
      </c>
      <c r="AG183" s="108" t="n">
        <v>22</v>
      </c>
      <c r="AI183" s="109" t="n">
        <f aca="false">INDEX($F183:$AG183,1,MATCH(AI$7,$F$7:$AG$7,1))</f>
        <v>0</v>
      </c>
      <c r="AJ183" s="109" t="n">
        <f aca="false">INDEX($F183:$AG183,1,MATCH(AJ$7,$F$7:$AG$7,1))</f>
        <v>0</v>
      </c>
      <c r="AK183" s="109" t="n">
        <f aca="false">INDEX($F183:$AG183,1,MATCH(AK$7,$F$7:$AG$7,1))</f>
        <v>11</v>
      </c>
      <c r="AL183" s="109" t="n">
        <f aca="false">INDEX($F183:$AG183,1,MATCH(AL$7,$F$7:$AG$7,1))</f>
        <v>22</v>
      </c>
      <c r="AM183" s="109" t="n">
        <f aca="false">INDEX($F183:$AG183,1,MATCH(AM$7,$F$7:$AG$7,1))</f>
        <v>22</v>
      </c>
      <c r="AN183" s="109" t="n">
        <f aca="false">INDEX($F183:$AG183,1,MATCH(AN$7,$F$7:$AG$7,1))</f>
        <v>22</v>
      </c>
      <c r="AO183" s="109" t="n">
        <f aca="false">INDEX($F183:$AG183,1,MATCH(AO$7,$F$7:$AG$7,1))</f>
        <v>22</v>
      </c>
    </row>
    <row r="184" customFormat="false" ht="15" hidden="false" customHeight="false" outlineLevel="0" collapsed="false">
      <c r="A184" s="107" t="s">
        <v>1621</v>
      </c>
      <c r="B184" s="22" t="s">
        <v>664</v>
      </c>
      <c r="C184" s="22" t="s">
        <v>540</v>
      </c>
      <c r="D184" s="22" t="s">
        <v>1480</v>
      </c>
      <c r="F184" s="109" t="n">
        <f aca="false">IF(CapV=2,N(F183),N(F182))</f>
        <v>0</v>
      </c>
      <c r="G184" s="109" t="n">
        <f aca="false">IF(CapV=2,N(G183),N(G182))</f>
        <v>0</v>
      </c>
      <c r="H184" s="109" t="n">
        <f aca="false">IF(CapV=2,N(H183),N(H182))</f>
        <v>0</v>
      </c>
      <c r="I184" s="109" t="n">
        <f aca="false">IF(CapV=2,N(I183),N(I182))</f>
        <v>0</v>
      </c>
      <c r="J184" s="109" t="n">
        <f aca="false">IF(CapV=2,N(J183),N(J182))</f>
        <v>0</v>
      </c>
      <c r="K184" s="109" t="n">
        <f aca="false">IF(CapV=2,N(K183),N(K182))</f>
        <v>0</v>
      </c>
      <c r="L184" s="109" t="n">
        <f aca="false">IF(CapV=2,N(L183),N(L182))</f>
        <v>0</v>
      </c>
      <c r="M184" s="109" t="n">
        <f aca="false">IF(CapV=2,N(M183),N(M182))</f>
        <v>0</v>
      </c>
      <c r="N184" s="109" t="n">
        <f aca="false">IF(CapV=2,N(N183),N(N182))</f>
        <v>0</v>
      </c>
      <c r="O184" s="109" t="n">
        <f aca="false">IF(CapV=2,N(O183),N(O182))</f>
        <v>0</v>
      </c>
      <c r="P184" s="109" t="n">
        <f aca="false">IF(CapV=2,N(P183),N(P182))</f>
        <v>0</v>
      </c>
      <c r="Q184" s="109" t="n">
        <f aca="false">IF(CapV=2,N(Q183),N(Q182))</f>
        <v>11</v>
      </c>
      <c r="R184" s="109" t="n">
        <f aca="false">IF(CapV=2,N(R183),N(R182))</f>
        <v>22</v>
      </c>
      <c r="S184" s="109" t="n">
        <f aca="false">IF(CapV=2,N(S183),N(S182))</f>
        <v>22</v>
      </c>
      <c r="T184" s="109" t="n">
        <f aca="false">IF(CapV=2,N(T183),N(T182))</f>
        <v>22</v>
      </c>
      <c r="U184" s="109" t="n">
        <f aca="false">IF(CapV=2,N(U183),N(U182))</f>
        <v>22</v>
      </c>
      <c r="V184" s="109" t="n">
        <f aca="false">IF(CapV=2,N(V183),N(V182))</f>
        <v>22</v>
      </c>
      <c r="W184" s="109" t="n">
        <f aca="false">IF(CapV=2,N(W183),N(W182))</f>
        <v>22</v>
      </c>
      <c r="X184" s="109" t="n">
        <f aca="false">IF(CapV=2,N(X183),N(X182))</f>
        <v>22</v>
      </c>
      <c r="Y184" s="109" t="n">
        <f aca="false">IF(CapV=2,N(Y183),N(Y182))</f>
        <v>22</v>
      </c>
      <c r="Z184" s="109" t="n">
        <f aca="false">IF(CapV=2,N(Z183),N(Z182))</f>
        <v>22</v>
      </c>
      <c r="AA184" s="109" t="n">
        <f aca="false">IF(CapV=2,N(AA183),N(AA182))</f>
        <v>22</v>
      </c>
      <c r="AB184" s="109" t="n">
        <f aca="false">IF(CapV=2,N(AB183),N(AB182))</f>
        <v>22</v>
      </c>
      <c r="AC184" s="109" t="n">
        <f aca="false">IF(CapV=2,N(AC183),N(AC182))</f>
        <v>22</v>
      </c>
      <c r="AD184" s="109" t="n">
        <f aca="false">IF(CapV=2,N(AD183),N(AD182))</f>
        <v>22</v>
      </c>
      <c r="AE184" s="109" t="n">
        <f aca="false">IF(CapV=2,N(AE183),N(AE182))</f>
        <v>22</v>
      </c>
      <c r="AF184" s="109" t="n">
        <f aca="false">IF(CapV=2,N(AF183),N(AF182))</f>
        <v>22</v>
      </c>
      <c r="AG184" s="109" t="n">
        <f aca="false">IF(CapV=2,N(AG183),N(AG182))</f>
        <v>22</v>
      </c>
      <c r="AI184" s="109" t="n">
        <f aca="false">INDEX($F184:$AG184,1,MATCH(AI$7,$F$7:$AG$7,1))</f>
        <v>0</v>
      </c>
      <c r="AJ184" s="109" t="n">
        <f aca="false">INDEX($F184:$AG184,1,MATCH(AJ$7,$F$7:$AG$7,1))</f>
        <v>0</v>
      </c>
      <c r="AK184" s="109" t="n">
        <f aca="false">INDEX($F184:$AG184,1,MATCH(AK$7,$F$7:$AG$7,1))</f>
        <v>11</v>
      </c>
      <c r="AL184" s="109" t="n">
        <f aca="false">INDEX($F184:$AG184,1,MATCH(AL$7,$F$7:$AG$7,1))</f>
        <v>22</v>
      </c>
      <c r="AM184" s="109" t="n">
        <f aca="false">INDEX($F184:$AG184,1,MATCH(AM$7,$F$7:$AG$7,1))</f>
        <v>22</v>
      </c>
      <c r="AN184" s="109" t="n">
        <f aca="false">INDEX($F184:$AG184,1,MATCH(AN$7,$F$7:$AG$7,1))</f>
        <v>22</v>
      </c>
      <c r="AO184" s="109" t="n">
        <f aca="false">INDEX($F184:$AG184,1,MATCH(AO$7,$F$7:$AG$7,1))</f>
        <v>22</v>
      </c>
    </row>
    <row r="185" customFormat="false" ht="15" hidden="false" customHeight="false" outlineLevel="0" collapsed="false">
      <c r="A185" s="107" t="s">
        <v>1622</v>
      </c>
      <c r="B185" s="22" t="s">
        <v>664</v>
      </c>
      <c r="C185" s="22" t="s">
        <v>558</v>
      </c>
      <c r="D185" s="22" t="s">
        <v>1476</v>
      </c>
      <c r="F185" s="108" t="n">
        <v>0</v>
      </c>
      <c r="G185" s="108" t="n">
        <v>0</v>
      </c>
      <c r="H185" s="108" t="n">
        <v>0</v>
      </c>
      <c r="I185" s="108" t="n">
        <v>0</v>
      </c>
      <c r="J185" s="108" t="n">
        <v>0</v>
      </c>
      <c r="K185" s="108" t="n">
        <v>0</v>
      </c>
      <c r="L185" s="108" t="n">
        <v>0</v>
      </c>
      <c r="M185" s="108" t="n">
        <v>0</v>
      </c>
      <c r="N185" s="108" t="n">
        <v>0</v>
      </c>
      <c r="O185" s="108" t="n">
        <v>0</v>
      </c>
      <c r="P185" s="108" t="n">
        <v>0</v>
      </c>
      <c r="Q185" s="108" t="n">
        <v>0</v>
      </c>
      <c r="R185" s="108" t="n">
        <v>20</v>
      </c>
      <c r="S185" s="108" t="n">
        <v>39</v>
      </c>
      <c r="T185" s="108" t="n">
        <v>58</v>
      </c>
      <c r="U185" s="108" t="n">
        <v>58</v>
      </c>
      <c r="V185" s="108" t="n">
        <v>58</v>
      </c>
      <c r="W185" s="108" t="n">
        <v>58</v>
      </c>
      <c r="X185" s="108" t="n">
        <v>58</v>
      </c>
      <c r="Y185" s="108" t="n">
        <v>58</v>
      </c>
      <c r="Z185" s="108" t="n">
        <v>58</v>
      </c>
      <c r="AA185" s="108" t="n">
        <v>58</v>
      </c>
      <c r="AB185" s="108" t="n">
        <v>58</v>
      </c>
      <c r="AC185" s="108" t="n">
        <v>58</v>
      </c>
      <c r="AD185" s="108" t="n">
        <v>58</v>
      </c>
      <c r="AE185" s="108" t="n">
        <v>58</v>
      </c>
      <c r="AF185" s="108" t="n">
        <v>58</v>
      </c>
      <c r="AG185" s="108" t="n">
        <v>58</v>
      </c>
      <c r="AI185" s="109" t="n">
        <f aca="false">INDEX($F185:$AG185,1,MATCH(AI$7,$F$7:$AG$7,1))</f>
        <v>0</v>
      </c>
      <c r="AJ185" s="109" t="n">
        <f aca="false">INDEX($F185:$AG185,1,MATCH(AJ$7,$F$7:$AG$7,1))</f>
        <v>0</v>
      </c>
      <c r="AK185" s="109" t="n">
        <f aca="false">INDEX($F185:$AG185,1,MATCH(AK$7,$F$7:$AG$7,1))</f>
        <v>0</v>
      </c>
      <c r="AL185" s="109" t="n">
        <f aca="false">INDEX($F185:$AG185,1,MATCH(AL$7,$F$7:$AG$7,1))</f>
        <v>58</v>
      </c>
      <c r="AM185" s="109" t="n">
        <f aca="false">INDEX($F185:$AG185,1,MATCH(AM$7,$F$7:$AG$7,1))</f>
        <v>58</v>
      </c>
      <c r="AN185" s="109" t="n">
        <f aca="false">INDEX($F185:$AG185,1,MATCH(AN$7,$F$7:$AG$7,1))</f>
        <v>58</v>
      </c>
      <c r="AO185" s="109" t="n">
        <f aca="false">INDEX($F185:$AG185,1,MATCH(AO$7,$F$7:$AG$7,1))</f>
        <v>58</v>
      </c>
    </row>
    <row r="186" customFormat="false" ht="15" hidden="false" customHeight="false" outlineLevel="0" collapsed="false">
      <c r="A186" s="107" t="s">
        <v>1623</v>
      </c>
      <c r="B186" s="22" t="s">
        <v>664</v>
      </c>
      <c r="C186" s="22" t="s">
        <v>558</v>
      </c>
      <c r="D186" s="22" t="s">
        <v>1478</v>
      </c>
      <c r="F186" s="108" t="n">
        <v>0</v>
      </c>
      <c r="G186" s="108" t="n">
        <v>0</v>
      </c>
      <c r="H186" s="108" t="n">
        <v>0</v>
      </c>
      <c r="I186" s="108" t="n">
        <v>0</v>
      </c>
      <c r="J186" s="108" t="n">
        <v>0</v>
      </c>
      <c r="K186" s="108" t="n">
        <v>0</v>
      </c>
      <c r="L186" s="108" t="n">
        <v>0</v>
      </c>
      <c r="M186" s="108" t="n">
        <v>0</v>
      </c>
      <c r="N186" s="108" t="n">
        <v>0</v>
      </c>
      <c r="O186" s="108" t="n">
        <v>0</v>
      </c>
      <c r="P186" s="108" t="n">
        <v>0</v>
      </c>
      <c r="Q186" s="108" t="n">
        <v>0</v>
      </c>
      <c r="R186" s="108" t="n">
        <v>0</v>
      </c>
      <c r="S186" s="108" t="n">
        <v>20</v>
      </c>
      <c r="T186" s="108" t="n">
        <v>39</v>
      </c>
      <c r="U186" s="108" t="n">
        <v>58</v>
      </c>
      <c r="V186" s="108" t="n">
        <v>58</v>
      </c>
      <c r="W186" s="108" t="n">
        <v>58</v>
      </c>
      <c r="X186" s="108" t="n">
        <v>58</v>
      </c>
      <c r="Y186" s="108" t="n">
        <v>58</v>
      </c>
      <c r="Z186" s="108" t="n">
        <v>58</v>
      </c>
      <c r="AA186" s="108" t="n">
        <v>58</v>
      </c>
      <c r="AB186" s="108" t="n">
        <v>58</v>
      </c>
      <c r="AC186" s="108" t="n">
        <v>58</v>
      </c>
      <c r="AD186" s="108" t="n">
        <v>58</v>
      </c>
      <c r="AE186" s="108" t="n">
        <v>58</v>
      </c>
      <c r="AF186" s="108" t="n">
        <v>58</v>
      </c>
      <c r="AG186" s="108" t="n">
        <v>58</v>
      </c>
      <c r="AI186" s="109" t="n">
        <f aca="false">INDEX($F186:$AG186,1,MATCH(AI$7,$F$7:$AG$7,1))</f>
        <v>0</v>
      </c>
      <c r="AJ186" s="109" t="n">
        <f aca="false">INDEX($F186:$AG186,1,MATCH(AJ$7,$F$7:$AG$7,1))</f>
        <v>0</v>
      </c>
      <c r="AK186" s="109" t="n">
        <f aca="false">INDEX($F186:$AG186,1,MATCH(AK$7,$F$7:$AG$7,1))</f>
        <v>0</v>
      </c>
      <c r="AL186" s="109" t="n">
        <f aca="false">INDEX($F186:$AG186,1,MATCH(AL$7,$F$7:$AG$7,1))</f>
        <v>58</v>
      </c>
      <c r="AM186" s="109" t="n">
        <f aca="false">INDEX($F186:$AG186,1,MATCH(AM$7,$F$7:$AG$7,1))</f>
        <v>58</v>
      </c>
      <c r="AN186" s="109" t="n">
        <f aca="false">INDEX($F186:$AG186,1,MATCH(AN$7,$F$7:$AG$7,1))</f>
        <v>58</v>
      </c>
      <c r="AO186" s="109" t="n">
        <f aca="false">INDEX($F186:$AG186,1,MATCH(AO$7,$F$7:$AG$7,1))</f>
        <v>58</v>
      </c>
    </row>
    <row r="187" customFormat="false" ht="15" hidden="false" customHeight="false" outlineLevel="0" collapsed="false">
      <c r="A187" s="107" t="s">
        <v>1624</v>
      </c>
      <c r="B187" s="22" t="s">
        <v>664</v>
      </c>
      <c r="C187" s="22" t="s">
        <v>540</v>
      </c>
      <c r="D187" s="22" t="s">
        <v>1480</v>
      </c>
      <c r="F187" s="109" t="n">
        <f aca="false">IF(CapV=2,N(F186),N(F185))</f>
        <v>0</v>
      </c>
      <c r="G187" s="109" t="n">
        <f aca="false">IF(CapV=2,N(G186),N(G185))</f>
        <v>0</v>
      </c>
      <c r="H187" s="109" t="n">
        <f aca="false">IF(CapV=2,N(H186),N(H185))</f>
        <v>0</v>
      </c>
      <c r="I187" s="109" t="n">
        <f aca="false">IF(CapV=2,N(I186),N(I185))</f>
        <v>0</v>
      </c>
      <c r="J187" s="109" t="n">
        <f aca="false">IF(CapV=2,N(J186),N(J185))</f>
        <v>0</v>
      </c>
      <c r="K187" s="109" t="n">
        <f aca="false">IF(CapV=2,N(K186),N(K185))</f>
        <v>0</v>
      </c>
      <c r="L187" s="109" t="n">
        <f aca="false">IF(CapV=2,N(L186),N(L185))</f>
        <v>0</v>
      </c>
      <c r="M187" s="109" t="n">
        <f aca="false">IF(CapV=2,N(M186),N(M185))</f>
        <v>0</v>
      </c>
      <c r="N187" s="109" t="n">
        <f aca="false">IF(CapV=2,N(N186),N(N185))</f>
        <v>0</v>
      </c>
      <c r="O187" s="109" t="n">
        <f aca="false">IF(CapV=2,N(O186),N(O185))</f>
        <v>0</v>
      </c>
      <c r="P187" s="109" t="n">
        <f aca="false">IF(CapV=2,N(P186),N(P185))</f>
        <v>0</v>
      </c>
      <c r="Q187" s="109" t="n">
        <f aca="false">IF(CapV=2,N(Q186),N(Q185))</f>
        <v>0</v>
      </c>
      <c r="R187" s="109" t="n">
        <f aca="false">IF(CapV=2,N(R186),N(R185))</f>
        <v>0</v>
      </c>
      <c r="S187" s="109" t="n">
        <f aca="false">IF(CapV=2,N(S186),N(S185))</f>
        <v>20</v>
      </c>
      <c r="T187" s="109" t="n">
        <f aca="false">IF(CapV=2,N(T186),N(T185))</f>
        <v>39</v>
      </c>
      <c r="U187" s="109" t="n">
        <f aca="false">IF(CapV=2,N(U186),N(U185))</f>
        <v>58</v>
      </c>
      <c r="V187" s="109" t="n">
        <f aca="false">IF(CapV=2,N(V186),N(V185))</f>
        <v>58</v>
      </c>
      <c r="W187" s="109" t="n">
        <f aca="false">IF(CapV=2,N(W186),N(W185))</f>
        <v>58</v>
      </c>
      <c r="X187" s="109" t="n">
        <f aca="false">IF(CapV=2,N(X186),N(X185))</f>
        <v>58</v>
      </c>
      <c r="Y187" s="109" t="n">
        <f aca="false">IF(CapV=2,N(Y186),N(Y185))</f>
        <v>58</v>
      </c>
      <c r="Z187" s="109" t="n">
        <f aca="false">IF(CapV=2,N(Z186),N(Z185))</f>
        <v>58</v>
      </c>
      <c r="AA187" s="109" t="n">
        <f aca="false">IF(CapV=2,N(AA186),N(AA185))</f>
        <v>58</v>
      </c>
      <c r="AB187" s="109" t="n">
        <f aca="false">IF(CapV=2,N(AB186),N(AB185))</f>
        <v>58</v>
      </c>
      <c r="AC187" s="109" t="n">
        <f aca="false">IF(CapV=2,N(AC186),N(AC185))</f>
        <v>58</v>
      </c>
      <c r="AD187" s="109" t="n">
        <f aca="false">IF(CapV=2,N(AD186),N(AD185))</f>
        <v>58</v>
      </c>
      <c r="AE187" s="109" t="n">
        <f aca="false">IF(CapV=2,N(AE186),N(AE185))</f>
        <v>58</v>
      </c>
      <c r="AF187" s="109" t="n">
        <f aca="false">IF(CapV=2,N(AF186),N(AF185))</f>
        <v>58</v>
      </c>
      <c r="AG187" s="109" t="n">
        <f aca="false">IF(CapV=2,N(AG186),N(AG185))</f>
        <v>58</v>
      </c>
      <c r="AI187" s="109" t="n">
        <f aca="false">INDEX($F187:$AG187,1,MATCH(AI$7,$F$7:$AG$7,1))</f>
        <v>0</v>
      </c>
      <c r="AJ187" s="109" t="n">
        <f aca="false">INDEX($F187:$AG187,1,MATCH(AJ$7,$F$7:$AG$7,1))</f>
        <v>0</v>
      </c>
      <c r="AK187" s="109" t="n">
        <f aca="false">INDEX($F187:$AG187,1,MATCH(AK$7,$F$7:$AG$7,1))</f>
        <v>0</v>
      </c>
      <c r="AL187" s="109" t="n">
        <f aca="false">INDEX($F187:$AG187,1,MATCH(AL$7,$F$7:$AG$7,1))</f>
        <v>58</v>
      </c>
      <c r="AM187" s="109" t="n">
        <f aca="false">INDEX($F187:$AG187,1,MATCH(AM$7,$F$7:$AG$7,1))</f>
        <v>58</v>
      </c>
      <c r="AN187" s="109" t="n">
        <f aca="false">INDEX($F187:$AG187,1,MATCH(AN$7,$F$7:$AG$7,1))</f>
        <v>58</v>
      </c>
      <c r="AO187" s="109" t="n">
        <f aca="false">INDEX($F187:$AG187,1,MATCH(AO$7,$F$7:$AG$7,1))</f>
        <v>58</v>
      </c>
    </row>
    <row r="188" customFormat="false" ht="15" hidden="false" customHeight="false" outlineLevel="0" collapsed="false">
      <c r="A188" s="107" t="s">
        <v>1625</v>
      </c>
      <c r="B188" s="22" t="s">
        <v>664</v>
      </c>
      <c r="C188" s="22" t="s">
        <v>558</v>
      </c>
      <c r="D188" s="22" t="s">
        <v>1476</v>
      </c>
      <c r="F188" s="108" t="n">
        <v>0</v>
      </c>
      <c r="G188" s="108" t="n">
        <v>0</v>
      </c>
      <c r="H188" s="108" t="n">
        <v>0</v>
      </c>
      <c r="I188" s="108" t="n">
        <v>0</v>
      </c>
      <c r="J188" s="108" t="n">
        <v>0</v>
      </c>
      <c r="K188" s="108" t="n">
        <v>0</v>
      </c>
      <c r="L188" s="108" t="n">
        <v>0</v>
      </c>
      <c r="M188" s="108" t="n">
        <v>0</v>
      </c>
      <c r="N188" s="108" t="n">
        <v>0</v>
      </c>
      <c r="O188" s="108" t="n">
        <v>0</v>
      </c>
      <c r="P188" s="108" t="n">
        <v>0</v>
      </c>
      <c r="Q188" s="108" t="n">
        <v>19.5</v>
      </c>
      <c r="R188" s="108" t="n">
        <v>39</v>
      </c>
      <c r="S188" s="108" t="n">
        <v>48.5</v>
      </c>
      <c r="T188" s="108" t="n">
        <v>58</v>
      </c>
      <c r="U188" s="108" t="n">
        <v>58</v>
      </c>
      <c r="V188" s="108" t="n">
        <v>58</v>
      </c>
      <c r="W188" s="108" t="n">
        <v>58</v>
      </c>
      <c r="X188" s="108" t="n">
        <v>58</v>
      </c>
      <c r="Y188" s="108" t="n">
        <v>58</v>
      </c>
      <c r="Z188" s="108" t="n">
        <v>58</v>
      </c>
      <c r="AA188" s="108" t="n">
        <v>58</v>
      </c>
      <c r="AB188" s="108" t="n">
        <v>58</v>
      </c>
      <c r="AC188" s="108" t="n">
        <v>58</v>
      </c>
      <c r="AD188" s="108" t="n">
        <v>58</v>
      </c>
      <c r="AE188" s="108" t="n">
        <v>58</v>
      </c>
      <c r="AF188" s="108" t="n">
        <v>58</v>
      </c>
      <c r="AG188" s="108" t="n">
        <v>58</v>
      </c>
      <c r="AI188" s="109" t="n">
        <f aca="false">INDEX($F188:$AG188,1,MATCH(AI$7,$F$7:$AG$7,1))</f>
        <v>0</v>
      </c>
      <c r="AJ188" s="109" t="n">
        <f aca="false">INDEX($F188:$AG188,1,MATCH(AJ$7,$F$7:$AG$7,1))</f>
        <v>0</v>
      </c>
      <c r="AK188" s="109" t="n">
        <f aca="false">INDEX($F188:$AG188,1,MATCH(AK$7,$F$7:$AG$7,1))</f>
        <v>19.5</v>
      </c>
      <c r="AL188" s="109" t="n">
        <f aca="false">INDEX($F188:$AG188,1,MATCH(AL$7,$F$7:$AG$7,1))</f>
        <v>58</v>
      </c>
      <c r="AM188" s="109" t="n">
        <f aca="false">INDEX($F188:$AG188,1,MATCH(AM$7,$F$7:$AG$7,1))</f>
        <v>58</v>
      </c>
      <c r="AN188" s="109" t="n">
        <f aca="false">INDEX($F188:$AG188,1,MATCH(AN$7,$F$7:$AG$7,1))</f>
        <v>58</v>
      </c>
      <c r="AO188" s="109" t="n">
        <f aca="false">INDEX($F188:$AG188,1,MATCH(AO$7,$F$7:$AG$7,1))</f>
        <v>58</v>
      </c>
    </row>
    <row r="189" customFormat="false" ht="15" hidden="false" customHeight="false" outlineLevel="0" collapsed="false">
      <c r="A189" s="107" t="s">
        <v>1626</v>
      </c>
      <c r="B189" s="22" t="s">
        <v>664</v>
      </c>
      <c r="C189" s="22" t="s">
        <v>558</v>
      </c>
      <c r="D189" s="22" t="s">
        <v>1478</v>
      </c>
      <c r="F189" s="108" t="n">
        <v>0</v>
      </c>
      <c r="G189" s="108" t="n">
        <v>0</v>
      </c>
      <c r="H189" s="108" t="n">
        <v>0</v>
      </c>
      <c r="I189" s="108" t="n">
        <v>0</v>
      </c>
      <c r="J189" s="108" t="n">
        <v>0</v>
      </c>
      <c r="K189" s="108" t="n">
        <v>0</v>
      </c>
      <c r="L189" s="108" t="n">
        <v>0</v>
      </c>
      <c r="M189" s="108" t="n">
        <v>0</v>
      </c>
      <c r="N189" s="108" t="n">
        <v>0</v>
      </c>
      <c r="O189" s="108" t="n">
        <v>0</v>
      </c>
      <c r="P189" s="108" t="n">
        <v>0</v>
      </c>
      <c r="Q189" s="108" t="n">
        <v>0</v>
      </c>
      <c r="R189" s="108" t="n">
        <v>10</v>
      </c>
      <c r="S189" s="108" t="n">
        <v>29.5</v>
      </c>
      <c r="T189" s="108" t="n">
        <v>48.5</v>
      </c>
      <c r="U189" s="108" t="n">
        <v>58</v>
      </c>
      <c r="V189" s="108" t="n">
        <v>58</v>
      </c>
      <c r="W189" s="108" t="n">
        <v>58</v>
      </c>
      <c r="X189" s="108" t="n">
        <v>58</v>
      </c>
      <c r="Y189" s="108" t="n">
        <v>58</v>
      </c>
      <c r="Z189" s="108" t="n">
        <v>58</v>
      </c>
      <c r="AA189" s="108" t="n">
        <v>58</v>
      </c>
      <c r="AB189" s="108" t="n">
        <v>58</v>
      </c>
      <c r="AC189" s="108" t="n">
        <v>58</v>
      </c>
      <c r="AD189" s="108" t="n">
        <v>58</v>
      </c>
      <c r="AE189" s="108" t="n">
        <v>58</v>
      </c>
      <c r="AF189" s="108" t="n">
        <v>58</v>
      </c>
      <c r="AG189" s="108" t="n">
        <v>58</v>
      </c>
      <c r="AI189" s="109" t="n">
        <f aca="false">INDEX($F189:$AG189,1,MATCH(AI$7,$F$7:$AG$7,1))</f>
        <v>0</v>
      </c>
      <c r="AJ189" s="109" t="n">
        <f aca="false">INDEX($F189:$AG189,1,MATCH(AJ$7,$F$7:$AG$7,1))</f>
        <v>0</v>
      </c>
      <c r="AK189" s="109" t="n">
        <f aca="false">INDEX($F189:$AG189,1,MATCH(AK$7,$F$7:$AG$7,1))</f>
        <v>0</v>
      </c>
      <c r="AL189" s="109" t="n">
        <f aca="false">INDEX($F189:$AG189,1,MATCH(AL$7,$F$7:$AG$7,1))</f>
        <v>58</v>
      </c>
      <c r="AM189" s="109" t="n">
        <f aca="false">INDEX($F189:$AG189,1,MATCH(AM$7,$F$7:$AG$7,1))</f>
        <v>58</v>
      </c>
      <c r="AN189" s="109" t="n">
        <f aca="false">INDEX($F189:$AG189,1,MATCH(AN$7,$F$7:$AG$7,1))</f>
        <v>58</v>
      </c>
      <c r="AO189" s="109" t="n">
        <f aca="false">INDEX($F189:$AG189,1,MATCH(AO$7,$F$7:$AG$7,1))</f>
        <v>58</v>
      </c>
    </row>
    <row r="190" customFormat="false" ht="15" hidden="false" customHeight="false" outlineLevel="0" collapsed="false">
      <c r="A190" s="107" t="s">
        <v>1627</v>
      </c>
      <c r="B190" s="22" t="s">
        <v>664</v>
      </c>
      <c r="C190" s="22" t="s">
        <v>540</v>
      </c>
      <c r="D190" s="22" t="s">
        <v>1480</v>
      </c>
      <c r="F190" s="109" t="n">
        <f aca="false">IF(CapV=2,N(F189),N(F188))</f>
        <v>0</v>
      </c>
      <c r="G190" s="109" t="n">
        <f aca="false">IF(CapV=2,N(G189),N(G188))</f>
        <v>0</v>
      </c>
      <c r="H190" s="109" t="n">
        <f aca="false">IF(CapV=2,N(H189),N(H188))</f>
        <v>0</v>
      </c>
      <c r="I190" s="109" t="n">
        <f aca="false">IF(CapV=2,N(I189),N(I188))</f>
        <v>0</v>
      </c>
      <c r="J190" s="109" t="n">
        <f aca="false">IF(CapV=2,N(J189),N(J188))</f>
        <v>0</v>
      </c>
      <c r="K190" s="109" t="n">
        <f aca="false">IF(CapV=2,N(K189),N(K188))</f>
        <v>0</v>
      </c>
      <c r="L190" s="109" t="n">
        <f aca="false">IF(CapV=2,N(L189),N(L188))</f>
        <v>0</v>
      </c>
      <c r="M190" s="109" t="n">
        <f aca="false">IF(CapV=2,N(M189),N(M188))</f>
        <v>0</v>
      </c>
      <c r="N190" s="109" t="n">
        <f aca="false">IF(CapV=2,N(N189),N(N188))</f>
        <v>0</v>
      </c>
      <c r="O190" s="109" t="n">
        <f aca="false">IF(CapV=2,N(O189),N(O188))</f>
        <v>0</v>
      </c>
      <c r="P190" s="109" t="n">
        <f aca="false">IF(CapV=2,N(P189),N(P188))</f>
        <v>0</v>
      </c>
      <c r="Q190" s="109" t="n">
        <f aca="false">IF(CapV=2,N(Q189),N(Q188))</f>
        <v>0</v>
      </c>
      <c r="R190" s="109" t="n">
        <f aca="false">IF(CapV=2,N(R189),N(R188))</f>
        <v>10</v>
      </c>
      <c r="S190" s="109" t="n">
        <f aca="false">IF(CapV=2,N(S189),N(S188))</f>
        <v>29.5</v>
      </c>
      <c r="T190" s="109" t="n">
        <f aca="false">IF(CapV=2,N(T189),N(T188))</f>
        <v>48.5</v>
      </c>
      <c r="U190" s="109" t="n">
        <f aca="false">IF(CapV=2,N(U189),N(U188))</f>
        <v>58</v>
      </c>
      <c r="V190" s="109" t="n">
        <f aca="false">IF(CapV=2,N(V189),N(V188))</f>
        <v>58</v>
      </c>
      <c r="W190" s="109" t="n">
        <f aca="false">IF(CapV=2,N(W189),N(W188))</f>
        <v>58</v>
      </c>
      <c r="X190" s="109" t="n">
        <f aca="false">IF(CapV=2,N(X189),N(X188))</f>
        <v>58</v>
      </c>
      <c r="Y190" s="109" t="n">
        <f aca="false">IF(CapV=2,N(Y189),N(Y188))</f>
        <v>58</v>
      </c>
      <c r="Z190" s="109" t="n">
        <f aca="false">IF(CapV=2,N(Z189),N(Z188))</f>
        <v>58</v>
      </c>
      <c r="AA190" s="109" t="n">
        <f aca="false">IF(CapV=2,N(AA189),N(AA188))</f>
        <v>58</v>
      </c>
      <c r="AB190" s="109" t="n">
        <f aca="false">IF(CapV=2,N(AB189),N(AB188))</f>
        <v>58</v>
      </c>
      <c r="AC190" s="109" t="n">
        <f aca="false">IF(CapV=2,N(AC189),N(AC188))</f>
        <v>58</v>
      </c>
      <c r="AD190" s="109" t="n">
        <f aca="false">IF(CapV=2,N(AD189),N(AD188))</f>
        <v>58</v>
      </c>
      <c r="AE190" s="109" t="n">
        <f aca="false">IF(CapV=2,N(AE189),N(AE188))</f>
        <v>58</v>
      </c>
      <c r="AF190" s="109" t="n">
        <f aca="false">IF(CapV=2,N(AF189),N(AF188))</f>
        <v>58</v>
      </c>
      <c r="AG190" s="109" t="n">
        <f aca="false">IF(CapV=2,N(AG189),N(AG188))</f>
        <v>58</v>
      </c>
      <c r="AI190" s="109" t="n">
        <f aca="false">INDEX($F190:$AG190,1,MATCH(AI$7,$F$7:$AG$7,1))</f>
        <v>0</v>
      </c>
      <c r="AJ190" s="109" t="n">
        <f aca="false">INDEX($F190:$AG190,1,MATCH(AJ$7,$F$7:$AG$7,1))</f>
        <v>0</v>
      </c>
      <c r="AK190" s="109" t="n">
        <f aca="false">INDEX($F190:$AG190,1,MATCH(AK$7,$F$7:$AG$7,1))</f>
        <v>0</v>
      </c>
      <c r="AL190" s="109" t="n">
        <f aca="false">INDEX($F190:$AG190,1,MATCH(AL$7,$F$7:$AG$7,1))</f>
        <v>58</v>
      </c>
      <c r="AM190" s="109" t="n">
        <f aca="false">INDEX($F190:$AG190,1,MATCH(AM$7,$F$7:$AG$7,1))</f>
        <v>58</v>
      </c>
      <c r="AN190" s="109" t="n">
        <f aca="false">INDEX($F190:$AG190,1,MATCH(AN$7,$F$7:$AG$7,1))</f>
        <v>58</v>
      </c>
      <c r="AO190" s="109" t="n">
        <f aca="false">INDEX($F190:$AG190,1,MATCH(AO$7,$F$7:$AG$7,1))</f>
        <v>58</v>
      </c>
    </row>
    <row r="191" customFormat="false" ht="15" hidden="false" customHeight="false" outlineLevel="0" collapsed="false">
      <c r="A191" s="107" t="s">
        <v>1628</v>
      </c>
      <c r="B191" s="22" t="s">
        <v>664</v>
      </c>
      <c r="C191" s="22" t="s">
        <v>558</v>
      </c>
      <c r="D191" s="22" t="s">
        <v>1476</v>
      </c>
      <c r="F191" s="108" t="n">
        <v>0</v>
      </c>
      <c r="G191" s="108" t="n">
        <v>0</v>
      </c>
      <c r="H191" s="108" t="n">
        <v>0</v>
      </c>
      <c r="I191" s="108" t="n">
        <v>0</v>
      </c>
      <c r="J191" s="108" t="n">
        <v>0</v>
      </c>
      <c r="K191" s="108" t="n">
        <v>0</v>
      </c>
      <c r="L191" s="108" t="n">
        <v>0</v>
      </c>
      <c r="M191" s="108" t="n">
        <v>0</v>
      </c>
      <c r="N191" s="108" t="n">
        <v>0</v>
      </c>
      <c r="O191" s="108" t="n">
        <v>0</v>
      </c>
      <c r="P191" s="108" t="n">
        <v>0</v>
      </c>
      <c r="Q191" s="108" t="n">
        <v>39</v>
      </c>
      <c r="R191" s="108" t="n">
        <v>58</v>
      </c>
      <c r="S191" s="108" t="n">
        <v>58</v>
      </c>
      <c r="T191" s="108" t="n">
        <v>58</v>
      </c>
      <c r="U191" s="108" t="n">
        <v>58</v>
      </c>
      <c r="V191" s="108" t="n">
        <v>58</v>
      </c>
      <c r="W191" s="108" t="n">
        <v>58</v>
      </c>
      <c r="X191" s="108" t="n">
        <v>58</v>
      </c>
      <c r="Y191" s="108" t="n">
        <v>58</v>
      </c>
      <c r="Z191" s="108" t="n">
        <v>58</v>
      </c>
      <c r="AA191" s="108" t="n">
        <v>58</v>
      </c>
      <c r="AB191" s="108" t="n">
        <v>58</v>
      </c>
      <c r="AC191" s="108" t="n">
        <v>58</v>
      </c>
      <c r="AD191" s="108" t="n">
        <v>58</v>
      </c>
      <c r="AE191" s="108" t="n">
        <v>58</v>
      </c>
      <c r="AF191" s="108" t="n">
        <v>58</v>
      </c>
      <c r="AG191" s="108" t="n">
        <v>58</v>
      </c>
      <c r="AI191" s="109" t="n">
        <f aca="false">INDEX($F191:$AG191,1,MATCH(AI$7,$F$7:$AG$7,1))</f>
        <v>0</v>
      </c>
      <c r="AJ191" s="109" t="n">
        <f aca="false">INDEX($F191:$AG191,1,MATCH(AJ$7,$F$7:$AG$7,1))</f>
        <v>0</v>
      </c>
      <c r="AK191" s="109" t="n">
        <f aca="false">INDEX($F191:$AG191,1,MATCH(AK$7,$F$7:$AG$7,1))</f>
        <v>39</v>
      </c>
      <c r="AL191" s="109" t="n">
        <f aca="false">INDEX($F191:$AG191,1,MATCH(AL$7,$F$7:$AG$7,1))</f>
        <v>58</v>
      </c>
      <c r="AM191" s="109" t="n">
        <f aca="false">INDEX($F191:$AG191,1,MATCH(AM$7,$F$7:$AG$7,1))</f>
        <v>58</v>
      </c>
      <c r="AN191" s="109" t="n">
        <f aca="false">INDEX($F191:$AG191,1,MATCH(AN$7,$F$7:$AG$7,1))</f>
        <v>58</v>
      </c>
      <c r="AO191" s="109" t="n">
        <f aca="false">INDEX($F191:$AG191,1,MATCH(AO$7,$F$7:$AG$7,1))</f>
        <v>58</v>
      </c>
    </row>
    <row r="192" customFormat="false" ht="15" hidden="false" customHeight="false" outlineLevel="0" collapsed="false">
      <c r="A192" s="107" t="s">
        <v>1629</v>
      </c>
      <c r="B192" s="22" t="s">
        <v>664</v>
      </c>
      <c r="C192" s="22" t="s">
        <v>558</v>
      </c>
      <c r="D192" s="22" t="s">
        <v>1478</v>
      </c>
      <c r="F192" s="108" t="n">
        <v>0</v>
      </c>
      <c r="G192" s="108" t="n">
        <v>0</v>
      </c>
      <c r="H192" s="108" t="n">
        <v>0</v>
      </c>
      <c r="I192" s="108" t="n">
        <v>0</v>
      </c>
      <c r="J192" s="108" t="n">
        <v>0</v>
      </c>
      <c r="K192" s="108" t="n">
        <v>0</v>
      </c>
      <c r="L192" s="108" t="n">
        <v>0</v>
      </c>
      <c r="M192" s="108" t="n">
        <v>0</v>
      </c>
      <c r="N192" s="108" t="n">
        <v>0</v>
      </c>
      <c r="O192" s="108" t="n">
        <v>0</v>
      </c>
      <c r="P192" s="108" t="n">
        <v>0</v>
      </c>
      <c r="Q192" s="108" t="n">
        <v>0</v>
      </c>
      <c r="R192" s="108" t="n">
        <v>20</v>
      </c>
      <c r="S192" s="108" t="n">
        <v>39</v>
      </c>
      <c r="T192" s="108" t="n">
        <v>58</v>
      </c>
      <c r="U192" s="108" t="n">
        <v>58</v>
      </c>
      <c r="V192" s="108" t="n">
        <v>58</v>
      </c>
      <c r="W192" s="108" t="n">
        <v>58</v>
      </c>
      <c r="X192" s="108" t="n">
        <v>58</v>
      </c>
      <c r="Y192" s="108" t="n">
        <v>58</v>
      </c>
      <c r="Z192" s="108" t="n">
        <v>58</v>
      </c>
      <c r="AA192" s="108" t="n">
        <v>58</v>
      </c>
      <c r="AB192" s="108" t="n">
        <v>58</v>
      </c>
      <c r="AC192" s="108" t="n">
        <v>58</v>
      </c>
      <c r="AD192" s="108" t="n">
        <v>58</v>
      </c>
      <c r="AE192" s="108" t="n">
        <v>58</v>
      </c>
      <c r="AF192" s="108" t="n">
        <v>58</v>
      </c>
      <c r="AG192" s="108" t="n">
        <v>58</v>
      </c>
      <c r="AI192" s="109" t="n">
        <f aca="false">INDEX($F192:$AG192,1,MATCH(AI$7,$F$7:$AG$7,1))</f>
        <v>0</v>
      </c>
      <c r="AJ192" s="109" t="n">
        <f aca="false">INDEX($F192:$AG192,1,MATCH(AJ$7,$F$7:$AG$7,1))</f>
        <v>0</v>
      </c>
      <c r="AK192" s="109" t="n">
        <f aca="false">INDEX($F192:$AG192,1,MATCH(AK$7,$F$7:$AG$7,1))</f>
        <v>0</v>
      </c>
      <c r="AL192" s="109" t="n">
        <f aca="false">INDEX($F192:$AG192,1,MATCH(AL$7,$F$7:$AG$7,1))</f>
        <v>58</v>
      </c>
      <c r="AM192" s="109" t="n">
        <f aca="false">INDEX($F192:$AG192,1,MATCH(AM$7,$F$7:$AG$7,1))</f>
        <v>58</v>
      </c>
      <c r="AN192" s="109" t="n">
        <f aca="false">INDEX($F192:$AG192,1,MATCH(AN$7,$F$7:$AG$7,1))</f>
        <v>58</v>
      </c>
      <c r="AO192" s="109" t="n">
        <f aca="false">INDEX($F192:$AG192,1,MATCH(AO$7,$F$7:$AG$7,1))</f>
        <v>58</v>
      </c>
    </row>
    <row r="193" customFormat="false" ht="15" hidden="false" customHeight="false" outlineLevel="0" collapsed="false">
      <c r="A193" s="107" t="s">
        <v>1630</v>
      </c>
      <c r="B193" s="22" t="s">
        <v>664</v>
      </c>
      <c r="C193" s="22" t="s">
        <v>540</v>
      </c>
      <c r="D193" s="22" t="s">
        <v>1480</v>
      </c>
      <c r="F193" s="109" t="n">
        <f aca="false">IF(CapV=2,N(F192),N(F191))</f>
        <v>0</v>
      </c>
      <c r="G193" s="109" t="n">
        <f aca="false">IF(CapV=2,N(G192),N(G191))</f>
        <v>0</v>
      </c>
      <c r="H193" s="109" t="n">
        <f aca="false">IF(CapV=2,N(H192),N(H191))</f>
        <v>0</v>
      </c>
      <c r="I193" s="109" t="n">
        <f aca="false">IF(CapV=2,N(I192),N(I191))</f>
        <v>0</v>
      </c>
      <c r="J193" s="109" t="n">
        <f aca="false">IF(CapV=2,N(J192),N(J191))</f>
        <v>0</v>
      </c>
      <c r="K193" s="109" t="n">
        <f aca="false">IF(CapV=2,N(K192),N(K191))</f>
        <v>0</v>
      </c>
      <c r="L193" s="109" t="n">
        <f aca="false">IF(CapV=2,N(L192),N(L191))</f>
        <v>0</v>
      </c>
      <c r="M193" s="109" t="n">
        <f aca="false">IF(CapV=2,N(M192),N(M191))</f>
        <v>0</v>
      </c>
      <c r="N193" s="109" t="n">
        <f aca="false">IF(CapV=2,N(N192),N(N191))</f>
        <v>0</v>
      </c>
      <c r="O193" s="109" t="n">
        <f aca="false">IF(CapV=2,N(O192),N(O191))</f>
        <v>0</v>
      </c>
      <c r="P193" s="109" t="n">
        <f aca="false">IF(CapV=2,N(P192),N(P191))</f>
        <v>0</v>
      </c>
      <c r="Q193" s="109" t="n">
        <f aca="false">IF(CapV=2,N(Q192),N(Q191))</f>
        <v>0</v>
      </c>
      <c r="R193" s="109" t="n">
        <f aca="false">IF(CapV=2,N(R192),N(R191))</f>
        <v>20</v>
      </c>
      <c r="S193" s="109" t="n">
        <f aca="false">IF(CapV=2,N(S192),N(S191))</f>
        <v>39</v>
      </c>
      <c r="T193" s="109" t="n">
        <f aca="false">IF(CapV=2,N(T192),N(T191))</f>
        <v>58</v>
      </c>
      <c r="U193" s="109" t="n">
        <f aca="false">IF(CapV=2,N(U192),N(U191))</f>
        <v>58</v>
      </c>
      <c r="V193" s="109" t="n">
        <f aca="false">IF(CapV=2,N(V192),N(V191))</f>
        <v>58</v>
      </c>
      <c r="W193" s="109" t="n">
        <f aca="false">IF(CapV=2,N(W192),N(W191))</f>
        <v>58</v>
      </c>
      <c r="X193" s="109" t="n">
        <f aca="false">IF(CapV=2,N(X192),N(X191))</f>
        <v>58</v>
      </c>
      <c r="Y193" s="109" t="n">
        <f aca="false">IF(CapV=2,N(Y192),N(Y191))</f>
        <v>58</v>
      </c>
      <c r="Z193" s="109" t="n">
        <f aca="false">IF(CapV=2,N(Z192),N(Z191))</f>
        <v>58</v>
      </c>
      <c r="AA193" s="109" t="n">
        <f aca="false">IF(CapV=2,N(AA192),N(AA191))</f>
        <v>58</v>
      </c>
      <c r="AB193" s="109" t="n">
        <f aca="false">IF(CapV=2,N(AB192),N(AB191))</f>
        <v>58</v>
      </c>
      <c r="AC193" s="109" t="n">
        <f aca="false">IF(CapV=2,N(AC192),N(AC191))</f>
        <v>58</v>
      </c>
      <c r="AD193" s="109" t="n">
        <f aca="false">IF(CapV=2,N(AD192),N(AD191))</f>
        <v>58</v>
      </c>
      <c r="AE193" s="109" t="n">
        <f aca="false">IF(CapV=2,N(AE192),N(AE191))</f>
        <v>58</v>
      </c>
      <c r="AF193" s="109" t="n">
        <f aca="false">IF(CapV=2,N(AF192),N(AF191))</f>
        <v>58</v>
      </c>
      <c r="AG193" s="109" t="n">
        <f aca="false">IF(CapV=2,N(AG192),N(AG191))</f>
        <v>58</v>
      </c>
      <c r="AI193" s="109" t="n">
        <f aca="false">INDEX($F193:$AG193,1,MATCH(AI$7,$F$7:$AG$7,1))</f>
        <v>0</v>
      </c>
      <c r="AJ193" s="109" t="n">
        <f aca="false">INDEX($F193:$AG193,1,MATCH(AJ$7,$F$7:$AG$7,1))</f>
        <v>0</v>
      </c>
      <c r="AK193" s="109" t="n">
        <f aca="false">INDEX($F193:$AG193,1,MATCH(AK$7,$F$7:$AG$7,1))</f>
        <v>0</v>
      </c>
      <c r="AL193" s="109" t="n">
        <f aca="false">INDEX($F193:$AG193,1,MATCH(AL$7,$F$7:$AG$7,1))</f>
        <v>58</v>
      </c>
      <c r="AM193" s="109" t="n">
        <f aca="false">INDEX($F193:$AG193,1,MATCH(AM$7,$F$7:$AG$7,1))</f>
        <v>58</v>
      </c>
      <c r="AN193" s="109" t="n">
        <f aca="false">INDEX($F193:$AG193,1,MATCH(AN$7,$F$7:$AG$7,1))</f>
        <v>58</v>
      </c>
      <c r="AO193" s="109" t="n">
        <f aca="false">INDEX($F193:$AG193,1,MATCH(AO$7,$F$7:$AG$7,1))</f>
        <v>58</v>
      </c>
    </row>
    <row r="194" customFormat="false" ht="15" hidden="false" customHeight="false" outlineLevel="0" collapsed="false">
      <c r="A194" s="107" t="s">
        <v>1631</v>
      </c>
      <c r="B194" s="22" t="s">
        <v>664</v>
      </c>
      <c r="C194" s="22" t="s">
        <v>558</v>
      </c>
      <c r="D194" s="22" t="s">
        <v>1476</v>
      </c>
      <c r="F194" s="108" t="n">
        <v>0</v>
      </c>
      <c r="G194" s="108" t="n">
        <v>0</v>
      </c>
      <c r="H194" s="108" t="n">
        <v>0</v>
      </c>
      <c r="I194" s="108" t="n">
        <v>0</v>
      </c>
      <c r="J194" s="108" t="n">
        <v>0</v>
      </c>
      <c r="K194" s="108" t="n">
        <v>0</v>
      </c>
      <c r="L194" s="108" t="n">
        <v>0</v>
      </c>
      <c r="M194" s="108" t="n">
        <v>0</v>
      </c>
      <c r="N194" s="108" t="n">
        <v>0</v>
      </c>
      <c r="O194" s="108" t="n">
        <v>0</v>
      </c>
      <c r="P194" s="108" t="n">
        <v>6</v>
      </c>
      <c r="Q194" s="108" t="n">
        <v>9</v>
      </c>
      <c r="R194" s="108" t="n">
        <v>18</v>
      </c>
      <c r="S194" s="108" t="n">
        <v>18</v>
      </c>
      <c r="T194" s="108" t="n">
        <v>18</v>
      </c>
      <c r="U194" s="108" t="n">
        <v>18</v>
      </c>
      <c r="V194" s="108" t="n">
        <v>18</v>
      </c>
      <c r="W194" s="108" t="n">
        <v>18</v>
      </c>
      <c r="X194" s="108" t="n">
        <v>18</v>
      </c>
      <c r="Y194" s="108" t="n">
        <v>18</v>
      </c>
      <c r="Z194" s="108" t="n">
        <v>18</v>
      </c>
      <c r="AA194" s="108" t="n">
        <v>18</v>
      </c>
      <c r="AB194" s="108" t="n">
        <v>18</v>
      </c>
      <c r="AC194" s="108" t="n">
        <v>18</v>
      </c>
      <c r="AD194" s="108" t="n">
        <v>18</v>
      </c>
      <c r="AE194" s="108" t="n">
        <v>18</v>
      </c>
      <c r="AF194" s="108" t="n">
        <v>18</v>
      </c>
      <c r="AG194" s="108" t="n">
        <v>18</v>
      </c>
      <c r="AI194" s="109" t="n">
        <f aca="false">INDEX($F194:$AG194,1,MATCH(AI$7,$F$7:$AG$7,1))</f>
        <v>0</v>
      </c>
      <c r="AJ194" s="109" t="n">
        <f aca="false">INDEX($F194:$AG194,1,MATCH(AJ$7,$F$7:$AG$7,1))</f>
        <v>0</v>
      </c>
      <c r="AK194" s="109" t="n">
        <f aca="false">INDEX($F194:$AG194,1,MATCH(AK$7,$F$7:$AG$7,1))</f>
        <v>9</v>
      </c>
      <c r="AL194" s="109" t="n">
        <f aca="false">INDEX($F194:$AG194,1,MATCH(AL$7,$F$7:$AG$7,1))</f>
        <v>18</v>
      </c>
      <c r="AM194" s="109" t="n">
        <f aca="false">INDEX($F194:$AG194,1,MATCH(AM$7,$F$7:$AG$7,1))</f>
        <v>18</v>
      </c>
      <c r="AN194" s="109" t="n">
        <f aca="false">INDEX($F194:$AG194,1,MATCH(AN$7,$F$7:$AG$7,1))</f>
        <v>18</v>
      </c>
      <c r="AO194" s="109" t="n">
        <f aca="false">INDEX($F194:$AG194,1,MATCH(AO$7,$F$7:$AG$7,1))</f>
        <v>18</v>
      </c>
    </row>
    <row r="195" customFormat="false" ht="15" hidden="false" customHeight="false" outlineLevel="0" collapsed="false">
      <c r="A195" s="107" t="s">
        <v>1632</v>
      </c>
      <c r="B195" s="22" t="s">
        <v>664</v>
      </c>
      <c r="C195" s="22" t="s">
        <v>558</v>
      </c>
      <c r="D195" s="22" t="s">
        <v>1478</v>
      </c>
      <c r="F195" s="108" t="n">
        <v>0</v>
      </c>
      <c r="G195" s="108" t="n">
        <v>0</v>
      </c>
      <c r="H195" s="108" t="n">
        <v>0</v>
      </c>
      <c r="I195" s="108" t="n">
        <v>0</v>
      </c>
      <c r="J195" s="108" t="n">
        <v>0</v>
      </c>
      <c r="K195" s="108" t="n">
        <v>0</v>
      </c>
      <c r="L195" s="108" t="n">
        <v>0</v>
      </c>
      <c r="M195" s="108" t="n">
        <v>0</v>
      </c>
      <c r="N195" s="108" t="n">
        <v>0</v>
      </c>
      <c r="O195" s="108" t="n">
        <v>0</v>
      </c>
      <c r="P195" s="108" t="n">
        <v>6</v>
      </c>
      <c r="Q195" s="108" t="n">
        <v>9</v>
      </c>
      <c r="R195" s="108" t="n">
        <v>18</v>
      </c>
      <c r="S195" s="108" t="n">
        <v>18</v>
      </c>
      <c r="T195" s="108" t="n">
        <v>18</v>
      </c>
      <c r="U195" s="108" t="n">
        <v>18</v>
      </c>
      <c r="V195" s="108" t="n">
        <v>18</v>
      </c>
      <c r="W195" s="108" t="n">
        <v>18</v>
      </c>
      <c r="X195" s="108" t="n">
        <v>18</v>
      </c>
      <c r="Y195" s="108" t="n">
        <v>18</v>
      </c>
      <c r="Z195" s="108" t="n">
        <v>18</v>
      </c>
      <c r="AA195" s="108" t="n">
        <v>18</v>
      </c>
      <c r="AB195" s="108" t="n">
        <v>18</v>
      </c>
      <c r="AC195" s="108" t="n">
        <v>18</v>
      </c>
      <c r="AD195" s="108" t="n">
        <v>18</v>
      </c>
      <c r="AE195" s="108" t="n">
        <v>18</v>
      </c>
      <c r="AF195" s="108" t="n">
        <v>18</v>
      </c>
      <c r="AG195" s="108" t="n">
        <v>18</v>
      </c>
      <c r="AI195" s="109" t="n">
        <f aca="false">INDEX($F195:$AG195,1,MATCH(AI$7,$F$7:$AG$7,1))</f>
        <v>0</v>
      </c>
      <c r="AJ195" s="109" t="n">
        <f aca="false">INDEX($F195:$AG195,1,MATCH(AJ$7,$F$7:$AG$7,1))</f>
        <v>0</v>
      </c>
      <c r="AK195" s="109" t="n">
        <f aca="false">INDEX($F195:$AG195,1,MATCH(AK$7,$F$7:$AG$7,1))</f>
        <v>9</v>
      </c>
      <c r="AL195" s="109" t="n">
        <f aca="false">INDEX($F195:$AG195,1,MATCH(AL$7,$F$7:$AG$7,1))</f>
        <v>18</v>
      </c>
      <c r="AM195" s="109" t="n">
        <f aca="false">INDEX($F195:$AG195,1,MATCH(AM$7,$F$7:$AG$7,1))</f>
        <v>18</v>
      </c>
      <c r="AN195" s="109" t="n">
        <f aca="false">INDEX($F195:$AG195,1,MATCH(AN$7,$F$7:$AG$7,1))</f>
        <v>18</v>
      </c>
      <c r="AO195" s="109" t="n">
        <f aca="false">INDEX($F195:$AG195,1,MATCH(AO$7,$F$7:$AG$7,1))</f>
        <v>18</v>
      </c>
    </row>
    <row r="196" customFormat="false" ht="15" hidden="false" customHeight="false" outlineLevel="0" collapsed="false">
      <c r="A196" s="107" t="s">
        <v>1633</v>
      </c>
      <c r="B196" s="22" t="s">
        <v>664</v>
      </c>
      <c r="C196" s="22" t="s">
        <v>540</v>
      </c>
      <c r="D196" s="22" t="s">
        <v>1480</v>
      </c>
      <c r="F196" s="109" t="n">
        <f aca="false">IF(CapV=2,N(F195),N(F194))</f>
        <v>0</v>
      </c>
      <c r="G196" s="109" t="n">
        <f aca="false">IF(CapV=2,N(G195),N(G194))</f>
        <v>0</v>
      </c>
      <c r="H196" s="109" t="n">
        <f aca="false">IF(CapV=2,N(H195),N(H194))</f>
        <v>0</v>
      </c>
      <c r="I196" s="109" t="n">
        <f aca="false">IF(CapV=2,N(I195),N(I194))</f>
        <v>0</v>
      </c>
      <c r="J196" s="109" t="n">
        <f aca="false">IF(CapV=2,N(J195),N(J194))</f>
        <v>0</v>
      </c>
      <c r="K196" s="109" t="n">
        <f aca="false">IF(CapV=2,N(K195),N(K194))</f>
        <v>0</v>
      </c>
      <c r="L196" s="109" t="n">
        <f aca="false">IF(CapV=2,N(L195),N(L194))</f>
        <v>0</v>
      </c>
      <c r="M196" s="109" t="n">
        <f aca="false">IF(CapV=2,N(M195),N(M194))</f>
        <v>0</v>
      </c>
      <c r="N196" s="109" t="n">
        <f aca="false">IF(CapV=2,N(N195),N(N194))</f>
        <v>0</v>
      </c>
      <c r="O196" s="109" t="n">
        <f aca="false">IF(CapV=2,N(O195),N(O194))</f>
        <v>0</v>
      </c>
      <c r="P196" s="109" t="n">
        <f aca="false">IF(CapV=2,N(P195),N(P194))</f>
        <v>6</v>
      </c>
      <c r="Q196" s="109" t="n">
        <f aca="false">IF(CapV=2,N(Q195),N(Q194))</f>
        <v>9</v>
      </c>
      <c r="R196" s="109" t="n">
        <f aca="false">IF(CapV=2,N(R195),N(R194))</f>
        <v>18</v>
      </c>
      <c r="S196" s="109" t="n">
        <f aca="false">IF(CapV=2,N(S195),N(S194))</f>
        <v>18</v>
      </c>
      <c r="T196" s="109" t="n">
        <f aca="false">IF(CapV=2,N(T195),N(T194))</f>
        <v>18</v>
      </c>
      <c r="U196" s="109" t="n">
        <f aca="false">IF(CapV=2,N(U195),N(U194))</f>
        <v>18</v>
      </c>
      <c r="V196" s="109" t="n">
        <f aca="false">IF(CapV=2,N(V195),N(V194))</f>
        <v>18</v>
      </c>
      <c r="W196" s="109" t="n">
        <f aca="false">IF(CapV=2,N(W195),N(W194))</f>
        <v>18</v>
      </c>
      <c r="X196" s="109" t="n">
        <f aca="false">IF(CapV=2,N(X195),N(X194))</f>
        <v>18</v>
      </c>
      <c r="Y196" s="109" t="n">
        <f aca="false">IF(CapV=2,N(Y195),N(Y194))</f>
        <v>18</v>
      </c>
      <c r="Z196" s="109" t="n">
        <f aca="false">IF(CapV=2,N(Z195),N(Z194))</f>
        <v>18</v>
      </c>
      <c r="AA196" s="109" t="n">
        <f aca="false">IF(CapV=2,N(AA195),N(AA194))</f>
        <v>18</v>
      </c>
      <c r="AB196" s="109" t="n">
        <f aca="false">IF(CapV=2,N(AB195),N(AB194))</f>
        <v>18</v>
      </c>
      <c r="AC196" s="109" t="n">
        <f aca="false">IF(CapV=2,N(AC195),N(AC194))</f>
        <v>18</v>
      </c>
      <c r="AD196" s="109" t="n">
        <f aca="false">IF(CapV=2,N(AD195),N(AD194))</f>
        <v>18</v>
      </c>
      <c r="AE196" s="109" t="n">
        <f aca="false">IF(CapV=2,N(AE195),N(AE194))</f>
        <v>18</v>
      </c>
      <c r="AF196" s="109" t="n">
        <f aca="false">IF(CapV=2,N(AF195),N(AF194))</f>
        <v>18</v>
      </c>
      <c r="AG196" s="109" t="n">
        <f aca="false">IF(CapV=2,N(AG195),N(AG194))</f>
        <v>18</v>
      </c>
      <c r="AI196" s="109" t="n">
        <f aca="false">INDEX($F196:$AG196,1,MATCH(AI$7,$F$7:$AG$7,1))</f>
        <v>0</v>
      </c>
      <c r="AJ196" s="109" t="n">
        <f aca="false">INDEX($F196:$AG196,1,MATCH(AJ$7,$F$7:$AG$7,1))</f>
        <v>0</v>
      </c>
      <c r="AK196" s="109" t="n">
        <f aca="false">INDEX($F196:$AG196,1,MATCH(AK$7,$F$7:$AG$7,1))</f>
        <v>9</v>
      </c>
      <c r="AL196" s="109" t="n">
        <f aca="false">INDEX($F196:$AG196,1,MATCH(AL$7,$F$7:$AG$7,1))</f>
        <v>18</v>
      </c>
      <c r="AM196" s="109" t="n">
        <f aca="false">INDEX($F196:$AG196,1,MATCH(AM$7,$F$7:$AG$7,1))</f>
        <v>18</v>
      </c>
      <c r="AN196" s="109" t="n">
        <f aca="false">INDEX($F196:$AG196,1,MATCH(AN$7,$F$7:$AG$7,1))</f>
        <v>18</v>
      </c>
      <c r="AO196" s="109" t="n">
        <f aca="false">INDEX($F196:$AG196,1,MATCH(AO$7,$F$7:$AG$7,1))</f>
        <v>18</v>
      </c>
    </row>
    <row r="197" customFormat="false" ht="15" hidden="false" customHeight="false" outlineLevel="0" collapsed="false">
      <c r="A197" s="107" t="s">
        <v>1634</v>
      </c>
      <c r="B197" s="22" t="s">
        <v>664</v>
      </c>
      <c r="C197" s="22" t="s">
        <v>558</v>
      </c>
      <c r="D197" s="22" t="s">
        <v>1476</v>
      </c>
      <c r="F197" s="108" t="n">
        <v>0</v>
      </c>
      <c r="G197" s="108" t="n">
        <v>0</v>
      </c>
      <c r="H197" s="108" t="n">
        <v>0</v>
      </c>
      <c r="I197" s="108" t="n">
        <v>0</v>
      </c>
      <c r="J197" s="108" t="n">
        <v>0</v>
      </c>
      <c r="K197" s="108" t="n">
        <v>0</v>
      </c>
      <c r="L197" s="108" t="n">
        <v>0</v>
      </c>
      <c r="M197" s="108" t="n">
        <v>0</v>
      </c>
      <c r="N197" s="108" t="n">
        <v>0</v>
      </c>
      <c r="O197" s="108" t="n">
        <v>0</v>
      </c>
      <c r="P197" s="108" t="n">
        <v>7.5</v>
      </c>
      <c r="Q197" s="108" t="n">
        <v>13.5</v>
      </c>
      <c r="R197" s="108" t="n">
        <v>18</v>
      </c>
      <c r="S197" s="108" t="n">
        <v>18</v>
      </c>
      <c r="T197" s="108" t="n">
        <v>18</v>
      </c>
      <c r="U197" s="108" t="n">
        <v>18</v>
      </c>
      <c r="V197" s="108" t="n">
        <v>18</v>
      </c>
      <c r="W197" s="108" t="n">
        <v>18</v>
      </c>
      <c r="X197" s="108" t="n">
        <v>18</v>
      </c>
      <c r="Y197" s="108" t="n">
        <v>18</v>
      </c>
      <c r="Z197" s="108" t="n">
        <v>18</v>
      </c>
      <c r="AA197" s="108" t="n">
        <v>18</v>
      </c>
      <c r="AB197" s="108" t="n">
        <v>18</v>
      </c>
      <c r="AC197" s="108" t="n">
        <v>18</v>
      </c>
      <c r="AD197" s="108" t="n">
        <v>18</v>
      </c>
      <c r="AE197" s="108" t="n">
        <v>18</v>
      </c>
      <c r="AF197" s="108" t="n">
        <v>18</v>
      </c>
      <c r="AG197" s="108" t="n">
        <v>18</v>
      </c>
      <c r="AI197" s="109" t="n">
        <f aca="false">INDEX($F197:$AG197,1,MATCH(AI$7,$F$7:$AG$7,1))</f>
        <v>0</v>
      </c>
      <c r="AJ197" s="109" t="n">
        <f aca="false">INDEX($F197:$AG197,1,MATCH(AJ$7,$F$7:$AG$7,1))</f>
        <v>0</v>
      </c>
      <c r="AK197" s="109" t="n">
        <f aca="false">INDEX($F197:$AG197,1,MATCH(AK$7,$F$7:$AG$7,1))</f>
        <v>13.5</v>
      </c>
      <c r="AL197" s="109" t="n">
        <f aca="false">INDEX($F197:$AG197,1,MATCH(AL$7,$F$7:$AG$7,1))</f>
        <v>18</v>
      </c>
      <c r="AM197" s="109" t="n">
        <f aca="false">INDEX($F197:$AG197,1,MATCH(AM$7,$F$7:$AG$7,1))</f>
        <v>18</v>
      </c>
      <c r="AN197" s="109" t="n">
        <f aca="false">INDEX($F197:$AG197,1,MATCH(AN$7,$F$7:$AG$7,1))</f>
        <v>18</v>
      </c>
      <c r="AO197" s="109" t="n">
        <f aca="false">INDEX($F197:$AG197,1,MATCH(AO$7,$F$7:$AG$7,1))</f>
        <v>18</v>
      </c>
    </row>
    <row r="198" customFormat="false" ht="15" hidden="false" customHeight="false" outlineLevel="0" collapsed="false">
      <c r="A198" s="107" t="s">
        <v>1635</v>
      </c>
      <c r="B198" s="22" t="s">
        <v>664</v>
      </c>
      <c r="C198" s="22" t="s">
        <v>558</v>
      </c>
      <c r="D198" s="22" t="s">
        <v>1478</v>
      </c>
      <c r="F198" s="108" t="n">
        <v>0</v>
      </c>
      <c r="G198" s="108" t="n">
        <v>0</v>
      </c>
      <c r="H198" s="108" t="n">
        <v>0</v>
      </c>
      <c r="I198" s="108" t="n">
        <v>0</v>
      </c>
      <c r="J198" s="108" t="n">
        <v>0</v>
      </c>
      <c r="K198" s="108" t="n">
        <v>0</v>
      </c>
      <c r="L198" s="108" t="n">
        <v>0</v>
      </c>
      <c r="M198" s="108" t="n">
        <v>0</v>
      </c>
      <c r="N198" s="108" t="n">
        <v>0</v>
      </c>
      <c r="O198" s="108" t="n">
        <v>0</v>
      </c>
      <c r="P198" s="108" t="n">
        <v>7.5</v>
      </c>
      <c r="Q198" s="108" t="n">
        <v>13.5</v>
      </c>
      <c r="R198" s="108" t="n">
        <v>18</v>
      </c>
      <c r="S198" s="108" t="n">
        <v>18</v>
      </c>
      <c r="T198" s="108" t="n">
        <v>18</v>
      </c>
      <c r="U198" s="108" t="n">
        <v>18</v>
      </c>
      <c r="V198" s="108" t="n">
        <v>18</v>
      </c>
      <c r="W198" s="108" t="n">
        <v>18</v>
      </c>
      <c r="X198" s="108" t="n">
        <v>18</v>
      </c>
      <c r="Y198" s="108" t="n">
        <v>18</v>
      </c>
      <c r="Z198" s="108" t="n">
        <v>18</v>
      </c>
      <c r="AA198" s="108" t="n">
        <v>18</v>
      </c>
      <c r="AB198" s="108" t="n">
        <v>18</v>
      </c>
      <c r="AC198" s="108" t="n">
        <v>18</v>
      </c>
      <c r="AD198" s="108" t="n">
        <v>18</v>
      </c>
      <c r="AE198" s="108" t="n">
        <v>18</v>
      </c>
      <c r="AF198" s="108" t="n">
        <v>18</v>
      </c>
      <c r="AG198" s="108" t="n">
        <v>18</v>
      </c>
      <c r="AI198" s="109" t="n">
        <f aca="false">INDEX($F198:$AG198,1,MATCH(AI$7,$F$7:$AG$7,1))</f>
        <v>0</v>
      </c>
      <c r="AJ198" s="109" t="n">
        <f aca="false">INDEX($F198:$AG198,1,MATCH(AJ$7,$F$7:$AG$7,1))</f>
        <v>0</v>
      </c>
      <c r="AK198" s="109" t="n">
        <f aca="false">INDEX($F198:$AG198,1,MATCH(AK$7,$F$7:$AG$7,1))</f>
        <v>13.5</v>
      </c>
      <c r="AL198" s="109" t="n">
        <f aca="false">INDEX($F198:$AG198,1,MATCH(AL$7,$F$7:$AG$7,1))</f>
        <v>18</v>
      </c>
      <c r="AM198" s="109" t="n">
        <f aca="false">INDEX($F198:$AG198,1,MATCH(AM$7,$F$7:$AG$7,1))</f>
        <v>18</v>
      </c>
      <c r="AN198" s="109" t="n">
        <f aca="false">INDEX($F198:$AG198,1,MATCH(AN$7,$F$7:$AG$7,1))</f>
        <v>18</v>
      </c>
      <c r="AO198" s="109" t="n">
        <f aca="false">INDEX($F198:$AG198,1,MATCH(AO$7,$F$7:$AG$7,1))</f>
        <v>18</v>
      </c>
    </row>
    <row r="199" customFormat="false" ht="15" hidden="false" customHeight="false" outlineLevel="0" collapsed="false">
      <c r="A199" s="107" t="s">
        <v>1636</v>
      </c>
      <c r="B199" s="22" t="s">
        <v>664</v>
      </c>
      <c r="C199" s="22" t="s">
        <v>540</v>
      </c>
      <c r="D199" s="22" t="s">
        <v>1480</v>
      </c>
      <c r="F199" s="109" t="n">
        <f aca="false">IF(CapV=2,N(F198),N(F197))</f>
        <v>0</v>
      </c>
      <c r="G199" s="109" t="n">
        <f aca="false">IF(CapV=2,N(G198),N(G197))</f>
        <v>0</v>
      </c>
      <c r="H199" s="109" t="n">
        <f aca="false">IF(CapV=2,N(H198),N(H197))</f>
        <v>0</v>
      </c>
      <c r="I199" s="109" t="n">
        <f aca="false">IF(CapV=2,N(I198),N(I197))</f>
        <v>0</v>
      </c>
      <c r="J199" s="109" t="n">
        <f aca="false">IF(CapV=2,N(J198),N(J197))</f>
        <v>0</v>
      </c>
      <c r="K199" s="109" t="n">
        <f aca="false">IF(CapV=2,N(K198),N(K197))</f>
        <v>0</v>
      </c>
      <c r="L199" s="109" t="n">
        <f aca="false">IF(CapV=2,N(L198),N(L197))</f>
        <v>0</v>
      </c>
      <c r="M199" s="109" t="n">
        <f aca="false">IF(CapV=2,N(M198),N(M197))</f>
        <v>0</v>
      </c>
      <c r="N199" s="109" t="n">
        <f aca="false">IF(CapV=2,N(N198),N(N197))</f>
        <v>0</v>
      </c>
      <c r="O199" s="109" t="n">
        <f aca="false">IF(CapV=2,N(O198),N(O197))</f>
        <v>0</v>
      </c>
      <c r="P199" s="109" t="n">
        <f aca="false">IF(CapV=2,N(P198),N(P197))</f>
        <v>7.5</v>
      </c>
      <c r="Q199" s="109" t="n">
        <f aca="false">IF(CapV=2,N(Q198),N(Q197))</f>
        <v>13.5</v>
      </c>
      <c r="R199" s="109" t="n">
        <f aca="false">IF(CapV=2,N(R198),N(R197))</f>
        <v>18</v>
      </c>
      <c r="S199" s="109" t="n">
        <f aca="false">IF(CapV=2,N(S198),N(S197))</f>
        <v>18</v>
      </c>
      <c r="T199" s="109" t="n">
        <f aca="false">IF(CapV=2,N(T198),N(T197))</f>
        <v>18</v>
      </c>
      <c r="U199" s="109" t="n">
        <f aca="false">IF(CapV=2,N(U198),N(U197))</f>
        <v>18</v>
      </c>
      <c r="V199" s="109" t="n">
        <f aca="false">IF(CapV=2,N(V198),N(V197))</f>
        <v>18</v>
      </c>
      <c r="W199" s="109" t="n">
        <f aca="false">IF(CapV=2,N(W198),N(W197))</f>
        <v>18</v>
      </c>
      <c r="X199" s="109" t="n">
        <f aca="false">IF(CapV=2,N(X198),N(X197))</f>
        <v>18</v>
      </c>
      <c r="Y199" s="109" t="n">
        <f aca="false">IF(CapV=2,N(Y198),N(Y197))</f>
        <v>18</v>
      </c>
      <c r="Z199" s="109" t="n">
        <f aca="false">IF(CapV=2,N(Z198),N(Z197))</f>
        <v>18</v>
      </c>
      <c r="AA199" s="109" t="n">
        <f aca="false">IF(CapV=2,N(AA198),N(AA197))</f>
        <v>18</v>
      </c>
      <c r="AB199" s="109" t="n">
        <f aca="false">IF(CapV=2,N(AB198),N(AB197))</f>
        <v>18</v>
      </c>
      <c r="AC199" s="109" t="n">
        <f aca="false">IF(CapV=2,N(AC198),N(AC197))</f>
        <v>18</v>
      </c>
      <c r="AD199" s="109" t="n">
        <f aca="false">IF(CapV=2,N(AD198),N(AD197))</f>
        <v>18</v>
      </c>
      <c r="AE199" s="109" t="n">
        <f aca="false">IF(CapV=2,N(AE198),N(AE197))</f>
        <v>18</v>
      </c>
      <c r="AF199" s="109" t="n">
        <f aca="false">IF(CapV=2,N(AF198),N(AF197))</f>
        <v>18</v>
      </c>
      <c r="AG199" s="109" t="n">
        <f aca="false">IF(CapV=2,N(AG198),N(AG197))</f>
        <v>18</v>
      </c>
      <c r="AI199" s="109" t="n">
        <f aca="false">INDEX($F199:$AG199,1,MATCH(AI$7,$F$7:$AG$7,1))</f>
        <v>0</v>
      </c>
      <c r="AJ199" s="109" t="n">
        <f aca="false">INDEX($F199:$AG199,1,MATCH(AJ$7,$F$7:$AG$7,1))</f>
        <v>0</v>
      </c>
      <c r="AK199" s="109" t="n">
        <f aca="false">INDEX($F199:$AG199,1,MATCH(AK$7,$F$7:$AG$7,1))</f>
        <v>13.5</v>
      </c>
      <c r="AL199" s="109" t="n">
        <f aca="false">INDEX($F199:$AG199,1,MATCH(AL$7,$F$7:$AG$7,1))</f>
        <v>18</v>
      </c>
      <c r="AM199" s="109" t="n">
        <f aca="false">INDEX($F199:$AG199,1,MATCH(AM$7,$F$7:$AG$7,1))</f>
        <v>18</v>
      </c>
      <c r="AN199" s="109" t="n">
        <f aca="false">INDEX($F199:$AG199,1,MATCH(AN$7,$F$7:$AG$7,1))</f>
        <v>18</v>
      </c>
      <c r="AO199" s="109" t="n">
        <f aca="false">INDEX($F199:$AG199,1,MATCH(AO$7,$F$7:$AG$7,1))</f>
        <v>18</v>
      </c>
    </row>
    <row r="200" customFormat="false" ht="15" hidden="false" customHeight="false" outlineLevel="0" collapsed="false">
      <c r="A200" s="107" t="s">
        <v>1637</v>
      </c>
      <c r="B200" s="22" t="s">
        <v>664</v>
      </c>
      <c r="C200" s="22" t="s">
        <v>558</v>
      </c>
      <c r="D200" s="22" t="s">
        <v>1476</v>
      </c>
      <c r="F200" s="108" t="n">
        <v>0</v>
      </c>
      <c r="G200" s="108" t="n">
        <v>0</v>
      </c>
      <c r="H200" s="108" t="n">
        <v>0</v>
      </c>
      <c r="I200" s="108" t="n">
        <v>0</v>
      </c>
      <c r="J200" s="108" t="n">
        <v>0</v>
      </c>
      <c r="K200" s="108" t="n">
        <v>0</v>
      </c>
      <c r="L200" s="108" t="n">
        <v>0</v>
      </c>
      <c r="M200" s="108" t="n">
        <v>0</v>
      </c>
      <c r="N200" s="108" t="n">
        <v>0</v>
      </c>
      <c r="O200" s="108" t="n">
        <v>0</v>
      </c>
      <c r="P200" s="108" t="n">
        <v>9</v>
      </c>
      <c r="Q200" s="108" t="n">
        <v>18</v>
      </c>
      <c r="R200" s="108" t="n">
        <v>18</v>
      </c>
      <c r="S200" s="108" t="n">
        <v>18</v>
      </c>
      <c r="T200" s="108" t="n">
        <v>18</v>
      </c>
      <c r="U200" s="108" t="n">
        <v>18</v>
      </c>
      <c r="V200" s="108" t="n">
        <v>18</v>
      </c>
      <c r="W200" s="108" t="n">
        <v>18</v>
      </c>
      <c r="X200" s="108" t="n">
        <v>18</v>
      </c>
      <c r="Y200" s="108" t="n">
        <v>18</v>
      </c>
      <c r="Z200" s="108" t="n">
        <v>18</v>
      </c>
      <c r="AA200" s="108" t="n">
        <v>18</v>
      </c>
      <c r="AB200" s="108" t="n">
        <v>18</v>
      </c>
      <c r="AC200" s="108" t="n">
        <v>18</v>
      </c>
      <c r="AD200" s="108" t="n">
        <v>18</v>
      </c>
      <c r="AE200" s="108" t="n">
        <v>18</v>
      </c>
      <c r="AF200" s="108" t="n">
        <v>18</v>
      </c>
      <c r="AG200" s="108" t="n">
        <v>18</v>
      </c>
      <c r="AI200" s="109" t="n">
        <f aca="false">INDEX($F200:$AG200,1,MATCH(AI$7,$F$7:$AG$7,1))</f>
        <v>0</v>
      </c>
      <c r="AJ200" s="109" t="n">
        <f aca="false">INDEX($F200:$AG200,1,MATCH(AJ$7,$F$7:$AG$7,1))</f>
        <v>0</v>
      </c>
      <c r="AK200" s="109" t="n">
        <f aca="false">INDEX($F200:$AG200,1,MATCH(AK$7,$F$7:$AG$7,1))</f>
        <v>18</v>
      </c>
      <c r="AL200" s="109" t="n">
        <f aca="false">INDEX($F200:$AG200,1,MATCH(AL$7,$F$7:$AG$7,1))</f>
        <v>18</v>
      </c>
      <c r="AM200" s="109" t="n">
        <f aca="false">INDEX($F200:$AG200,1,MATCH(AM$7,$F$7:$AG$7,1))</f>
        <v>18</v>
      </c>
      <c r="AN200" s="109" t="n">
        <f aca="false">INDEX($F200:$AG200,1,MATCH(AN$7,$F$7:$AG$7,1))</f>
        <v>18</v>
      </c>
      <c r="AO200" s="109" t="n">
        <f aca="false">INDEX($F200:$AG200,1,MATCH(AO$7,$F$7:$AG$7,1))</f>
        <v>18</v>
      </c>
    </row>
    <row r="201" customFormat="false" ht="15" hidden="false" customHeight="false" outlineLevel="0" collapsed="false">
      <c r="A201" s="107" t="s">
        <v>1638</v>
      </c>
      <c r="B201" s="22" t="s">
        <v>664</v>
      </c>
      <c r="C201" s="22" t="s">
        <v>558</v>
      </c>
      <c r="D201" s="22" t="s">
        <v>1478</v>
      </c>
      <c r="F201" s="108" t="n">
        <v>0</v>
      </c>
      <c r="G201" s="108" t="n">
        <v>0</v>
      </c>
      <c r="H201" s="108" t="n">
        <v>0</v>
      </c>
      <c r="I201" s="108" t="n">
        <v>0</v>
      </c>
      <c r="J201" s="108" t="n">
        <v>0</v>
      </c>
      <c r="K201" s="108" t="n">
        <v>0</v>
      </c>
      <c r="L201" s="108" t="n">
        <v>0</v>
      </c>
      <c r="M201" s="108" t="n">
        <v>0</v>
      </c>
      <c r="N201" s="108" t="n">
        <v>0</v>
      </c>
      <c r="O201" s="108" t="n">
        <v>0</v>
      </c>
      <c r="P201" s="108" t="n">
        <v>9</v>
      </c>
      <c r="Q201" s="108" t="n">
        <v>18</v>
      </c>
      <c r="R201" s="108" t="n">
        <v>18</v>
      </c>
      <c r="S201" s="108" t="n">
        <v>18</v>
      </c>
      <c r="T201" s="108" t="n">
        <v>18</v>
      </c>
      <c r="U201" s="108" t="n">
        <v>18</v>
      </c>
      <c r="V201" s="108" t="n">
        <v>18</v>
      </c>
      <c r="W201" s="108" t="n">
        <v>18</v>
      </c>
      <c r="X201" s="108" t="n">
        <v>18</v>
      </c>
      <c r="Y201" s="108" t="n">
        <v>18</v>
      </c>
      <c r="Z201" s="108" t="n">
        <v>18</v>
      </c>
      <c r="AA201" s="108" t="n">
        <v>18</v>
      </c>
      <c r="AB201" s="108" t="n">
        <v>18</v>
      </c>
      <c r="AC201" s="108" t="n">
        <v>18</v>
      </c>
      <c r="AD201" s="108" t="n">
        <v>18</v>
      </c>
      <c r="AE201" s="108" t="n">
        <v>18</v>
      </c>
      <c r="AF201" s="108" t="n">
        <v>18</v>
      </c>
      <c r="AG201" s="108" t="n">
        <v>18</v>
      </c>
      <c r="AI201" s="109" t="n">
        <f aca="false">INDEX($F201:$AG201,1,MATCH(AI$7,$F$7:$AG$7,1))</f>
        <v>0</v>
      </c>
      <c r="AJ201" s="109" t="n">
        <f aca="false">INDEX($F201:$AG201,1,MATCH(AJ$7,$F$7:$AG$7,1))</f>
        <v>0</v>
      </c>
      <c r="AK201" s="109" t="n">
        <f aca="false">INDEX($F201:$AG201,1,MATCH(AK$7,$F$7:$AG$7,1))</f>
        <v>18</v>
      </c>
      <c r="AL201" s="109" t="n">
        <f aca="false">INDEX($F201:$AG201,1,MATCH(AL$7,$F$7:$AG$7,1))</f>
        <v>18</v>
      </c>
      <c r="AM201" s="109" t="n">
        <f aca="false">INDEX($F201:$AG201,1,MATCH(AM$7,$F$7:$AG$7,1))</f>
        <v>18</v>
      </c>
      <c r="AN201" s="109" t="n">
        <f aca="false">INDEX($F201:$AG201,1,MATCH(AN$7,$F$7:$AG$7,1))</f>
        <v>18</v>
      </c>
      <c r="AO201" s="109" t="n">
        <f aca="false">INDEX($F201:$AG201,1,MATCH(AO$7,$F$7:$AG$7,1))</f>
        <v>18</v>
      </c>
    </row>
    <row r="202" customFormat="false" ht="15" hidden="false" customHeight="false" outlineLevel="0" collapsed="false">
      <c r="A202" s="107" t="s">
        <v>1639</v>
      </c>
      <c r="B202" s="22" t="s">
        <v>664</v>
      </c>
      <c r="C202" s="22" t="s">
        <v>540</v>
      </c>
      <c r="D202" s="22" t="s">
        <v>1480</v>
      </c>
      <c r="F202" s="109" t="n">
        <f aca="false">IF(CapV=2,N(F201),N(F200))</f>
        <v>0</v>
      </c>
      <c r="G202" s="109" t="n">
        <f aca="false">IF(CapV=2,N(G201),N(G200))</f>
        <v>0</v>
      </c>
      <c r="H202" s="109" t="n">
        <f aca="false">IF(CapV=2,N(H201),N(H200))</f>
        <v>0</v>
      </c>
      <c r="I202" s="109" t="n">
        <f aca="false">IF(CapV=2,N(I201),N(I200))</f>
        <v>0</v>
      </c>
      <c r="J202" s="109" t="n">
        <f aca="false">IF(CapV=2,N(J201),N(J200))</f>
        <v>0</v>
      </c>
      <c r="K202" s="109" t="n">
        <f aca="false">IF(CapV=2,N(K201),N(K200))</f>
        <v>0</v>
      </c>
      <c r="L202" s="109" t="n">
        <f aca="false">IF(CapV=2,N(L201),N(L200))</f>
        <v>0</v>
      </c>
      <c r="M202" s="109" t="n">
        <f aca="false">IF(CapV=2,N(M201),N(M200))</f>
        <v>0</v>
      </c>
      <c r="N202" s="109" t="n">
        <f aca="false">IF(CapV=2,N(N201),N(N200))</f>
        <v>0</v>
      </c>
      <c r="O202" s="109" t="n">
        <f aca="false">IF(CapV=2,N(O201),N(O200))</f>
        <v>0</v>
      </c>
      <c r="P202" s="109" t="n">
        <f aca="false">IF(CapV=2,N(P201),N(P200))</f>
        <v>9</v>
      </c>
      <c r="Q202" s="109" t="n">
        <f aca="false">IF(CapV=2,N(Q201),N(Q200))</f>
        <v>18</v>
      </c>
      <c r="R202" s="109" t="n">
        <f aca="false">IF(CapV=2,N(R201),N(R200))</f>
        <v>18</v>
      </c>
      <c r="S202" s="109" t="n">
        <f aca="false">IF(CapV=2,N(S201),N(S200))</f>
        <v>18</v>
      </c>
      <c r="T202" s="109" t="n">
        <f aca="false">IF(CapV=2,N(T201),N(T200))</f>
        <v>18</v>
      </c>
      <c r="U202" s="109" t="n">
        <f aca="false">IF(CapV=2,N(U201),N(U200))</f>
        <v>18</v>
      </c>
      <c r="V202" s="109" t="n">
        <f aca="false">IF(CapV=2,N(V201),N(V200))</f>
        <v>18</v>
      </c>
      <c r="W202" s="109" t="n">
        <f aca="false">IF(CapV=2,N(W201),N(W200))</f>
        <v>18</v>
      </c>
      <c r="X202" s="109" t="n">
        <f aca="false">IF(CapV=2,N(X201),N(X200))</f>
        <v>18</v>
      </c>
      <c r="Y202" s="109" t="n">
        <f aca="false">IF(CapV=2,N(Y201),N(Y200))</f>
        <v>18</v>
      </c>
      <c r="Z202" s="109" t="n">
        <f aca="false">IF(CapV=2,N(Z201),N(Z200))</f>
        <v>18</v>
      </c>
      <c r="AA202" s="109" t="n">
        <f aca="false">IF(CapV=2,N(AA201),N(AA200))</f>
        <v>18</v>
      </c>
      <c r="AB202" s="109" t="n">
        <f aca="false">IF(CapV=2,N(AB201),N(AB200))</f>
        <v>18</v>
      </c>
      <c r="AC202" s="109" t="n">
        <f aca="false">IF(CapV=2,N(AC201),N(AC200))</f>
        <v>18</v>
      </c>
      <c r="AD202" s="109" t="n">
        <f aca="false">IF(CapV=2,N(AD201),N(AD200))</f>
        <v>18</v>
      </c>
      <c r="AE202" s="109" t="n">
        <f aca="false">IF(CapV=2,N(AE201),N(AE200))</f>
        <v>18</v>
      </c>
      <c r="AF202" s="109" t="n">
        <f aca="false">IF(CapV=2,N(AF201),N(AF200))</f>
        <v>18</v>
      </c>
      <c r="AG202" s="109" t="n">
        <f aca="false">IF(CapV=2,N(AG201),N(AG200))</f>
        <v>18</v>
      </c>
      <c r="AI202" s="109" t="n">
        <f aca="false">INDEX($F202:$AG202,1,MATCH(AI$7,$F$7:$AG$7,1))</f>
        <v>0</v>
      </c>
      <c r="AJ202" s="109" t="n">
        <f aca="false">INDEX($F202:$AG202,1,MATCH(AJ$7,$F$7:$AG$7,1))</f>
        <v>0</v>
      </c>
      <c r="AK202" s="109" t="n">
        <f aca="false">INDEX($F202:$AG202,1,MATCH(AK$7,$F$7:$AG$7,1))</f>
        <v>18</v>
      </c>
      <c r="AL202" s="109" t="n">
        <f aca="false">INDEX($F202:$AG202,1,MATCH(AL$7,$F$7:$AG$7,1))</f>
        <v>18</v>
      </c>
      <c r="AM202" s="109" t="n">
        <f aca="false">INDEX($F202:$AG202,1,MATCH(AM$7,$F$7:$AG$7,1))</f>
        <v>18</v>
      </c>
      <c r="AN202" s="109" t="n">
        <f aca="false">INDEX($F202:$AG202,1,MATCH(AN$7,$F$7:$AG$7,1))</f>
        <v>18</v>
      </c>
      <c r="AO202" s="109" t="n">
        <f aca="false">INDEX($F202:$AG202,1,MATCH(AO$7,$F$7:$AG$7,1))</f>
        <v>18</v>
      </c>
    </row>
    <row r="203" customFormat="false" ht="15" hidden="false" customHeight="false" outlineLevel="0" collapsed="false">
      <c r="A203" s="107" t="s">
        <v>1640</v>
      </c>
      <c r="B203" s="22" t="s">
        <v>664</v>
      </c>
      <c r="C203" s="22" t="s">
        <v>558</v>
      </c>
      <c r="D203" s="22" t="s">
        <v>1476</v>
      </c>
      <c r="F203" s="108" t="n">
        <v>0</v>
      </c>
      <c r="G203" s="108" t="n">
        <v>0</v>
      </c>
      <c r="H203" s="108" t="n">
        <v>0</v>
      </c>
      <c r="I203" s="108" t="n">
        <v>0</v>
      </c>
      <c r="J203" s="108" t="n">
        <v>0</v>
      </c>
      <c r="K203" s="108" t="n">
        <v>0</v>
      </c>
      <c r="L203" s="108" t="n">
        <v>0</v>
      </c>
      <c r="M203" s="108" t="n">
        <v>0</v>
      </c>
      <c r="N203" s="108" t="n">
        <v>0</v>
      </c>
      <c r="O203" s="108" t="n">
        <v>0</v>
      </c>
      <c r="P203" s="108" t="n">
        <v>0</v>
      </c>
      <c r="Q203" s="108" t="n">
        <v>0</v>
      </c>
      <c r="R203" s="108" t="n">
        <v>11</v>
      </c>
      <c r="S203" s="108" t="n">
        <v>22</v>
      </c>
      <c r="T203" s="108" t="n">
        <v>22</v>
      </c>
      <c r="U203" s="108" t="n">
        <v>22</v>
      </c>
      <c r="V203" s="108" t="n">
        <v>22</v>
      </c>
      <c r="W203" s="108" t="n">
        <v>22</v>
      </c>
      <c r="X203" s="108" t="n">
        <v>22</v>
      </c>
      <c r="Y203" s="108" t="n">
        <v>22</v>
      </c>
      <c r="Z203" s="108" t="n">
        <v>22</v>
      </c>
      <c r="AA203" s="108" t="n">
        <v>22</v>
      </c>
      <c r="AB203" s="108" t="n">
        <v>22</v>
      </c>
      <c r="AC203" s="108" t="n">
        <v>22</v>
      </c>
      <c r="AD203" s="108" t="n">
        <v>22</v>
      </c>
      <c r="AE203" s="108" t="n">
        <v>22</v>
      </c>
      <c r="AF203" s="108" t="n">
        <v>22</v>
      </c>
      <c r="AG203" s="108" t="n">
        <v>22</v>
      </c>
      <c r="AI203" s="109" t="n">
        <f aca="false">INDEX($F203:$AG203,1,MATCH(AI$7,$F$7:$AG$7,1))</f>
        <v>0</v>
      </c>
      <c r="AJ203" s="109" t="n">
        <f aca="false">INDEX($F203:$AG203,1,MATCH(AJ$7,$F$7:$AG$7,1))</f>
        <v>0</v>
      </c>
      <c r="AK203" s="109" t="n">
        <f aca="false">INDEX($F203:$AG203,1,MATCH(AK$7,$F$7:$AG$7,1))</f>
        <v>0</v>
      </c>
      <c r="AL203" s="109" t="n">
        <f aca="false">INDEX($F203:$AG203,1,MATCH(AL$7,$F$7:$AG$7,1))</f>
        <v>22</v>
      </c>
      <c r="AM203" s="109" t="n">
        <f aca="false">INDEX($F203:$AG203,1,MATCH(AM$7,$F$7:$AG$7,1))</f>
        <v>22</v>
      </c>
      <c r="AN203" s="109" t="n">
        <f aca="false">INDEX($F203:$AG203,1,MATCH(AN$7,$F$7:$AG$7,1))</f>
        <v>22</v>
      </c>
      <c r="AO203" s="109" t="n">
        <f aca="false">INDEX($F203:$AG203,1,MATCH(AO$7,$F$7:$AG$7,1))</f>
        <v>22</v>
      </c>
    </row>
    <row r="204" customFormat="false" ht="15" hidden="false" customHeight="false" outlineLevel="0" collapsed="false">
      <c r="A204" s="107" t="s">
        <v>1641</v>
      </c>
      <c r="B204" s="22" t="s">
        <v>664</v>
      </c>
      <c r="C204" s="22" t="s">
        <v>558</v>
      </c>
      <c r="D204" s="22" t="s">
        <v>1478</v>
      </c>
      <c r="F204" s="108" t="n">
        <v>0</v>
      </c>
      <c r="G204" s="108" t="n">
        <v>0</v>
      </c>
      <c r="H204" s="108" t="n">
        <v>0</v>
      </c>
      <c r="I204" s="108" t="n">
        <v>0</v>
      </c>
      <c r="J204" s="108" t="n">
        <v>0</v>
      </c>
      <c r="K204" s="108" t="n">
        <v>0</v>
      </c>
      <c r="L204" s="108" t="n">
        <v>0</v>
      </c>
      <c r="M204" s="108" t="n">
        <v>0</v>
      </c>
      <c r="N204" s="108" t="n">
        <v>0</v>
      </c>
      <c r="O204" s="108" t="n">
        <v>0</v>
      </c>
      <c r="P204" s="108" t="n">
        <v>0</v>
      </c>
      <c r="Q204" s="108" t="n">
        <v>0</v>
      </c>
      <c r="R204" s="108" t="n">
        <v>11</v>
      </c>
      <c r="S204" s="108" t="n">
        <v>22</v>
      </c>
      <c r="T204" s="108" t="n">
        <v>22</v>
      </c>
      <c r="U204" s="108" t="n">
        <v>22</v>
      </c>
      <c r="V204" s="108" t="n">
        <v>22</v>
      </c>
      <c r="W204" s="108" t="n">
        <v>22</v>
      </c>
      <c r="X204" s="108" t="n">
        <v>22</v>
      </c>
      <c r="Y204" s="108" t="n">
        <v>22</v>
      </c>
      <c r="Z204" s="108" t="n">
        <v>22</v>
      </c>
      <c r="AA204" s="108" t="n">
        <v>22</v>
      </c>
      <c r="AB204" s="108" t="n">
        <v>22</v>
      </c>
      <c r="AC204" s="108" t="n">
        <v>22</v>
      </c>
      <c r="AD204" s="108" t="n">
        <v>22</v>
      </c>
      <c r="AE204" s="108" t="n">
        <v>22</v>
      </c>
      <c r="AF204" s="108" t="n">
        <v>22</v>
      </c>
      <c r="AG204" s="108" t="n">
        <v>22</v>
      </c>
      <c r="AI204" s="109" t="n">
        <f aca="false">INDEX($F204:$AG204,1,MATCH(AI$7,$F$7:$AG$7,1))</f>
        <v>0</v>
      </c>
      <c r="AJ204" s="109" t="n">
        <f aca="false">INDEX($F204:$AG204,1,MATCH(AJ$7,$F$7:$AG$7,1))</f>
        <v>0</v>
      </c>
      <c r="AK204" s="109" t="n">
        <f aca="false">INDEX($F204:$AG204,1,MATCH(AK$7,$F$7:$AG$7,1))</f>
        <v>0</v>
      </c>
      <c r="AL204" s="109" t="n">
        <f aca="false">INDEX($F204:$AG204,1,MATCH(AL$7,$F$7:$AG$7,1))</f>
        <v>22</v>
      </c>
      <c r="AM204" s="109" t="n">
        <f aca="false">INDEX($F204:$AG204,1,MATCH(AM$7,$F$7:$AG$7,1))</f>
        <v>22</v>
      </c>
      <c r="AN204" s="109" t="n">
        <f aca="false">INDEX($F204:$AG204,1,MATCH(AN$7,$F$7:$AG$7,1))</f>
        <v>22</v>
      </c>
      <c r="AO204" s="109" t="n">
        <f aca="false">INDEX($F204:$AG204,1,MATCH(AO$7,$F$7:$AG$7,1))</f>
        <v>22</v>
      </c>
    </row>
    <row r="205" customFormat="false" ht="15" hidden="false" customHeight="false" outlineLevel="0" collapsed="false">
      <c r="A205" s="107" t="s">
        <v>1642</v>
      </c>
      <c r="B205" s="22" t="s">
        <v>664</v>
      </c>
      <c r="C205" s="22" t="s">
        <v>540</v>
      </c>
      <c r="D205" s="22" t="s">
        <v>1480</v>
      </c>
      <c r="F205" s="109" t="n">
        <f aca="false">IF(CapV=2,N(F204),N(F203))</f>
        <v>0</v>
      </c>
      <c r="G205" s="109" t="n">
        <f aca="false">IF(CapV=2,N(G204),N(G203))</f>
        <v>0</v>
      </c>
      <c r="H205" s="109" t="n">
        <f aca="false">IF(CapV=2,N(H204),N(H203))</f>
        <v>0</v>
      </c>
      <c r="I205" s="109" t="n">
        <f aca="false">IF(CapV=2,N(I204),N(I203))</f>
        <v>0</v>
      </c>
      <c r="J205" s="109" t="n">
        <f aca="false">IF(CapV=2,N(J204),N(J203))</f>
        <v>0</v>
      </c>
      <c r="K205" s="109" t="n">
        <f aca="false">IF(CapV=2,N(K204),N(K203))</f>
        <v>0</v>
      </c>
      <c r="L205" s="109" t="n">
        <f aca="false">IF(CapV=2,N(L204),N(L203))</f>
        <v>0</v>
      </c>
      <c r="M205" s="109" t="n">
        <f aca="false">IF(CapV=2,N(M204),N(M203))</f>
        <v>0</v>
      </c>
      <c r="N205" s="109" t="n">
        <f aca="false">IF(CapV=2,N(N204),N(N203))</f>
        <v>0</v>
      </c>
      <c r="O205" s="109" t="n">
        <f aca="false">IF(CapV=2,N(O204),N(O203))</f>
        <v>0</v>
      </c>
      <c r="P205" s="109" t="n">
        <f aca="false">IF(CapV=2,N(P204),N(P203))</f>
        <v>0</v>
      </c>
      <c r="Q205" s="109" t="n">
        <f aca="false">IF(CapV=2,N(Q204),N(Q203))</f>
        <v>0</v>
      </c>
      <c r="R205" s="109" t="n">
        <f aca="false">IF(CapV=2,N(R204),N(R203))</f>
        <v>11</v>
      </c>
      <c r="S205" s="109" t="n">
        <f aca="false">IF(CapV=2,N(S204),N(S203))</f>
        <v>22</v>
      </c>
      <c r="T205" s="109" t="n">
        <f aca="false">IF(CapV=2,N(T204),N(T203))</f>
        <v>22</v>
      </c>
      <c r="U205" s="109" t="n">
        <f aca="false">IF(CapV=2,N(U204),N(U203))</f>
        <v>22</v>
      </c>
      <c r="V205" s="109" t="n">
        <f aca="false">IF(CapV=2,N(V204),N(V203))</f>
        <v>22</v>
      </c>
      <c r="W205" s="109" t="n">
        <f aca="false">IF(CapV=2,N(W204),N(W203))</f>
        <v>22</v>
      </c>
      <c r="X205" s="109" t="n">
        <f aca="false">IF(CapV=2,N(X204),N(X203))</f>
        <v>22</v>
      </c>
      <c r="Y205" s="109" t="n">
        <f aca="false">IF(CapV=2,N(Y204),N(Y203))</f>
        <v>22</v>
      </c>
      <c r="Z205" s="109" t="n">
        <f aca="false">IF(CapV=2,N(Z204),N(Z203))</f>
        <v>22</v>
      </c>
      <c r="AA205" s="109" t="n">
        <f aca="false">IF(CapV=2,N(AA204),N(AA203))</f>
        <v>22</v>
      </c>
      <c r="AB205" s="109" t="n">
        <f aca="false">IF(CapV=2,N(AB204),N(AB203))</f>
        <v>22</v>
      </c>
      <c r="AC205" s="109" t="n">
        <f aca="false">IF(CapV=2,N(AC204),N(AC203))</f>
        <v>22</v>
      </c>
      <c r="AD205" s="109" t="n">
        <f aca="false">IF(CapV=2,N(AD204),N(AD203))</f>
        <v>22</v>
      </c>
      <c r="AE205" s="109" t="n">
        <f aca="false">IF(CapV=2,N(AE204),N(AE203))</f>
        <v>22</v>
      </c>
      <c r="AF205" s="109" t="n">
        <f aca="false">IF(CapV=2,N(AF204),N(AF203))</f>
        <v>22</v>
      </c>
      <c r="AG205" s="109" t="n">
        <f aca="false">IF(CapV=2,N(AG204),N(AG203))</f>
        <v>22</v>
      </c>
      <c r="AI205" s="109" t="n">
        <f aca="false">INDEX($F205:$AG205,1,MATCH(AI$7,$F$7:$AG$7,1))</f>
        <v>0</v>
      </c>
      <c r="AJ205" s="109" t="n">
        <f aca="false">INDEX($F205:$AG205,1,MATCH(AJ$7,$F$7:$AG$7,1))</f>
        <v>0</v>
      </c>
      <c r="AK205" s="109" t="n">
        <f aca="false">INDEX($F205:$AG205,1,MATCH(AK$7,$F$7:$AG$7,1))</f>
        <v>0</v>
      </c>
      <c r="AL205" s="109" t="n">
        <f aca="false">INDEX($F205:$AG205,1,MATCH(AL$7,$F$7:$AG$7,1))</f>
        <v>22</v>
      </c>
      <c r="AM205" s="109" t="n">
        <f aca="false">INDEX($F205:$AG205,1,MATCH(AM$7,$F$7:$AG$7,1))</f>
        <v>22</v>
      </c>
      <c r="AN205" s="109" t="n">
        <f aca="false">INDEX($F205:$AG205,1,MATCH(AN$7,$F$7:$AG$7,1))</f>
        <v>22</v>
      </c>
      <c r="AO205" s="109" t="n">
        <f aca="false">INDEX($F205:$AG205,1,MATCH(AO$7,$F$7:$AG$7,1))</f>
        <v>22</v>
      </c>
    </row>
    <row r="206" customFormat="false" ht="15" hidden="false" customHeight="false" outlineLevel="0" collapsed="false">
      <c r="A206" s="107" t="s">
        <v>1643</v>
      </c>
      <c r="B206" s="22" t="s">
        <v>664</v>
      </c>
      <c r="C206" s="22" t="s">
        <v>558</v>
      </c>
      <c r="D206" s="22" t="s">
        <v>1476</v>
      </c>
      <c r="F206" s="108" t="n">
        <v>0</v>
      </c>
      <c r="G206" s="108" t="n">
        <v>0</v>
      </c>
      <c r="H206" s="108" t="n">
        <v>0</v>
      </c>
      <c r="I206" s="108" t="n">
        <v>0</v>
      </c>
      <c r="J206" s="108" t="n">
        <v>0</v>
      </c>
      <c r="K206" s="108" t="n">
        <v>0</v>
      </c>
      <c r="L206" s="108" t="n">
        <v>0</v>
      </c>
      <c r="M206" s="108" t="n">
        <v>0</v>
      </c>
      <c r="N206" s="108" t="n">
        <v>0</v>
      </c>
      <c r="O206" s="108" t="n">
        <v>0</v>
      </c>
      <c r="P206" s="108" t="n">
        <v>0</v>
      </c>
      <c r="Q206" s="108" t="n">
        <v>11</v>
      </c>
      <c r="R206" s="108" t="n">
        <v>16.5</v>
      </c>
      <c r="S206" s="108" t="n">
        <v>22</v>
      </c>
      <c r="T206" s="108" t="n">
        <v>22</v>
      </c>
      <c r="U206" s="108" t="n">
        <v>22</v>
      </c>
      <c r="V206" s="108" t="n">
        <v>22</v>
      </c>
      <c r="W206" s="108" t="n">
        <v>22</v>
      </c>
      <c r="X206" s="108" t="n">
        <v>22</v>
      </c>
      <c r="Y206" s="108" t="n">
        <v>22</v>
      </c>
      <c r="Z206" s="108" t="n">
        <v>22</v>
      </c>
      <c r="AA206" s="108" t="n">
        <v>22</v>
      </c>
      <c r="AB206" s="108" t="n">
        <v>22</v>
      </c>
      <c r="AC206" s="108" t="n">
        <v>22</v>
      </c>
      <c r="AD206" s="108" t="n">
        <v>22</v>
      </c>
      <c r="AE206" s="108" t="n">
        <v>22</v>
      </c>
      <c r="AF206" s="108" t="n">
        <v>22</v>
      </c>
      <c r="AG206" s="108" t="n">
        <v>22</v>
      </c>
      <c r="AI206" s="109" t="n">
        <f aca="false">INDEX($F206:$AG206,1,MATCH(AI$7,$F$7:$AG$7,1))</f>
        <v>0</v>
      </c>
      <c r="AJ206" s="109" t="n">
        <f aca="false">INDEX($F206:$AG206,1,MATCH(AJ$7,$F$7:$AG$7,1))</f>
        <v>0</v>
      </c>
      <c r="AK206" s="109" t="n">
        <f aca="false">INDEX($F206:$AG206,1,MATCH(AK$7,$F$7:$AG$7,1))</f>
        <v>11</v>
      </c>
      <c r="AL206" s="109" t="n">
        <f aca="false">INDEX($F206:$AG206,1,MATCH(AL$7,$F$7:$AG$7,1))</f>
        <v>22</v>
      </c>
      <c r="AM206" s="109" t="n">
        <f aca="false">INDEX($F206:$AG206,1,MATCH(AM$7,$F$7:$AG$7,1))</f>
        <v>22</v>
      </c>
      <c r="AN206" s="109" t="n">
        <f aca="false">INDEX($F206:$AG206,1,MATCH(AN$7,$F$7:$AG$7,1))</f>
        <v>22</v>
      </c>
      <c r="AO206" s="109" t="n">
        <f aca="false">INDEX($F206:$AG206,1,MATCH(AO$7,$F$7:$AG$7,1))</f>
        <v>22</v>
      </c>
    </row>
    <row r="207" customFormat="false" ht="15" hidden="false" customHeight="false" outlineLevel="0" collapsed="false">
      <c r="A207" s="107" t="s">
        <v>1644</v>
      </c>
      <c r="B207" s="22" t="s">
        <v>664</v>
      </c>
      <c r="C207" s="22" t="s">
        <v>558</v>
      </c>
      <c r="D207" s="22" t="s">
        <v>1478</v>
      </c>
      <c r="F207" s="108" t="n">
        <v>0</v>
      </c>
      <c r="G207" s="108" t="n">
        <v>0</v>
      </c>
      <c r="H207" s="108" t="n">
        <v>0</v>
      </c>
      <c r="I207" s="108" t="n">
        <v>0</v>
      </c>
      <c r="J207" s="108" t="n">
        <v>0</v>
      </c>
      <c r="K207" s="108" t="n">
        <v>0</v>
      </c>
      <c r="L207" s="108" t="n">
        <v>0</v>
      </c>
      <c r="M207" s="108" t="n">
        <v>0</v>
      </c>
      <c r="N207" s="108" t="n">
        <v>0</v>
      </c>
      <c r="O207" s="108" t="n">
        <v>0</v>
      </c>
      <c r="P207" s="108" t="n">
        <v>0</v>
      </c>
      <c r="Q207" s="108" t="n">
        <v>11</v>
      </c>
      <c r="R207" s="108" t="n">
        <v>16.5</v>
      </c>
      <c r="S207" s="108" t="n">
        <v>22</v>
      </c>
      <c r="T207" s="108" t="n">
        <v>22</v>
      </c>
      <c r="U207" s="108" t="n">
        <v>22</v>
      </c>
      <c r="V207" s="108" t="n">
        <v>22</v>
      </c>
      <c r="W207" s="108" t="n">
        <v>22</v>
      </c>
      <c r="X207" s="108" t="n">
        <v>22</v>
      </c>
      <c r="Y207" s="108" t="n">
        <v>22</v>
      </c>
      <c r="Z207" s="108" t="n">
        <v>22</v>
      </c>
      <c r="AA207" s="108" t="n">
        <v>22</v>
      </c>
      <c r="AB207" s="108" t="n">
        <v>22</v>
      </c>
      <c r="AC207" s="108" t="n">
        <v>22</v>
      </c>
      <c r="AD207" s="108" t="n">
        <v>22</v>
      </c>
      <c r="AE207" s="108" t="n">
        <v>22</v>
      </c>
      <c r="AF207" s="108" t="n">
        <v>22</v>
      </c>
      <c r="AG207" s="108" t="n">
        <v>22</v>
      </c>
      <c r="AI207" s="109" t="n">
        <f aca="false">INDEX($F207:$AG207,1,MATCH(AI$7,$F$7:$AG$7,1))</f>
        <v>0</v>
      </c>
      <c r="AJ207" s="109" t="n">
        <f aca="false">INDEX($F207:$AG207,1,MATCH(AJ$7,$F$7:$AG$7,1))</f>
        <v>0</v>
      </c>
      <c r="AK207" s="109" t="n">
        <f aca="false">INDEX($F207:$AG207,1,MATCH(AK$7,$F$7:$AG$7,1))</f>
        <v>11</v>
      </c>
      <c r="AL207" s="109" t="n">
        <f aca="false">INDEX($F207:$AG207,1,MATCH(AL$7,$F$7:$AG$7,1))</f>
        <v>22</v>
      </c>
      <c r="AM207" s="109" t="n">
        <f aca="false">INDEX($F207:$AG207,1,MATCH(AM$7,$F$7:$AG$7,1))</f>
        <v>22</v>
      </c>
      <c r="AN207" s="109" t="n">
        <f aca="false">INDEX($F207:$AG207,1,MATCH(AN$7,$F$7:$AG$7,1))</f>
        <v>22</v>
      </c>
      <c r="AO207" s="109" t="n">
        <f aca="false">INDEX($F207:$AG207,1,MATCH(AO$7,$F$7:$AG$7,1))</f>
        <v>22</v>
      </c>
    </row>
    <row r="208" customFormat="false" ht="15" hidden="false" customHeight="false" outlineLevel="0" collapsed="false">
      <c r="A208" s="107" t="s">
        <v>1645</v>
      </c>
      <c r="B208" s="22" t="s">
        <v>664</v>
      </c>
      <c r="C208" s="22" t="s">
        <v>540</v>
      </c>
      <c r="D208" s="22" t="s">
        <v>1480</v>
      </c>
      <c r="F208" s="109" t="n">
        <f aca="false">IF(CapV=2,N(F207),N(F206))</f>
        <v>0</v>
      </c>
      <c r="G208" s="109" t="n">
        <f aca="false">IF(CapV=2,N(G207),N(G206))</f>
        <v>0</v>
      </c>
      <c r="H208" s="109" t="n">
        <f aca="false">IF(CapV=2,N(H207),N(H206))</f>
        <v>0</v>
      </c>
      <c r="I208" s="109" t="n">
        <f aca="false">IF(CapV=2,N(I207),N(I206))</f>
        <v>0</v>
      </c>
      <c r="J208" s="109" t="n">
        <f aca="false">IF(CapV=2,N(J207),N(J206))</f>
        <v>0</v>
      </c>
      <c r="K208" s="109" t="n">
        <f aca="false">IF(CapV=2,N(K207),N(K206))</f>
        <v>0</v>
      </c>
      <c r="L208" s="109" t="n">
        <f aca="false">IF(CapV=2,N(L207),N(L206))</f>
        <v>0</v>
      </c>
      <c r="M208" s="109" t="n">
        <f aca="false">IF(CapV=2,N(M207),N(M206))</f>
        <v>0</v>
      </c>
      <c r="N208" s="109" t="n">
        <f aca="false">IF(CapV=2,N(N207),N(N206))</f>
        <v>0</v>
      </c>
      <c r="O208" s="109" t="n">
        <f aca="false">IF(CapV=2,N(O207),N(O206))</f>
        <v>0</v>
      </c>
      <c r="P208" s="109" t="n">
        <f aca="false">IF(CapV=2,N(P207),N(P206))</f>
        <v>0</v>
      </c>
      <c r="Q208" s="109" t="n">
        <f aca="false">IF(CapV=2,N(Q207),N(Q206))</f>
        <v>11</v>
      </c>
      <c r="R208" s="109" t="n">
        <f aca="false">IF(CapV=2,N(R207),N(R206))</f>
        <v>16.5</v>
      </c>
      <c r="S208" s="109" t="n">
        <f aca="false">IF(CapV=2,N(S207),N(S206))</f>
        <v>22</v>
      </c>
      <c r="T208" s="109" t="n">
        <f aca="false">IF(CapV=2,N(T207),N(T206))</f>
        <v>22</v>
      </c>
      <c r="U208" s="109" t="n">
        <f aca="false">IF(CapV=2,N(U207),N(U206))</f>
        <v>22</v>
      </c>
      <c r="V208" s="109" t="n">
        <f aca="false">IF(CapV=2,N(V207),N(V206))</f>
        <v>22</v>
      </c>
      <c r="W208" s="109" t="n">
        <f aca="false">IF(CapV=2,N(W207),N(W206))</f>
        <v>22</v>
      </c>
      <c r="X208" s="109" t="n">
        <f aca="false">IF(CapV=2,N(X207),N(X206))</f>
        <v>22</v>
      </c>
      <c r="Y208" s="109" t="n">
        <f aca="false">IF(CapV=2,N(Y207),N(Y206))</f>
        <v>22</v>
      </c>
      <c r="Z208" s="109" t="n">
        <f aca="false">IF(CapV=2,N(Z207),N(Z206))</f>
        <v>22</v>
      </c>
      <c r="AA208" s="109" t="n">
        <f aca="false">IF(CapV=2,N(AA207),N(AA206))</f>
        <v>22</v>
      </c>
      <c r="AB208" s="109" t="n">
        <f aca="false">IF(CapV=2,N(AB207),N(AB206))</f>
        <v>22</v>
      </c>
      <c r="AC208" s="109" t="n">
        <f aca="false">IF(CapV=2,N(AC207),N(AC206))</f>
        <v>22</v>
      </c>
      <c r="AD208" s="109" t="n">
        <f aca="false">IF(CapV=2,N(AD207),N(AD206))</f>
        <v>22</v>
      </c>
      <c r="AE208" s="109" t="n">
        <f aca="false">IF(CapV=2,N(AE207),N(AE206))</f>
        <v>22</v>
      </c>
      <c r="AF208" s="109" t="n">
        <f aca="false">IF(CapV=2,N(AF207),N(AF206))</f>
        <v>22</v>
      </c>
      <c r="AG208" s="109" t="n">
        <f aca="false">IF(CapV=2,N(AG207),N(AG206))</f>
        <v>22</v>
      </c>
      <c r="AI208" s="109" t="n">
        <f aca="false">INDEX($F208:$AG208,1,MATCH(AI$7,$F$7:$AG$7,1))</f>
        <v>0</v>
      </c>
      <c r="AJ208" s="109" t="n">
        <f aca="false">INDEX($F208:$AG208,1,MATCH(AJ$7,$F$7:$AG$7,1))</f>
        <v>0</v>
      </c>
      <c r="AK208" s="109" t="n">
        <f aca="false">INDEX($F208:$AG208,1,MATCH(AK$7,$F$7:$AG$7,1))</f>
        <v>11</v>
      </c>
      <c r="AL208" s="109" t="n">
        <f aca="false">INDEX($F208:$AG208,1,MATCH(AL$7,$F$7:$AG$7,1))</f>
        <v>22</v>
      </c>
      <c r="AM208" s="109" t="n">
        <f aca="false">INDEX($F208:$AG208,1,MATCH(AM$7,$F$7:$AG$7,1))</f>
        <v>22</v>
      </c>
      <c r="AN208" s="109" t="n">
        <f aca="false">INDEX($F208:$AG208,1,MATCH(AN$7,$F$7:$AG$7,1))</f>
        <v>22</v>
      </c>
      <c r="AO208" s="109" t="n">
        <f aca="false">INDEX($F208:$AG208,1,MATCH(AO$7,$F$7:$AG$7,1))</f>
        <v>22</v>
      </c>
    </row>
    <row r="209" customFormat="false" ht="15" hidden="false" customHeight="false" outlineLevel="0" collapsed="false">
      <c r="A209" s="107" t="s">
        <v>1646</v>
      </c>
      <c r="B209" s="22" t="s">
        <v>664</v>
      </c>
      <c r="C209" s="22" t="s">
        <v>558</v>
      </c>
      <c r="D209" s="22" t="s">
        <v>1476</v>
      </c>
      <c r="F209" s="108" t="n">
        <v>0</v>
      </c>
      <c r="G209" s="108" t="n">
        <v>0</v>
      </c>
      <c r="H209" s="108" t="n">
        <v>0</v>
      </c>
      <c r="I209" s="108" t="n">
        <v>0</v>
      </c>
      <c r="J209" s="108" t="n">
        <v>0</v>
      </c>
      <c r="K209" s="108" t="n">
        <v>0</v>
      </c>
      <c r="L209" s="108" t="n">
        <v>0</v>
      </c>
      <c r="M209" s="108" t="n">
        <v>0</v>
      </c>
      <c r="N209" s="108" t="n">
        <v>0</v>
      </c>
      <c r="O209" s="108" t="n">
        <v>0</v>
      </c>
      <c r="P209" s="108" t="n">
        <v>0</v>
      </c>
      <c r="Q209" s="108" t="n">
        <v>22</v>
      </c>
      <c r="R209" s="108" t="n">
        <v>22</v>
      </c>
      <c r="S209" s="108" t="n">
        <v>22</v>
      </c>
      <c r="T209" s="108" t="n">
        <v>22</v>
      </c>
      <c r="U209" s="108" t="n">
        <v>22</v>
      </c>
      <c r="V209" s="108" t="n">
        <v>22</v>
      </c>
      <c r="W209" s="108" t="n">
        <v>22</v>
      </c>
      <c r="X209" s="108" t="n">
        <v>22</v>
      </c>
      <c r="Y209" s="108" t="n">
        <v>22</v>
      </c>
      <c r="Z209" s="108" t="n">
        <v>22</v>
      </c>
      <c r="AA209" s="108" t="n">
        <v>22</v>
      </c>
      <c r="AB209" s="108" t="n">
        <v>22</v>
      </c>
      <c r="AC209" s="108" t="n">
        <v>22</v>
      </c>
      <c r="AD209" s="108" t="n">
        <v>22</v>
      </c>
      <c r="AE209" s="108" t="n">
        <v>22</v>
      </c>
      <c r="AF209" s="108" t="n">
        <v>22</v>
      </c>
      <c r="AG209" s="108" t="n">
        <v>22</v>
      </c>
      <c r="AI209" s="109" t="n">
        <f aca="false">INDEX($F209:$AG209,1,MATCH(AI$7,$F$7:$AG$7,1))</f>
        <v>0</v>
      </c>
      <c r="AJ209" s="109" t="n">
        <f aca="false">INDEX($F209:$AG209,1,MATCH(AJ$7,$F$7:$AG$7,1))</f>
        <v>0</v>
      </c>
      <c r="AK209" s="109" t="n">
        <f aca="false">INDEX($F209:$AG209,1,MATCH(AK$7,$F$7:$AG$7,1))</f>
        <v>22</v>
      </c>
      <c r="AL209" s="109" t="n">
        <f aca="false">INDEX($F209:$AG209,1,MATCH(AL$7,$F$7:$AG$7,1))</f>
        <v>22</v>
      </c>
      <c r="AM209" s="109" t="n">
        <f aca="false">INDEX($F209:$AG209,1,MATCH(AM$7,$F$7:$AG$7,1))</f>
        <v>22</v>
      </c>
      <c r="AN209" s="109" t="n">
        <f aca="false">INDEX($F209:$AG209,1,MATCH(AN$7,$F$7:$AG$7,1))</f>
        <v>22</v>
      </c>
      <c r="AO209" s="109" t="n">
        <f aca="false">INDEX($F209:$AG209,1,MATCH(AO$7,$F$7:$AG$7,1))</f>
        <v>22</v>
      </c>
    </row>
    <row r="210" customFormat="false" ht="15" hidden="false" customHeight="false" outlineLevel="0" collapsed="false">
      <c r="A210" s="107" t="s">
        <v>1647</v>
      </c>
      <c r="B210" s="22" t="s">
        <v>664</v>
      </c>
      <c r="C210" s="22" t="s">
        <v>558</v>
      </c>
      <c r="D210" s="22" t="s">
        <v>1478</v>
      </c>
      <c r="F210" s="108" t="n">
        <v>0</v>
      </c>
      <c r="G210" s="108" t="n">
        <v>0</v>
      </c>
      <c r="H210" s="108" t="n">
        <v>0</v>
      </c>
      <c r="I210" s="108" t="n">
        <v>0</v>
      </c>
      <c r="J210" s="108" t="n">
        <v>0</v>
      </c>
      <c r="K210" s="108" t="n">
        <v>0</v>
      </c>
      <c r="L210" s="108" t="n">
        <v>0</v>
      </c>
      <c r="M210" s="108" t="n">
        <v>0</v>
      </c>
      <c r="N210" s="108" t="n">
        <v>0</v>
      </c>
      <c r="O210" s="108" t="n">
        <v>0</v>
      </c>
      <c r="P210" s="108" t="n">
        <v>0</v>
      </c>
      <c r="Q210" s="108" t="n">
        <v>22</v>
      </c>
      <c r="R210" s="108" t="n">
        <v>22</v>
      </c>
      <c r="S210" s="108" t="n">
        <v>22</v>
      </c>
      <c r="T210" s="108" t="n">
        <v>22</v>
      </c>
      <c r="U210" s="108" t="n">
        <v>22</v>
      </c>
      <c r="V210" s="108" t="n">
        <v>22</v>
      </c>
      <c r="W210" s="108" t="n">
        <v>22</v>
      </c>
      <c r="X210" s="108" t="n">
        <v>22</v>
      </c>
      <c r="Y210" s="108" t="n">
        <v>22</v>
      </c>
      <c r="Z210" s="108" t="n">
        <v>22</v>
      </c>
      <c r="AA210" s="108" t="n">
        <v>22</v>
      </c>
      <c r="AB210" s="108" t="n">
        <v>22</v>
      </c>
      <c r="AC210" s="108" t="n">
        <v>22</v>
      </c>
      <c r="AD210" s="108" t="n">
        <v>22</v>
      </c>
      <c r="AE210" s="108" t="n">
        <v>22</v>
      </c>
      <c r="AF210" s="108" t="n">
        <v>22</v>
      </c>
      <c r="AG210" s="108" t="n">
        <v>22</v>
      </c>
      <c r="AI210" s="109" t="n">
        <f aca="false">INDEX($F210:$AG210,1,MATCH(AI$7,$F$7:$AG$7,1))</f>
        <v>0</v>
      </c>
      <c r="AJ210" s="109" t="n">
        <f aca="false">INDEX($F210:$AG210,1,MATCH(AJ$7,$F$7:$AG$7,1))</f>
        <v>0</v>
      </c>
      <c r="AK210" s="109" t="n">
        <f aca="false">INDEX($F210:$AG210,1,MATCH(AK$7,$F$7:$AG$7,1))</f>
        <v>22</v>
      </c>
      <c r="AL210" s="109" t="n">
        <f aca="false">INDEX($F210:$AG210,1,MATCH(AL$7,$F$7:$AG$7,1))</f>
        <v>22</v>
      </c>
      <c r="AM210" s="109" t="n">
        <f aca="false">INDEX($F210:$AG210,1,MATCH(AM$7,$F$7:$AG$7,1))</f>
        <v>22</v>
      </c>
      <c r="AN210" s="109" t="n">
        <f aca="false">INDEX($F210:$AG210,1,MATCH(AN$7,$F$7:$AG$7,1))</f>
        <v>22</v>
      </c>
      <c r="AO210" s="109" t="n">
        <f aca="false">INDEX($F210:$AG210,1,MATCH(AO$7,$F$7:$AG$7,1))</f>
        <v>22</v>
      </c>
    </row>
    <row r="211" customFormat="false" ht="15" hidden="false" customHeight="false" outlineLevel="0" collapsed="false">
      <c r="A211" s="107" t="s">
        <v>1648</v>
      </c>
      <c r="B211" s="22" t="s">
        <v>664</v>
      </c>
      <c r="C211" s="22" t="s">
        <v>540</v>
      </c>
      <c r="D211" s="22" t="s">
        <v>1480</v>
      </c>
      <c r="F211" s="109" t="n">
        <f aca="false">IF(CapV=2,N(F210),N(F209))</f>
        <v>0</v>
      </c>
      <c r="G211" s="109" t="n">
        <f aca="false">IF(CapV=2,N(G210),N(G209))</f>
        <v>0</v>
      </c>
      <c r="H211" s="109" t="n">
        <f aca="false">IF(CapV=2,N(H210),N(H209))</f>
        <v>0</v>
      </c>
      <c r="I211" s="109" t="n">
        <f aca="false">IF(CapV=2,N(I210),N(I209))</f>
        <v>0</v>
      </c>
      <c r="J211" s="109" t="n">
        <f aca="false">IF(CapV=2,N(J210),N(J209))</f>
        <v>0</v>
      </c>
      <c r="K211" s="109" t="n">
        <f aca="false">IF(CapV=2,N(K210),N(K209))</f>
        <v>0</v>
      </c>
      <c r="L211" s="109" t="n">
        <f aca="false">IF(CapV=2,N(L210),N(L209))</f>
        <v>0</v>
      </c>
      <c r="M211" s="109" t="n">
        <f aca="false">IF(CapV=2,N(M210),N(M209))</f>
        <v>0</v>
      </c>
      <c r="N211" s="109" t="n">
        <f aca="false">IF(CapV=2,N(N210),N(N209))</f>
        <v>0</v>
      </c>
      <c r="O211" s="109" t="n">
        <f aca="false">IF(CapV=2,N(O210),N(O209))</f>
        <v>0</v>
      </c>
      <c r="P211" s="109" t="n">
        <f aca="false">IF(CapV=2,N(P210),N(P209))</f>
        <v>0</v>
      </c>
      <c r="Q211" s="109" t="n">
        <f aca="false">IF(CapV=2,N(Q210),N(Q209))</f>
        <v>22</v>
      </c>
      <c r="R211" s="109" t="n">
        <f aca="false">IF(CapV=2,N(R210),N(R209))</f>
        <v>22</v>
      </c>
      <c r="S211" s="109" t="n">
        <f aca="false">IF(CapV=2,N(S210),N(S209))</f>
        <v>22</v>
      </c>
      <c r="T211" s="109" t="n">
        <f aca="false">IF(CapV=2,N(T210),N(T209))</f>
        <v>22</v>
      </c>
      <c r="U211" s="109" t="n">
        <f aca="false">IF(CapV=2,N(U210),N(U209))</f>
        <v>22</v>
      </c>
      <c r="V211" s="109" t="n">
        <f aca="false">IF(CapV=2,N(V210),N(V209))</f>
        <v>22</v>
      </c>
      <c r="W211" s="109" t="n">
        <f aca="false">IF(CapV=2,N(W210),N(W209))</f>
        <v>22</v>
      </c>
      <c r="X211" s="109" t="n">
        <f aca="false">IF(CapV=2,N(X210),N(X209))</f>
        <v>22</v>
      </c>
      <c r="Y211" s="109" t="n">
        <f aca="false">IF(CapV=2,N(Y210),N(Y209))</f>
        <v>22</v>
      </c>
      <c r="Z211" s="109" t="n">
        <f aca="false">IF(CapV=2,N(Z210),N(Z209))</f>
        <v>22</v>
      </c>
      <c r="AA211" s="109" t="n">
        <f aca="false">IF(CapV=2,N(AA210),N(AA209))</f>
        <v>22</v>
      </c>
      <c r="AB211" s="109" t="n">
        <f aca="false">IF(CapV=2,N(AB210),N(AB209))</f>
        <v>22</v>
      </c>
      <c r="AC211" s="109" t="n">
        <f aca="false">IF(CapV=2,N(AC210),N(AC209))</f>
        <v>22</v>
      </c>
      <c r="AD211" s="109" t="n">
        <f aca="false">IF(CapV=2,N(AD210),N(AD209))</f>
        <v>22</v>
      </c>
      <c r="AE211" s="109" t="n">
        <f aca="false">IF(CapV=2,N(AE210),N(AE209))</f>
        <v>22</v>
      </c>
      <c r="AF211" s="109" t="n">
        <f aca="false">IF(CapV=2,N(AF210),N(AF209))</f>
        <v>22</v>
      </c>
      <c r="AG211" s="109" t="n">
        <f aca="false">IF(CapV=2,N(AG210),N(AG209))</f>
        <v>22</v>
      </c>
      <c r="AI211" s="109" t="n">
        <f aca="false">INDEX($F211:$AG211,1,MATCH(AI$7,$F$7:$AG$7,1))</f>
        <v>0</v>
      </c>
      <c r="AJ211" s="109" t="n">
        <f aca="false">INDEX($F211:$AG211,1,MATCH(AJ$7,$F$7:$AG$7,1))</f>
        <v>0</v>
      </c>
      <c r="AK211" s="109" t="n">
        <f aca="false">INDEX($F211:$AG211,1,MATCH(AK$7,$F$7:$AG$7,1))</f>
        <v>22</v>
      </c>
      <c r="AL211" s="109" t="n">
        <f aca="false">INDEX($F211:$AG211,1,MATCH(AL$7,$F$7:$AG$7,1))</f>
        <v>22</v>
      </c>
      <c r="AM211" s="109" t="n">
        <f aca="false">INDEX($F211:$AG211,1,MATCH(AM$7,$F$7:$AG$7,1))</f>
        <v>22</v>
      </c>
      <c r="AN211" s="109" t="n">
        <f aca="false">INDEX($F211:$AG211,1,MATCH(AN$7,$F$7:$AG$7,1))</f>
        <v>22</v>
      </c>
      <c r="AO211" s="109" t="n">
        <f aca="false">INDEX($F211:$AG211,1,MATCH(AO$7,$F$7:$AG$7,1))</f>
        <v>22</v>
      </c>
    </row>
    <row r="212" customFormat="false" ht="15" hidden="false" customHeight="false" outlineLevel="0" collapsed="false">
      <c r="A212" s="107" t="s">
        <v>1649</v>
      </c>
      <c r="B212" s="22" t="s">
        <v>664</v>
      </c>
      <c r="C212" s="22" t="s">
        <v>558</v>
      </c>
      <c r="D212" s="22" t="s">
        <v>1650</v>
      </c>
      <c r="F212" s="110" t="n">
        <f aca="false">IF(F$5&gt;=12,Inputs!$E$187,0)</f>
        <v>0</v>
      </c>
      <c r="G212" s="110" t="n">
        <f aca="false">IF(G$5&gt;=12,Inputs!$E$187,0)</f>
        <v>0</v>
      </c>
      <c r="H212" s="110" t="n">
        <f aca="false">IF(H$5&gt;=12,Inputs!$E$187,0)</f>
        <v>0</v>
      </c>
      <c r="I212" s="110" t="n">
        <f aca="false">IF(I$5&gt;=12,Inputs!$E$187,0)</f>
        <v>0</v>
      </c>
      <c r="J212" s="110" t="n">
        <f aca="false">IF(J$5&gt;=12,Inputs!$E$187,0)</f>
        <v>0</v>
      </c>
      <c r="K212" s="110" t="n">
        <f aca="false">IF(K$5&gt;=12,Inputs!$E$187,0)</f>
        <v>0</v>
      </c>
      <c r="L212" s="110" t="n">
        <f aca="false">IF(L$5&gt;=12,Inputs!$E$187,0)</f>
        <v>0</v>
      </c>
      <c r="M212" s="110" t="n">
        <f aca="false">IF(M$5&gt;=12,Inputs!$E$187,0)</f>
        <v>0</v>
      </c>
      <c r="N212" s="110" t="n">
        <f aca="false">IF(N$5&gt;=12,Inputs!$E$187,0)</f>
        <v>0</v>
      </c>
      <c r="O212" s="110" t="n">
        <f aca="false">IF(O$5&gt;=12,Inputs!$E$187,0)</f>
        <v>0</v>
      </c>
      <c r="P212" s="110" t="n">
        <f aca="false">IF(P$5&gt;=12,Inputs!$E$187,0)</f>
        <v>0</v>
      </c>
      <c r="Q212" s="110" t="n">
        <f aca="false">IF(Q$5&gt;=12,Inputs!$E$187,0)</f>
        <v>0</v>
      </c>
      <c r="R212" s="110" t="n">
        <f aca="false">IF(R$5&gt;=12,Inputs!$E$187,0)</f>
        <v>0</v>
      </c>
      <c r="S212" s="110" t="n">
        <f aca="false">IF(S$5&gt;=12,Inputs!$E$187,0)</f>
        <v>0</v>
      </c>
      <c r="T212" s="110" t="n">
        <f aca="false">IF(T$5&gt;=12,Inputs!$E$187,0)</f>
        <v>0</v>
      </c>
      <c r="U212" s="110" t="n">
        <f aca="false">IF(U$5&gt;=12,Inputs!$E$187,0)</f>
        <v>0</v>
      </c>
      <c r="V212" s="110" t="n">
        <f aca="false">IF(V$5&gt;=12,Inputs!$E$187,0)</f>
        <v>0</v>
      </c>
      <c r="W212" s="110" t="n">
        <f aca="false">IF(W$5&gt;=12,Inputs!$E$187,0)</f>
        <v>0</v>
      </c>
      <c r="X212" s="110" t="n">
        <f aca="false">IF(X$5&gt;=12,Inputs!$E$187,0)</f>
        <v>0</v>
      </c>
      <c r="Y212" s="110" t="n">
        <f aca="false">IF(Y$5&gt;=12,Inputs!$E$187,0)</f>
        <v>0</v>
      </c>
      <c r="Z212" s="110" t="n">
        <f aca="false">IF(Z$5&gt;=12,Inputs!$E$187,0)</f>
        <v>0</v>
      </c>
      <c r="AA212" s="110" t="n">
        <f aca="false">IF(AA$5&gt;=12,Inputs!$E$187,0)</f>
        <v>0</v>
      </c>
      <c r="AB212" s="110" t="n">
        <f aca="false">IF(AB$5&gt;=12,Inputs!$E$187,0)</f>
        <v>0</v>
      </c>
      <c r="AC212" s="110" t="n">
        <f aca="false">IF(AC$5&gt;=12,Inputs!$E$187,0)</f>
        <v>0</v>
      </c>
      <c r="AD212" s="110" t="n">
        <f aca="false">IF(AD$5&gt;=12,Inputs!$E$187,0)</f>
        <v>0</v>
      </c>
      <c r="AE212" s="110" t="n">
        <f aca="false">IF(AE$5&gt;=12,Inputs!$E$187,0)</f>
        <v>0</v>
      </c>
      <c r="AF212" s="110" t="n">
        <f aca="false">IF(AF$5&gt;=12,Inputs!$E$187,0)</f>
        <v>0</v>
      </c>
      <c r="AG212" s="110" t="n">
        <f aca="false">IF(AG$5&gt;=12,Inputs!$E$187,0)</f>
        <v>0</v>
      </c>
      <c r="AI212" s="109" t="n">
        <f aca="false">INDEX($F212:$AG212,1,MATCH(AI$7,$F$7:$AG$7,1))</f>
        <v>0</v>
      </c>
      <c r="AJ212" s="109" t="n">
        <f aca="false">INDEX($F212:$AG212,1,MATCH(AJ$7,$F$7:$AG$7,1))</f>
        <v>0</v>
      </c>
      <c r="AK212" s="109" t="n">
        <f aca="false">INDEX($F212:$AG212,1,MATCH(AK$7,$F$7:$AG$7,1))</f>
        <v>0</v>
      </c>
      <c r="AL212" s="109" t="n">
        <f aca="false">INDEX($F212:$AG212,1,MATCH(AL$7,$F$7:$AG$7,1))</f>
        <v>0</v>
      </c>
      <c r="AM212" s="109" t="n">
        <f aca="false">INDEX($F212:$AG212,1,MATCH(AM$7,$F$7:$AG$7,1))</f>
        <v>0</v>
      </c>
      <c r="AN212" s="109" t="n">
        <f aca="false">INDEX($F212:$AG212,1,MATCH(AN$7,$F$7:$AG$7,1))</f>
        <v>0</v>
      </c>
      <c r="AO212" s="109" t="n">
        <f aca="false">INDEX($F212:$AG212,1,MATCH(AO$7,$F$7:$AG$7,1))</f>
        <v>0</v>
      </c>
    </row>
    <row r="213" customFormat="false" ht="15" hidden="false" customHeight="false" outlineLevel="0" collapsed="false">
      <c r="A213" s="107" t="s">
        <v>1651</v>
      </c>
      <c r="B213" s="22" t="s">
        <v>664</v>
      </c>
      <c r="C213" s="22" t="s">
        <v>558</v>
      </c>
      <c r="D213" s="22" t="s">
        <v>1478</v>
      </c>
      <c r="F213" s="108" t="n">
        <v>0</v>
      </c>
      <c r="G213" s="108" t="n">
        <v>0</v>
      </c>
      <c r="H213" s="108" t="n">
        <v>0</v>
      </c>
      <c r="I213" s="108" t="n">
        <v>0</v>
      </c>
      <c r="J213" s="108" t="n">
        <v>0</v>
      </c>
      <c r="K213" s="108" t="n">
        <v>0</v>
      </c>
      <c r="L213" s="108" t="n">
        <v>0</v>
      </c>
      <c r="M213" s="108" t="n">
        <v>0</v>
      </c>
      <c r="N213" s="108" t="n">
        <v>5</v>
      </c>
      <c r="O213" s="108" t="n">
        <v>5</v>
      </c>
      <c r="P213" s="108" t="n">
        <v>5</v>
      </c>
      <c r="Q213" s="108" t="n">
        <v>5</v>
      </c>
      <c r="R213" s="108" t="n">
        <v>5</v>
      </c>
      <c r="S213" s="108" t="n">
        <v>5</v>
      </c>
      <c r="T213" s="108" t="n">
        <v>5</v>
      </c>
      <c r="U213" s="108" t="n">
        <v>5</v>
      </c>
      <c r="V213" s="108" t="n">
        <v>5</v>
      </c>
      <c r="W213" s="108" t="n">
        <v>5</v>
      </c>
      <c r="X213" s="108" t="n">
        <v>5</v>
      </c>
      <c r="Y213" s="108" t="n">
        <v>5</v>
      </c>
      <c r="Z213" s="108" t="n">
        <v>5</v>
      </c>
      <c r="AA213" s="108" t="n">
        <v>5</v>
      </c>
      <c r="AB213" s="108" t="n">
        <v>5</v>
      </c>
      <c r="AC213" s="108" t="n">
        <v>5</v>
      </c>
      <c r="AD213" s="108" t="n">
        <v>5</v>
      </c>
      <c r="AE213" s="108" t="n">
        <v>5</v>
      </c>
      <c r="AF213" s="108" t="n">
        <v>5</v>
      </c>
      <c r="AG213" s="108" t="n">
        <v>5</v>
      </c>
      <c r="AI213" s="109" t="n">
        <f aca="false">INDEX($F213:$AG213,1,MATCH(AI$7,$F$7:$AG$7,1))</f>
        <v>0</v>
      </c>
      <c r="AJ213" s="109" t="n">
        <f aca="false">INDEX($F213:$AG213,1,MATCH(AJ$7,$F$7:$AG$7,1))</f>
        <v>0</v>
      </c>
      <c r="AK213" s="109" t="n">
        <f aca="false">INDEX($F213:$AG213,1,MATCH(AK$7,$F$7:$AG$7,1))</f>
        <v>5</v>
      </c>
      <c r="AL213" s="109" t="n">
        <f aca="false">INDEX($F213:$AG213,1,MATCH(AL$7,$F$7:$AG$7,1))</f>
        <v>5</v>
      </c>
      <c r="AM213" s="109" t="n">
        <f aca="false">INDEX($F213:$AG213,1,MATCH(AM$7,$F$7:$AG$7,1))</f>
        <v>5</v>
      </c>
      <c r="AN213" s="109" t="n">
        <f aca="false">INDEX($F213:$AG213,1,MATCH(AN$7,$F$7:$AG$7,1))</f>
        <v>5</v>
      </c>
      <c r="AO213" s="109" t="n">
        <f aca="false">INDEX($F213:$AG213,1,MATCH(AO$7,$F$7:$AG$7,1))</f>
        <v>5</v>
      </c>
    </row>
    <row r="214" customFormat="false" ht="15" hidden="false" customHeight="false" outlineLevel="0" collapsed="false">
      <c r="A214" s="107" t="s">
        <v>1652</v>
      </c>
      <c r="B214" s="22" t="s">
        <v>664</v>
      </c>
      <c r="C214" s="22" t="s">
        <v>540</v>
      </c>
      <c r="D214" s="22" t="s">
        <v>1480</v>
      </c>
      <c r="F214" s="109" t="n">
        <f aca="false">IF(CapV=2,N(F213),N(F212))</f>
        <v>0</v>
      </c>
      <c r="G214" s="109" t="n">
        <f aca="false">IF(CapV=2,N(G213),N(G212))</f>
        <v>0</v>
      </c>
      <c r="H214" s="109" t="n">
        <f aca="false">IF(CapV=2,N(H213),N(H212))</f>
        <v>0</v>
      </c>
      <c r="I214" s="109" t="n">
        <f aca="false">IF(CapV=2,N(I213),N(I212))</f>
        <v>0</v>
      </c>
      <c r="J214" s="109" t="n">
        <f aca="false">IF(CapV=2,N(J213),N(J212))</f>
        <v>0</v>
      </c>
      <c r="K214" s="109" t="n">
        <f aca="false">IF(CapV=2,N(K213),N(K212))</f>
        <v>0</v>
      </c>
      <c r="L214" s="109" t="n">
        <f aca="false">IF(CapV=2,N(L213),N(L212))</f>
        <v>0</v>
      </c>
      <c r="M214" s="109" t="n">
        <f aca="false">IF(CapV=2,N(M213),N(M212))</f>
        <v>0</v>
      </c>
      <c r="N214" s="109" t="n">
        <f aca="false">IF(CapV=2,N(N213),N(N212))</f>
        <v>5</v>
      </c>
      <c r="O214" s="109" t="n">
        <f aca="false">IF(CapV=2,N(O213),N(O212))</f>
        <v>5</v>
      </c>
      <c r="P214" s="109" t="n">
        <f aca="false">IF(CapV=2,N(P213),N(P212))</f>
        <v>5</v>
      </c>
      <c r="Q214" s="109" t="n">
        <f aca="false">IF(CapV=2,N(Q213),N(Q212))</f>
        <v>5</v>
      </c>
      <c r="R214" s="109" t="n">
        <f aca="false">IF(CapV=2,N(R213),N(R212))</f>
        <v>5</v>
      </c>
      <c r="S214" s="109" t="n">
        <f aca="false">IF(CapV=2,N(S213),N(S212))</f>
        <v>5</v>
      </c>
      <c r="T214" s="109" t="n">
        <f aca="false">IF(CapV=2,N(T213),N(T212))</f>
        <v>5</v>
      </c>
      <c r="U214" s="109" t="n">
        <f aca="false">IF(CapV=2,N(U213),N(U212))</f>
        <v>5</v>
      </c>
      <c r="V214" s="109" t="n">
        <f aca="false">IF(CapV=2,N(V213),N(V212))</f>
        <v>5</v>
      </c>
      <c r="W214" s="109" t="n">
        <f aca="false">IF(CapV=2,N(W213),N(W212))</f>
        <v>5</v>
      </c>
      <c r="X214" s="109" t="n">
        <f aca="false">IF(CapV=2,N(X213),N(X212))</f>
        <v>5</v>
      </c>
      <c r="Y214" s="109" t="n">
        <f aca="false">IF(CapV=2,N(Y213),N(Y212))</f>
        <v>5</v>
      </c>
      <c r="Z214" s="109" t="n">
        <f aca="false">IF(CapV=2,N(Z213),N(Z212))</f>
        <v>5</v>
      </c>
      <c r="AA214" s="109" t="n">
        <f aca="false">IF(CapV=2,N(AA213),N(AA212))</f>
        <v>5</v>
      </c>
      <c r="AB214" s="109" t="n">
        <f aca="false">IF(CapV=2,N(AB213),N(AB212))</f>
        <v>5</v>
      </c>
      <c r="AC214" s="109" t="n">
        <f aca="false">IF(CapV=2,N(AC213),N(AC212))</f>
        <v>5</v>
      </c>
      <c r="AD214" s="109" t="n">
        <f aca="false">IF(CapV=2,N(AD213),N(AD212))</f>
        <v>5</v>
      </c>
      <c r="AE214" s="109" t="n">
        <f aca="false">IF(CapV=2,N(AE213),N(AE212))</f>
        <v>5</v>
      </c>
      <c r="AF214" s="109" t="n">
        <f aca="false">IF(CapV=2,N(AF213),N(AF212))</f>
        <v>5</v>
      </c>
      <c r="AG214" s="109" t="n">
        <f aca="false">IF(CapV=2,N(AG213),N(AG212))</f>
        <v>5</v>
      </c>
      <c r="AI214" s="109" t="n">
        <f aca="false">INDEX($F214:$AG214,1,MATCH(AI$7,$F$7:$AG$7,1))</f>
        <v>0</v>
      </c>
      <c r="AJ214" s="109" t="n">
        <f aca="false">INDEX($F214:$AG214,1,MATCH(AJ$7,$F$7:$AG$7,1))</f>
        <v>0</v>
      </c>
      <c r="AK214" s="109" t="n">
        <f aca="false">INDEX($F214:$AG214,1,MATCH(AK$7,$F$7:$AG$7,1))</f>
        <v>5</v>
      </c>
      <c r="AL214" s="109" t="n">
        <f aca="false">INDEX($F214:$AG214,1,MATCH(AL$7,$F$7:$AG$7,1))</f>
        <v>5</v>
      </c>
      <c r="AM214" s="109" t="n">
        <f aca="false">INDEX($F214:$AG214,1,MATCH(AM$7,$F$7:$AG$7,1))</f>
        <v>5</v>
      </c>
      <c r="AN214" s="109" t="n">
        <f aca="false">INDEX($F214:$AG214,1,MATCH(AN$7,$F$7:$AG$7,1))</f>
        <v>5</v>
      </c>
      <c r="AO214" s="109" t="n">
        <f aca="false">INDEX($F214:$AG214,1,MATCH(AO$7,$F$7:$AG$7,1))</f>
        <v>5</v>
      </c>
    </row>
    <row r="215" customFormat="false" ht="15" hidden="false" customHeight="false" outlineLevel="0" collapsed="false">
      <c r="A215" s="107" t="s">
        <v>1653</v>
      </c>
      <c r="B215" s="22" t="s">
        <v>664</v>
      </c>
      <c r="C215" s="22" t="s">
        <v>558</v>
      </c>
      <c r="D215" s="22" t="s">
        <v>1650</v>
      </c>
      <c r="F215" s="110" t="n">
        <f aca="false">IF(F$5&gt;=12,Inputs!$D$187,0)</f>
        <v>0</v>
      </c>
      <c r="G215" s="110" t="n">
        <f aca="false">IF(G$5&gt;=12,Inputs!$D$187,0)</f>
        <v>0</v>
      </c>
      <c r="H215" s="110" t="n">
        <f aca="false">IF(H$5&gt;=12,Inputs!$D$187,0)</f>
        <v>0</v>
      </c>
      <c r="I215" s="110" t="n">
        <f aca="false">IF(I$5&gt;=12,Inputs!$D$187,0)</f>
        <v>0</v>
      </c>
      <c r="J215" s="110" t="n">
        <f aca="false">IF(J$5&gt;=12,Inputs!$D$187,0)</f>
        <v>0</v>
      </c>
      <c r="K215" s="110" t="n">
        <f aca="false">IF(K$5&gt;=12,Inputs!$D$187,0)</f>
        <v>0</v>
      </c>
      <c r="L215" s="110" t="n">
        <f aca="false">IF(L$5&gt;=12,Inputs!$D$187,0)</f>
        <v>0</v>
      </c>
      <c r="M215" s="110" t="n">
        <f aca="false">IF(M$5&gt;=12,Inputs!$D$187,0)</f>
        <v>0</v>
      </c>
      <c r="N215" s="110" t="n">
        <f aca="false">IF(N$5&gt;=12,Inputs!$D$187,0)</f>
        <v>0</v>
      </c>
      <c r="O215" s="110" t="n">
        <f aca="false">IF(O$5&gt;=12,Inputs!$D$187,0)</f>
        <v>0</v>
      </c>
      <c r="P215" s="110" t="n">
        <f aca="false">IF(P$5&gt;=12,Inputs!$D$187,0)</f>
        <v>0</v>
      </c>
      <c r="Q215" s="110" t="n">
        <f aca="false">IF(Q$5&gt;=12,Inputs!$D$187,0)</f>
        <v>0</v>
      </c>
      <c r="R215" s="110" t="n">
        <f aca="false">IF(R$5&gt;=12,Inputs!$D$187,0)</f>
        <v>0</v>
      </c>
      <c r="S215" s="110" t="n">
        <f aca="false">IF(S$5&gt;=12,Inputs!$D$187,0)</f>
        <v>0</v>
      </c>
      <c r="T215" s="110" t="n">
        <f aca="false">IF(T$5&gt;=12,Inputs!$D$187,0)</f>
        <v>0</v>
      </c>
      <c r="U215" s="110" t="n">
        <f aca="false">IF(U$5&gt;=12,Inputs!$D$187,0)</f>
        <v>0</v>
      </c>
      <c r="V215" s="110" t="n">
        <f aca="false">IF(V$5&gt;=12,Inputs!$D$187,0)</f>
        <v>0</v>
      </c>
      <c r="W215" s="110" t="n">
        <f aca="false">IF(W$5&gt;=12,Inputs!$D$187,0)</f>
        <v>0</v>
      </c>
      <c r="X215" s="110" t="n">
        <f aca="false">IF(X$5&gt;=12,Inputs!$D$187,0)</f>
        <v>0</v>
      </c>
      <c r="Y215" s="110" t="n">
        <f aca="false">IF(Y$5&gt;=12,Inputs!$D$187,0)</f>
        <v>0</v>
      </c>
      <c r="Z215" s="110" t="n">
        <f aca="false">IF(Z$5&gt;=12,Inputs!$D$187,0)</f>
        <v>0</v>
      </c>
      <c r="AA215" s="110" t="n">
        <f aca="false">IF(AA$5&gt;=12,Inputs!$D$187,0)</f>
        <v>0</v>
      </c>
      <c r="AB215" s="110" t="n">
        <f aca="false">IF(AB$5&gt;=12,Inputs!$D$187,0)</f>
        <v>0</v>
      </c>
      <c r="AC215" s="110" t="n">
        <f aca="false">IF(AC$5&gt;=12,Inputs!$D$187,0)</f>
        <v>0</v>
      </c>
      <c r="AD215" s="110" t="n">
        <f aca="false">IF(AD$5&gt;=12,Inputs!$D$187,0)</f>
        <v>0</v>
      </c>
      <c r="AE215" s="110" t="n">
        <f aca="false">IF(AE$5&gt;=12,Inputs!$D$187,0)</f>
        <v>0</v>
      </c>
      <c r="AF215" s="110" t="n">
        <f aca="false">IF(AF$5&gt;=12,Inputs!$D$187,0)</f>
        <v>0</v>
      </c>
      <c r="AG215" s="110" t="n">
        <f aca="false">IF(AG$5&gt;=12,Inputs!$D$187,0)</f>
        <v>0</v>
      </c>
      <c r="AI215" s="109" t="n">
        <f aca="false">INDEX($F215:$AG215,1,MATCH(AI$7,$F$7:$AG$7,1))</f>
        <v>0</v>
      </c>
      <c r="AJ215" s="109" t="n">
        <f aca="false">INDEX($F215:$AG215,1,MATCH(AJ$7,$F$7:$AG$7,1))</f>
        <v>0</v>
      </c>
      <c r="AK215" s="109" t="n">
        <f aca="false">INDEX($F215:$AG215,1,MATCH(AK$7,$F$7:$AG$7,1))</f>
        <v>0</v>
      </c>
      <c r="AL215" s="109" t="n">
        <f aca="false">INDEX($F215:$AG215,1,MATCH(AL$7,$F$7:$AG$7,1))</f>
        <v>0</v>
      </c>
      <c r="AM215" s="109" t="n">
        <f aca="false">INDEX($F215:$AG215,1,MATCH(AM$7,$F$7:$AG$7,1))</f>
        <v>0</v>
      </c>
      <c r="AN215" s="109" t="n">
        <f aca="false">INDEX($F215:$AG215,1,MATCH(AN$7,$F$7:$AG$7,1))</f>
        <v>0</v>
      </c>
      <c r="AO215" s="109" t="n">
        <f aca="false">INDEX($F215:$AG215,1,MATCH(AO$7,$F$7:$AG$7,1))</f>
        <v>0</v>
      </c>
    </row>
    <row r="216" customFormat="false" ht="15" hidden="false" customHeight="false" outlineLevel="0" collapsed="false">
      <c r="A216" s="107" t="s">
        <v>1654</v>
      </c>
      <c r="B216" s="22" t="s">
        <v>664</v>
      </c>
      <c r="C216" s="22" t="s">
        <v>558</v>
      </c>
      <c r="D216" s="22" t="s">
        <v>1478</v>
      </c>
      <c r="F216" s="108" t="n">
        <v>0</v>
      </c>
      <c r="G216" s="108" t="n">
        <v>0</v>
      </c>
      <c r="H216" s="108" t="n">
        <v>0</v>
      </c>
      <c r="I216" s="108" t="n">
        <v>0</v>
      </c>
      <c r="J216" s="108" t="n">
        <v>0</v>
      </c>
      <c r="K216" s="108" t="n">
        <v>0</v>
      </c>
      <c r="L216" s="108" t="n">
        <v>0</v>
      </c>
      <c r="M216" s="108" t="n">
        <v>0</v>
      </c>
      <c r="N216" s="108" t="n">
        <v>10</v>
      </c>
      <c r="O216" s="108" t="n">
        <v>10</v>
      </c>
      <c r="P216" s="108" t="n">
        <v>10</v>
      </c>
      <c r="Q216" s="108" t="n">
        <v>10</v>
      </c>
      <c r="R216" s="108" t="n">
        <v>10</v>
      </c>
      <c r="S216" s="108" t="n">
        <v>10</v>
      </c>
      <c r="T216" s="108" t="n">
        <v>10</v>
      </c>
      <c r="U216" s="108" t="n">
        <v>10</v>
      </c>
      <c r="V216" s="108" t="n">
        <v>10</v>
      </c>
      <c r="W216" s="108" t="n">
        <v>10</v>
      </c>
      <c r="X216" s="108" t="n">
        <v>10</v>
      </c>
      <c r="Y216" s="108" t="n">
        <v>10</v>
      </c>
      <c r="Z216" s="108" t="n">
        <v>10</v>
      </c>
      <c r="AA216" s="108" t="n">
        <v>10</v>
      </c>
      <c r="AB216" s="108" t="n">
        <v>10</v>
      </c>
      <c r="AC216" s="108" t="n">
        <v>10</v>
      </c>
      <c r="AD216" s="108" t="n">
        <v>10</v>
      </c>
      <c r="AE216" s="108" t="n">
        <v>10</v>
      </c>
      <c r="AF216" s="108" t="n">
        <v>10</v>
      </c>
      <c r="AG216" s="108" t="n">
        <v>10</v>
      </c>
      <c r="AI216" s="109" t="n">
        <f aca="false">INDEX($F216:$AG216,1,MATCH(AI$7,$F$7:$AG$7,1))</f>
        <v>0</v>
      </c>
      <c r="AJ216" s="109" t="n">
        <f aca="false">INDEX($F216:$AG216,1,MATCH(AJ$7,$F$7:$AG$7,1))</f>
        <v>0</v>
      </c>
      <c r="AK216" s="109" t="n">
        <f aca="false">INDEX($F216:$AG216,1,MATCH(AK$7,$F$7:$AG$7,1))</f>
        <v>10</v>
      </c>
      <c r="AL216" s="109" t="n">
        <f aca="false">INDEX($F216:$AG216,1,MATCH(AL$7,$F$7:$AG$7,1))</f>
        <v>10</v>
      </c>
      <c r="AM216" s="109" t="n">
        <f aca="false">INDEX($F216:$AG216,1,MATCH(AM$7,$F$7:$AG$7,1))</f>
        <v>10</v>
      </c>
      <c r="AN216" s="109" t="n">
        <f aca="false">INDEX($F216:$AG216,1,MATCH(AN$7,$F$7:$AG$7,1))</f>
        <v>10</v>
      </c>
      <c r="AO216" s="109" t="n">
        <f aca="false">INDEX($F216:$AG216,1,MATCH(AO$7,$F$7:$AG$7,1))</f>
        <v>10</v>
      </c>
    </row>
    <row r="217" customFormat="false" ht="15" hidden="false" customHeight="false" outlineLevel="0" collapsed="false">
      <c r="A217" s="107" t="s">
        <v>1655</v>
      </c>
      <c r="B217" s="22" t="s">
        <v>664</v>
      </c>
      <c r="C217" s="22" t="s">
        <v>540</v>
      </c>
      <c r="D217" s="22" t="s">
        <v>1480</v>
      </c>
      <c r="F217" s="109" t="n">
        <f aca="false">IF(CapV=2,N(F216),N(F215))</f>
        <v>0</v>
      </c>
      <c r="G217" s="109" t="n">
        <f aca="false">IF(CapV=2,N(G216),N(G215))</f>
        <v>0</v>
      </c>
      <c r="H217" s="109" t="n">
        <f aca="false">IF(CapV=2,N(H216),N(H215))</f>
        <v>0</v>
      </c>
      <c r="I217" s="109" t="n">
        <f aca="false">IF(CapV=2,N(I216),N(I215))</f>
        <v>0</v>
      </c>
      <c r="J217" s="109" t="n">
        <f aca="false">IF(CapV=2,N(J216),N(J215))</f>
        <v>0</v>
      </c>
      <c r="K217" s="109" t="n">
        <f aca="false">IF(CapV=2,N(K216),N(K215))</f>
        <v>0</v>
      </c>
      <c r="L217" s="109" t="n">
        <f aca="false">IF(CapV=2,N(L216),N(L215))</f>
        <v>0</v>
      </c>
      <c r="M217" s="109" t="n">
        <f aca="false">IF(CapV=2,N(M216),N(M215))</f>
        <v>0</v>
      </c>
      <c r="N217" s="109" t="n">
        <f aca="false">IF(CapV=2,N(N216),N(N215))</f>
        <v>10</v>
      </c>
      <c r="O217" s="109" t="n">
        <f aca="false">IF(CapV=2,N(O216),N(O215))</f>
        <v>10</v>
      </c>
      <c r="P217" s="109" t="n">
        <f aca="false">IF(CapV=2,N(P216),N(P215))</f>
        <v>10</v>
      </c>
      <c r="Q217" s="109" t="n">
        <f aca="false">IF(CapV=2,N(Q216),N(Q215))</f>
        <v>10</v>
      </c>
      <c r="R217" s="109" t="n">
        <f aca="false">IF(CapV=2,N(R216),N(R215))</f>
        <v>10</v>
      </c>
      <c r="S217" s="109" t="n">
        <f aca="false">IF(CapV=2,N(S216),N(S215))</f>
        <v>10</v>
      </c>
      <c r="T217" s="109" t="n">
        <f aca="false">IF(CapV=2,N(T216),N(T215))</f>
        <v>10</v>
      </c>
      <c r="U217" s="109" t="n">
        <f aca="false">IF(CapV=2,N(U216),N(U215))</f>
        <v>10</v>
      </c>
      <c r="V217" s="109" t="n">
        <f aca="false">IF(CapV=2,N(V216),N(V215))</f>
        <v>10</v>
      </c>
      <c r="W217" s="109" t="n">
        <f aca="false">IF(CapV=2,N(W216),N(W215))</f>
        <v>10</v>
      </c>
      <c r="X217" s="109" t="n">
        <f aca="false">IF(CapV=2,N(X216),N(X215))</f>
        <v>10</v>
      </c>
      <c r="Y217" s="109" t="n">
        <f aca="false">IF(CapV=2,N(Y216),N(Y215))</f>
        <v>10</v>
      </c>
      <c r="Z217" s="109" t="n">
        <f aca="false">IF(CapV=2,N(Z216),N(Z215))</f>
        <v>10</v>
      </c>
      <c r="AA217" s="109" t="n">
        <f aca="false">IF(CapV=2,N(AA216),N(AA215))</f>
        <v>10</v>
      </c>
      <c r="AB217" s="109" t="n">
        <f aca="false">IF(CapV=2,N(AB216),N(AB215))</f>
        <v>10</v>
      </c>
      <c r="AC217" s="109" t="n">
        <f aca="false">IF(CapV=2,N(AC216),N(AC215))</f>
        <v>10</v>
      </c>
      <c r="AD217" s="109" t="n">
        <f aca="false">IF(CapV=2,N(AD216),N(AD215))</f>
        <v>10</v>
      </c>
      <c r="AE217" s="109" t="n">
        <f aca="false">IF(CapV=2,N(AE216),N(AE215))</f>
        <v>10</v>
      </c>
      <c r="AF217" s="109" t="n">
        <f aca="false">IF(CapV=2,N(AF216),N(AF215))</f>
        <v>10</v>
      </c>
      <c r="AG217" s="109" t="n">
        <f aca="false">IF(CapV=2,N(AG216),N(AG215))</f>
        <v>10</v>
      </c>
      <c r="AI217" s="109" t="n">
        <f aca="false">INDEX($F217:$AG217,1,MATCH(AI$7,$F$7:$AG$7,1))</f>
        <v>0</v>
      </c>
      <c r="AJ217" s="109" t="n">
        <f aca="false">INDEX($F217:$AG217,1,MATCH(AJ$7,$F$7:$AG$7,1))</f>
        <v>0</v>
      </c>
      <c r="AK217" s="109" t="n">
        <f aca="false">INDEX($F217:$AG217,1,MATCH(AK$7,$F$7:$AG$7,1))</f>
        <v>10</v>
      </c>
      <c r="AL217" s="109" t="n">
        <f aca="false">INDEX($F217:$AG217,1,MATCH(AL$7,$F$7:$AG$7,1))</f>
        <v>10</v>
      </c>
      <c r="AM217" s="109" t="n">
        <f aca="false">INDEX($F217:$AG217,1,MATCH(AM$7,$F$7:$AG$7,1))</f>
        <v>10</v>
      </c>
      <c r="AN217" s="109" t="n">
        <f aca="false">INDEX($F217:$AG217,1,MATCH(AN$7,$F$7:$AG$7,1))</f>
        <v>10</v>
      </c>
      <c r="AO217" s="109" t="n">
        <f aca="false">INDEX($F217:$AG217,1,MATCH(AO$7,$F$7:$AG$7,1))</f>
        <v>10</v>
      </c>
    </row>
    <row r="218" customFormat="false" ht="15" hidden="false" customHeight="false" outlineLevel="0" collapsed="false">
      <c r="A218" s="107" t="s">
        <v>1656</v>
      </c>
      <c r="B218" s="22" t="s">
        <v>664</v>
      </c>
      <c r="C218" s="22" t="s">
        <v>558</v>
      </c>
      <c r="D218" s="22" t="s">
        <v>1650</v>
      </c>
      <c r="F218" s="110" t="n">
        <f aca="false">IF(F$5&gt;=12,Inputs!$C$187,0)</f>
        <v>0</v>
      </c>
      <c r="G218" s="110" t="n">
        <f aca="false">IF(G$5&gt;=12,Inputs!$C$187,0)</f>
        <v>0</v>
      </c>
      <c r="H218" s="110" t="n">
        <f aca="false">IF(H$5&gt;=12,Inputs!$C$187,0)</f>
        <v>0</v>
      </c>
      <c r="I218" s="110" t="n">
        <f aca="false">IF(I$5&gt;=12,Inputs!$C$187,0)</f>
        <v>0</v>
      </c>
      <c r="J218" s="110" t="n">
        <f aca="false">IF(J$5&gt;=12,Inputs!$C$187,0)</f>
        <v>0</v>
      </c>
      <c r="K218" s="110" t="n">
        <f aca="false">IF(K$5&gt;=12,Inputs!$C$187,0)</f>
        <v>0</v>
      </c>
      <c r="L218" s="110" t="n">
        <f aca="false">IF(L$5&gt;=12,Inputs!$C$187,0)</f>
        <v>0</v>
      </c>
      <c r="M218" s="110" t="n">
        <f aca="false">IF(M$5&gt;=12,Inputs!$C$187,0)</f>
        <v>0</v>
      </c>
      <c r="N218" s="110" t="n">
        <f aca="false">IF(N$5&gt;=12,Inputs!$C$187,0)</f>
        <v>0</v>
      </c>
      <c r="O218" s="110" t="n">
        <f aca="false">IF(O$5&gt;=12,Inputs!$C$187,0)</f>
        <v>0</v>
      </c>
      <c r="P218" s="110" t="n">
        <f aca="false">IF(P$5&gt;=12,Inputs!$C$187,0)</f>
        <v>0</v>
      </c>
      <c r="Q218" s="110" t="n">
        <f aca="false">IF(Q$5&gt;=12,Inputs!$C$187,0)</f>
        <v>0</v>
      </c>
      <c r="R218" s="110" t="n">
        <f aca="false">IF(R$5&gt;=12,Inputs!$C$187,0)</f>
        <v>0</v>
      </c>
      <c r="S218" s="110" t="n">
        <f aca="false">IF(S$5&gt;=12,Inputs!$C$187,0)</f>
        <v>0</v>
      </c>
      <c r="T218" s="110" t="n">
        <f aca="false">IF(T$5&gt;=12,Inputs!$C$187,0)</f>
        <v>0</v>
      </c>
      <c r="U218" s="110" t="n">
        <f aca="false">IF(U$5&gt;=12,Inputs!$C$187,0)</f>
        <v>0</v>
      </c>
      <c r="V218" s="110" t="n">
        <f aca="false">IF(V$5&gt;=12,Inputs!$C$187,0)</f>
        <v>0</v>
      </c>
      <c r="W218" s="110" t="n">
        <f aca="false">IF(W$5&gt;=12,Inputs!$C$187,0)</f>
        <v>0</v>
      </c>
      <c r="X218" s="110" t="n">
        <f aca="false">IF(X$5&gt;=12,Inputs!$C$187,0)</f>
        <v>0</v>
      </c>
      <c r="Y218" s="110" t="n">
        <f aca="false">IF(Y$5&gt;=12,Inputs!$C$187,0)</f>
        <v>0</v>
      </c>
      <c r="Z218" s="110" t="n">
        <f aca="false">IF(Z$5&gt;=12,Inputs!$C$187,0)</f>
        <v>0</v>
      </c>
      <c r="AA218" s="110" t="n">
        <f aca="false">IF(AA$5&gt;=12,Inputs!$C$187,0)</f>
        <v>0</v>
      </c>
      <c r="AB218" s="110" t="n">
        <f aca="false">IF(AB$5&gt;=12,Inputs!$C$187,0)</f>
        <v>0</v>
      </c>
      <c r="AC218" s="110" t="n">
        <f aca="false">IF(AC$5&gt;=12,Inputs!$C$187,0)</f>
        <v>0</v>
      </c>
      <c r="AD218" s="110" t="n">
        <f aca="false">IF(AD$5&gt;=12,Inputs!$C$187,0)</f>
        <v>0</v>
      </c>
      <c r="AE218" s="110" t="n">
        <f aca="false">IF(AE$5&gt;=12,Inputs!$C$187,0)</f>
        <v>0</v>
      </c>
      <c r="AF218" s="110" t="n">
        <f aca="false">IF(AF$5&gt;=12,Inputs!$C$187,0)</f>
        <v>0</v>
      </c>
      <c r="AG218" s="110" t="n">
        <f aca="false">IF(AG$5&gt;=12,Inputs!$C$187,0)</f>
        <v>0</v>
      </c>
      <c r="AI218" s="109" t="n">
        <f aca="false">INDEX($F218:$AG218,1,MATCH(AI$7,$F$7:$AG$7,1))</f>
        <v>0</v>
      </c>
      <c r="AJ218" s="109" t="n">
        <f aca="false">INDEX($F218:$AG218,1,MATCH(AJ$7,$F$7:$AG$7,1))</f>
        <v>0</v>
      </c>
      <c r="AK218" s="109" t="n">
        <f aca="false">INDEX($F218:$AG218,1,MATCH(AK$7,$F$7:$AG$7,1))</f>
        <v>0</v>
      </c>
      <c r="AL218" s="109" t="n">
        <f aca="false">INDEX($F218:$AG218,1,MATCH(AL$7,$F$7:$AG$7,1))</f>
        <v>0</v>
      </c>
      <c r="AM218" s="109" t="n">
        <f aca="false">INDEX($F218:$AG218,1,MATCH(AM$7,$F$7:$AG$7,1))</f>
        <v>0</v>
      </c>
      <c r="AN218" s="109" t="n">
        <f aca="false">INDEX($F218:$AG218,1,MATCH(AN$7,$F$7:$AG$7,1))</f>
        <v>0</v>
      </c>
      <c r="AO218" s="109" t="n">
        <f aca="false">INDEX($F218:$AG218,1,MATCH(AO$7,$F$7:$AG$7,1))</f>
        <v>0</v>
      </c>
    </row>
    <row r="219" customFormat="false" ht="15" hidden="false" customHeight="false" outlineLevel="0" collapsed="false">
      <c r="A219" s="107" t="s">
        <v>1657</v>
      </c>
      <c r="B219" s="22" t="s">
        <v>664</v>
      </c>
      <c r="C219" s="22" t="s">
        <v>558</v>
      </c>
      <c r="D219" s="22" t="s">
        <v>1478</v>
      </c>
      <c r="F219" s="108" t="n">
        <v>0</v>
      </c>
      <c r="G219" s="108" t="n">
        <v>0</v>
      </c>
      <c r="H219" s="108" t="n">
        <v>0</v>
      </c>
      <c r="I219" s="108" t="n">
        <v>0</v>
      </c>
      <c r="J219" s="108" t="n">
        <v>0</v>
      </c>
      <c r="K219" s="108" t="n">
        <v>0</v>
      </c>
      <c r="L219" s="108" t="n">
        <v>0</v>
      </c>
      <c r="M219" s="108" t="n">
        <v>0</v>
      </c>
      <c r="N219" s="108" t="n">
        <v>15</v>
      </c>
      <c r="O219" s="108" t="n">
        <v>15</v>
      </c>
      <c r="P219" s="108" t="n">
        <v>15</v>
      </c>
      <c r="Q219" s="108" t="n">
        <v>15</v>
      </c>
      <c r="R219" s="108" t="n">
        <v>15</v>
      </c>
      <c r="S219" s="108" t="n">
        <v>15</v>
      </c>
      <c r="T219" s="108" t="n">
        <v>15</v>
      </c>
      <c r="U219" s="108" t="n">
        <v>15</v>
      </c>
      <c r="V219" s="108" t="n">
        <v>15</v>
      </c>
      <c r="W219" s="108" t="n">
        <v>15</v>
      </c>
      <c r="X219" s="108" t="n">
        <v>15</v>
      </c>
      <c r="Y219" s="108" t="n">
        <v>15</v>
      </c>
      <c r="Z219" s="108" t="n">
        <v>15</v>
      </c>
      <c r="AA219" s="108" t="n">
        <v>15</v>
      </c>
      <c r="AB219" s="108" t="n">
        <v>15</v>
      </c>
      <c r="AC219" s="108" t="n">
        <v>15</v>
      </c>
      <c r="AD219" s="108" t="n">
        <v>15</v>
      </c>
      <c r="AE219" s="108" t="n">
        <v>15</v>
      </c>
      <c r="AF219" s="108" t="n">
        <v>15</v>
      </c>
      <c r="AG219" s="108" t="n">
        <v>15</v>
      </c>
      <c r="AI219" s="109" t="n">
        <f aca="false">INDEX($F219:$AG219,1,MATCH(AI$7,$F$7:$AG$7,1))</f>
        <v>0</v>
      </c>
      <c r="AJ219" s="109" t="n">
        <f aca="false">INDEX($F219:$AG219,1,MATCH(AJ$7,$F$7:$AG$7,1))</f>
        <v>0</v>
      </c>
      <c r="AK219" s="109" t="n">
        <f aca="false">INDEX($F219:$AG219,1,MATCH(AK$7,$F$7:$AG$7,1))</f>
        <v>15</v>
      </c>
      <c r="AL219" s="109" t="n">
        <f aca="false">INDEX($F219:$AG219,1,MATCH(AL$7,$F$7:$AG$7,1))</f>
        <v>15</v>
      </c>
      <c r="AM219" s="109" t="n">
        <f aca="false">INDEX($F219:$AG219,1,MATCH(AM$7,$F$7:$AG$7,1))</f>
        <v>15</v>
      </c>
      <c r="AN219" s="109" t="n">
        <f aca="false">INDEX($F219:$AG219,1,MATCH(AN$7,$F$7:$AG$7,1))</f>
        <v>15</v>
      </c>
      <c r="AO219" s="109" t="n">
        <f aca="false">INDEX($F219:$AG219,1,MATCH(AO$7,$F$7:$AG$7,1))</f>
        <v>15</v>
      </c>
    </row>
    <row r="220" customFormat="false" ht="15" hidden="false" customHeight="false" outlineLevel="0" collapsed="false">
      <c r="A220" s="107" t="s">
        <v>1658</v>
      </c>
      <c r="B220" s="22" t="s">
        <v>664</v>
      </c>
      <c r="C220" s="22" t="s">
        <v>540</v>
      </c>
      <c r="D220" s="22" t="s">
        <v>1480</v>
      </c>
      <c r="F220" s="109" t="n">
        <f aca="false">IF(CapV=2,N(F219),N(F218))</f>
        <v>0</v>
      </c>
      <c r="G220" s="109" t="n">
        <f aca="false">IF(CapV=2,N(G219),N(G218))</f>
        <v>0</v>
      </c>
      <c r="H220" s="109" t="n">
        <f aca="false">IF(CapV=2,N(H219),N(H218))</f>
        <v>0</v>
      </c>
      <c r="I220" s="109" t="n">
        <f aca="false">IF(CapV=2,N(I219),N(I218))</f>
        <v>0</v>
      </c>
      <c r="J220" s="109" t="n">
        <f aca="false">IF(CapV=2,N(J219),N(J218))</f>
        <v>0</v>
      </c>
      <c r="K220" s="109" t="n">
        <f aca="false">IF(CapV=2,N(K219),N(K218))</f>
        <v>0</v>
      </c>
      <c r="L220" s="109" t="n">
        <f aca="false">IF(CapV=2,N(L219),N(L218))</f>
        <v>0</v>
      </c>
      <c r="M220" s="109" t="n">
        <f aca="false">IF(CapV=2,N(M219),N(M218))</f>
        <v>0</v>
      </c>
      <c r="N220" s="109" t="n">
        <f aca="false">IF(CapV=2,N(N219),N(N218))</f>
        <v>15</v>
      </c>
      <c r="O220" s="109" t="n">
        <f aca="false">IF(CapV=2,N(O219),N(O218))</f>
        <v>15</v>
      </c>
      <c r="P220" s="109" t="n">
        <f aca="false">IF(CapV=2,N(P219),N(P218))</f>
        <v>15</v>
      </c>
      <c r="Q220" s="109" t="n">
        <f aca="false">IF(CapV=2,N(Q219),N(Q218))</f>
        <v>15</v>
      </c>
      <c r="R220" s="109" t="n">
        <f aca="false">IF(CapV=2,N(R219),N(R218))</f>
        <v>15</v>
      </c>
      <c r="S220" s="109" t="n">
        <f aca="false">IF(CapV=2,N(S219),N(S218))</f>
        <v>15</v>
      </c>
      <c r="T220" s="109" t="n">
        <f aca="false">IF(CapV=2,N(T219),N(T218))</f>
        <v>15</v>
      </c>
      <c r="U220" s="109" t="n">
        <f aca="false">IF(CapV=2,N(U219),N(U218))</f>
        <v>15</v>
      </c>
      <c r="V220" s="109" t="n">
        <f aca="false">IF(CapV=2,N(V219),N(V218))</f>
        <v>15</v>
      </c>
      <c r="W220" s="109" t="n">
        <f aca="false">IF(CapV=2,N(W219),N(W218))</f>
        <v>15</v>
      </c>
      <c r="X220" s="109" t="n">
        <f aca="false">IF(CapV=2,N(X219),N(X218))</f>
        <v>15</v>
      </c>
      <c r="Y220" s="109" t="n">
        <f aca="false">IF(CapV=2,N(Y219),N(Y218))</f>
        <v>15</v>
      </c>
      <c r="Z220" s="109" t="n">
        <f aca="false">IF(CapV=2,N(Z219),N(Z218))</f>
        <v>15</v>
      </c>
      <c r="AA220" s="109" t="n">
        <f aca="false">IF(CapV=2,N(AA219),N(AA218))</f>
        <v>15</v>
      </c>
      <c r="AB220" s="109" t="n">
        <f aca="false">IF(CapV=2,N(AB219),N(AB218))</f>
        <v>15</v>
      </c>
      <c r="AC220" s="109" t="n">
        <f aca="false">IF(CapV=2,N(AC219),N(AC218))</f>
        <v>15</v>
      </c>
      <c r="AD220" s="109" t="n">
        <f aca="false">IF(CapV=2,N(AD219),N(AD218))</f>
        <v>15</v>
      </c>
      <c r="AE220" s="109" t="n">
        <f aca="false">IF(CapV=2,N(AE219),N(AE218))</f>
        <v>15</v>
      </c>
      <c r="AF220" s="109" t="n">
        <f aca="false">IF(CapV=2,N(AF219),N(AF218))</f>
        <v>15</v>
      </c>
      <c r="AG220" s="109" t="n">
        <f aca="false">IF(CapV=2,N(AG219),N(AG218))</f>
        <v>15</v>
      </c>
      <c r="AI220" s="109" t="n">
        <f aca="false">INDEX($F220:$AG220,1,MATCH(AI$7,$F$7:$AG$7,1))</f>
        <v>0</v>
      </c>
      <c r="AJ220" s="109" t="n">
        <f aca="false">INDEX($F220:$AG220,1,MATCH(AJ$7,$F$7:$AG$7,1))</f>
        <v>0</v>
      </c>
      <c r="AK220" s="109" t="n">
        <f aca="false">INDEX($F220:$AG220,1,MATCH(AK$7,$F$7:$AG$7,1))</f>
        <v>15</v>
      </c>
      <c r="AL220" s="109" t="n">
        <f aca="false">INDEX($F220:$AG220,1,MATCH(AL$7,$F$7:$AG$7,1))</f>
        <v>15</v>
      </c>
      <c r="AM220" s="109" t="n">
        <f aca="false">INDEX($F220:$AG220,1,MATCH(AM$7,$F$7:$AG$7,1))</f>
        <v>15</v>
      </c>
      <c r="AN220" s="109" t="n">
        <f aca="false">INDEX($F220:$AG220,1,MATCH(AN$7,$F$7:$AG$7,1))</f>
        <v>15</v>
      </c>
      <c r="AO220" s="109" t="n">
        <f aca="false">INDEX($F220:$AG220,1,MATCH(AO$7,$F$7:$AG$7,1))</f>
        <v>15</v>
      </c>
    </row>
    <row r="221" customFormat="false" ht="15" hidden="false" customHeight="false" outlineLevel="0" collapsed="false">
      <c r="A221" s="107" t="s">
        <v>1659</v>
      </c>
      <c r="B221" s="22" t="s">
        <v>664</v>
      </c>
      <c r="C221" s="22" t="s">
        <v>558</v>
      </c>
      <c r="D221" s="22" t="s">
        <v>1650</v>
      </c>
      <c r="F221" s="110" t="n">
        <f aca="false">IF(F$5&gt;=12,Inputs!$E$186,0)</f>
        <v>0</v>
      </c>
      <c r="G221" s="110" t="n">
        <f aca="false">IF(G$5&gt;=12,Inputs!$E$186,0)</f>
        <v>0</v>
      </c>
      <c r="H221" s="110" t="n">
        <f aca="false">IF(H$5&gt;=12,Inputs!$E$186,0)</f>
        <v>0</v>
      </c>
      <c r="I221" s="110" t="n">
        <f aca="false">IF(I$5&gt;=12,Inputs!$E$186,0)</f>
        <v>0</v>
      </c>
      <c r="J221" s="110" t="n">
        <f aca="false">IF(J$5&gt;=12,Inputs!$E$186,0)</f>
        <v>0</v>
      </c>
      <c r="K221" s="110" t="n">
        <f aca="false">IF(K$5&gt;=12,Inputs!$E$186,0)</f>
        <v>0</v>
      </c>
      <c r="L221" s="110" t="n">
        <f aca="false">IF(L$5&gt;=12,Inputs!$E$186,0)</f>
        <v>0</v>
      </c>
      <c r="M221" s="110" t="n">
        <f aca="false">IF(M$5&gt;=12,Inputs!$E$186,0)</f>
        <v>0</v>
      </c>
      <c r="N221" s="110" t="n">
        <f aca="false">IF(N$5&gt;=12,Inputs!$E$186,0)</f>
        <v>0</v>
      </c>
      <c r="O221" s="110" t="n">
        <f aca="false">IF(O$5&gt;=12,Inputs!$E$186,0)</f>
        <v>0</v>
      </c>
      <c r="P221" s="110" t="n">
        <f aca="false">IF(P$5&gt;=12,Inputs!$E$186,0)</f>
        <v>0</v>
      </c>
      <c r="Q221" s="110" t="n">
        <f aca="false">IF(Q$5&gt;=12,Inputs!$E$186,0)</f>
        <v>0</v>
      </c>
      <c r="R221" s="110" t="n">
        <f aca="false">IF(R$5&gt;=12,Inputs!$E$186,0)</f>
        <v>0</v>
      </c>
      <c r="S221" s="110" t="n">
        <f aca="false">IF(S$5&gt;=12,Inputs!$E$186,0)</f>
        <v>0</v>
      </c>
      <c r="T221" s="110" t="n">
        <f aca="false">IF(T$5&gt;=12,Inputs!$E$186,0)</f>
        <v>0</v>
      </c>
      <c r="U221" s="110" t="n">
        <f aca="false">IF(U$5&gt;=12,Inputs!$E$186,0)</f>
        <v>0</v>
      </c>
      <c r="V221" s="110" t="n">
        <f aca="false">IF(V$5&gt;=12,Inputs!$E$186,0)</f>
        <v>0</v>
      </c>
      <c r="W221" s="110" t="n">
        <f aca="false">IF(W$5&gt;=12,Inputs!$E$186,0)</f>
        <v>0</v>
      </c>
      <c r="X221" s="110" t="n">
        <f aca="false">IF(X$5&gt;=12,Inputs!$E$186,0)</f>
        <v>0</v>
      </c>
      <c r="Y221" s="110" t="n">
        <f aca="false">IF(Y$5&gt;=12,Inputs!$E$186,0)</f>
        <v>0</v>
      </c>
      <c r="Z221" s="110" t="n">
        <f aca="false">IF(Z$5&gt;=12,Inputs!$E$186,0)</f>
        <v>0</v>
      </c>
      <c r="AA221" s="110" t="n">
        <f aca="false">IF(AA$5&gt;=12,Inputs!$E$186,0)</f>
        <v>0</v>
      </c>
      <c r="AB221" s="110" t="n">
        <f aca="false">IF(AB$5&gt;=12,Inputs!$E$186,0)</f>
        <v>0</v>
      </c>
      <c r="AC221" s="110" t="n">
        <f aca="false">IF(AC$5&gt;=12,Inputs!$E$186,0)</f>
        <v>0</v>
      </c>
      <c r="AD221" s="110" t="n">
        <f aca="false">IF(AD$5&gt;=12,Inputs!$E$186,0)</f>
        <v>0</v>
      </c>
      <c r="AE221" s="110" t="n">
        <f aca="false">IF(AE$5&gt;=12,Inputs!$E$186,0)</f>
        <v>0</v>
      </c>
      <c r="AF221" s="110" t="n">
        <f aca="false">IF(AF$5&gt;=12,Inputs!$E$186,0)</f>
        <v>0</v>
      </c>
      <c r="AG221" s="110" t="n">
        <f aca="false">IF(AG$5&gt;=12,Inputs!$E$186,0)</f>
        <v>0</v>
      </c>
      <c r="AI221" s="109" t="n">
        <f aca="false">INDEX($F221:$AG221,1,MATCH(AI$7,$F$7:$AG$7,1))</f>
        <v>0</v>
      </c>
      <c r="AJ221" s="109" t="n">
        <f aca="false">INDEX($F221:$AG221,1,MATCH(AJ$7,$F$7:$AG$7,1))</f>
        <v>0</v>
      </c>
      <c r="AK221" s="109" t="n">
        <f aca="false">INDEX($F221:$AG221,1,MATCH(AK$7,$F$7:$AG$7,1))</f>
        <v>0</v>
      </c>
      <c r="AL221" s="109" t="n">
        <f aca="false">INDEX($F221:$AG221,1,MATCH(AL$7,$F$7:$AG$7,1))</f>
        <v>0</v>
      </c>
      <c r="AM221" s="109" t="n">
        <f aca="false">INDEX($F221:$AG221,1,MATCH(AM$7,$F$7:$AG$7,1))</f>
        <v>0</v>
      </c>
      <c r="AN221" s="109" t="n">
        <f aca="false">INDEX($F221:$AG221,1,MATCH(AN$7,$F$7:$AG$7,1))</f>
        <v>0</v>
      </c>
      <c r="AO221" s="109" t="n">
        <f aca="false">INDEX($F221:$AG221,1,MATCH(AO$7,$F$7:$AG$7,1))</f>
        <v>0</v>
      </c>
    </row>
    <row r="222" customFormat="false" ht="15" hidden="false" customHeight="false" outlineLevel="0" collapsed="false">
      <c r="A222" s="107" t="s">
        <v>1660</v>
      </c>
      <c r="B222" s="22" t="s">
        <v>664</v>
      </c>
      <c r="C222" s="22" t="s">
        <v>558</v>
      </c>
      <c r="D222" s="22" t="s">
        <v>1478</v>
      </c>
      <c r="F222" s="108" t="n">
        <v>0</v>
      </c>
      <c r="G222" s="108" t="n">
        <v>0</v>
      </c>
      <c r="H222" s="108" t="n">
        <v>0</v>
      </c>
      <c r="I222" s="108" t="n">
        <v>0</v>
      </c>
      <c r="J222" s="108" t="n">
        <v>0</v>
      </c>
      <c r="K222" s="108" t="n">
        <v>0</v>
      </c>
      <c r="L222" s="108" t="n">
        <v>0</v>
      </c>
      <c r="M222" s="108" t="n">
        <v>0</v>
      </c>
      <c r="N222" s="108" t="n">
        <v>0</v>
      </c>
      <c r="O222" s="108" t="n">
        <v>0</v>
      </c>
      <c r="P222" s="108" t="n">
        <v>5</v>
      </c>
      <c r="Q222" s="108" t="n">
        <v>10</v>
      </c>
      <c r="R222" s="108" t="n">
        <v>25</v>
      </c>
      <c r="S222" s="108" t="n">
        <v>50</v>
      </c>
      <c r="T222" s="108" t="n">
        <v>75</v>
      </c>
      <c r="U222" s="108" t="n">
        <v>75</v>
      </c>
      <c r="V222" s="108" t="n">
        <v>75</v>
      </c>
      <c r="W222" s="108" t="n">
        <v>75</v>
      </c>
      <c r="X222" s="108" t="n">
        <v>75</v>
      </c>
      <c r="Y222" s="108" t="n">
        <v>75</v>
      </c>
      <c r="Z222" s="108" t="n">
        <v>75</v>
      </c>
      <c r="AA222" s="108" t="n">
        <v>75</v>
      </c>
      <c r="AB222" s="108" t="n">
        <v>75</v>
      </c>
      <c r="AC222" s="108" t="n">
        <v>75</v>
      </c>
      <c r="AD222" s="108" t="n">
        <v>75</v>
      </c>
      <c r="AE222" s="108" t="n">
        <v>75</v>
      </c>
      <c r="AF222" s="108" t="n">
        <v>75</v>
      </c>
      <c r="AG222" s="108" t="n">
        <v>75</v>
      </c>
      <c r="AI222" s="109" t="n">
        <f aca="false">INDEX($F222:$AG222,1,MATCH(AI$7,$F$7:$AG$7,1))</f>
        <v>0</v>
      </c>
      <c r="AJ222" s="109" t="n">
        <f aca="false">INDEX($F222:$AG222,1,MATCH(AJ$7,$F$7:$AG$7,1))</f>
        <v>0</v>
      </c>
      <c r="AK222" s="109" t="n">
        <f aca="false">INDEX($F222:$AG222,1,MATCH(AK$7,$F$7:$AG$7,1))</f>
        <v>10</v>
      </c>
      <c r="AL222" s="109" t="n">
        <f aca="false">INDEX($F222:$AG222,1,MATCH(AL$7,$F$7:$AG$7,1))</f>
        <v>75</v>
      </c>
      <c r="AM222" s="109" t="n">
        <f aca="false">INDEX($F222:$AG222,1,MATCH(AM$7,$F$7:$AG$7,1))</f>
        <v>75</v>
      </c>
      <c r="AN222" s="109" t="n">
        <f aca="false">INDEX($F222:$AG222,1,MATCH(AN$7,$F$7:$AG$7,1))</f>
        <v>75</v>
      </c>
      <c r="AO222" s="109" t="n">
        <f aca="false">INDEX($F222:$AG222,1,MATCH(AO$7,$F$7:$AG$7,1))</f>
        <v>75</v>
      </c>
    </row>
    <row r="223" customFormat="false" ht="15" hidden="false" customHeight="false" outlineLevel="0" collapsed="false">
      <c r="A223" s="107" t="s">
        <v>1661</v>
      </c>
      <c r="B223" s="22" t="s">
        <v>664</v>
      </c>
      <c r="C223" s="22" t="s">
        <v>540</v>
      </c>
      <c r="D223" s="22" t="s">
        <v>1480</v>
      </c>
      <c r="F223" s="109" t="n">
        <f aca="false">IF(CapV=2,N(F222),N(F221))</f>
        <v>0</v>
      </c>
      <c r="G223" s="109" t="n">
        <f aca="false">IF(CapV=2,N(G222),N(G221))</f>
        <v>0</v>
      </c>
      <c r="H223" s="109" t="n">
        <f aca="false">IF(CapV=2,N(H222),N(H221))</f>
        <v>0</v>
      </c>
      <c r="I223" s="109" t="n">
        <f aca="false">IF(CapV=2,N(I222),N(I221))</f>
        <v>0</v>
      </c>
      <c r="J223" s="109" t="n">
        <f aca="false">IF(CapV=2,N(J222),N(J221))</f>
        <v>0</v>
      </c>
      <c r="K223" s="109" t="n">
        <f aca="false">IF(CapV=2,N(K222),N(K221))</f>
        <v>0</v>
      </c>
      <c r="L223" s="109" t="n">
        <f aca="false">IF(CapV=2,N(L222),N(L221))</f>
        <v>0</v>
      </c>
      <c r="M223" s="109" t="n">
        <f aca="false">IF(CapV=2,N(M222),N(M221))</f>
        <v>0</v>
      </c>
      <c r="N223" s="109" t="n">
        <f aca="false">IF(CapV=2,N(N222),N(N221))</f>
        <v>0</v>
      </c>
      <c r="O223" s="109" t="n">
        <f aca="false">IF(CapV=2,N(O222),N(O221))</f>
        <v>0</v>
      </c>
      <c r="P223" s="109" t="n">
        <f aca="false">IF(CapV=2,N(P222),N(P221))</f>
        <v>5</v>
      </c>
      <c r="Q223" s="109" t="n">
        <f aca="false">IF(CapV=2,N(Q222),N(Q221))</f>
        <v>10</v>
      </c>
      <c r="R223" s="109" t="n">
        <f aca="false">IF(CapV=2,N(R222),N(R221))</f>
        <v>25</v>
      </c>
      <c r="S223" s="109" t="n">
        <f aca="false">IF(CapV=2,N(S222),N(S221))</f>
        <v>50</v>
      </c>
      <c r="T223" s="109" t="n">
        <f aca="false">IF(CapV=2,N(T222),N(T221))</f>
        <v>75</v>
      </c>
      <c r="U223" s="109" t="n">
        <f aca="false">IF(CapV=2,N(U222),N(U221))</f>
        <v>75</v>
      </c>
      <c r="V223" s="109" t="n">
        <f aca="false">IF(CapV=2,N(V222),N(V221))</f>
        <v>75</v>
      </c>
      <c r="W223" s="109" t="n">
        <f aca="false">IF(CapV=2,N(W222),N(W221))</f>
        <v>75</v>
      </c>
      <c r="X223" s="109" t="n">
        <f aca="false">IF(CapV=2,N(X222),N(X221))</f>
        <v>75</v>
      </c>
      <c r="Y223" s="109" t="n">
        <f aca="false">IF(CapV=2,N(Y222),N(Y221))</f>
        <v>75</v>
      </c>
      <c r="Z223" s="109" t="n">
        <f aca="false">IF(CapV=2,N(Z222),N(Z221))</f>
        <v>75</v>
      </c>
      <c r="AA223" s="109" t="n">
        <f aca="false">IF(CapV=2,N(AA222),N(AA221))</f>
        <v>75</v>
      </c>
      <c r="AB223" s="109" t="n">
        <f aca="false">IF(CapV=2,N(AB222),N(AB221))</f>
        <v>75</v>
      </c>
      <c r="AC223" s="109" t="n">
        <f aca="false">IF(CapV=2,N(AC222),N(AC221))</f>
        <v>75</v>
      </c>
      <c r="AD223" s="109" t="n">
        <f aca="false">IF(CapV=2,N(AD222),N(AD221))</f>
        <v>75</v>
      </c>
      <c r="AE223" s="109" t="n">
        <f aca="false">IF(CapV=2,N(AE222),N(AE221))</f>
        <v>75</v>
      </c>
      <c r="AF223" s="109" t="n">
        <f aca="false">IF(CapV=2,N(AF222),N(AF221))</f>
        <v>75</v>
      </c>
      <c r="AG223" s="109" t="n">
        <f aca="false">IF(CapV=2,N(AG222),N(AG221))</f>
        <v>75</v>
      </c>
      <c r="AI223" s="109" t="n">
        <f aca="false">INDEX($F223:$AG223,1,MATCH(AI$7,$F$7:$AG$7,1))</f>
        <v>0</v>
      </c>
      <c r="AJ223" s="109" t="n">
        <f aca="false">INDEX($F223:$AG223,1,MATCH(AJ$7,$F$7:$AG$7,1))</f>
        <v>0</v>
      </c>
      <c r="AK223" s="109" t="n">
        <f aca="false">INDEX($F223:$AG223,1,MATCH(AK$7,$F$7:$AG$7,1))</f>
        <v>10</v>
      </c>
      <c r="AL223" s="109" t="n">
        <f aca="false">INDEX($F223:$AG223,1,MATCH(AL$7,$F$7:$AG$7,1))</f>
        <v>75</v>
      </c>
      <c r="AM223" s="109" t="n">
        <f aca="false">INDEX($F223:$AG223,1,MATCH(AM$7,$F$7:$AG$7,1))</f>
        <v>75</v>
      </c>
      <c r="AN223" s="109" t="n">
        <f aca="false">INDEX($F223:$AG223,1,MATCH(AN$7,$F$7:$AG$7,1))</f>
        <v>75</v>
      </c>
      <c r="AO223" s="109" t="n">
        <f aca="false">INDEX($F223:$AG223,1,MATCH(AO$7,$F$7:$AG$7,1))</f>
        <v>75</v>
      </c>
    </row>
    <row r="224" customFormat="false" ht="15" hidden="false" customHeight="false" outlineLevel="0" collapsed="false">
      <c r="A224" s="107" t="s">
        <v>1662</v>
      </c>
      <c r="B224" s="22" t="s">
        <v>664</v>
      </c>
      <c r="C224" s="22" t="s">
        <v>558</v>
      </c>
      <c r="D224" s="22" t="s">
        <v>1650</v>
      </c>
      <c r="F224" s="110" t="n">
        <f aca="false">IF(F$5&gt;=12,Inputs!$D$186,0)</f>
        <v>0</v>
      </c>
      <c r="G224" s="110" t="n">
        <f aca="false">IF(G$5&gt;=12,Inputs!$D$186,0)</f>
        <v>0</v>
      </c>
      <c r="H224" s="110" t="n">
        <f aca="false">IF(H$5&gt;=12,Inputs!$D$186,0)</f>
        <v>0</v>
      </c>
      <c r="I224" s="110" t="n">
        <f aca="false">IF(I$5&gt;=12,Inputs!$D$186,0)</f>
        <v>0</v>
      </c>
      <c r="J224" s="110" t="n">
        <f aca="false">IF(J$5&gt;=12,Inputs!$D$186,0)</f>
        <v>0</v>
      </c>
      <c r="K224" s="110" t="n">
        <f aca="false">IF(K$5&gt;=12,Inputs!$D$186,0)</f>
        <v>0</v>
      </c>
      <c r="L224" s="110" t="n">
        <f aca="false">IF(L$5&gt;=12,Inputs!$D$186,0)</f>
        <v>0</v>
      </c>
      <c r="M224" s="110" t="n">
        <f aca="false">IF(M$5&gt;=12,Inputs!$D$186,0)</f>
        <v>0</v>
      </c>
      <c r="N224" s="110" t="n">
        <f aca="false">IF(N$5&gt;=12,Inputs!$D$186,0)</f>
        <v>0</v>
      </c>
      <c r="O224" s="110" t="n">
        <f aca="false">IF(O$5&gt;=12,Inputs!$D$186,0)</f>
        <v>0</v>
      </c>
      <c r="P224" s="110" t="n">
        <f aca="false">IF(P$5&gt;=12,Inputs!$D$186,0)</f>
        <v>0</v>
      </c>
      <c r="Q224" s="110" t="n">
        <f aca="false">IF(Q$5&gt;=12,Inputs!$D$186,0)</f>
        <v>0</v>
      </c>
      <c r="R224" s="110" t="n">
        <f aca="false">IF(R$5&gt;=12,Inputs!$D$186,0)</f>
        <v>0</v>
      </c>
      <c r="S224" s="110" t="n">
        <f aca="false">IF(S$5&gt;=12,Inputs!$D$186,0)</f>
        <v>0</v>
      </c>
      <c r="T224" s="110" t="n">
        <f aca="false">IF(T$5&gt;=12,Inputs!$D$186,0)</f>
        <v>0</v>
      </c>
      <c r="U224" s="110" t="n">
        <f aca="false">IF(U$5&gt;=12,Inputs!$D$186,0)</f>
        <v>0</v>
      </c>
      <c r="V224" s="110" t="n">
        <f aca="false">IF(V$5&gt;=12,Inputs!$D$186,0)</f>
        <v>0</v>
      </c>
      <c r="W224" s="110" t="n">
        <f aca="false">IF(W$5&gt;=12,Inputs!$D$186,0)</f>
        <v>0</v>
      </c>
      <c r="X224" s="110" t="n">
        <f aca="false">IF(X$5&gt;=12,Inputs!$D$186,0)</f>
        <v>0</v>
      </c>
      <c r="Y224" s="110" t="n">
        <f aca="false">IF(Y$5&gt;=12,Inputs!$D$186,0)</f>
        <v>0</v>
      </c>
      <c r="Z224" s="110" t="n">
        <f aca="false">IF(Z$5&gt;=12,Inputs!$D$186,0)</f>
        <v>0</v>
      </c>
      <c r="AA224" s="110" t="n">
        <f aca="false">IF(AA$5&gt;=12,Inputs!$D$186,0)</f>
        <v>0</v>
      </c>
      <c r="AB224" s="110" t="n">
        <f aca="false">IF(AB$5&gt;=12,Inputs!$D$186,0)</f>
        <v>0</v>
      </c>
      <c r="AC224" s="110" t="n">
        <f aca="false">IF(AC$5&gt;=12,Inputs!$D$186,0)</f>
        <v>0</v>
      </c>
      <c r="AD224" s="110" t="n">
        <f aca="false">IF(AD$5&gt;=12,Inputs!$D$186,0)</f>
        <v>0</v>
      </c>
      <c r="AE224" s="110" t="n">
        <f aca="false">IF(AE$5&gt;=12,Inputs!$D$186,0)</f>
        <v>0</v>
      </c>
      <c r="AF224" s="110" t="n">
        <f aca="false">IF(AF$5&gt;=12,Inputs!$D$186,0)</f>
        <v>0</v>
      </c>
      <c r="AG224" s="110" t="n">
        <f aca="false">IF(AG$5&gt;=12,Inputs!$D$186,0)</f>
        <v>0</v>
      </c>
      <c r="AI224" s="109" t="n">
        <f aca="false">INDEX($F224:$AG224,1,MATCH(AI$7,$F$7:$AG$7,1))</f>
        <v>0</v>
      </c>
      <c r="AJ224" s="109" t="n">
        <f aca="false">INDEX($F224:$AG224,1,MATCH(AJ$7,$F$7:$AG$7,1))</f>
        <v>0</v>
      </c>
      <c r="AK224" s="109" t="n">
        <f aca="false">INDEX($F224:$AG224,1,MATCH(AK$7,$F$7:$AG$7,1))</f>
        <v>0</v>
      </c>
      <c r="AL224" s="109" t="n">
        <f aca="false">INDEX($F224:$AG224,1,MATCH(AL$7,$F$7:$AG$7,1))</f>
        <v>0</v>
      </c>
      <c r="AM224" s="109" t="n">
        <f aca="false">INDEX($F224:$AG224,1,MATCH(AM$7,$F$7:$AG$7,1))</f>
        <v>0</v>
      </c>
      <c r="AN224" s="109" t="n">
        <f aca="false">INDEX($F224:$AG224,1,MATCH(AN$7,$F$7:$AG$7,1))</f>
        <v>0</v>
      </c>
      <c r="AO224" s="109" t="n">
        <f aca="false">INDEX($F224:$AG224,1,MATCH(AO$7,$F$7:$AG$7,1))</f>
        <v>0</v>
      </c>
    </row>
    <row r="225" customFormat="false" ht="15" hidden="false" customHeight="false" outlineLevel="0" collapsed="false">
      <c r="A225" s="107" t="s">
        <v>1663</v>
      </c>
      <c r="B225" s="22" t="s">
        <v>664</v>
      </c>
      <c r="C225" s="22" t="s">
        <v>558</v>
      </c>
      <c r="D225" s="22" t="s">
        <v>1478</v>
      </c>
      <c r="F225" s="108" t="n">
        <v>0</v>
      </c>
      <c r="G225" s="108" t="n">
        <v>0</v>
      </c>
      <c r="H225" s="108" t="n">
        <v>0</v>
      </c>
      <c r="I225" s="108" t="n">
        <v>0</v>
      </c>
      <c r="J225" s="108" t="n">
        <v>0</v>
      </c>
      <c r="K225" s="108" t="n">
        <v>0</v>
      </c>
      <c r="L225" s="108" t="n">
        <v>0</v>
      </c>
      <c r="M225" s="108" t="n">
        <v>0</v>
      </c>
      <c r="N225" s="108" t="n">
        <v>0</v>
      </c>
      <c r="O225" s="108" t="n">
        <v>10</v>
      </c>
      <c r="P225" s="108" t="n">
        <v>10</v>
      </c>
      <c r="Q225" s="108" t="n">
        <v>25</v>
      </c>
      <c r="R225" s="108" t="n">
        <v>50</v>
      </c>
      <c r="S225" s="108" t="n">
        <v>75</v>
      </c>
      <c r="T225" s="108" t="n">
        <v>100</v>
      </c>
      <c r="U225" s="108" t="n">
        <v>100</v>
      </c>
      <c r="V225" s="108" t="n">
        <v>100</v>
      </c>
      <c r="W225" s="108" t="n">
        <v>100</v>
      </c>
      <c r="X225" s="108" t="n">
        <v>100</v>
      </c>
      <c r="Y225" s="108" t="n">
        <v>100</v>
      </c>
      <c r="Z225" s="108" t="n">
        <v>100</v>
      </c>
      <c r="AA225" s="108" t="n">
        <v>100</v>
      </c>
      <c r="AB225" s="108" t="n">
        <v>100</v>
      </c>
      <c r="AC225" s="108" t="n">
        <v>100</v>
      </c>
      <c r="AD225" s="108" t="n">
        <v>100</v>
      </c>
      <c r="AE225" s="108" t="n">
        <v>100</v>
      </c>
      <c r="AF225" s="108" t="n">
        <v>100</v>
      </c>
      <c r="AG225" s="108" t="n">
        <v>100</v>
      </c>
      <c r="AI225" s="109" t="n">
        <f aca="false">INDEX($F225:$AG225,1,MATCH(AI$7,$F$7:$AG$7,1))</f>
        <v>0</v>
      </c>
      <c r="AJ225" s="109" t="n">
        <f aca="false">INDEX($F225:$AG225,1,MATCH(AJ$7,$F$7:$AG$7,1))</f>
        <v>0</v>
      </c>
      <c r="AK225" s="109" t="n">
        <f aca="false">INDEX($F225:$AG225,1,MATCH(AK$7,$F$7:$AG$7,1))</f>
        <v>25</v>
      </c>
      <c r="AL225" s="109" t="n">
        <f aca="false">INDEX($F225:$AG225,1,MATCH(AL$7,$F$7:$AG$7,1))</f>
        <v>100</v>
      </c>
      <c r="AM225" s="109" t="n">
        <f aca="false">INDEX($F225:$AG225,1,MATCH(AM$7,$F$7:$AG$7,1))</f>
        <v>100</v>
      </c>
      <c r="AN225" s="109" t="n">
        <f aca="false">INDEX($F225:$AG225,1,MATCH(AN$7,$F$7:$AG$7,1))</f>
        <v>100</v>
      </c>
      <c r="AO225" s="109" t="n">
        <f aca="false">INDEX($F225:$AG225,1,MATCH(AO$7,$F$7:$AG$7,1))</f>
        <v>100</v>
      </c>
    </row>
    <row r="226" customFormat="false" ht="15" hidden="false" customHeight="false" outlineLevel="0" collapsed="false">
      <c r="A226" s="107" t="s">
        <v>1664</v>
      </c>
      <c r="B226" s="22" t="s">
        <v>664</v>
      </c>
      <c r="C226" s="22" t="s">
        <v>540</v>
      </c>
      <c r="D226" s="22" t="s">
        <v>1480</v>
      </c>
      <c r="F226" s="109" t="n">
        <f aca="false">IF(CapV=2,N(F225),N(F224))</f>
        <v>0</v>
      </c>
      <c r="G226" s="109" t="n">
        <f aca="false">IF(CapV=2,N(G225),N(G224))</f>
        <v>0</v>
      </c>
      <c r="H226" s="109" t="n">
        <f aca="false">IF(CapV=2,N(H225),N(H224))</f>
        <v>0</v>
      </c>
      <c r="I226" s="109" t="n">
        <f aca="false">IF(CapV=2,N(I225),N(I224))</f>
        <v>0</v>
      </c>
      <c r="J226" s="109" t="n">
        <f aca="false">IF(CapV=2,N(J225),N(J224))</f>
        <v>0</v>
      </c>
      <c r="K226" s="109" t="n">
        <f aca="false">IF(CapV=2,N(K225),N(K224))</f>
        <v>0</v>
      </c>
      <c r="L226" s="109" t="n">
        <f aca="false">IF(CapV=2,N(L225),N(L224))</f>
        <v>0</v>
      </c>
      <c r="M226" s="109" t="n">
        <f aca="false">IF(CapV=2,N(M225),N(M224))</f>
        <v>0</v>
      </c>
      <c r="N226" s="109" t="n">
        <f aca="false">IF(CapV=2,N(N225),N(N224))</f>
        <v>0</v>
      </c>
      <c r="O226" s="109" t="n">
        <f aca="false">IF(CapV=2,N(O225),N(O224))</f>
        <v>10</v>
      </c>
      <c r="P226" s="109" t="n">
        <f aca="false">IF(CapV=2,N(P225),N(P224))</f>
        <v>10</v>
      </c>
      <c r="Q226" s="109" t="n">
        <f aca="false">IF(CapV=2,N(Q225),N(Q224))</f>
        <v>25</v>
      </c>
      <c r="R226" s="109" t="n">
        <f aca="false">IF(CapV=2,N(R225),N(R224))</f>
        <v>50</v>
      </c>
      <c r="S226" s="109" t="n">
        <f aca="false">IF(CapV=2,N(S225),N(S224))</f>
        <v>75</v>
      </c>
      <c r="T226" s="109" t="n">
        <f aca="false">IF(CapV=2,N(T225),N(T224))</f>
        <v>100</v>
      </c>
      <c r="U226" s="109" t="n">
        <f aca="false">IF(CapV=2,N(U225),N(U224))</f>
        <v>100</v>
      </c>
      <c r="V226" s="109" t="n">
        <f aca="false">IF(CapV=2,N(V225),N(V224))</f>
        <v>100</v>
      </c>
      <c r="W226" s="109" t="n">
        <f aca="false">IF(CapV=2,N(W225),N(W224))</f>
        <v>100</v>
      </c>
      <c r="X226" s="109" t="n">
        <f aca="false">IF(CapV=2,N(X225),N(X224))</f>
        <v>100</v>
      </c>
      <c r="Y226" s="109" t="n">
        <f aca="false">IF(CapV=2,N(Y225),N(Y224))</f>
        <v>100</v>
      </c>
      <c r="Z226" s="109" t="n">
        <f aca="false">IF(CapV=2,N(Z225),N(Z224))</f>
        <v>100</v>
      </c>
      <c r="AA226" s="109" t="n">
        <f aca="false">IF(CapV=2,N(AA225),N(AA224))</f>
        <v>100</v>
      </c>
      <c r="AB226" s="109" t="n">
        <f aca="false">IF(CapV=2,N(AB225),N(AB224))</f>
        <v>100</v>
      </c>
      <c r="AC226" s="109" t="n">
        <f aca="false">IF(CapV=2,N(AC225),N(AC224))</f>
        <v>100</v>
      </c>
      <c r="AD226" s="109" t="n">
        <f aca="false">IF(CapV=2,N(AD225),N(AD224))</f>
        <v>100</v>
      </c>
      <c r="AE226" s="109" t="n">
        <f aca="false">IF(CapV=2,N(AE225),N(AE224))</f>
        <v>100</v>
      </c>
      <c r="AF226" s="109" t="n">
        <f aca="false">IF(CapV=2,N(AF225),N(AF224))</f>
        <v>100</v>
      </c>
      <c r="AG226" s="109" t="n">
        <f aca="false">IF(CapV=2,N(AG225),N(AG224))</f>
        <v>100</v>
      </c>
      <c r="AI226" s="109" t="n">
        <f aca="false">INDEX($F226:$AG226,1,MATCH(AI$7,$F$7:$AG$7,1))</f>
        <v>0</v>
      </c>
      <c r="AJ226" s="109" t="n">
        <f aca="false">INDEX($F226:$AG226,1,MATCH(AJ$7,$F$7:$AG$7,1))</f>
        <v>0</v>
      </c>
      <c r="AK226" s="109" t="n">
        <f aca="false">INDEX($F226:$AG226,1,MATCH(AK$7,$F$7:$AG$7,1))</f>
        <v>25</v>
      </c>
      <c r="AL226" s="109" t="n">
        <f aca="false">INDEX($F226:$AG226,1,MATCH(AL$7,$F$7:$AG$7,1))</f>
        <v>100</v>
      </c>
      <c r="AM226" s="109" t="n">
        <f aca="false">INDEX($F226:$AG226,1,MATCH(AM$7,$F$7:$AG$7,1))</f>
        <v>100</v>
      </c>
      <c r="AN226" s="109" t="n">
        <f aca="false">INDEX($F226:$AG226,1,MATCH(AN$7,$F$7:$AG$7,1))</f>
        <v>100</v>
      </c>
      <c r="AO226" s="109" t="n">
        <f aca="false">INDEX($F226:$AG226,1,MATCH(AO$7,$F$7:$AG$7,1))</f>
        <v>100</v>
      </c>
    </row>
    <row r="227" customFormat="false" ht="15" hidden="false" customHeight="false" outlineLevel="0" collapsed="false">
      <c r="A227" s="107" t="s">
        <v>1665</v>
      </c>
      <c r="B227" s="22" t="s">
        <v>664</v>
      </c>
      <c r="C227" s="22" t="s">
        <v>558</v>
      </c>
      <c r="D227" s="22" t="s">
        <v>1650</v>
      </c>
      <c r="F227" s="110" t="n">
        <f aca="false">IF(F$5&gt;=12,Inputs!$C$186,0)</f>
        <v>0</v>
      </c>
      <c r="G227" s="110" t="n">
        <f aca="false">IF(G$5&gt;=12,Inputs!$C$186,0)</f>
        <v>0</v>
      </c>
      <c r="H227" s="110" t="n">
        <f aca="false">IF(H$5&gt;=12,Inputs!$C$186,0)</f>
        <v>0</v>
      </c>
      <c r="I227" s="110" t="n">
        <f aca="false">IF(I$5&gt;=12,Inputs!$C$186,0)</f>
        <v>0</v>
      </c>
      <c r="J227" s="110" t="n">
        <f aca="false">IF(J$5&gt;=12,Inputs!$C$186,0)</f>
        <v>0</v>
      </c>
      <c r="K227" s="110" t="n">
        <f aca="false">IF(K$5&gt;=12,Inputs!$C$186,0)</f>
        <v>0</v>
      </c>
      <c r="L227" s="110" t="n">
        <f aca="false">IF(L$5&gt;=12,Inputs!$C$186,0)</f>
        <v>0</v>
      </c>
      <c r="M227" s="110" t="n">
        <f aca="false">IF(M$5&gt;=12,Inputs!$C$186,0)</f>
        <v>0</v>
      </c>
      <c r="N227" s="110" t="n">
        <f aca="false">IF(N$5&gt;=12,Inputs!$C$186,0)</f>
        <v>0</v>
      </c>
      <c r="O227" s="110" t="n">
        <f aca="false">IF(O$5&gt;=12,Inputs!$C$186,0)</f>
        <v>0</v>
      </c>
      <c r="P227" s="110" t="n">
        <f aca="false">IF(P$5&gt;=12,Inputs!$C$186,0)</f>
        <v>0</v>
      </c>
      <c r="Q227" s="110" t="n">
        <f aca="false">IF(Q$5&gt;=12,Inputs!$C$186,0)</f>
        <v>0</v>
      </c>
      <c r="R227" s="110" t="n">
        <f aca="false">IF(R$5&gt;=12,Inputs!$C$186,0)</f>
        <v>0</v>
      </c>
      <c r="S227" s="110" t="n">
        <f aca="false">IF(S$5&gt;=12,Inputs!$C$186,0)</f>
        <v>0</v>
      </c>
      <c r="T227" s="110" t="n">
        <f aca="false">IF(T$5&gt;=12,Inputs!$C$186,0)</f>
        <v>0</v>
      </c>
      <c r="U227" s="110" t="n">
        <f aca="false">IF(U$5&gt;=12,Inputs!$C$186,0)</f>
        <v>0</v>
      </c>
      <c r="V227" s="110" t="n">
        <f aca="false">IF(V$5&gt;=12,Inputs!$C$186,0)</f>
        <v>0</v>
      </c>
      <c r="W227" s="110" t="n">
        <f aca="false">IF(W$5&gt;=12,Inputs!$C$186,0)</f>
        <v>0</v>
      </c>
      <c r="X227" s="110" t="n">
        <f aca="false">IF(X$5&gt;=12,Inputs!$C$186,0)</f>
        <v>0</v>
      </c>
      <c r="Y227" s="110" t="n">
        <f aca="false">IF(Y$5&gt;=12,Inputs!$C$186,0)</f>
        <v>0</v>
      </c>
      <c r="Z227" s="110" t="n">
        <f aca="false">IF(Z$5&gt;=12,Inputs!$C$186,0)</f>
        <v>0</v>
      </c>
      <c r="AA227" s="110" t="n">
        <f aca="false">IF(AA$5&gt;=12,Inputs!$C$186,0)</f>
        <v>0</v>
      </c>
      <c r="AB227" s="110" t="n">
        <f aca="false">IF(AB$5&gt;=12,Inputs!$C$186,0)</f>
        <v>0</v>
      </c>
      <c r="AC227" s="110" t="n">
        <f aca="false">IF(AC$5&gt;=12,Inputs!$C$186,0)</f>
        <v>0</v>
      </c>
      <c r="AD227" s="110" t="n">
        <f aca="false">IF(AD$5&gt;=12,Inputs!$C$186,0)</f>
        <v>0</v>
      </c>
      <c r="AE227" s="110" t="n">
        <f aca="false">IF(AE$5&gt;=12,Inputs!$C$186,0)</f>
        <v>0</v>
      </c>
      <c r="AF227" s="110" t="n">
        <f aca="false">IF(AF$5&gt;=12,Inputs!$C$186,0)</f>
        <v>0</v>
      </c>
      <c r="AG227" s="110" t="n">
        <f aca="false">IF(AG$5&gt;=12,Inputs!$C$186,0)</f>
        <v>0</v>
      </c>
      <c r="AI227" s="109" t="n">
        <f aca="false">INDEX($F227:$AG227,1,MATCH(AI$7,$F$7:$AG$7,1))</f>
        <v>0</v>
      </c>
      <c r="AJ227" s="109" t="n">
        <f aca="false">INDEX($F227:$AG227,1,MATCH(AJ$7,$F$7:$AG$7,1))</f>
        <v>0</v>
      </c>
      <c r="AK227" s="109" t="n">
        <f aca="false">INDEX($F227:$AG227,1,MATCH(AK$7,$F$7:$AG$7,1))</f>
        <v>0</v>
      </c>
      <c r="AL227" s="109" t="n">
        <f aca="false">INDEX($F227:$AG227,1,MATCH(AL$7,$F$7:$AG$7,1))</f>
        <v>0</v>
      </c>
      <c r="AM227" s="109" t="n">
        <f aca="false">INDEX($F227:$AG227,1,MATCH(AM$7,$F$7:$AG$7,1))</f>
        <v>0</v>
      </c>
      <c r="AN227" s="109" t="n">
        <f aca="false">INDEX($F227:$AG227,1,MATCH(AN$7,$F$7:$AG$7,1))</f>
        <v>0</v>
      </c>
      <c r="AO227" s="109" t="n">
        <f aca="false">INDEX($F227:$AG227,1,MATCH(AO$7,$F$7:$AG$7,1))</f>
        <v>0</v>
      </c>
    </row>
    <row r="228" customFormat="false" ht="15" hidden="false" customHeight="false" outlineLevel="0" collapsed="false">
      <c r="A228" s="107" t="s">
        <v>1666</v>
      </c>
      <c r="B228" s="22" t="s">
        <v>664</v>
      </c>
      <c r="C228" s="22" t="s">
        <v>558</v>
      </c>
      <c r="D228" s="22" t="s">
        <v>1478</v>
      </c>
      <c r="F228" s="108" t="n">
        <v>0</v>
      </c>
      <c r="G228" s="108" t="n">
        <v>0</v>
      </c>
      <c r="H228" s="108" t="n">
        <v>0</v>
      </c>
      <c r="I228" s="108" t="n">
        <v>0</v>
      </c>
      <c r="J228" s="108" t="n">
        <v>0</v>
      </c>
      <c r="K228" s="108" t="n">
        <v>0</v>
      </c>
      <c r="L228" s="108" t="n">
        <v>0</v>
      </c>
      <c r="M228" s="108" t="n">
        <v>0</v>
      </c>
      <c r="N228" s="108" t="n">
        <v>0</v>
      </c>
      <c r="O228" s="108" t="n">
        <v>20</v>
      </c>
      <c r="P228" s="108" t="n">
        <v>15</v>
      </c>
      <c r="Q228" s="108" t="n">
        <v>40</v>
      </c>
      <c r="R228" s="108" t="n">
        <v>75</v>
      </c>
      <c r="S228" s="108" t="n">
        <v>100</v>
      </c>
      <c r="T228" s="108" t="n">
        <v>125</v>
      </c>
      <c r="U228" s="108" t="n">
        <v>125</v>
      </c>
      <c r="V228" s="108" t="n">
        <v>125</v>
      </c>
      <c r="W228" s="108" t="n">
        <v>125</v>
      </c>
      <c r="X228" s="108" t="n">
        <v>125</v>
      </c>
      <c r="Y228" s="108" t="n">
        <v>125</v>
      </c>
      <c r="Z228" s="108" t="n">
        <v>125</v>
      </c>
      <c r="AA228" s="108" t="n">
        <v>125</v>
      </c>
      <c r="AB228" s="108" t="n">
        <v>125</v>
      </c>
      <c r="AC228" s="108" t="n">
        <v>125</v>
      </c>
      <c r="AD228" s="108" t="n">
        <v>125</v>
      </c>
      <c r="AE228" s="108" t="n">
        <v>125</v>
      </c>
      <c r="AF228" s="108" t="n">
        <v>125</v>
      </c>
      <c r="AG228" s="108" t="n">
        <v>125</v>
      </c>
      <c r="AI228" s="109" t="n">
        <f aca="false">INDEX($F228:$AG228,1,MATCH(AI$7,$F$7:$AG$7,1))</f>
        <v>0</v>
      </c>
      <c r="AJ228" s="109" t="n">
        <f aca="false">INDEX($F228:$AG228,1,MATCH(AJ$7,$F$7:$AG$7,1))</f>
        <v>0</v>
      </c>
      <c r="AK228" s="109" t="n">
        <f aca="false">INDEX($F228:$AG228,1,MATCH(AK$7,$F$7:$AG$7,1))</f>
        <v>40</v>
      </c>
      <c r="AL228" s="109" t="n">
        <f aca="false">INDEX($F228:$AG228,1,MATCH(AL$7,$F$7:$AG$7,1))</f>
        <v>125</v>
      </c>
      <c r="AM228" s="109" t="n">
        <f aca="false">INDEX($F228:$AG228,1,MATCH(AM$7,$F$7:$AG$7,1))</f>
        <v>125</v>
      </c>
      <c r="AN228" s="109" t="n">
        <f aca="false">INDEX($F228:$AG228,1,MATCH(AN$7,$F$7:$AG$7,1))</f>
        <v>125</v>
      </c>
      <c r="AO228" s="109" t="n">
        <f aca="false">INDEX($F228:$AG228,1,MATCH(AO$7,$F$7:$AG$7,1))</f>
        <v>125</v>
      </c>
    </row>
    <row r="229" customFormat="false" ht="15" hidden="false" customHeight="false" outlineLevel="0" collapsed="false">
      <c r="A229" s="107" t="s">
        <v>1667</v>
      </c>
      <c r="B229" s="22" t="s">
        <v>664</v>
      </c>
      <c r="C229" s="22" t="s">
        <v>540</v>
      </c>
      <c r="D229" s="22" t="s">
        <v>1480</v>
      </c>
      <c r="F229" s="109" t="n">
        <f aca="false">IF(CapV=2,N(F228),N(F227))</f>
        <v>0</v>
      </c>
      <c r="G229" s="109" t="n">
        <f aca="false">IF(CapV=2,N(G228),N(G227))</f>
        <v>0</v>
      </c>
      <c r="H229" s="109" t="n">
        <f aca="false">IF(CapV=2,N(H228),N(H227))</f>
        <v>0</v>
      </c>
      <c r="I229" s="109" t="n">
        <f aca="false">IF(CapV=2,N(I228),N(I227))</f>
        <v>0</v>
      </c>
      <c r="J229" s="109" t="n">
        <f aca="false">IF(CapV=2,N(J228),N(J227))</f>
        <v>0</v>
      </c>
      <c r="K229" s="109" t="n">
        <f aca="false">IF(CapV=2,N(K228),N(K227))</f>
        <v>0</v>
      </c>
      <c r="L229" s="109" t="n">
        <f aca="false">IF(CapV=2,N(L228),N(L227))</f>
        <v>0</v>
      </c>
      <c r="M229" s="109" t="n">
        <f aca="false">IF(CapV=2,N(M228),N(M227))</f>
        <v>0</v>
      </c>
      <c r="N229" s="109" t="n">
        <f aca="false">IF(CapV=2,N(N228),N(N227))</f>
        <v>0</v>
      </c>
      <c r="O229" s="109" t="n">
        <f aca="false">IF(CapV=2,N(O228),N(O227))</f>
        <v>20</v>
      </c>
      <c r="P229" s="109" t="n">
        <f aca="false">IF(CapV=2,N(P228),N(P227))</f>
        <v>15</v>
      </c>
      <c r="Q229" s="109" t="n">
        <f aca="false">IF(CapV=2,N(Q228),N(Q227))</f>
        <v>40</v>
      </c>
      <c r="R229" s="109" t="n">
        <f aca="false">IF(CapV=2,N(R228),N(R227))</f>
        <v>75</v>
      </c>
      <c r="S229" s="109" t="n">
        <f aca="false">IF(CapV=2,N(S228),N(S227))</f>
        <v>100</v>
      </c>
      <c r="T229" s="109" t="n">
        <f aca="false">IF(CapV=2,N(T228),N(T227))</f>
        <v>125</v>
      </c>
      <c r="U229" s="109" t="n">
        <f aca="false">IF(CapV=2,N(U228),N(U227))</f>
        <v>125</v>
      </c>
      <c r="V229" s="109" t="n">
        <f aca="false">IF(CapV=2,N(V228),N(V227))</f>
        <v>125</v>
      </c>
      <c r="W229" s="109" t="n">
        <f aca="false">IF(CapV=2,N(W228),N(W227))</f>
        <v>125</v>
      </c>
      <c r="X229" s="109" t="n">
        <f aca="false">IF(CapV=2,N(X228),N(X227))</f>
        <v>125</v>
      </c>
      <c r="Y229" s="109" t="n">
        <f aca="false">IF(CapV=2,N(Y228),N(Y227))</f>
        <v>125</v>
      </c>
      <c r="Z229" s="109" t="n">
        <f aca="false">IF(CapV=2,N(Z228),N(Z227))</f>
        <v>125</v>
      </c>
      <c r="AA229" s="109" t="n">
        <f aca="false">IF(CapV=2,N(AA228),N(AA227))</f>
        <v>125</v>
      </c>
      <c r="AB229" s="109" t="n">
        <f aca="false">IF(CapV=2,N(AB228),N(AB227))</f>
        <v>125</v>
      </c>
      <c r="AC229" s="109" t="n">
        <f aca="false">IF(CapV=2,N(AC228),N(AC227))</f>
        <v>125</v>
      </c>
      <c r="AD229" s="109" t="n">
        <f aca="false">IF(CapV=2,N(AD228),N(AD227))</f>
        <v>125</v>
      </c>
      <c r="AE229" s="109" t="n">
        <f aca="false">IF(CapV=2,N(AE228),N(AE227))</f>
        <v>125</v>
      </c>
      <c r="AF229" s="109" t="n">
        <f aca="false">IF(CapV=2,N(AF228),N(AF227))</f>
        <v>125</v>
      </c>
      <c r="AG229" s="109" t="n">
        <f aca="false">IF(CapV=2,N(AG228),N(AG227))</f>
        <v>125</v>
      </c>
      <c r="AI229" s="109" t="n">
        <f aca="false">INDEX($F229:$AG229,1,MATCH(AI$7,$F$7:$AG$7,1))</f>
        <v>0</v>
      </c>
      <c r="AJ229" s="109" t="n">
        <f aca="false">INDEX($F229:$AG229,1,MATCH(AJ$7,$F$7:$AG$7,1))</f>
        <v>0</v>
      </c>
      <c r="AK229" s="109" t="n">
        <f aca="false">INDEX($F229:$AG229,1,MATCH(AK$7,$F$7:$AG$7,1))</f>
        <v>40</v>
      </c>
      <c r="AL229" s="109" t="n">
        <f aca="false">INDEX($F229:$AG229,1,MATCH(AL$7,$F$7:$AG$7,1))</f>
        <v>125</v>
      </c>
      <c r="AM229" s="109" t="n">
        <f aca="false">INDEX($F229:$AG229,1,MATCH(AM$7,$F$7:$AG$7,1))</f>
        <v>125</v>
      </c>
      <c r="AN229" s="109" t="n">
        <f aca="false">INDEX($F229:$AG229,1,MATCH(AN$7,$F$7:$AG$7,1))</f>
        <v>125</v>
      </c>
      <c r="AO229" s="109" t="n">
        <f aca="false">INDEX($F229:$AG229,1,MATCH(AO$7,$F$7:$AG$7,1))</f>
        <v>125</v>
      </c>
    </row>
    <row r="230" customFormat="false" ht="15" hidden="false" customHeight="false" outlineLevel="0" collapsed="false">
      <c r="A230" s="107" t="s">
        <v>1668</v>
      </c>
      <c r="B230" s="22" t="s">
        <v>664</v>
      </c>
      <c r="C230" s="22" t="s">
        <v>558</v>
      </c>
      <c r="D230" s="22" t="s">
        <v>1476</v>
      </c>
      <c r="AI230" s="109" t="n">
        <f aca="false">INDEX($F230:$AG230,1,MATCH(AI$7,$F$7:$AG$7,1))</f>
        <v>0</v>
      </c>
      <c r="AJ230" s="109" t="n">
        <f aca="false">INDEX($F230:$AG230,1,MATCH(AJ$7,$F$7:$AG$7,1))</f>
        <v>0</v>
      </c>
      <c r="AK230" s="109" t="n">
        <f aca="false">INDEX($F230:$AG230,1,MATCH(AK$7,$F$7:$AG$7,1))</f>
        <v>0</v>
      </c>
      <c r="AL230" s="109" t="n">
        <f aca="false">INDEX($F230:$AG230,1,MATCH(AL$7,$F$7:$AG$7,1))</f>
        <v>0</v>
      </c>
      <c r="AM230" s="109" t="n">
        <f aca="false">INDEX($F230:$AG230,1,MATCH(AM$7,$F$7:$AG$7,1))</f>
        <v>0</v>
      </c>
      <c r="AN230" s="109" t="n">
        <f aca="false">INDEX($F230:$AG230,1,MATCH(AN$7,$F$7:$AG$7,1))</f>
        <v>0</v>
      </c>
      <c r="AO230" s="109" t="n">
        <f aca="false">INDEX($F230:$AG230,1,MATCH(AO$7,$F$7:$AG$7,1))</f>
        <v>0</v>
      </c>
    </row>
    <row r="231" customFormat="false" ht="15" hidden="false" customHeight="false" outlineLevel="0" collapsed="false">
      <c r="A231" s="107" t="s">
        <v>1669</v>
      </c>
      <c r="B231" s="22" t="s">
        <v>664</v>
      </c>
      <c r="C231" s="22" t="s">
        <v>558</v>
      </c>
      <c r="D231" s="22" t="s">
        <v>1476</v>
      </c>
      <c r="AI231" s="109" t="n">
        <f aca="false">INDEX($F231:$AG231,1,MATCH(AI$7,$F$7:$AG$7,1))</f>
        <v>0</v>
      </c>
      <c r="AJ231" s="109" t="n">
        <f aca="false">INDEX($F231:$AG231,1,MATCH(AJ$7,$F$7:$AG$7,1))</f>
        <v>0</v>
      </c>
      <c r="AK231" s="109" t="n">
        <f aca="false">INDEX($F231:$AG231,1,MATCH(AK$7,$F$7:$AG$7,1))</f>
        <v>0</v>
      </c>
      <c r="AL231" s="109" t="n">
        <f aca="false">INDEX($F231:$AG231,1,MATCH(AL$7,$F$7:$AG$7,1))</f>
        <v>0</v>
      </c>
      <c r="AM231" s="109" t="n">
        <f aca="false">INDEX($F231:$AG231,1,MATCH(AM$7,$F$7:$AG$7,1))</f>
        <v>0</v>
      </c>
      <c r="AN231" s="109" t="n">
        <f aca="false">INDEX($F231:$AG231,1,MATCH(AN$7,$F$7:$AG$7,1))</f>
        <v>0</v>
      </c>
      <c r="AO231" s="109" t="n">
        <f aca="false">INDEX($F231:$AG231,1,MATCH(AO$7,$F$7:$AG$7,1))</f>
        <v>0</v>
      </c>
    </row>
    <row r="232" customFormat="false" ht="15" hidden="false" customHeight="false" outlineLevel="0" collapsed="false">
      <c r="A232" s="107" t="s">
        <v>1670</v>
      </c>
      <c r="B232" s="22" t="s">
        <v>664</v>
      </c>
      <c r="C232" s="22" t="s">
        <v>558</v>
      </c>
      <c r="D232" s="22" t="s">
        <v>1476</v>
      </c>
      <c r="AI232" s="109" t="n">
        <f aca="false">INDEX($F232:$AG232,1,MATCH(AI$7,$F$7:$AG$7,1))</f>
        <v>0</v>
      </c>
      <c r="AJ232" s="109" t="n">
        <f aca="false">INDEX($F232:$AG232,1,MATCH(AJ$7,$F$7:$AG$7,1))</f>
        <v>0</v>
      </c>
      <c r="AK232" s="109" t="n">
        <f aca="false">INDEX($F232:$AG232,1,MATCH(AK$7,$F$7:$AG$7,1))</f>
        <v>0</v>
      </c>
      <c r="AL232" s="109" t="n">
        <f aca="false">INDEX($F232:$AG232,1,MATCH(AL$7,$F$7:$AG$7,1))</f>
        <v>0</v>
      </c>
      <c r="AM232" s="109" t="n">
        <f aca="false">INDEX($F232:$AG232,1,MATCH(AM$7,$F$7:$AG$7,1))</f>
        <v>0</v>
      </c>
      <c r="AN232" s="109" t="n">
        <f aca="false">INDEX($F232:$AG232,1,MATCH(AN$7,$F$7:$AG$7,1))</f>
        <v>0</v>
      </c>
      <c r="AO232" s="109" t="n">
        <f aca="false">INDEX($F232:$AG232,1,MATCH(AO$7,$F$7:$AG$7,1))</f>
        <v>0</v>
      </c>
    </row>
    <row r="233" customFormat="false" ht="15" hidden="false" customHeight="false" outlineLevel="0" collapsed="false">
      <c r="A233" s="107" t="s">
        <v>1671</v>
      </c>
      <c r="B233" s="22" t="s">
        <v>664</v>
      </c>
      <c r="C233" s="22" t="s">
        <v>558</v>
      </c>
      <c r="D233" s="22" t="s">
        <v>1476</v>
      </c>
      <c r="F233" s="108" t="n">
        <v>0</v>
      </c>
      <c r="G233" s="108" t="n">
        <v>0</v>
      </c>
      <c r="H233" s="108" t="n">
        <v>0</v>
      </c>
      <c r="I233" s="108" t="n">
        <v>0</v>
      </c>
      <c r="J233" s="108" t="n">
        <v>0</v>
      </c>
      <c r="K233" s="108" t="n">
        <v>0</v>
      </c>
      <c r="L233" s="108" t="n">
        <v>0</v>
      </c>
      <c r="M233" s="108" t="n">
        <v>0</v>
      </c>
      <c r="N233" s="108" t="n">
        <v>0</v>
      </c>
      <c r="O233" s="108" t="n">
        <v>0</v>
      </c>
      <c r="P233" s="108" t="n">
        <v>0</v>
      </c>
      <c r="Q233" s="108" t="n">
        <v>0</v>
      </c>
      <c r="R233" s="108" t="n">
        <v>0</v>
      </c>
      <c r="S233" s="108" t="n">
        <v>0</v>
      </c>
      <c r="T233" s="108" t="n">
        <v>0</v>
      </c>
      <c r="U233" s="108" t="n">
        <v>0</v>
      </c>
      <c r="V233" s="108" t="n">
        <v>25</v>
      </c>
      <c r="W233" s="108" t="n">
        <v>25</v>
      </c>
      <c r="X233" s="108" t="n">
        <v>50</v>
      </c>
      <c r="Y233" s="108" t="n">
        <v>50</v>
      </c>
      <c r="Z233" s="108" t="n">
        <v>50</v>
      </c>
      <c r="AA233" s="108" t="n">
        <v>50</v>
      </c>
      <c r="AB233" s="108" t="n">
        <v>50</v>
      </c>
      <c r="AC233" s="108" t="n">
        <v>50</v>
      </c>
      <c r="AD233" s="108" t="n">
        <v>50</v>
      </c>
      <c r="AE233" s="108" t="n">
        <v>50</v>
      </c>
      <c r="AF233" s="108" t="n">
        <v>50</v>
      </c>
      <c r="AG233" s="108" t="n">
        <v>50</v>
      </c>
      <c r="AI233" s="109" t="n">
        <f aca="false">INDEX($F233:$AG233,1,MATCH(AI$7,$F$7:$AG$7,1))</f>
        <v>0</v>
      </c>
      <c r="AJ233" s="109" t="n">
        <f aca="false">INDEX($F233:$AG233,1,MATCH(AJ$7,$F$7:$AG$7,1))</f>
        <v>0</v>
      </c>
      <c r="AK233" s="109" t="n">
        <f aca="false">INDEX($F233:$AG233,1,MATCH(AK$7,$F$7:$AG$7,1))</f>
        <v>0</v>
      </c>
      <c r="AL233" s="109" t="n">
        <f aca="false">INDEX($F233:$AG233,1,MATCH(AL$7,$F$7:$AG$7,1))</f>
        <v>0</v>
      </c>
      <c r="AM233" s="109" t="n">
        <f aca="false">INDEX($F233:$AG233,1,MATCH(AM$7,$F$7:$AG$7,1))</f>
        <v>50</v>
      </c>
      <c r="AN233" s="109" t="n">
        <f aca="false">INDEX($F233:$AG233,1,MATCH(AN$7,$F$7:$AG$7,1))</f>
        <v>50</v>
      </c>
      <c r="AO233" s="109" t="n">
        <f aca="false">INDEX($F233:$AG233,1,MATCH(AO$7,$F$7:$AG$7,1))</f>
        <v>50</v>
      </c>
    </row>
    <row r="234" customFormat="false" ht="15" hidden="false" customHeight="false" outlineLevel="0" collapsed="false">
      <c r="A234" s="107" t="s">
        <v>1672</v>
      </c>
      <c r="B234" s="22" t="s">
        <v>664</v>
      </c>
      <c r="C234" s="22" t="s">
        <v>558</v>
      </c>
      <c r="D234" s="22" t="s">
        <v>1478</v>
      </c>
      <c r="F234" s="108" t="n">
        <v>0</v>
      </c>
      <c r="G234" s="108" t="n">
        <v>0</v>
      </c>
      <c r="H234" s="108" t="n">
        <v>0</v>
      </c>
      <c r="I234" s="108" t="n">
        <v>0</v>
      </c>
      <c r="J234" s="108" t="n">
        <v>0</v>
      </c>
      <c r="K234" s="108" t="n">
        <v>0</v>
      </c>
      <c r="L234" s="108" t="n">
        <v>0</v>
      </c>
      <c r="M234" s="108" t="n">
        <v>0</v>
      </c>
      <c r="N234" s="108" t="n">
        <v>0</v>
      </c>
      <c r="O234" s="108" t="n">
        <v>0</v>
      </c>
      <c r="P234" s="108" t="n">
        <v>0</v>
      </c>
      <c r="Q234" s="108" t="n">
        <v>0</v>
      </c>
      <c r="R234" s="108" t="n">
        <v>0</v>
      </c>
      <c r="S234" s="108" t="n">
        <v>0</v>
      </c>
      <c r="T234" s="108" t="n">
        <v>0</v>
      </c>
      <c r="U234" s="108" t="n">
        <v>0</v>
      </c>
      <c r="V234" s="108" t="n">
        <v>25</v>
      </c>
      <c r="W234" s="108" t="n">
        <v>25</v>
      </c>
      <c r="X234" s="108" t="n">
        <v>50</v>
      </c>
      <c r="Y234" s="108" t="n">
        <v>50</v>
      </c>
      <c r="Z234" s="108" t="n">
        <v>50</v>
      </c>
      <c r="AA234" s="108" t="n">
        <v>50</v>
      </c>
      <c r="AB234" s="108" t="n">
        <v>50</v>
      </c>
      <c r="AC234" s="108" t="n">
        <v>50</v>
      </c>
      <c r="AD234" s="108" t="n">
        <v>50</v>
      </c>
      <c r="AE234" s="108" t="n">
        <v>50</v>
      </c>
      <c r="AF234" s="108" t="n">
        <v>50</v>
      </c>
      <c r="AG234" s="108" t="n">
        <v>50</v>
      </c>
      <c r="AI234" s="109" t="n">
        <f aca="false">INDEX($F234:$AG234,1,MATCH(AI$7,$F$7:$AG$7,1))</f>
        <v>0</v>
      </c>
      <c r="AJ234" s="109" t="n">
        <f aca="false">INDEX($F234:$AG234,1,MATCH(AJ$7,$F$7:$AG$7,1))</f>
        <v>0</v>
      </c>
      <c r="AK234" s="109" t="n">
        <f aca="false">INDEX($F234:$AG234,1,MATCH(AK$7,$F$7:$AG$7,1))</f>
        <v>0</v>
      </c>
      <c r="AL234" s="109" t="n">
        <f aca="false">INDEX($F234:$AG234,1,MATCH(AL$7,$F$7:$AG$7,1))</f>
        <v>0</v>
      </c>
      <c r="AM234" s="109" t="n">
        <f aca="false">INDEX($F234:$AG234,1,MATCH(AM$7,$F$7:$AG$7,1))</f>
        <v>50</v>
      </c>
      <c r="AN234" s="109" t="n">
        <f aca="false">INDEX($F234:$AG234,1,MATCH(AN$7,$F$7:$AG$7,1))</f>
        <v>50</v>
      </c>
      <c r="AO234" s="109" t="n">
        <f aca="false">INDEX($F234:$AG234,1,MATCH(AO$7,$F$7:$AG$7,1))</f>
        <v>50</v>
      </c>
    </row>
    <row r="235" customFormat="false" ht="15" hidden="false" customHeight="false" outlineLevel="0" collapsed="false">
      <c r="A235" s="107" t="s">
        <v>1673</v>
      </c>
      <c r="B235" s="22" t="s">
        <v>664</v>
      </c>
      <c r="C235" s="22" t="s">
        <v>540</v>
      </c>
      <c r="D235" s="22" t="s">
        <v>1480</v>
      </c>
      <c r="F235" s="109" t="n">
        <f aca="false">IF(CapV=2,N(F234),N(F233))</f>
        <v>0</v>
      </c>
      <c r="G235" s="109" t="n">
        <f aca="false">IF(CapV=2,N(G234),N(G233))</f>
        <v>0</v>
      </c>
      <c r="H235" s="109" t="n">
        <f aca="false">IF(CapV=2,N(H234),N(H233))</f>
        <v>0</v>
      </c>
      <c r="I235" s="109" t="n">
        <f aca="false">IF(CapV=2,N(I234),N(I233))</f>
        <v>0</v>
      </c>
      <c r="J235" s="109" t="n">
        <f aca="false">IF(CapV=2,N(J234),N(J233))</f>
        <v>0</v>
      </c>
      <c r="K235" s="109" t="n">
        <f aca="false">IF(CapV=2,N(K234),N(K233))</f>
        <v>0</v>
      </c>
      <c r="L235" s="109" t="n">
        <f aca="false">IF(CapV=2,N(L234),N(L233))</f>
        <v>0</v>
      </c>
      <c r="M235" s="109" t="n">
        <f aca="false">IF(CapV=2,N(M234),N(M233))</f>
        <v>0</v>
      </c>
      <c r="N235" s="109" t="n">
        <f aca="false">IF(CapV=2,N(N234),N(N233))</f>
        <v>0</v>
      </c>
      <c r="O235" s="109" t="n">
        <f aca="false">IF(CapV=2,N(O234),N(O233))</f>
        <v>0</v>
      </c>
      <c r="P235" s="109" t="n">
        <f aca="false">IF(CapV=2,N(P234),N(P233))</f>
        <v>0</v>
      </c>
      <c r="Q235" s="109" t="n">
        <f aca="false">IF(CapV=2,N(Q234),N(Q233))</f>
        <v>0</v>
      </c>
      <c r="R235" s="109" t="n">
        <f aca="false">IF(CapV=2,N(R234),N(R233))</f>
        <v>0</v>
      </c>
      <c r="S235" s="109" t="n">
        <f aca="false">IF(CapV=2,N(S234),N(S233))</f>
        <v>0</v>
      </c>
      <c r="T235" s="109" t="n">
        <f aca="false">IF(CapV=2,N(T234),N(T233))</f>
        <v>0</v>
      </c>
      <c r="U235" s="109" t="n">
        <f aca="false">IF(CapV=2,N(U234),N(U233))</f>
        <v>0</v>
      </c>
      <c r="V235" s="109" t="n">
        <f aca="false">IF(CapV=2,N(V234),N(V233))</f>
        <v>25</v>
      </c>
      <c r="W235" s="109" t="n">
        <f aca="false">IF(CapV=2,N(W234),N(W233))</f>
        <v>25</v>
      </c>
      <c r="X235" s="109" t="n">
        <f aca="false">IF(CapV=2,N(X234),N(X233))</f>
        <v>50</v>
      </c>
      <c r="Y235" s="109" t="n">
        <f aca="false">IF(CapV=2,N(Y234),N(Y233))</f>
        <v>50</v>
      </c>
      <c r="Z235" s="109" t="n">
        <f aca="false">IF(CapV=2,N(Z234),N(Z233))</f>
        <v>50</v>
      </c>
      <c r="AA235" s="109" t="n">
        <f aca="false">IF(CapV=2,N(AA234),N(AA233))</f>
        <v>50</v>
      </c>
      <c r="AB235" s="109" t="n">
        <f aca="false">IF(CapV=2,N(AB234),N(AB233))</f>
        <v>50</v>
      </c>
      <c r="AC235" s="109" t="n">
        <f aca="false">IF(CapV=2,N(AC234),N(AC233))</f>
        <v>50</v>
      </c>
      <c r="AD235" s="109" t="n">
        <f aca="false">IF(CapV=2,N(AD234),N(AD233))</f>
        <v>50</v>
      </c>
      <c r="AE235" s="109" t="n">
        <f aca="false">IF(CapV=2,N(AE234),N(AE233))</f>
        <v>50</v>
      </c>
      <c r="AF235" s="109" t="n">
        <f aca="false">IF(CapV=2,N(AF234),N(AF233))</f>
        <v>50</v>
      </c>
      <c r="AG235" s="109" t="n">
        <f aca="false">IF(CapV=2,N(AG234),N(AG233))</f>
        <v>50</v>
      </c>
      <c r="AI235" s="109" t="n">
        <f aca="false">INDEX($F235:$AG235,1,MATCH(AI$7,$F$7:$AG$7,1))</f>
        <v>0</v>
      </c>
      <c r="AJ235" s="109" t="n">
        <f aca="false">INDEX($F235:$AG235,1,MATCH(AJ$7,$F$7:$AG$7,1))</f>
        <v>0</v>
      </c>
      <c r="AK235" s="109" t="n">
        <f aca="false">INDEX($F235:$AG235,1,MATCH(AK$7,$F$7:$AG$7,1))</f>
        <v>0</v>
      </c>
      <c r="AL235" s="109" t="n">
        <f aca="false">INDEX($F235:$AG235,1,MATCH(AL$7,$F$7:$AG$7,1))</f>
        <v>0</v>
      </c>
      <c r="AM235" s="109" t="n">
        <f aca="false">INDEX($F235:$AG235,1,MATCH(AM$7,$F$7:$AG$7,1))</f>
        <v>50</v>
      </c>
      <c r="AN235" s="109" t="n">
        <f aca="false">INDEX($F235:$AG235,1,MATCH(AN$7,$F$7:$AG$7,1))</f>
        <v>50</v>
      </c>
      <c r="AO235" s="109" t="n">
        <f aca="false">INDEX($F235:$AG235,1,MATCH(AO$7,$F$7:$AG$7,1))</f>
        <v>50</v>
      </c>
    </row>
    <row r="236" customFormat="false" ht="15" hidden="false" customHeight="false" outlineLevel="0" collapsed="false">
      <c r="A236" s="107" t="s">
        <v>1674</v>
      </c>
      <c r="B236" s="22" t="s">
        <v>664</v>
      </c>
      <c r="C236" s="22" t="s">
        <v>558</v>
      </c>
      <c r="D236" s="22" t="s">
        <v>1476</v>
      </c>
      <c r="F236" s="108" t="n">
        <v>0</v>
      </c>
      <c r="G236" s="108" t="n">
        <v>0</v>
      </c>
      <c r="H236" s="108" t="n">
        <v>0</v>
      </c>
      <c r="I236" s="108" t="n">
        <v>0</v>
      </c>
      <c r="J236" s="108" t="n">
        <v>0</v>
      </c>
      <c r="K236" s="108" t="n">
        <v>0</v>
      </c>
      <c r="L236" s="108" t="n">
        <v>0</v>
      </c>
      <c r="M236" s="108" t="n">
        <v>0</v>
      </c>
      <c r="N236" s="108" t="n">
        <v>0</v>
      </c>
      <c r="O236" s="108" t="n">
        <v>0</v>
      </c>
      <c r="P236" s="108" t="n">
        <v>0</v>
      </c>
      <c r="Q236" s="108" t="n">
        <v>0</v>
      </c>
      <c r="R236" s="108" t="n">
        <v>0</v>
      </c>
      <c r="S236" s="108" t="n">
        <v>0</v>
      </c>
      <c r="T236" s="108" t="n">
        <v>12.5</v>
      </c>
      <c r="U236" s="108" t="n">
        <v>25</v>
      </c>
      <c r="V236" s="108" t="n">
        <v>37.5</v>
      </c>
      <c r="W236" s="108" t="n">
        <v>37.5</v>
      </c>
      <c r="X236" s="108" t="n">
        <v>50</v>
      </c>
      <c r="Y236" s="108" t="n">
        <v>50</v>
      </c>
      <c r="Z236" s="108" t="n">
        <v>50</v>
      </c>
      <c r="AA236" s="108" t="n">
        <v>50</v>
      </c>
      <c r="AB236" s="108" t="n">
        <v>50</v>
      </c>
      <c r="AC236" s="108" t="n">
        <v>50</v>
      </c>
      <c r="AD236" s="108" t="n">
        <v>50</v>
      </c>
      <c r="AE236" s="108" t="n">
        <v>50</v>
      </c>
      <c r="AF236" s="108" t="n">
        <v>50</v>
      </c>
      <c r="AG236" s="108" t="n">
        <v>50</v>
      </c>
      <c r="AI236" s="109" t="n">
        <f aca="false">INDEX($F236:$AG236,1,MATCH(AI$7,$F$7:$AG$7,1))</f>
        <v>0</v>
      </c>
      <c r="AJ236" s="109" t="n">
        <f aca="false">INDEX($F236:$AG236,1,MATCH(AJ$7,$F$7:$AG$7,1))</f>
        <v>0</v>
      </c>
      <c r="AK236" s="109" t="n">
        <f aca="false">INDEX($F236:$AG236,1,MATCH(AK$7,$F$7:$AG$7,1))</f>
        <v>0</v>
      </c>
      <c r="AL236" s="109" t="n">
        <f aca="false">INDEX($F236:$AG236,1,MATCH(AL$7,$F$7:$AG$7,1))</f>
        <v>25</v>
      </c>
      <c r="AM236" s="109" t="n">
        <f aca="false">INDEX($F236:$AG236,1,MATCH(AM$7,$F$7:$AG$7,1))</f>
        <v>50</v>
      </c>
      <c r="AN236" s="109" t="n">
        <f aca="false">INDEX($F236:$AG236,1,MATCH(AN$7,$F$7:$AG$7,1))</f>
        <v>50</v>
      </c>
      <c r="AO236" s="109" t="n">
        <f aca="false">INDEX($F236:$AG236,1,MATCH(AO$7,$F$7:$AG$7,1))</f>
        <v>50</v>
      </c>
    </row>
    <row r="237" customFormat="false" ht="15" hidden="false" customHeight="false" outlineLevel="0" collapsed="false">
      <c r="A237" s="107" t="s">
        <v>1675</v>
      </c>
      <c r="B237" s="22" t="s">
        <v>664</v>
      </c>
      <c r="C237" s="22" t="s">
        <v>558</v>
      </c>
      <c r="D237" s="22" t="s">
        <v>1478</v>
      </c>
      <c r="F237" s="108" t="n">
        <v>0</v>
      </c>
      <c r="G237" s="108" t="n">
        <v>0</v>
      </c>
      <c r="H237" s="108" t="n">
        <v>0</v>
      </c>
      <c r="I237" s="108" t="n">
        <v>0</v>
      </c>
      <c r="J237" s="108" t="n">
        <v>0</v>
      </c>
      <c r="K237" s="108" t="n">
        <v>0</v>
      </c>
      <c r="L237" s="108" t="n">
        <v>0</v>
      </c>
      <c r="M237" s="108" t="n">
        <v>0</v>
      </c>
      <c r="N237" s="108" t="n">
        <v>0</v>
      </c>
      <c r="O237" s="108" t="n">
        <v>0</v>
      </c>
      <c r="P237" s="108" t="n">
        <v>0</v>
      </c>
      <c r="Q237" s="108" t="n">
        <v>0</v>
      </c>
      <c r="R237" s="108" t="n">
        <v>0</v>
      </c>
      <c r="S237" s="108" t="n">
        <v>0</v>
      </c>
      <c r="T237" s="108" t="n">
        <v>12.5</v>
      </c>
      <c r="U237" s="108" t="n">
        <v>25</v>
      </c>
      <c r="V237" s="108" t="n">
        <v>37.5</v>
      </c>
      <c r="W237" s="108" t="n">
        <v>37.5</v>
      </c>
      <c r="X237" s="108" t="n">
        <v>50</v>
      </c>
      <c r="Y237" s="108" t="n">
        <v>50</v>
      </c>
      <c r="Z237" s="108" t="n">
        <v>50</v>
      </c>
      <c r="AA237" s="108" t="n">
        <v>50</v>
      </c>
      <c r="AB237" s="108" t="n">
        <v>50</v>
      </c>
      <c r="AC237" s="108" t="n">
        <v>50</v>
      </c>
      <c r="AD237" s="108" t="n">
        <v>50</v>
      </c>
      <c r="AE237" s="108" t="n">
        <v>50</v>
      </c>
      <c r="AF237" s="108" t="n">
        <v>50</v>
      </c>
      <c r="AG237" s="108" t="n">
        <v>50</v>
      </c>
      <c r="AI237" s="109" t="n">
        <f aca="false">INDEX($F237:$AG237,1,MATCH(AI$7,$F$7:$AG$7,1))</f>
        <v>0</v>
      </c>
      <c r="AJ237" s="109" t="n">
        <f aca="false">INDEX($F237:$AG237,1,MATCH(AJ$7,$F$7:$AG$7,1))</f>
        <v>0</v>
      </c>
      <c r="AK237" s="109" t="n">
        <f aca="false">INDEX($F237:$AG237,1,MATCH(AK$7,$F$7:$AG$7,1))</f>
        <v>0</v>
      </c>
      <c r="AL237" s="109" t="n">
        <f aca="false">INDEX($F237:$AG237,1,MATCH(AL$7,$F$7:$AG$7,1))</f>
        <v>25</v>
      </c>
      <c r="AM237" s="109" t="n">
        <f aca="false">INDEX($F237:$AG237,1,MATCH(AM$7,$F$7:$AG$7,1))</f>
        <v>50</v>
      </c>
      <c r="AN237" s="109" t="n">
        <f aca="false">INDEX($F237:$AG237,1,MATCH(AN$7,$F$7:$AG$7,1))</f>
        <v>50</v>
      </c>
      <c r="AO237" s="109" t="n">
        <f aca="false">INDEX($F237:$AG237,1,MATCH(AO$7,$F$7:$AG$7,1))</f>
        <v>50</v>
      </c>
    </row>
    <row r="238" customFormat="false" ht="15" hidden="false" customHeight="false" outlineLevel="0" collapsed="false">
      <c r="A238" s="107" t="s">
        <v>1676</v>
      </c>
      <c r="B238" s="22" t="s">
        <v>664</v>
      </c>
      <c r="C238" s="22" t="s">
        <v>540</v>
      </c>
      <c r="D238" s="22" t="s">
        <v>1480</v>
      </c>
      <c r="F238" s="109" t="n">
        <f aca="false">IF(CapV=2,N(F237),N(F236))</f>
        <v>0</v>
      </c>
      <c r="G238" s="109" t="n">
        <f aca="false">IF(CapV=2,N(G237),N(G236))</f>
        <v>0</v>
      </c>
      <c r="H238" s="109" t="n">
        <f aca="false">IF(CapV=2,N(H237),N(H236))</f>
        <v>0</v>
      </c>
      <c r="I238" s="109" t="n">
        <f aca="false">IF(CapV=2,N(I237),N(I236))</f>
        <v>0</v>
      </c>
      <c r="J238" s="109" t="n">
        <f aca="false">IF(CapV=2,N(J237),N(J236))</f>
        <v>0</v>
      </c>
      <c r="K238" s="109" t="n">
        <f aca="false">IF(CapV=2,N(K237),N(K236))</f>
        <v>0</v>
      </c>
      <c r="L238" s="109" t="n">
        <f aca="false">IF(CapV=2,N(L237),N(L236))</f>
        <v>0</v>
      </c>
      <c r="M238" s="109" t="n">
        <f aca="false">IF(CapV=2,N(M237),N(M236))</f>
        <v>0</v>
      </c>
      <c r="N238" s="109" t="n">
        <f aca="false">IF(CapV=2,N(N237),N(N236))</f>
        <v>0</v>
      </c>
      <c r="O238" s="109" t="n">
        <f aca="false">IF(CapV=2,N(O237),N(O236))</f>
        <v>0</v>
      </c>
      <c r="P238" s="109" t="n">
        <f aca="false">IF(CapV=2,N(P237),N(P236))</f>
        <v>0</v>
      </c>
      <c r="Q238" s="109" t="n">
        <f aca="false">IF(CapV=2,N(Q237),N(Q236))</f>
        <v>0</v>
      </c>
      <c r="R238" s="109" t="n">
        <f aca="false">IF(CapV=2,N(R237),N(R236))</f>
        <v>0</v>
      </c>
      <c r="S238" s="109" t="n">
        <f aca="false">IF(CapV=2,N(S237),N(S236))</f>
        <v>0</v>
      </c>
      <c r="T238" s="109" t="n">
        <f aca="false">IF(CapV=2,N(T237),N(T236))</f>
        <v>12.5</v>
      </c>
      <c r="U238" s="109" t="n">
        <f aca="false">IF(CapV=2,N(U237),N(U236))</f>
        <v>25</v>
      </c>
      <c r="V238" s="109" t="n">
        <f aca="false">IF(CapV=2,N(V237),N(V236))</f>
        <v>37.5</v>
      </c>
      <c r="W238" s="109" t="n">
        <f aca="false">IF(CapV=2,N(W237),N(W236))</f>
        <v>37.5</v>
      </c>
      <c r="X238" s="109" t="n">
        <f aca="false">IF(CapV=2,N(X237),N(X236))</f>
        <v>50</v>
      </c>
      <c r="Y238" s="109" t="n">
        <f aca="false">IF(CapV=2,N(Y237),N(Y236))</f>
        <v>50</v>
      </c>
      <c r="Z238" s="109" t="n">
        <f aca="false">IF(CapV=2,N(Z237),N(Z236))</f>
        <v>50</v>
      </c>
      <c r="AA238" s="109" t="n">
        <f aca="false">IF(CapV=2,N(AA237),N(AA236))</f>
        <v>50</v>
      </c>
      <c r="AB238" s="109" t="n">
        <f aca="false">IF(CapV=2,N(AB237),N(AB236))</f>
        <v>50</v>
      </c>
      <c r="AC238" s="109" t="n">
        <f aca="false">IF(CapV=2,N(AC237),N(AC236))</f>
        <v>50</v>
      </c>
      <c r="AD238" s="109" t="n">
        <f aca="false">IF(CapV=2,N(AD237),N(AD236))</f>
        <v>50</v>
      </c>
      <c r="AE238" s="109" t="n">
        <f aca="false">IF(CapV=2,N(AE237),N(AE236))</f>
        <v>50</v>
      </c>
      <c r="AF238" s="109" t="n">
        <f aca="false">IF(CapV=2,N(AF237),N(AF236))</f>
        <v>50</v>
      </c>
      <c r="AG238" s="109" t="n">
        <f aca="false">IF(CapV=2,N(AG237),N(AG236))</f>
        <v>50</v>
      </c>
      <c r="AI238" s="109" t="n">
        <f aca="false">INDEX($F238:$AG238,1,MATCH(AI$7,$F$7:$AG$7,1))</f>
        <v>0</v>
      </c>
      <c r="AJ238" s="109" t="n">
        <f aca="false">INDEX($F238:$AG238,1,MATCH(AJ$7,$F$7:$AG$7,1))</f>
        <v>0</v>
      </c>
      <c r="AK238" s="109" t="n">
        <f aca="false">INDEX($F238:$AG238,1,MATCH(AK$7,$F$7:$AG$7,1))</f>
        <v>0</v>
      </c>
      <c r="AL238" s="109" t="n">
        <f aca="false">INDEX($F238:$AG238,1,MATCH(AL$7,$F$7:$AG$7,1))</f>
        <v>25</v>
      </c>
      <c r="AM238" s="109" t="n">
        <f aca="false">INDEX($F238:$AG238,1,MATCH(AM$7,$F$7:$AG$7,1))</f>
        <v>50</v>
      </c>
      <c r="AN238" s="109" t="n">
        <f aca="false">INDEX($F238:$AG238,1,MATCH(AN$7,$F$7:$AG$7,1))</f>
        <v>50</v>
      </c>
      <c r="AO238" s="109" t="n">
        <f aca="false">INDEX($F238:$AG238,1,MATCH(AO$7,$F$7:$AG$7,1))</f>
        <v>50</v>
      </c>
    </row>
    <row r="239" customFormat="false" ht="15" hidden="false" customHeight="false" outlineLevel="0" collapsed="false">
      <c r="A239" s="107" t="s">
        <v>1677</v>
      </c>
      <c r="B239" s="22" t="s">
        <v>664</v>
      </c>
      <c r="C239" s="22" t="s">
        <v>558</v>
      </c>
      <c r="D239" s="22" t="s">
        <v>1476</v>
      </c>
      <c r="F239" s="108" t="n">
        <v>0</v>
      </c>
      <c r="G239" s="108" t="n">
        <v>0</v>
      </c>
      <c r="H239" s="108" t="n">
        <v>0</v>
      </c>
      <c r="I239" s="108" t="n">
        <v>0</v>
      </c>
      <c r="J239" s="108" t="n">
        <v>0</v>
      </c>
      <c r="K239" s="108" t="n">
        <v>0</v>
      </c>
      <c r="L239" s="108" t="n">
        <v>0</v>
      </c>
      <c r="M239" s="108" t="n">
        <v>0</v>
      </c>
      <c r="N239" s="108" t="n">
        <v>0</v>
      </c>
      <c r="O239" s="108" t="n">
        <v>0</v>
      </c>
      <c r="P239" s="108" t="n">
        <v>0</v>
      </c>
      <c r="Q239" s="108" t="n">
        <v>0</v>
      </c>
      <c r="R239" s="108" t="n">
        <v>0</v>
      </c>
      <c r="S239" s="108" t="n">
        <v>0</v>
      </c>
      <c r="T239" s="108" t="n">
        <v>25</v>
      </c>
      <c r="U239" s="108" t="n">
        <v>50</v>
      </c>
      <c r="V239" s="108" t="n">
        <v>50</v>
      </c>
      <c r="W239" s="108" t="n">
        <v>50</v>
      </c>
      <c r="X239" s="108" t="n">
        <v>50</v>
      </c>
      <c r="Y239" s="108" t="n">
        <v>50</v>
      </c>
      <c r="Z239" s="108" t="n">
        <v>50</v>
      </c>
      <c r="AA239" s="108" t="n">
        <v>50</v>
      </c>
      <c r="AB239" s="108" t="n">
        <v>50</v>
      </c>
      <c r="AC239" s="108" t="n">
        <v>50</v>
      </c>
      <c r="AD239" s="108" t="n">
        <v>50</v>
      </c>
      <c r="AE239" s="108" t="n">
        <v>50</v>
      </c>
      <c r="AF239" s="108" t="n">
        <v>50</v>
      </c>
      <c r="AG239" s="108" t="n">
        <v>50</v>
      </c>
      <c r="AI239" s="109" t="n">
        <f aca="false">INDEX($F239:$AG239,1,MATCH(AI$7,$F$7:$AG$7,1))</f>
        <v>0</v>
      </c>
      <c r="AJ239" s="109" t="n">
        <f aca="false">INDEX($F239:$AG239,1,MATCH(AJ$7,$F$7:$AG$7,1))</f>
        <v>0</v>
      </c>
      <c r="AK239" s="109" t="n">
        <f aca="false">INDEX($F239:$AG239,1,MATCH(AK$7,$F$7:$AG$7,1))</f>
        <v>0</v>
      </c>
      <c r="AL239" s="109" t="n">
        <f aca="false">INDEX($F239:$AG239,1,MATCH(AL$7,$F$7:$AG$7,1))</f>
        <v>50</v>
      </c>
      <c r="AM239" s="109" t="n">
        <f aca="false">INDEX($F239:$AG239,1,MATCH(AM$7,$F$7:$AG$7,1))</f>
        <v>50</v>
      </c>
      <c r="AN239" s="109" t="n">
        <f aca="false">INDEX($F239:$AG239,1,MATCH(AN$7,$F$7:$AG$7,1))</f>
        <v>50</v>
      </c>
      <c r="AO239" s="109" t="n">
        <f aca="false">INDEX($F239:$AG239,1,MATCH(AO$7,$F$7:$AG$7,1))</f>
        <v>50</v>
      </c>
    </row>
    <row r="240" customFormat="false" ht="15" hidden="false" customHeight="false" outlineLevel="0" collapsed="false">
      <c r="A240" s="107" t="s">
        <v>1678</v>
      </c>
      <c r="B240" s="22" t="s">
        <v>664</v>
      </c>
      <c r="C240" s="22" t="s">
        <v>558</v>
      </c>
      <c r="D240" s="22" t="s">
        <v>1478</v>
      </c>
      <c r="F240" s="108" t="n">
        <v>0</v>
      </c>
      <c r="G240" s="108" t="n">
        <v>0</v>
      </c>
      <c r="H240" s="108" t="n">
        <v>0</v>
      </c>
      <c r="I240" s="108" t="n">
        <v>0</v>
      </c>
      <c r="J240" s="108" t="n">
        <v>0</v>
      </c>
      <c r="K240" s="108" t="n">
        <v>0</v>
      </c>
      <c r="L240" s="108" t="n">
        <v>0</v>
      </c>
      <c r="M240" s="108" t="n">
        <v>0</v>
      </c>
      <c r="N240" s="108" t="n">
        <v>0</v>
      </c>
      <c r="O240" s="108" t="n">
        <v>0</v>
      </c>
      <c r="P240" s="108" t="n">
        <v>0</v>
      </c>
      <c r="Q240" s="108" t="n">
        <v>0</v>
      </c>
      <c r="R240" s="108" t="n">
        <v>0</v>
      </c>
      <c r="S240" s="108" t="n">
        <v>0</v>
      </c>
      <c r="T240" s="108" t="n">
        <v>25</v>
      </c>
      <c r="U240" s="108" t="n">
        <v>50</v>
      </c>
      <c r="V240" s="108" t="n">
        <v>50</v>
      </c>
      <c r="W240" s="108" t="n">
        <v>50</v>
      </c>
      <c r="X240" s="108" t="n">
        <v>50</v>
      </c>
      <c r="Y240" s="108" t="n">
        <v>50</v>
      </c>
      <c r="Z240" s="108" t="n">
        <v>50</v>
      </c>
      <c r="AA240" s="108" t="n">
        <v>50</v>
      </c>
      <c r="AB240" s="108" t="n">
        <v>50</v>
      </c>
      <c r="AC240" s="108" t="n">
        <v>50</v>
      </c>
      <c r="AD240" s="108" t="n">
        <v>50</v>
      </c>
      <c r="AE240" s="108" t="n">
        <v>50</v>
      </c>
      <c r="AF240" s="108" t="n">
        <v>50</v>
      </c>
      <c r="AG240" s="108" t="n">
        <v>50</v>
      </c>
      <c r="AI240" s="109" t="n">
        <f aca="false">INDEX($F240:$AG240,1,MATCH(AI$7,$F$7:$AG$7,1))</f>
        <v>0</v>
      </c>
      <c r="AJ240" s="109" t="n">
        <f aca="false">INDEX($F240:$AG240,1,MATCH(AJ$7,$F$7:$AG$7,1))</f>
        <v>0</v>
      </c>
      <c r="AK240" s="109" t="n">
        <f aca="false">INDEX($F240:$AG240,1,MATCH(AK$7,$F$7:$AG$7,1))</f>
        <v>0</v>
      </c>
      <c r="AL240" s="109" t="n">
        <f aca="false">INDEX($F240:$AG240,1,MATCH(AL$7,$F$7:$AG$7,1))</f>
        <v>50</v>
      </c>
      <c r="AM240" s="109" t="n">
        <f aca="false">INDEX($F240:$AG240,1,MATCH(AM$7,$F$7:$AG$7,1))</f>
        <v>50</v>
      </c>
      <c r="AN240" s="109" t="n">
        <f aca="false">INDEX($F240:$AG240,1,MATCH(AN$7,$F$7:$AG$7,1))</f>
        <v>50</v>
      </c>
      <c r="AO240" s="109" t="n">
        <f aca="false">INDEX($F240:$AG240,1,MATCH(AO$7,$F$7:$AG$7,1))</f>
        <v>50</v>
      </c>
    </row>
    <row r="241" customFormat="false" ht="15" hidden="false" customHeight="false" outlineLevel="0" collapsed="false">
      <c r="A241" s="107" t="s">
        <v>1679</v>
      </c>
      <c r="B241" s="22" t="s">
        <v>664</v>
      </c>
      <c r="C241" s="22" t="s">
        <v>540</v>
      </c>
      <c r="D241" s="22" t="s">
        <v>1480</v>
      </c>
      <c r="F241" s="109" t="n">
        <f aca="false">IF(CapV=2,N(F240),N(F239))</f>
        <v>0</v>
      </c>
      <c r="G241" s="109" t="n">
        <f aca="false">IF(CapV=2,N(G240),N(G239))</f>
        <v>0</v>
      </c>
      <c r="H241" s="109" t="n">
        <f aca="false">IF(CapV=2,N(H240),N(H239))</f>
        <v>0</v>
      </c>
      <c r="I241" s="109" t="n">
        <f aca="false">IF(CapV=2,N(I240),N(I239))</f>
        <v>0</v>
      </c>
      <c r="J241" s="109" t="n">
        <f aca="false">IF(CapV=2,N(J240),N(J239))</f>
        <v>0</v>
      </c>
      <c r="K241" s="109" t="n">
        <f aca="false">IF(CapV=2,N(K240),N(K239))</f>
        <v>0</v>
      </c>
      <c r="L241" s="109" t="n">
        <f aca="false">IF(CapV=2,N(L240),N(L239))</f>
        <v>0</v>
      </c>
      <c r="M241" s="109" t="n">
        <f aca="false">IF(CapV=2,N(M240),N(M239))</f>
        <v>0</v>
      </c>
      <c r="N241" s="109" t="n">
        <f aca="false">IF(CapV=2,N(N240),N(N239))</f>
        <v>0</v>
      </c>
      <c r="O241" s="109" t="n">
        <f aca="false">IF(CapV=2,N(O240),N(O239))</f>
        <v>0</v>
      </c>
      <c r="P241" s="109" t="n">
        <f aca="false">IF(CapV=2,N(P240),N(P239))</f>
        <v>0</v>
      </c>
      <c r="Q241" s="109" t="n">
        <f aca="false">IF(CapV=2,N(Q240),N(Q239))</f>
        <v>0</v>
      </c>
      <c r="R241" s="109" t="n">
        <f aca="false">IF(CapV=2,N(R240),N(R239))</f>
        <v>0</v>
      </c>
      <c r="S241" s="109" t="n">
        <f aca="false">IF(CapV=2,N(S240),N(S239))</f>
        <v>0</v>
      </c>
      <c r="T241" s="109" t="n">
        <f aca="false">IF(CapV=2,N(T240),N(T239))</f>
        <v>25</v>
      </c>
      <c r="U241" s="109" t="n">
        <f aca="false">IF(CapV=2,N(U240),N(U239))</f>
        <v>50</v>
      </c>
      <c r="V241" s="109" t="n">
        <f aca="false">IF(CapV=2,N(V240),N(V239))</f>
        <v>50</v>
      </c>
      <c r="W241" s="109" t="n">
        <f aca="false">IF(CapV=2,N(W240),N(W239))</f>
        <v>50</v>
      </c>
      <c r="X241" s="109" t="n">
        <f aca="false">IF(CapV=2,N(X240),N(X239))</f>
        <v>50</v>
      </c>
      <c r="Y241" s="109" t="n">
        <f aca="false">IF(CapV=2,N(Y240),N(Y239))</f>
        <v>50</v>
      </c>
      <c r="Z241" s="109" t="n">
        <f aca="false">IF(CapV=2,N(Z240),N(Z239))</f>
        <v>50</v>
      </c>
      <c r="AA241" s="109" t="n">
        <f aca="false">IF(CapV=2,N(AA240),N(AA239))</f>
        <v>50</v>
      </c>
      <c r="AB241" s="109" t="n">
        <f aca="false">IF(CapV=2,N(AB240),N(AB239))</f>
        <v>50</v>
      </c>
      <c r="AC241" s="109" t="n">
        <f aca="false">IF(CapV=2,N(AC240),N(AC239))</f>
        <v>50</v>
      </c>
      <c r="AD241" s="109" t="n">
        <f aca="false">IF(CapV=2,N(AD240),N(AD239))</f>
        <v>50</v>
      </c>
      <c r="AE241" s="109" t="n">
        <f aca="false">IF(CapV=2,N(AE240),N(AE239))</f>
        <v>50</v>
      </c>
      <c r="AF241" s="109" t="n">
        <f aca="false">IF(CapV=2,N(AF240),N(AF239))</f>
        <v>50</v>
      </c>
      <c r="AG241" s="109" t="n">
        <f aca="false">IF(CapV=2,N(AG240),N(AG239))</f>
        <v>50</v>
      </c>
      <c r="AI241" s="109" t="n">
        <f aca="false">INDEX($F241:$AG241,1,MATCH(AI$7,$F$7:$AG$7,1))</f>
        <v>0</v>
      </c>
      <c r="AJ241" s="109" t="n">
        <f aca="false">INDEX($F241:$AG241,1,MATCH(AJ$7,$F$7:$AG$7,1))</f>
        <v>0</v>
      </c>
      <c r="AK241" s="109" t="n">
        <f aca="false">INDEX($F241:$AG241,1,MATCH(AK$7,$F$7:$AG$7,1))</f>
        <v>0</v>
      </c>
      <c r="AL241" s="109" t="n">
        <f aca="false">INDEX($F241:$AG241,1,MATCH(AL$7,$F$7:$AG$7,1))</f>
        <v>50</v>
      </c>
      <c r="AM241" s="109" t="n">
        <f aca="false">INDEX($F241:$AG241,1,MATCH(AM$7,$F$7:$AG$7,1))</f>
        <v>50</v>
      </c>
      <c r="AN241" s="109" t="n">
        <f aca="false">INDEX($F241:$AG241,1,MATCH(AN$7,$F$7:$AG$7,1))</f>
        <v>50</v>
      </c>
      <c r="AO241" s="109" t="n">
        <f aca="false">INDEX($F241:$AG241,1,MATCH(AO$7,$F$7:$AG$7,1))</f>
        <v>50</v>
      </c>
    </row>
    <row r="242" customFormat="false" ht="15" hidden="false" customHeight="false" outlineLevel="0" collapsed="false">
      <c r="A242" s="107" t="s">
        <v>1680</v>
      </c>
      <c r="B242" s="22" t="s">
        <v>664</v>
      </c>
      <c r="C242" s="22" t="s">
        <v>558</v>
      </c>
      <c r="D242" s="22" t="s">
        <v>1478</v>
      </c>
      <c r="F242" s="108" t="n">
        <v>0</v>
      </c>
      <c r="G242" s="108" t="n">
        <v>0</v>
      </c>
      <c r="H242" s="108" t="n">
        <v>0</v>
      </c>
      <c r="I242" s="108" t="n">
        <v>0</v>
      </c>
      <c r="J242" s="108" t="n">
        <v>0</v>
      </c>
      <c r="K242" s="108" t="n">
        <v>0</v>
      </c>
      <c r="L242" s="108" t="n">
        <v>0</v>
      </c>
      <c r="M242" s="108" t="n">
        <v>0</v>
      </c>
      <c r="N242" s="108" t="n">
        <v>0</v>
      </c>
      <c r="O242" s="108" t="n">
        <v>0</v>
      </c>
      <c r="P242" s="108" t="n">
        <v>0</v>
      </c>
      <c r="Q242" s="108" t="n">
        <v>0</v>
      </c>
      <c r="R242" s="108" t="n">
        <v>5</v>
      </c>
      <c r="S242" s="108" t="n">
        <v>10</v>
      </c>
      <c r="T242" s="108" t="n">
        <v>15</v>
      </c>
      <c r="U242" s="108" t="n">
        <v>20</v>
      </c>
      <c r="V242" s="108" t="n">
        <v>20</v>
      </c>
      <c r="W242" s="108" t="n">
        <v>20</v>
      </c>
      <c r="X242" s="108" t="n">
        <v>20</v>
      </c>
      <c r="Y242" s="108" t="n">
        <v>20</v>
      </c>
      <c r="Z242" s="108" t="n">
        <v>20</v>
      </c>
      <c r="AA242" s="108" t="n">
        <v>20</v>
      </c>
      <c r="AB242" s="108" t="n">
        <v>20</v>
      </c>
      <c r="AC242" s="108" t="n">
        <v>20</v>
      </c>
      <c r="AD242" s="108" t="n">
        <v>20</v>
      </c>
      <c r="AE242" s="108" t="n">
        <v>20</v>
      </c>
      <c r="AF242" s="108" t="n">
        <v>20</v>
      </c>
      <c r="AG242" s="108" t="n">
        <v>20</v>
      </c>
      <c r="AI242" s="109" t="n">
        <f aca="false">INDEX($F242:$AG242,1,MATCH(AI$7,$F$7:$AG$7,1))</f>
        <v>0</v>
      </c>
      <c r="AJ242" s="109" t="n">
        <f aca="false">INDEX($F242:$AG242,1,MATCH(AJ$7,$F$7:$AG$7,1))</f>
        <v>0</v>
      </c>
      <c r="AK242" s="109" t="n">
        <f aca="false">INDEX($F242:$AG242,1,MATCH(AK$7,$F$7:$AG$7,1))</f>
        <v>0</v>
      </c>
      <c r="AL242" s="109" t="n">
        <f aca="false">INDEX($F242:$AG242,1,MATCH(AL$7,$F$7:$AG$7,1))</f>
        <v>20</v>
      </c>
      <c r="AM242" s="109" t="n">
        <f aca="false">INDEX($F242:$AG242,1,MATCH(AM$7,$F$7:$AG$7,1))</f>
        <v>20</v>
      </c>
      <c r="AN242" s="109" t="n">
        <f aca="false">INDEX($F242:$AG242,1,MATCH(AN$7,$F$7:$AG$7,1))</f>
        <v>20</v>
      </c>
      <c r="AO242" s="109" t="n">
        <f aca="false">INDEX($F242:$AG242,1,MATCH(AO$7,$F$7:$AG$7,1))</f>
        <v>20</v>
      </c>
    </row>
    <row r="243" customFormat="false" ht="15" hidden="false" customHeight="false" outlineLevel="0" collapsed="false">
      <c r="A243" s="107" t="s">
        <v>1681</v>
      </c>
      <c r="B243" s="22" t="s">
        <v>664</v>
      </c>
      <c r="C243" s="22" t="s">
        <v>540</v>
      </c>
      <c r="D243" s="22" t="s">
        <v>1480</v>
      </c>
      <c r="F243" s="109" t="n">
        <f aca="false">IF(CapV=2,N(F242),0)</f>
        <v>0</v>
      </c>
      <c r="G243" s="109" t="n">
        <f aca="false">IF(CapV=2,N(G242),0)</f>
        <v>0</v>
      </c>
      <c r="H243" s="109" t="n">
        <f aca="false">IF(CapV=2,N(H242),0)</f>
        <v>0</v>
      </c>
      <c r="I243" s="109" t="n">
        <f aca="false">IF(CapV=2,N(I242),0)</f>
        <v>0</v>
      </c>
      <c r="J243" s="109" t="n">
        <f aca="false">IF(CapV=2,N(J242),0)</f>
        <v>0</v>
      </c>
      <c r="K243" s="109" t="n">
        <f aca="false">IF(CapV=2,N(K242),0)</f>
        <v>0</v>
      </c>
      <c r="L243" s="109" t="n">
        <f aca="false">IF(CapV=2,N(L242),0)</f>
        <v>0</v>
      </c>
      <c r="M243" s="109" t="n">
        <f aca="false">IF(CapV=2,N(M242),0)</f>
        <v>0</v>
      </c>
      <c r="N243" s="109" t="n">
        <f aca="false">IF(CapV=2,N(N242),0)</f>
        <v>0</v>
      </c>
      <c r="O243" s="109" t="n">
        <f aca="false">IF(CapV=2,N(O242),0)</f>
        <v>0</v>
      </c>
      <c r="P243" s="109" t="n">
        <f aca="false">IF(CapV=2,N(P242),0)</f>
        <v>0</v>
      </c>
      <c r="Q243" s="109" t="n">
        <f aca="false">IF(CapV=2,N(Q242),0)</f>
        <v>0</v>
      </c>
      <c r="R243" s="109" t="n">
        <f aca="false">IF(CapV=2,N(R242),0)</f>
        <v>5</v>
      </c>
      <c r="S243" s="109" t="n">
        <f aca="false">IF(CapV=2,N(S242),0)</f>
        <v>10</v>
      </c>
      <c r="T243" s="109" t="n">
        <f aca="false">IF(CapV=2,N(T242),0)</f>
        <v>15</v>
      </c>
      <c r="U243" s="109" t="n">
        <f aca="false">IF(CapV=2,N(U242),0)</f>
        <v>20</v>
      </c>
      <c r="V243" s="109" t="n">
        <f aca="false">IF(CapV=2,N(V242),0)</f>
        <v>20</v>
      </c>
      <c r="W243" s="109" t="n">
        <f aca="false">IF(CapV=2,N(W242),0)</f>
        <v>20</v>
      </c>
      <c r="X243" s="109" t="n">
        <f aca="false">IF(CapV=2,N(X242),0)</f>
        <v>20</v>
      </c>
      <c r="Y243" s="109" t="n">
        <f aca="false">IF(CapV=2,N(Y242),0)</f>
        <v>20</v>
      </c>
      <c r="Z243" s="109" t="n">
        <f aca="false">IF(CapV=2,N(Z242),0)</f>
        <v>20</v>
      </c>
      <c r="AA243" s="109" t="n">
        <f aca="false">IF(CapV=2,N(AA242),0)</f>
        <v>20</v>
      </c>
      <c r="AB243" s="109" t="n">
        <f aca="false">IF(CapV=2,N(AB242),0)</f>
        <v>20</v>
      </c>
      <c r="AC243" s="109" t="n">
        <f aca="false">IF(CapV=2,N(AC242),0)</f>
        <v>20</v>
      </c>
      <c r="AD243" s="109" t="n">
        <f aca="false">IF(CapV=2,N(AD242),0)</f>
        <v>20</v>
      </c>
      <c r="AE243" s="109" t="n">
        <f aca="false">IF(CapV=2,N(AE242),0)</f>
        <v>20</v>
      </c>
      <c r="AF243" s="109" t="n">
        <f aca="false">IF(CapV=2,N(AF242),0)</f>
        <v>20</v>
      </c>
      <c r="AG243" s="109" t="n">
        <f aca="false">IF(CapV=2,N(AG242),0)</f>
        <v>20</v>
      </c>
      <c r="AI243" s="109" t="n">
        <f aca="false">INDEX($F243:$AG243,1,MATCH(AI$7,$F$7:$AG$7,1))</f>
        <v>0</v>
      </c>
      <c r="AJ243" s="109" t="n">
        <f aca="false">INDEX($F243:$AG243,1,MATCH(AJ$7,$F$7:$AG$7,1))</f>
        <v>0</v>
      </c>
      <c r="AK243" s="109" t="n">
        <f aca="false">INDEX($F243:$AG243,1,MATCH(AK$7,$F$7:$AG$7,1))</f>
        <v>0</v>
      </c>
      <c r="AL243" s="109" t="n">
        <f aca="false">INDEX($F243:$AG243,1,MATCH(AL$7,$F$7:$AG$7,1))</f>
        <v>20</v>
      </c>
      <c r="AM243" s="109" t="n">
        <f aca="false">INDEX($F243:$AG243,1,MATCH(AM$7,$F$7:$AG$7,1))</f>
        <v>20</v>
      </c>
      <c r="AN243" s="109" t="n">
        <f aca="false">INDEX($F243:$AG243,1,MATCH(AN$7,$F$7:$AG$7,1))</f>
        <v>20</v>
      </c>
      <c r="AO243" s="109" t="n">
        <f aca="false">INDEX($F243:$AG243,1,MATCH(AO$7,$F$7:$AG$7,1))</f>
        <v>20</v>
      </c>
    </row>
    <row r="244" customFormat="false" ht="15" hidden="false" customHeight="false" outlineLevel="0" collapsed="false">
      <c r="A244" s="107" t="s">
        <v>1682</v>
      </c>
      <c r="B244" s="22" t="s">
        <v>664</v>
      </c>
      <c r="C244" s="22" t="s">
        <v>558</v>
      </c>
      <c r="D244" s="22" t="s">
        <v>1478</v>
      </c>
      <c r="F244" s="108" t="n">
        <v>0</v>
      </c>
      <c r="G244" s="108" t="n">
        <v>0</v>
      </c>
      <c r="H244" s="108" t="n">
        <v>0</v>
      </c>
      <c r="I244" s="108" t="n">
        <v>0</v>
      </c>
      <c r="J244" s="108" t="n">
        <v>0</v>
      </c>
      <c r="K244" s="108" t="n">
        <v>0</v>
      </c>
      <c r="L244" s="108" t="n">
        <v>0</v>
      </c>
      <c r="M244" s="108" t="n">
        <v>0</v>
      </c>
      <c r="N244" s="108" t="n">
        <v>0</v>
      </c>
      <c r="O244" s="108" t="n">
        <v>0</v>
      </c>
      <c r="P244" s="108" t="n">
        <v>0</v>
      </c>
      <c r="Q244" s="108" t="n">
        <v>5</v>
      </c>
      <c r="R244" s="108" t="n">
        <v>15</v>
      </c>
      <c r="S244" s="108" t="n">
        <v>22.5</v>
      </c>
      <c r="T244" s="108" t="n">
        <v>29</v>
      </c>
      <c r="U244" s="108" t="n">
        <v>31.5</v>
      </c>
      <c r="V244" s="108" t="n">
        <v>31.5</v>
      </c>
      <c r="W244" s="108" t="n">
        <v>31.5</v>
      </c>
      <c r="X244" s="108" t="n">
        <v>31.5</v>
      </c>
      <c r="Y244" s="108" t="n">
        <v>31.5</v>
      </c>
      <c r="Z244" s="108" t="n">
        <v>31.5</v>
      </c>
      <c r="AA244" s="108" t="n">
        <v>31.5</v>
      </c>
      <c r="AB244" s="108" t="n">
        <v>31.5</v>
      </c>
      <c r="AC244" s="108" t="n">
        <v>31.5</v>
      </c>
      <c r="AD244" s="108" t="n">
        <v>31.5</v>
      </c>
      <c r="AE244" s="108" t="n">
        <v>31.5</v>
      </c>
      <c r="AF244" s="108" t="n">
        <v>31.5</v>
      </c>
      <c r="AG244" s="108" t="n">
        <v>31.5</v>
      </c>
      <c r="AI244" s="109" t="n">
        <f aca="false">INDEX($F244:$AG244,1,MATCH(AI$7,$F$7:$AG$7,1))</f>
        <v>0</v>
      </c>
      <c r="AJ244" s="109" t="n">
        <f aca="false">INDEX($F244:$AG244,1,MATCH(AJ$7,$F$7:$AG$7,1))</f>
        <v>0</v>
      </c>
      <c r="AK244" s="109" t="n">
        <f aca="false">INDEX($F244:$AG244,1,MATCH(AK$7,$F$7:$AG$7,1))</f>
        <v>5</v>
      </c>
      <c r="AL244" s="109" t="n">
        <f aca="false">INDEX($F244:$AG244,1,MATCH(AL$7,$F$7:$AG$7,1))</f>
        <v>31.5</v>
      </c>
      <c r="AM244" s="109" t="n">
        <f aca="false">INDEX($F244:$AG244,1,MATCH(AM$7,$F$7:$AG$7,1))</f>
        <v>31.5</v>
      </c>
      <c r="AN244" s="109" t="n">
        <f aca="false">INDEX($F244:$AG244,1,MATCH(AN$7,$F$7:$AG$7,1))</f>
        <v>31.5</v>
      </c>
      <c r="AO244" s="109" t="n">
        <f aca="false">INDEX($F244:$AG244,1,MATCH(AO$7,$F$7:$AG$7,1))</f>
        <v>31.5</v>
      </c>
    </row>
    <row r="245" customFormat="false" ht="15" hidden="false" customHeight="false" outlineLevel="0" collapsed="false">
      <c r="A245" s="107" t="s">
        <v>1683</v>
      </c>
      <c r="B245" s="22" t="s">
        <v>664</v>
      </c>
      <c r="C245" s="22" t="s">
        <v>540</v>
      </c>
      <c r="D245" s="22" t="s">
        <v>1480</v>
      </c>
      <c r="F245" s="109" t="n">
        <f aca="false">IF(CapV=2,N(F244),0)</f>
        <v>0</v>
      </c>
      <c r="G245" s="109" t="n">
        <f aca="false">IF(CapV=2,N(G244),0)</f>
        <v>0</v>
      </c>
      <c r="H245" s="109" t="n">
        <f aca="false">IF(CapV=2,N(H244),0)</f>
        <v>0</v>
      </c>
      <c r="I245" s="109" t="n">
        <f aca="false">IF(CapV=2,N(I244),0)</f>
        <v>0</v>
      </c>
      <c r="J245" s="109" t="n">
        <f aca="false">IF(CapV=2,N(J244),0)</f>
        <v>0</v>
      </c>
      <c r="K245" s="109" t="n">
        <f aca="false">IF(CapV=2,N(K244),0)</f>
        <v>0</v>
      </c>
      <c r="L245" s="109" t="n">
        <f aca="false">IF(CapV=2,N(L244),0)</f>
        <v>0</v>
      </c>
      <c r="M245" s="109" t="n">
        <f aca="false">IF(CapV=2,N(M244),0)</f>
        <v>0</v>
      </c>
      <c r="N245" s="109" t="n">
        <f aca="false">IF(CapV=2,N(N244),0)</f>
        <v>0</v>
      </c>
      <c r="O245" s="109" t="n">
        <f aca="false">IF(CapV=2,N(O244),0)</f>
        <v>0</v>
      </c>
      <c r="P245" s="109" t="n">
        <f aca="false">IF(CapV=2,N(P244),0)</f>
        <v>0</v>
      </c>
      <c r="Q245" s="109" t="n">
        <f aca="false">IF(CapV=2,N(Q244),0)</f>
        <v>5</v>
      </c>
      <c r="R245" s="109" t="n">
        <f aca="false">IF(CapV=2,N(R244),0)</f>
        <v>15</v>
      </c>
      <c r="S245" s="109" t="n">
        <f aca="false">IF(CapV=2,N(S244),0)</f>
        <v>22.5</v>
      </c>
      <c r="T245" s="109" t="n">
        <f aca="false">IF(CapV=2,N(T244),0)</f>
        <v>29</v>
      </c>
      <c r="U245" s="109" t="n">
        <f aca="false">IF(CapV=2,N(U244),0)</f>
        <v>31.5</v>
      </c>
      <c r="V245" s="109" t="n">
        <f aca="false">IF(CapV=2,N(V244),0)</f>
        <v>31.5</v>
      </c>
      <c r="W245" s="109" t="n">
        <f aca="false">IF(CapV=2,N(W244),0)</f>
        <v>31.5</v>
      </c>
      <c r="X245" s="109" t="n">
        <f aca="false">IF(CapV=2,N(X244),0)</f>
        <v>31.5</v>
      </c>
      <c r="Y245" s="109" t="n">
        <f aca="false">IF(CapV=2,N(Y244),0)</f>
        <v>31.5</v>
      </c>
      <c r="Z245" s="109" t="n">
        <f aca="false">IF(CapV=2,N(Z244),0)</f>
        <v>31.5</v>
      </c>
      <c r="AA245" s="109" t="n">
        <f aca="false">IF(CapV=2,N(AA244),0)</f>
        <v>31.5</v>
      </c>
      <c r="AB245" s="109" t="n">
        <f aca="false">IF(CapV=2,N(AB244),0)</f>
        <v>31.5</v>
      </c>
      <c r="AC245" s="109" t="n">
        <f aca="false">IF(CapV=2,N(AC244),0)</f>
        <v>31.5</v>
      </c>
      <c r="AD245" s="109" t="n">
        <f aca="false">IF(CapV=2,N(AD244),0)</f>
        <v>31.5</v>
      </c>
      <c r="AE245" s="109" t="n">
        <f aca="false">IF(CapV=2,N(AE244),0)</f>
        <v>31.5</v>
      </c>
      <c r="AF245" s="109" t="n">
        <f aca="false">IF(CapV=2,N(AF244),0)</f>
        <v>31.5</v>
      </c>
      <c r="AG245" s="109" t="n">
        <f aca="false">IF(CapV=2,N(AG244),0)</f>
        <v>31.5</v>
      </c>
      <c r="AI245" s="109" t="n">
        <f aca="false">INDEX($F245:$AG245,1,MATCH(AI$7,$F$7:$AG$7,1))</f>
        <v>0</v>
      </c>
      <c r="AJ245" s="109" t="n">
        <f aca="false">INDEX($F245:$AG245,1,MATCH(AJ$7,$F$7:$AG$7,1))</f>
        <v>0</v>
      </c>
      <c r="AK245" s="109" t="n">
        <f aca="false">INDEX($F245:$AG245,1,MATCH(AK$7,$F$7:$AG$7,1))</f>
        <v>5</v>
      </c>
      <c r="AL245" s="109" t="n">
        <f aca="false">INDEX($F245:$AG245,1,MATCH(AL$7,$F$7:$AG$7,1))</f>
        <v>31.5</v>
      </c>
      <c r="AM245" s="109" t="n">
        <f aca="false">INDEX($F245:$AG245,1,MATCH(AM$7,$F$7:$AG$7,1))</f>
        <v>31.5</v>
      </c>
      <c r="AN245" s="109" t="n">
        <f aca="false">INDEX($F245:$AG245,1,MATCH(AN$7,$F$7:$AG$7,1))</f>
        <v>31.5</v>
      </c>
      <c r="AO245" s="109" t="n">
        <f aca="false">INDEX($F245:$AG245,1,MATCH(AO$7,$F$7:$AG$7,1))</f>
        <v>31.5</v>
      </c>
    </row>
    <row r="246" customFormat="false" ht="15" hidden="false" customHeight="false" outlineLevel="0" collapsed="false">
      <c r="A246" s="107" t="s">
        <v>1684</v>
      </c>
      <c r="B246" s="22" t="s">
        <v>664</v>
      </c>
      <c r="C246" s="22" t="s">
        <v>558</v>
      </c>
      <c r="D246" s="22" t="s">
        <v>1478</v>
      </c>
      <c r="F246" s="108" t="n">
        <v>0</v>
      </c>
      <c r="G246" s="108" t="n">
        <v>0</v>
      </c>
      <c r="H246" s="108" t="n">
        <v>0</v>
      </c>
      <c r="I246" s="108" t="n">
        <v>0</v>
      </c>
      <c r="J246" s="108" t="n">
        <v>0</v>
      </c>
      <c r="K246" s="108" t="n">
        <v>0</v>
      </c>
      <c r="L246" s="108" t="n">
        <v>0</v>
      </c>
      <c r="M246" s="108" t="n">
        <v>0</v>
      </c>
      <c r="N246" s="108" t="n">
        <v>0</v>
      </c>
      <c r="O246" s="108" t="n">
        <v>0</v>
      </c>
      <c r="P246" s="108" t="n">
        <v>0</v>
      </c>
      <c r="Q246" s="108" t="n">
        <v>10</v>
      </c>
      <c r="R246" s="108" t="n">
        <v>25</v>
      </c>
      <c r="S246" s="108" t="n">
        <v>35</v>
      </c>
      <c r="T246" s="108" t="n">
        <v>43</v>
      </c>
      <c r="U246" s="108" t="n">
        <v>43</v>
      </c>
      <c r="V246" s="108" t="n">
        <v>43</v>
      </c>
      <c r="W246" s="108" t="n">
        <v>43</v>
      </c>
      <c r="X246" s="108" t="n">
        <v>43</v>
      </c>
      <c r="Y246" s="108" t="n">
        <v>43</v>
      </c>
      <c r="Z246" s="108" t="n">
        <v>43</v>
      </c>
      <c r="AA246" s="108" t="n">
        <v>43</v>
      </c>
      <c r="AB246" s="108" t="n">
        <v>43</v>
      </c>
      <c r="AC246" s="108" t="n">
        <v>43</v>
      </c>
      <c r="AD246" s="108" t="n">
        <v>43</v>
      </c>
      <c r="AE246" s="108" t="n">
        <v>43</v>
      </c>
      <c r="AF246" s="108" t="n">
        <v>43</v>
      </c>
      <c r="AG246" s="108" t="n">
        <v>43</v>
      </c>
      <c r="AI246" s="109" t="n">
        <f aca="false">INDEX($F246:$AG246,1,MATCH(AI$7,$F$7:$AG$7,1))</f>
        <v>0</v>
      </c>
      <c r="AJ246" s="109" t="n">
        <f aca="false">INDEX($F246:$AG246,1,MATCH(AJ$7,$F$7:$AG$7,1))</f>
        <v>0</v>
      </c>
      <c r="AK246" s="109" t="n">
        <f aca="false">INDEX($F246:$AG246,1,MATCH(AK$7,$F$7:$AG$7,1))</f>
        <v>10</v>
      </c>
      <c r="AL246" s="109" t="n">
        <f aca="false">INDEX($F246:$AG246,1,MATCH(AL$7,$F$7:$AG$7,1))</f>
        <v>43</v>
      </c>
      <c r="AM246" s="109" t="n">
        <f aca="false">INDEX($F246:$AG246,1,MATCH(AM$7,$F$7:$AG$7,1))</f>
        <v>43</v>
      </c>
      <c r="AN246" s="109" t="n">
        <f aca="false">INDEX($F246:$AG246,1,MATCH(AN$7,$F$7:$AG$7,1))</f>
        <v>43</v>
      </c>
      <c r="AO246" s="109" t="n">
        <f aca="false">INDEX($F246:$AG246,1,MATCH(AO$7,$F$7:$AG$7,1))</f>
        <v>43</v>
      </c>
    </row>
    <row r="247" customFormat="false" ht="15" hidden="false" customHeight="false" outlineLevel="0" collapsed="false">
      <c r="A247" s="107" t="s">
        <v>1685</v>
      </c>
      <c r="B247" s="22" t="s">
        <v>664</v>
      </c>
      <c r="C247" s="22" t="s">
        <v>540</v>
      </c>
      <c r="D247" s="22" t="s">
        <v>1480</v>
      </c>
      <c r="F247" s="109" t="n">
        <f aca="false">IF(CapV=2,N(F246),0)</f>
        <v>0</v>
      </c>
      <c r="G247" s="109" t="n">
        <f aca="false">IF(CapV=2,N(G246),0)</f>
        <v>0</v>
      </c>
      <c r="H247" s="109" t="n">
        <f aca="false">IF(CapV=2,N(H246),0)</f>
        <v>0</v>
      </c>
      <c r="I247" s="109" t="n">
        <f aca="false">IF(CapV=2,N(I246),0)</f>
        <v>0</v>
      </c>
      <c r="J247" s="109" t="n">
        <f aca="false">IF(CapV=2,N(J246),0)</f>
        <v>0</v>
      </c>
      <c r="K247" s="109" t="n">
        <f aca="false">IF(CapV=2,N(K246),0)</f>
        <v>0</v>
      </c>
      <c r="L247" s="109" t="n">
        <f aca="false">IF(CapV=2,N(L246),0)</f>
        <v>0</v>
      </c>
      <c r="M247" s="109" t="n">
        <f aca="false">IF(CapV=2,N(M246),0)</f>
        <v>0</v>
      </c>
      <c r="N247" s="109" t="n">
        <f aca="false">IF(CapV=2,N(N246),0)</f>
        <v>0</v>
      </c>
      <c r="O247" s="109" t="n">
        <f aca="false">IF(CapV=2,N(O246),0)</f>
        <v>0</v>
      </c>
      <c r="P247" s="109" t="n">
        <f aca="false">IF(CapV=2,N(P246),0)</f>
        <v>0</v>
      </c>
      <c r="Q247" s="109" t="n">
        <f aca="false">IF(CapV=2,N(Q246),0)</f>
        <v>10</v>
      </c>
      <c r="R247" s="109" t="n">
        <f aca="false">IF(CapV=2,N(R246),0)</f>
        <v>25</v>
      </c>
      <c r="S247" s="109" t="n">
        <f aca="false">IF(CapV=2,N(S246),0)</f>
        <v>35</v>
      </c>
      <c r="T247" s="109" t="n">
        <f aca="false">IF(CapV=2,N(T246),0)</f>
        <v>43</v>
      </c>
      <c r="U247" s="109" t="n">
        <f aca="false">IF(CapV=2,N(U246),0)</f>
        <v>43</v>
      </c>
      <c r="V247" s="109" t="n">
        <f aca="false">IF(CapV=2,N(V246),0)</f>
        <v>43</v>
      </c>
      <c r="W247" s="109" t="n">
        <f aca="false">IF(CapV=2,N(W246),0)</f>
        <v>43</v>
      </c>
      <c r="X247" s="109" t="n">
        <f aca="false">IF(CapV=2,N(X246),0)</f>
        <v>43</v>
      </c>
      <c r="Y247" s="109" t="n">
        <f aca="false">IF(CapV=2,N(Y246),0)</f>
        <v>43</v>
      </c>
      <c r="Z247" s="109" t="n">
        <f aca="false">IF(CapV=2,N(Z246),0)</f>
        <v>43</v>
      </c>
      <c r="AA247" s="109" t="n">
        <f aca="false">IF(CapV=2,N(AA246),0)</f>
        <v>43</v>
      </c>
      <c r="AB247" s="109" t="n">
        <f aca="false">IF(CapV=2,N(AB246),0)</f>
        <v>43</v>
      </c>
      <c r="AC247" s="109" t="n">
        <f aca="false">IF(CapV=2,N(AC246),0)</f>
        <v>43</v>
      </c>
      <c r="AD247" s="109" t="n">
        <f aca="false">IF(CapV=2,N(AD246),0)</f>
        <v>43</v>
      </c>
      <c r="AE247" s="109" t="n">
        <f aca="false">IF(CapV=2,N(AE246),0)</f>
        <v>43</v>
      </c>
      <c r="AF247" s="109" t="n">
        <f aca="false">IF(CapV=2,N(AF246),0)</f>
        <v>43</v>
      </c>
      <c r="AG247" s="109" t="n">
        <f aca="false">IF(CapV=2,N(AG246),0)</f>
        <v>43</v>
      </c>
      <c r="AI247" s="109" t="n">
        <f aca="false">INDEX($F247:$AG247,1,MATCH(AI$7,$F$7:$AG$7,1))</f>
        <v>0</v>
      </c>
      <c r="AJ247" s="109" t="n">
        <f aca="false">INDEX($F247:$AG247,1,MATCH(AJ$7,$F$7:$AG$7,1))</f>
        <v>0</v>
      </c>
      <c r="AK247" s="109" t="n">
        <f aca="false">INDEX($F247:$AG247,1,MATCH(AK$7,$F$7:$AG$7,1))</f>
        <v>10</v>
      </c>
      <c r="AL247" s="109" t="n">
        <f aca="false">INDEX($F247:$AG247,1,MATCH(AL$7,$F$7:$AG$7,1))</f>
        <v>43</v>
      </c>
      <c r="AM247" s="109" t="n">
        <f aca="false">INDEX($F247:$AG247,1,MATCH(AM$7,$F$7:$AG$7,1))</f>
        <v>43</v>
      </c>
      <c r="AN247" s="109" t="n">
        <f aca="false">INDEX($F247:$AG247,1,MATCH(AN$7,$F$7:$AG$7,1))</f>
        <v>43</v>
      </c>
      <c r="AO247" s="109" t="n">
        <f aca="false">INDEX($F247:$AG247,1,MATCH(AO$7,$F$7:$AG$7,1))</f>
        <v>43</v>
      </c>
    </row>
    <row r="248" customFormat="false" ht="15" hidden="false" customHeight="false" outlineLevel="0" collapsed="false">
      <c r="A248" s="107" t="s">
        <v>1686</v>
      </c>
      <c r="B248" s="22" t="s">
        <v>664</v>
      </c>
      <c r="C248" s="22" t="s">
        <v>558</v>
      </c>
      <c r="D248" s="22" t="s">
        <v>1650</v>
      </c>
      <c r="F248" s="110" t="n">
        <f aca="false">IF(F$5&gt;=12,Inputs!$E$188,0)</f>
        <v>0</v>
      </c>
      <c r="G248" s="110" t="n">
        <f aca="false">IF(G$5&gt;=12,Inputs!$E$188,0)</f>
        <v>0</v>
      </c>
      <c r="H248" s="110" t="n">
        <f aca="false">IF(H$5&gt;=12,Inputs!$E$188,0)</f>
        <v>0</v>
      </c>
      <c r="I248" s="110" t="n">
        <f aca="false">IF(I$5&gt;=12,Inputs!$E$188,0)</f>
        <v>0</v>
      </c>
      <c r="J248" s="110" t="n">
        <f aca="false">IF(J$5&gt;=12,Inputs!$E$188,0)</f>
        <v>0</v>
      </c>
      <c r="K248" s="110" t="n">
        <f aca="false">IF(K$5&gt;=12,Inputs!$E$188,0)</f>
        <v>0</v>
      </c>
      <c r="L248" s="110" t="n">
        <f aca="false">IF(L$5&gt;=12,Inputs!$E$188,0)</f>
        <v>0</v>
      </c>
      <c r="M248" s="110" t="n">
        <f aca="false">IF(M$5&gt;=12,Inputs!$E$188,0)</f>
        <v>0</v>
      </c>
      <c r="N248" s="110" t="n">
        <f aca="false">IF(N$5&gt;=12,Inputs!$E$188,0)</f>
        <v>0</v>
      </c>
      <c r="O248" s="110" t="n">
        <f aca="false">IF(O$5&gt;=12,Inputs!$E$188,0)</f>
        <v>0</v>
      </c>
      <c r="P248" s="110" t="n">
        <f aca="false">IF(P$5&gt;=12,Inputs!$E$188,0)</f>
        <v>0</v>
      </c>
      <c r="Q248" s="110" t="n">
        <f aca="false">IF(Q$5&gt;=12,Inputs!$E$188,0)</f>
        <v>0</v>
      </c>
      <c r="R248" s="110" t="n">
        <f aca="false">IF(R$5&gt;=12,Inputs!$E$188,0)</f>
        <v>0</v>
      </c>
      <c r="S248" s="110" t="n">
        <f aca="false">IF(S$5&gt;=12,Inputs!$E$188,0)</f>
        <v>0</v>
      </c>
      <c r="T248" s="110" t="n">
        <f aca="false">IF(T$5&gt;=12,Inputs!$E$188,0)</f>
        <v>0</v>
      </c>
      <c r="U248" s="110" t="n">
        <f aca="false">IF(U$5&gt;=12,Inputs!$E$188,0)</f>
        <v>0</v>
      </c>
      <c r="V248" s="110" t="n">
        <f aca="false">IF(V$5&gt;=12,Inputs!$E$188,0)</f>
        <v>0</v>
      </c>
      <c r="W248" s="110" t="n">
        <f aca="false">IF(W$5&gt;=12,Inputs!$E$188,0)</f>
        <v>0</v>
      </c>
      <c r="X248" s="110" t="n">
        <f aca="false">IF(X$5&gt;=12,Inputs!$E$188,0)</f>
        <v>0</v>
      </c>
      <c r="Y248" s="110" t="n">
        <f aca="false">IF(Y$5&gt;=12,Inputs!$E$188,0)</f>
        <v>0</v>
      </c>
      <c r="Z248" s="110" t="n">
        <f aca="false">IF(Z$5&gt;=12,Inputs!$E$188,0)</f>
        <v>0</v>
      </c>
      <c r="AA248" s="110" t="n">
        <f aca="false">IF(AA$5&gt;=12,Inputs!$E$188,0)</f>
        <v>0</v>
      </c>
      <c r="AB248" s="110" t="n">
        <f aca="false">IF(AB$5&gt;=12,Inputs!$E$188,0)</f>
        <v>0</v>
      </c>
      <c r="AC248" s="110" t="n">
        <f aca="false">IF(AC$5&gt;=12,Inputs!$E$188,0)</f>
        <v>0</v>
      </c>
      <c r="AD248" s="110" t="n">
        <f aca="false">IF(AD$5&gt;=12,Inputs!$E$188,0)</f>
        <v>0</v>
      </c>
      <c r="AE248" s="110" t="n">
        <f aca="false">IF(AE$5&gt;=12,Inputs!$E$188,0)</f>
        <v>0</v>
      </c>
      <c r="AF248" s="110" t="n">
        <f aca="false">IF(AF$5&gt;=12,Inputs!$E$188,0)</f>
        <v>0</v>
      </c>
      <c r="AG248" s="110" t="n">
        <f aca="false">IF(AG$5&gt;=12,Inputs!$E$188,0)</f>
        <v>0</v>
      </c>
      <c r="AI248" s="109" t="n">
        <f aca="false">INDEX($F248:$AG248,1,MATCH(AI$7,$F$7:$AG$7,1))</f>
        <v>0</v>
      </c>
      <c r="AJ248" s="109" t="n">
        <f aca="false">INDEX($F248:$AG248,1,MATCH(AJ$7,$F$7:$AG$7,1))</f>
        <v>0</v>
      </c>
      <c r="AK248" s="109" t="n">
        <f aca="false">INDEX($F248:$AG248,1,MATCH(AK$7,$F$7:$AG$7,1))</f>
        <v>0</v>
      </c>
      <c r="AL248" s="109" t="n">
        <f aca="false">INDEX($F248:$AG248,1,MATCH(AL$7,$F$7:$AG$7,1))</f>
        <v>0</v>
      </c>
      <c r="AM248" s="109" t="n">
        <f aca="false">INDEX($F248:$AG248,1,MATCH(AM$7,$F$7:$AG$7,1))</f>
        <v>0</v>
      </c>
      <c r="AN248" s="109" t="n">
        <f aca="false">INDEX($F248:$AG248,1,MATCH(AN$7,$F$7:$AG$7,1))</f>
        <v>0</v>
      </c>
      <c r="AO248" s="109" t="n">
        <f aca="false">INDEX($F248:$AG248,1,MATCH(AO$7,$F$7:$AG$7,1))</f>
        <v>0</v>
      </c>
    </row>
    <row r="249" customFormat="false" ht="15" hidden="false" customHeight="false" outlineLevel="0" collapsed="false">
      <c r="A249" s="107" t="s">
        <v>1687</v>
      </c>
      <c r="B249" s="22" t="s">
        <v>664</v>
      </c>
      <c r="C249" s="22" t="s">
        <v>558</v>
      </c>
      <c r="D249" s="22" t="s">
        <v>1650</v>
      </c>
      <c r="F249" s="110" t="n">
        <f aca="false">IF(F$5&gt;=12,Inputs!$D$188,0)</f>
        <v>0</v>
      </c>
      <c r="G249" s="110" t="n">
        <f aca="false">IF(G$5&gt;=12,Inputs!$D$188,0)</f>
        <v>0</v>
      </c>
      <c r="H249" s="110" t="n">
        <f aca="false">IF(H$5&gt;=12,Inputs!$D$188,0)</f>
        <v>0</v>
      </c>
      <c r="I249" s="110" t="n">
        <f aca="false">IF(I$5&gt;=12,Inputs!$D$188,0)</f>
        <v>0</v>
      </c>
      <c r="J249" s="110" t="n">
        <f aca="false">IF(J$5&gt;=12,Inputs!$D$188,0)</f>
        <v>0</v>
      </c>
      <c r="K249" s="110" t="n">
        <f aca="false">IF(K$5&gt;=12,Inputs!$D$188,0)</f>
        <v>0</v>
      </c>
      <c r="L249" s="110" t="n">
        <f aca="false">IF(L$5&gt;=12,Inputs!$D$188,0)</f>
        <v>0</v>
      </c>
      <c r="M249" s="110" t="n">
        <f aca="false">IF(M$5&gt;=12,Inputs!$D$188,0)</f>
        <v>0</v>
      </c>
      <c r="N249" s="110" t="n">
        <f aca="false">IF(N$5&gt;=12,Inputs!$D$188,0)</f>
        <v>0</v>
      </c>
      <c r="O249" s="110" t="n">
        <f aca="false">IF(O$5&gt;=12,Inputs!$D$188,0)</f>
        <v>0</v>
      </c>
      <c r="P249" s="110" t="n">
        <f aca="false">IF(P$5&gt;=12,Inputs!$D$188,0)</f>
        <v>0</v>
      </c>
      <c r="Q249" s="110" t="n">
        <f aca="false">IF(Q$5&gt;=12,Inputs!$D$188,0)</f>
        <v>0</v>
      </c>
      <c r="R249" s="110" t="n">
        <f aca="false">IF(R$5&gt;=12,Inputs!$D$188,0)</f>
        <v>0</v>
      </c>
      <c r="S249" s="110" t="n">
        <f aca="false">IF(S$5&gt;=12,Inputs!$D$188,0)</f>
        <v>0</v>
      </c>
      <c r="T249" s="110" t="n">
        <f aca="false">IF(T$5&gt;=12,Inputs!$D$188,0)</f>
        <v>0</v>
      </c>
      <c r="U249" s="110" t="n">
        <f aca="false">IF(U$5&gt;=12,Inputs!$D$188,0)</f>
        <v>0</v>
      </c>
      <c r="V249" s="110" t="n">
        <f aca="false">IF(V$5&gt;=12,Inputs!$D$188,0)</f>
        <v>0</v>
      </c>
      <c r="W249" s="110" t="n">
        <f aca="false">IF(W$5&gt;=12,Inputs!$D$188,0)</f>
        <v>0</v>
      </c>
      <c r="X249" s="110" t="n">
        <f aca="false">IF(X$5&gt;=12,Inputs!$D$188,0)</f>
        <v>0</v>
      </c>
      <c r="Y249" s="110" t="n">
        <f aca="false">IF(Y$5&gt;=12,Inputs!$D$188,0)</f>
        <v>0</v>
      </c>
      <c r="Z249" s="110" t="n">
        <f aca="false">IF(Z$5&gt;=12,Inputs!$D$188,0)</f>
        <v>0</v>
      </c>
      <c r="AA249" s="110" t="n">
        <f aca="false">IF(AA$5&gt;=12,Inputs!$D$188,0)</f>
        <v>0</v>
      </c>
      <c r="AB249" s="110" t="n">
        <f aca="false">IF(AB$5&gt;=12,Inputs!$D$188,0)</f>
        <v>0</v>
      </c>
      <c r="AC249" s="110" t="n">
        <f aca="false">IF(AC$5&gt;=12,Inputs!$D$188,0)</f>
        <v>0</v>
      </c>
      <c r="AD249" s="110" t="n">
        <f aca="false">IF(AD$5&gt;=12,Inputs!$D$188,0)</f>
        <v>0</v>
      </c>
      <c r="AE249" s="110" t="n">
        <f aca="false">IF(AE$5&gt;=12,Inputs!$D$188,0)</f>
        <v>0</v>
      </c>
      <c r="AF249" s="110" t="n">
        <f aca="false">IF(AF$5&gt;=12,Inputs!$D$188,0)</f>
        <v>0</v>
      </c>
      <c r="AG249" s="110" t="n">
        <f aca="false">IF(AG$5&gt;=12,Inputs!$D$188,0)</f>
        <v>0</v>
      </c>
      <c r="AI249" s="109" t="n">
        <f aca="false">INDEX($F249:$AG249,1,MATCH(AI$7,$F$7:$AG$7,1))</f>
        <v>0</v>
      </c>
      <c r="AJ249" s="109" t="n">
        <f aca="false">INDEX($F249:$AG249,1,MATCH(AJ$7,$F$7:$AG$7,1))</f>
        <v>0</v>
      </c>
      <c r="AK249" s="109" t="n">
        <f aca="false">INDEX($F249:$AG249,1,MATCH(AK$7,$F$7:$AG$7,1))</f>
        <v>0</v>
      </c>
      <c r="AL249" s="109" t="n">
        <f aca="false">INDEX($F249:$AG249,1,MATCH(AL$7,$F$7:$AG$7,1))</f>
        <v>0</v>
      </c>
      <c r="AM249" s="109" t="n">
        <f aca="false">INDEX($F249:$AG249,1,MATCH(AM$7,$F$7:$AG$7,1))</f>
        <v>0</v>
      </c>
      <c r="AN249" s="109" t="n">
        <f aca="false">INDEX($F249:$AG249,1,MATCH(AN$7,$F$7:$AG$7,1))</f>
        <v>0</v>
      </c>
      <c r="AO249" s="109" t="n">
        <f aca="false">INDEX($F249:$AG249,1,MATCH(AO$7,$F$7:$AG$7,1))</f>
        <v>0</v>
      </c>
    </row>
    <row r="250" customFormat="false" ht="15" hidden="false" customHeight="false" outlineLevel="0" collapsed="false">
      <c r="A250" s="107" t="s">
        <v>1688</v>
      </c>
      <c r="B250" s="22" t="s">
        <v>664</v>
      </c>
      <c r="C250" s="22" t="s">
        <v>558</v>
      </c>
      <c r="D250" s="22" t="s">
        <v>1650</v>
      </c>
      <c r="F250" s="110" t="n">
        <f aca="false">IF(F$5&gt;=12,Inputs!$C$188,0)</f>
        <v>0</v>
      </c>
      <c r="G250" s="110" t="n">
        <f aca="false">IF(G$5&gt;=12,Inputs!$C$188,0)</f>
        <v>0</v>
      </c>
      <c r="H250" s="110" t="n">
        <f aca="false">IF(H$5&gt;=12,Inputs!$C$188,0)</f>
        <v>0</v>
      </c>
      <c r="I250" s="110" t="n">
        <f aca="false">IF(I$5&gt;=12,Inputs!$C$188,0)</f>
        <v>0</v>
      </c>
      <c r="J250" s="110" t="n">
        <f aca="false">IF(J$5&gt;=12,Inputs!$C$188,0)</f>
        <v>0</v>
      </c>
      <c r="K250" s="110" t="n">
        <f aca="false">IF(K$5&gt;=12,Inputs!$C$188,0)</f>
        <v>0</v>
      </c>
      <c r="L250" s="110" t="n">
        <f aca="false">IF(L$5&gt;=12,Inputs!$C$188,0)</f>
        <v>0</v>
      </c>
      <c r="M250" s="110" t="n">
        <f aca="false">IF(M$5&gt;=12,Inputs!$C$188,0)</f>
        <v>0</v>
      </c>
      <c r="N250" s="110" t="n">
        <f aca="false">IF(N$5&gt;=12,Inputs!$C$188,0)</f>
        <v>0</v>
      </c>
      <c r="O250" s="110" t="n">
        <f aca="false">IF(O$5&gt;=12,Inputs!$C$188,0)</f>
        <v>0</v>
      </c>
      <c r="P250" s="110" t="n">
        <f aca="false">IF(P$5&gt;=12,Inputs!$C$188,0)</f>
        <v>0</v>
      </c>
      <c r="Q250" s="110" t="n">
        <f aca="false">IF(Q$5&gt;=12,Inputs!$C$188,0)</f>
        <v>0</v>
      </c>
      <c r="R250" s="110" t="n">
        <f aca="false">IF(R$5&gt;=12,Inputs!$C$188,0)</f>
        <v>0</v>
      </c>
      <c r="S250" s="110" t="n">
        <f aca="false">IF(S$5&gt;=12,Inputs!$C$188,0)</f>
        <v>0</v>
      </c>
      <c r="T250" s="110" t="n">
        <f aca="false">IF(T$5&gt;=12,Inputs!$C$188,0)</f>
        <v>0</v>
      </c>
      <c r="U250" s="110" t="n">
        <f aca="false">IF(U$5&gt;=12,Inputs!$C$188,0)</f>
        <v>0</v>
      </c>
      <c r="V250" s="110" t="n">
        <f aca="false">IF(V$5&gt;=12,Inputs!$C$188,0)</f>
        <v>0</v>
      </c>
      <c r="W250" s="110" t="n">
        <f aca="false">IF(W$5&gt;=12,Inputs!$C$188,0)</f>
        <v>0</v>
      </c>
      <c r="X250" s="110" t="n">
        <f aca="false">IF(X$5&gt;=12,Inputs!$C$188,0)</f>
        <v>0</v>
      </c>
      <c r="Y250" s="110" t="n">
        <f aca="false">IF(Y$5&gt;=12,Inputs!$C$188,0)</f>
        <v>0</v>
      </c>
      <c r="Z250" s="110" t="n">
        <f aca="false">IF(Z$5&gt;=12,Inputs!$C$188,0)</f>
        <v>0</v>
      </c>
      <c r="AA250" s="110" t="n">
        <f aca="false">IF(AA$5&gt;=12,Inputs!$C$188,0)</f>
        <v>0</v>
      </c>
      <c r="AB250" s="110" t="n">
        <f aca="false">IF(AB$5&gt;=12,Inputs!$C$188,0)</f>
        <v>0</v>
      </c>
      <c r="AC250" s="110" t="n">
        <f aca="false">IF(AC$5&gt;=12,Inputs!$C$188,0)</f>
        <v>0</v>
      </c>
      <c r="AD250" s="110" t="n">
        <f aca="false">IF(AD$5&gt;=12,Inputs!$C$188,0)</f>
        <v>0</v>
      </c>
      <c r="AE250" s="110" t="n">
        <f aca="false">IF(AE$5&gt;=12,Inputs!$C$188,0)</f>
        <v>0</v>
      </c>
      <c r="AF250" s="110" t="n">
        <f aca="false">IF(AF$5&gt;=12,Inputs!$C$188,0)</f>
        <v>0</v>
      </c>
      <c r="AG250" s="110" t="n">
        <f aca="false">IF(AG$5&gt;=12,Inputs!$C$188,0)</f>
        <v>0</v>
      </c>
      <c r="AI250" s="109" t="n">
        <f aca="false">INDEX($F250:$AG250,1,MATCH(AI$7,$F$7:$AG$7,1))</f>
        <v>0</v>
      </c>
      <c r="AJ250" s="109" t="n">
        <f aca="false">INDEX($F250:$AG250,1,MATCH(AJ$7,$F$7:$AG$7,1))</f>
        <v>0</v>
      </c>
      <c r="AK250" s="109" t="n">
        <f aca="false">INDEX($F250:$AG250,1,MATCH(AK$7,$F$7:$AG$7,1))</f>
        <v>0</v>
      </c>
      <c r="AL250" s="109" t="n">
        <f aca="false">INDEX($F250:$AG250,1,MATCH(AL$7,$F$7:$AG$7,1))</f>
        <v>0</v>
      </c>
      <c r="AM250" s="109" t="n">
        <f aca="false">INDEX($F250:$AG250,1,MATCH(AM$7,$F$7:$AG$7,1))</f>
        <v>0</v>
      </c>
      <c r="AN250" s="109" t="n">
        <f aca="false">INDEX($F250:$AG250,1,MATCH(AN$7,$F$7:$AG$7,1))</f>
        <v>0</v>
      </c>
      <c r="AO250" s="109" t="n">
        <f aca="false">INDEX($F250:$AG250,1,MATCH(AO$7,$F$7:$AG$7,1))</f>
        <v>0</v>
      </c>
    </row>
    <row r="251" customFormat="false" ht="15" hidden="false" customHeight="false" outlineLevel="0" collapsed="false">
      <c r="A251" s="107" t="s">
        <v>1689</v>
      </c>
      <c r="B251" s="22" t="s">
        <v>664</v>
      </c>
      <c r="C251" s="22" t="s">
        <v>558</v>
      </c>
      <c r="D251" s="22" t="s">
        <v>1690</v>
      </c>
      <c r="F251" s="74" t="n">
        <v>25</v>
      </c>
      <c r="G251" s="74" t="n">
        <v>25</v>
      </c>
      <c r="H251" s="74" t="n">
        <v>25</v>
      </c>
      <c r="I251" s="74" t="n">
        <v>30</v>
      </c>
      <c r="J251" s="74" t="n">
        <v>40</v>
      </c>
      <c r="K251" s="74" t="n">
        <v>45</v>
      </c>
      <c r="L251" s="74" t="n">
        <v>62.5</v>
      </c>
      <c r="M251" s="74" t="n">
        <v>147.7</v>
      </c>
      <c r="N251" s="74" t="n">
        <v>171.5</v>
      </c>
      <c r="O251" s="74" t="n">
        <v>173</v>
      </c>
      <c r="P251" s="74" t="n">
        <v>207.5</v>
      </c>
      <c r="Q251" s="74" t="n">
        <v>304.5</v>
      </c>
      <c r="R251" s="74" t="n">
        <v>444.7</v>
      </c>
      <c r="S251" s="74" t="n">
        <v>591.7</v>
      </c>
      <c r="T251" s="74" t="n">
        <v>751.5</v>
      </c>
      <c r="U251" s="74" t="n">
        <v>1069</v>
      </c>
      <c r="V251" s="74" t="n">
        <v>1181.5</v>
      </c>
      <c r="W251" s="74" t="n">
        <v>1376.5</v>
      </c>
      <c r="X251" s="74" t="n">
        <v>1389</v>
      </c>
      <c r="Y251" s="74" t="n">
        <v>1799</v>
      </c>
      <c r="Z251" s="74" t="n">
        <v>1799</v>
      </c>
      <c r="AA251" s="74" t="n">
        <v>2219</v>
      </c>
      <c r="AB251" s="74" t="n">
        <v>2219</v>
      </c>
      <c r="AC251" s="74" t="n">
        <v>2804</v>
      </c>
      <c r="AD251" s="74" t="n">
        <v>2804</v>
      </c>
      <c r="AE251" s="74" t="n">
        <v>2804</v>
      </c>
      <c r="AF251" s="74" t="n">
        <v>2804</v>
      </c>
      <c r="AG251" s="74" t="n">
        <v>3379</v>
      </c>
      <c r="AI251" s="33" t="n">
        <f aca="false">INDEX($F251:$AG251,1,MATCH(AI$7,$F$7:$AG$7,1))</f>
        <v>30</v>
      </c>
      <c r="AJ251" s="33" t="n">
        <f aca="false">INDEX($F251:$AG251,1,MATCH(AJ$7,$F$7:$AG$7,1))</f>
        <v>147.7</v>
      </c>
      <c r="AK251" s="33" t="n">
        <f aca="false">INDEX($F251:$AG251,1,MATCH(AK$7,$F$7:$AG$7,1))</f>
        <v>304.5</v>
      </c>
      <c r="AL251" s="33" t="n">
        <f aca="false">INDEX($F251:$AG251,1,MATCH(AL$7,$F$7:$AG$7,1))</f>
        <v>1069</v>
      </c>
      <c r="AM251" s="33" t="n">
        <f aca="false">INDEX($F251:$AG251,1,MATCH(AM$7,$F$7:$AG$7,1))</f>
        <v>1799</v>
      </c>
      <c r="AN251" s="33" t="n">
        <f aca="false">INDEX($F251:$AG251,1,MATCH(AN$7,$F$7:$AG$7,1))</f>
        <v>2804</v>
      </c>
      <c r="AO251" s="33" t="n">
        <f aca="false">INDEX($F251:$AG251,1,MATCH(AO$7,$F$7:$AG$7,1))</f>
        <v>3379</v>
      </c>
    </row>
    <row r="252" customFormat="false" ht="15" hidden="false" customHeight="false" outlineLevel="0" collapsed="false">
      <c r="A252" s="107" t="s">
        <v>1691</v>
      </c>
      <c r="B252" s="22" t="s">
        <v>664</v>
      </c>
      <c r="C252" s="22" t="s">
        <v>558</v>
      </c>
      <c r="D252" s="22" t="s">
        <v>1690</v>
      </c>
      <c r="F252" s="74" t="n">
        <v>25</v>
      </c>
      <c r="G252" s="74" t="n">
        <v>25</v>
      </c>
      <c r="H252" s="74" t="n">
        <v>25</v>
      </c>
      <c r="I252" s="74" t="n">
        <v>30</v>
      </c>
      <c r="J252" s="74" t="n">
        <v>50</v>
      </c>
      <c r="K252" s="74" t="n">
        <v>50</v>
      </c>
      <c r="L252" s="74" t="n">
        <v>62.5</v>
      </c>
      <c r="M252" s="74" t="n">
        <v>147.7</v>
      </c>
      <c r="N252" s="74" t="n">
        <v>181.5</v>
      </c>
      <c r="O252" s="74" t="n">
        <v>193</v>
      </c>
      <c r="P252" s="74" t="n">
        <v>227.5</v>
      </c>
      <c r="Q252" s="74" t="n">
        <v>319.5</v>
      </c>
      <c r="R252" s="74" t="n">
        <v>485.2</v>
      </c>
      <c r="S252" s="74" t="n">
        <v>677.2</v>
      </c>
      <c r="T252" s="74" t="n">
        <v>882</v>
      </c>
      <c r="U252" s="74" t="n">
        <v>1212.5</v>
      </c>
      <c r="V252" s="74" t="n">
        <v>1325</v>
      </c>
      <c r="W252" s="74" t="n">
        <v>1520</v>
      </c>
      <c r="X252" s="74" t="n">
        <v>1532.5</v>
      </c>
      <c r="Y252" s="74" t="n">
        <v>1942.5</v>
      </c>
      <c r="Z252" s="74" t="n">
        <v>1942.5</v>
      </c>
      <c r="AA252" s="74" t="n">
        <v>2362.5</v>
      </c>
      <c r="AB252" s="74" t="n">
        <v>2362.5</v>
      </c>
      <c r="AC252" s="74" t="n">
        <v>2947.5</v>
      </c>
      <c r="AD252" s="74" t="n">
        <v>2947.5</v>
      </c>
      <c r="AE252" s="74" t="n">
        <v>2947.5</v>
      </c>
      <c r="AF252" s="74" t="n">
        <v>2947.5</v>
      </c>
      <c r="AG252" s="74" t="n">
        <v>3522.5</v>
      </c>
      <c r="AI252" s="33" t="n">
        <f aca="false">INDEX($F252:$AG252,1,MATCH(AI$7,$F$7:$AG$7,1))</f>
        <v>30</v>
      </c>
      <c r="AJ252" s="33" t="n">
        <f aca="false">INDEX($F252:$AG252,1,MATCH(AJ$7,$F$7:$AG$7,1))</f>
        <v>147.7</v>
      </c>
      <c r="AK252" s="33" t="n">
        <f aca="false">INDEX($F252:$AG252,1,MATCH(AK$7,$F$7:$AG$7,1))</f>
        <v>319.5</v>
      </c>
      <c r="AL252" s="33" t="n">
        <f aca="false">INDEX($F252:$AG252,1,MATCH(AL$7,$F$7:$AG$7,1))</f>
        <v>1212.5</v>
      </c>
      <c r="AM252" s="33" t="n">
        <f aca="false">INDEX($F252:$AG252,1,MATCH(AM$7,$F$7:$AG$7,1))</f>
        <v>1942.5</v>
      </c>
      <c r="AN252" s="33" t="n">
        <f aca="false">INDEX($F252:$AG252,1,MATCH(AN$7,$F$7:$AG$7,1))</f>
        <v>2947.5</v>
      </c>
      <c r="AO252" s="33" t="n">
        <f aca="false">INDEX($F252:$AG252,1,MATCH(AO$7,$F$7:$AG$7,1))</f>
        <v>3522.5</v>
      </c>
    </row>
    <row r="253" customFormat="false" ht="15" hidden="false" customHeight="false" outlineLevel="0" collapsed="false">
      <c r="A253" s="107" t="s">
        <v>1692</v>
      </c>
      <c r="B253" s="22" t="s">
        <v>664</v>
      </c>
      <c r="C253" s="22" t="s">
        <v>540</v>
      </c>
      <c r="D253" s="22"/>
      <c r="F253" s="33" t="n">
        <f aca="false">IF(CapV=2,N(F252),N(F251))</f>
        <v>25</v>
      </c>
      <c r="G253" s="33" t="n">
        <f aca="false">IF(CapV=2,N(G252),N(G251))</f>
        <v>25</v>
      </c>
      <c r="H253" s="33" t="n">
        <f aca="false">IF(CapV=2,N(H252),N(H251))</f>
        <v>25</v>
      </c>
      <c r="I253" s="33" t="n">
        <f aca="false">IF(CapV=2,N(I252),N(I251))</f>
        <v>30</v>
      </c>
      <c r="J253" s="33" t="n">
        <f aca="false">IF(CapV=2,N(J252),N(J251))</f>
        <v>50</v>
      </c>
      <c r="K253" s="33" t="n">
        <f aca="false">IF(CapV=2,N(K252),N(K251))</f>
        <v>50</v>
      </c>
      <c r="L253" s="33" t="n">
        <f aca="false">IF(CapV=2,N(L252),N(L251))</f>
        <v>62.5</v>
      </c>
      <c r="M253" s="33" t="n">
        <f aca="false">IF(CapV=2,N(M252),N(M251))</f>
        <v>147.7</v>
      </c>
      <c r="N253" s="33" t="n">
        <f aca="false">IF(CapV=2,N(N252),N(N251))</f>
        <v>181.5</v>
      </c>
      <c r="O253" s="33" t="n">
        <f aca="false">IF(CapV=2,N(O252),N(O251))</f>
        <v>193</v>
      </c>
      <c r="P253" s="33" t="n">
        <f aca="false">IF(CapV=2,N(P252),N(P251))</f>
        <v>227.5</v>
      </c>
      <c r="Q253" s="33" t="n">
        <f aca="false">IF(CapV=2,N(Q252),N(Q251))</f>
        <v>319.5</v>
      </c>
      <c r="R253" s="33" t="n">
        <f aca="false">IF(CapV=2,N(R252),N(R251))</f>
        <v>485.2</v>
      </c>
      <c r="S253" s="33" t="n">
        <f aca="false">IF(CapV=2,N(S252),N(S251))</f>
        <v>677.2</v>
      </c>
      <c r="T253" s="33" t="n">
        <f aca="false">IF(CapV=2,N(T252),N(T251))</f>
        <v>882</v>
      </c>
      <c r="U253" s="33" t="n">
        <f aca="false">IF(CapV=2,N(U252),N(U251))</f>
        <v>1212.5</v>
      </c>
      <c r="V253" s="33" t="n">
        <f aca="false">IF(CapV=2,N(V252),N(V251))</f>
        <v>1325</v>
      </c>
      <c r="W253" s="33" t="n">
        <f aca="false">IF(CapV=2,N(W252),N(W251))</f>
        <v>1520</v>
      </c>
      <c r="X253" s="33" t="n">
        <f aca="false">IF(CapV=2,N(X252),N(X251))</f>
        <v>1532.5</v>
      </c>
      <c r="Y253" s="33" t="n">
        <f aca="false">IF(CapV=2,N(Y252),N(Y251))</f>
        <v>1942.5</v>
      </c>
      <c r="Z253" s="33" t="n">
        <f aca="false">IF(CapV=2,N(Z252),N(Z251))</f>
        <v>1942.5</v>
      </c>
      <c r="AA253" s="33" t="n">
        <f aca="false">IF(CapV=2,N(AA252),N(AA251))</f>
        <v>2362.5</v>
      </c>
      <c r="AB253" s="33" t="n">
        <f aca="false">IF(CapV=2,N(AB252),N(AB251))</f>
        <v>2362.5</v>
      </c>
      <c r="AC253" s="33" t="n">
        <f aca="false">IF(CapV=2,N(AC252),N(AC251))</f>
        <v>2947.5</v>
      </c>
      <c r="AD253" s="33" t="n">
        <f aca="false">IF(CapV=2,N(AD252),N(AD251))</f>
        <v>2947.5</v>
      </c>
      <c r="AE253" s="33" t="n">
        <f aca="false">IF(CapV=2,N(AE252),N(AE251))</f>
        <v>2947.5</v>
      </c>
      <c r="AF253" s="33" t="n">
        <f aca="false">IF(CapV=2,N(AF252),N(AF251))</f>
        <v>2947.5</v>
      </c>
      <c r="AG253" s="33" t="n">
        <f aca="false">IF(CapV=2,N(AG252),N(AG251))</f>
        <v>3522.5</v>
      </c>
      <c r="AI253" s="33" t="n">
        <f aca="false">INDEX($F253:$AG253,1,MATCH(AI$7,$F$7:$AG$7,1))</f>
        <v>30</v>
      </c>
      <c r="AJ253" s="33" t="n">
        <f aca="false">INDEX($F253:$AG253,1,MATCH(AJ$7,$F$7:$AG$7,1))</f>
        <v>147.7</v>
      </c>
      <c r="AK253" s="33" t="n">
        <f aca="false">INDEX($F253:$AG253,1,MATCH(AK$7,$F$7:$AG$7,1))</f>
        <v>319.5</v>
      </c>
      <c r="AL253" s="33" t="n">
        <f aca="false">INDEX($F253:$AG253,1,MATCH(AL$7,$F$7:$AG$7,1))</f>
        <v>1212.5</v>
      </c>
      <c r="AM253" s="33" t="n">
        <f aca="false">INDEX($F253:$AG253,1,MATCH(AM$7,$F$7:$AG$7,1))</f>
        <v>1942.5</v>
      </c>
      <c r="AN253" s="33" t="n">
        <f aca="false">INDEX($F253:$AG253,1,MATCH(AN$7,$F$7:$AG$7,1))</f>
        <v>2947.5</v>
      </c>
      <c r="AO253" s="33" t="n">
        <f aca="false">INDEX($F253:$AG253,1,MATCH(AO$7,$F$7:$AG$7,1))</f>
        <v>3522.5</v>
      </c>
    </row>
    <row r="254" customFormat="false" ht="15" hidden="false" customHeight="false" outlineLevel="0" collapsed="false">
      <c r="A254" s="107" t="s">
        <v>1693</v>
      </c>
      <c r="B254" s="22" t="s">
        <v>664</v>
      </c>
      <c r="C254" s="22" t="s">
        <v>540</v>
      </c>
      <c r="D254" s="22"/>
      <c r="F254" s="111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1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1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1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1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1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1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1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1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1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3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3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3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3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3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3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3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3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3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3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3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3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3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3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3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3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3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3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3" t="n">
        <f aca="false">INDEX($F254:$AG254,1,MATCH(AI$7,$F$7:$AG$7,1))</f>
        <v>30</v>
      </c>
      <c r="AJ254" s="33" t="n">
        <f aca="false">INDEX($F254:$AG254,1,MATCH(AJ$7,$F$7:$AG$7,1))</f>
        <v>147.7</v>
      </c>
      <c r="AK254" s="33" t="n">
        <f aca="false">INDEX($F254:$AG254,1,MATCH(AK$7,$F$7:$AG$7,1))</f>
        <v>319.5</v>
      </c>
      <c r="AL254" s="33" t="n">
        <f aca="false">INDEX($F254:$AG254,1,MATCH(AL$7,$F$7:$AG$7,1))</f>
        <v>1212.5</v>
      </c>
      <c r="AM254" s="33" t="n">
        <f aca="false">INDEX($F254:$AG254,1,MATCH(AM$7,$F$7:$AG$7,1))</f>
        <v>1942.5</v>
      </c>
      <c r="AN254" s="33" t="n">
        <f aca="false">INDEX($F254:$AG254,1,MATCH(AN$7,$F$7:$AG$7,1))</f>
        <v>2947.5</v>
      </c>
      <c r="AO254" s="33" t="n">
        <f aca="false">INDEX($F254:$AG254,1,MATCH(AO$7,$F$7:$AG$7,1))</f>
        <v>3522.5</v>
      </c>
    </row>
    <row r="255" customFormat="false" ht="15" hidden="false" customHeight="false" outlineLevel="0" collapsed="false">
      <c r="A255" s="107" t="s">
        <v>1694</v>
      </c>
      <c r="B255" s="22" t="s">
        <v>664</v>
      </c>
      <c r="C255" s="22" t="s">
        <v>540</v>
      </c>
      <c r="D255" s="22"/>
      <c r="F255" s="112" t="n">
        <f aca="false">F254-F253</f>
        <v>0</v>
      </c>
      <c r="G255" s="112" t="n">
        <f aca="false">G254-G253</f>
        <v>0</v>
      </c>
      <c r="H255" s="112" t="n">
        <f aca="false">H254-H253</f>
        <v>0</v>
      </c>
      <c r="I255" s="112" t="n">
        <f aca="false">I254-I253</f>
        <v>0</v>
      </c>
      <c r="J255" s="112" t="n">
        <f aca="false">J254-J253</f>
        <v>0</v>
      </c>
      <c r="K255" s="112" t="n">
        <f aca="false">K254-K253</f>
        <v>0</v>
      </c>
      <c r="L255" s="112" t="n">
        <f aca="false">L254-L253</f>
        <v>0</v>
      </c>
      <c r="M255" s="112" t="n">
        <f aca="false">M254-M253</f>
        <v>0</v>
      </c>
      <c r="N255" s="112" t="n">
        <f aca="false">N254-N253</f>
        <v>0</v>
      </c>
      <c r="O255" s="112" t="n">
        <f aca="false">O254-O253</f>
        <v>0</v>
      </c>
      <c r="P255" s="109" t="n">
        <f aca="false">P254-P253</f>
        <v>0</v>
      </c>
      <c r="Q255" s="109" t="n">
        <f aca="false">Q254-Q253</f>
        <v>0</v>
      </c>
      <c r="R255" s="109" t="n">
        <f aca="false">R254-R253</f>
        <v>0</v>
      </c>
      <c r="S255" s="109" t="n">
        <f aca="false">S254-S253</f>
        <v>0</v>
      </c>
      <c r="T255" s="109" t="n">
        <f aca="false">T254-T253</f>
        <v>0</v>
      </c>
      <c r="U255" s="109" t="n">
        <f aca="false">U254-U253</f>
        <v>0</v>
      </c>
      <c r="V255" s="109" t="n">
        <f aca="false">V254-V253</f>
        <v>0</v>
      </c>
      <c r="W255" s="109" t="n">
        <f aca="false">W254-W253</f>
        <v>0</v>
      </c>
      <c r="X255" s="109" t="n">
        <f aca="false">X254-X253</f>
        <v>0</v>
      </c>
      <c r="Y255" s="109" t="n">
        <f aca="false">Y254-Y253</f>
        <v>0</v>
      </c>
      <c r="Z255" s="109" t="n">
        <f aca="false">Z254-Z253</f>
        <v>0</v>
      </c>
      <c r="AA255" s="109" t="n">
        <f aca="false">AA254-AA253</f>
        <v>0</v>
      </c>
      <c r="AB255" s="109" t="n">
        <f aca="false">AB254-AB253</f>
        <v>0</v>
      </c>
      <c r="AC255" s="109" t="n">
        <f aca="false">AC254-AC253</f>
        <v>0</v>
      </c>
      <c r="AD255" s="109" t="n">
        <f aca="false">AD254-AD253</f>
        <v>0</v>
      </c>
      <c r="AE255" s="109" t="n">
        <f aca="false">AE254-AE253</f>
        <v>0</v>
      </c>
      <c r="AF255" s="109" t="n">
        <f aca="false">AF254-AF253</f>
        <v>0</v>
      </c>
      <c r="AG255" s="109" t="n">
        <f aca="false">AG254-AG253</f>
        <v>0</v>
      </c>
      <c r="AI255" s="109" t="n">
        <f aca="false">INDEX($F255:$AG255,1,MATCH(AI$7,$F$7:$AG$7,1))</f>
        <v>0</v>
      </c>
      <c r="AJ255" s="109" t="n">
        <f aca="false">INDEX($F255:$AG255,1,MATCH(AJ$7,$F$7:$AG$7,1))</f>
        <v>0</v>
      </c>
      <c r="AK255" s="109" t="n">
        <f aca="false">INDEX($F255:$AG255,1,MATCH(AK$7,$F$7:$AG$7,1))</f>
        <v>0</v>
      </c>
      <c r="AL255" s="109" t="n">
        <f aca="false">INDEX($F255:$AG255,1,MATCH(AL$7,$F$7:$AG$7,1))</f>
        <v>0</v>
      </c>
      <c r="AM255" s="109" t="n">
        <f aca="false">INDEX($F255:$AG255,1,MATCH(AM$7,$F$7:$AG$7,1))</f>
        <v>0</v>
      </c>
      <c r="AN255" s="109" t="n">
        <f aca="false">INDEX($F255:$AG255,1,MATCH(AN$7,$F$7:$AG$7,1))</f>
        <v>0</v>
      </c>
      <c r="AO255" s="109" t="n">
        <f aca="false">INDEX($F255:$AG255,1,MATCH(AO$7,$F$7:$AG$7,1))</f>
        <v>0</v>
      </c>
    </row>
    <row r="257" customFormat="false" ht="15" hidden="false" customHeight="false" outlineLevel="0" collapsed="false">
      <c r="A257" s="58" t="s">
        <v>1695</v>
      </c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</row>
    <row r="258" customFormat="false" ht="15" hidden="false" customHeight="false" outlineLevel="0" collapsed="false">
      <c r="A258" s="107" t="s">
        <v>1424</v>
      </c>
      <c r="B258" s="22" t="s">
        <v>664</v>
      </c>
      <c r="C258" s="22" t="s">
        <v>558</v>
      </c>
      <c r="D258" s="22"/>
      <c r="J258" s="108" t="n">
        <v>300</v>
      </c>
      <c r="K258" s="108" t="n">
        <v>300</v>
      </c>
      <c r="L258" s="108" t="n">
        <v>300</v>
      </c>
      <c r="M258" s="108" t="n">
        <v>300</v>
      </c>
      <c r="N258" s="108" t="n">
        <v>300</v>
      </c>
      <c r="O258" s="108" t="n">
        <v>300</v>
      </c>
      <c r="P258" s="108" t="n">
        <v>300</v>
      </c>
      <c r="Q258" s="108" t="n">
        <v>300</v>
      </c>
      <c r="R258" s="108" t="n">
        <v>300</v>
      </c>
      <c r="S258" s="108" t="n">
        <v>300</v>
      </c>
      <c r="T258" s="108" t="n">
        <v>300</v>
      </c>
      <c r="U258" s="108" t="n">
        <v>300</v>
      </c>
      <c r="V258" s="108" t="n">
        <v>300</v>
      </c>
      <c r="W258" s="108" t="n">
        <v>300</v>
      </c>
      <c r="X258" s="108" t="n">
        <v>300</v>
      </c>
      <c r="Y258" s="108" t="n">
        <v>300</v>
      </c>
      <c r="Z258" s="108" t="n">
        <v>300</v>
      </c>
      <c r="AA258" s="108" t="n">
        <v>300</v>
      </c>
      <c r="AB258" s="108" t="n">
        <v>300</v>
      </c>
      <c r="AC258" s="108" t="n">
        <v>300</v>
      </c>
      <c r="AD258" s="108" t="n">
        <v>300</v>
      </c>
      <c r="AE258" s="108" t="n">
        <v>300</v>
      </c>
      <c r="AF258" s="108" t="n">
        <v>300</v>
      </c>
      <c r="AG258" s="108" t="n">
        <v>300</v>
      </c>
      <c r="AI258" s="109" t="n">
        <f aca="false">INDEX($F258:$AG258,1,MATCH(AI$7,$F$7:$AG$7,1))</f>
        <v>0</v>
      </c>
      <c r="AJ258" s="109" t="n">
        <f aca="false">INDEX($F258:$AG258,1,MATCH(AJ$7,$F$7:$AG$7,1))</f>
        <v>300</v>
      </c>
      <c r="AK258" s="109" t="n">
        <f aca="false">INDEX($F258:$AG258,1,MATCH(AK$7,$F$7:$AG$7,1))</f>
        <v>300</v>
      </c>
      <c r="AL258" s="109" t="n">
        <f aca="false">INDEX($F258:$AG258,1,MATCH(AL$7,$F$7:$AG$7,1))</f>
        <v>300</v>
      </c>
      <c r="AM258" s="109" t="n">
        <f aca="false">INDEX($F258:$AG258,1,MATCH(AM$7,$F$7:$AG$7,1))</f>
        <v>300</v>
      </c>
      <c r="AN258" s="109" t="n">
        <f aca="false">INDEX($F258:$AG258,1,MATCH(AN$7,$F$7:$AG$7,1))</f>
        <v>300</v>
      </c>
      <c r="AO258" s="109" t="n">
        <f aca="false">INDEX($F258:$AG258,1,MATCH(AO$7,$F$7:$AG$7,1))</f>
        <v>300</v>
      </c>
    </row>
    <row r="259" customFormat="false" ht="15" hidden="false" customHeight="false" outlineLevel="0" collapsed="false">
      <c r="A259" s="107" t="s">
        <v>1431</v>
      </c>
      <c r="B259" s="22" t="s">
        <v>664</v>
      </c>
      <c r="C259" s="22" t="s">
        <v>558</v>
      </c>
      <c r="D259" s="22"/>
      <c r="M259" s="108" t="n">
        <v>1200</v>
      </c>
      <c r="N259" s="108" t="n">
        <v>1200</v>
      </c>
      <c r="O259" s="108" t="n">
        <v>1200</v>
      </c>
      <c r="P259" s="108" t="n">
        <v>1200</v>
      </c>
      <c r="Q259" s="108" t="n">
        <v>1200</v>
      </c>
      <c r="R259" s="108" t="n">
        <v>1200</v>
      </c>
      <c r="S259" s="108" t="n">
        <v>1200</v>
      </c>
      <c r="T259" s="108" t="n">
        <v>1200</v>
      </c>
      <c r="U259" s="108" t="n">
        <v>1200</v>
      </c>
      <c r="V259" s="108" t="n">
        <v>1200</v>
      </c>
      <c r="W259" s="108" t="n">
        <v>1200</v>
      </c>
      <c r="X259" s="108" t="n">
        <v>1200</v>
      </c>
      <c r="Y259" s="108" t="n">
        <v>1200</v>
      </c>
      <c r="Z259" s="108" t="n">
        <v>1200</v>
      </c>
      <c r="AA259" s="108" t="n">
        <v>1200</v>
      </c>
      <c r="AB259" s="108" t="n">
        <v>1200</v>
      </c>
      <c r="AC259" s="108" t="n">
        <v>1200</v>
      </c>
      <c r="AD259" s="108" t="n">
        <v>1200</v>
      </c>
      <c r="AE259" s="108" t="n">
        <v>1200</v>
      </c>
      <c r="AF259" s="108" t="n">
        <v>1200</v>
      </c>
      <c r="AG259" s="108" t="n">
        <v>1200</v>
      </c>
      <c r="AI259" s="109" t="n">
        <f aca="false">INDEX($F259:$AG259,1,MATCH(AI$7,$F$7:$AG$7,1))</f>
        <v>0</v>
      </c>
      <c r="AJ259" s="109" t="n">
        <f aca="false">INDEX($F259:$AG259,1,MATCH(AJ$7,$F$7:$AG$7,1))</f>
        <v>1200</v>
      </c>
      <c r="AK259" s="109" t="n">
        <f aca="false">INDEX($F259:$AG259,1,MATCH(AK$7,$F$7:$AG$7,1))</f>
        <v>1200</v>
      </c>
      <c r="AL259" s="109" t="n">
        <f aca="false">INDEX($F259:$AG259,1,MATCH(AL$7,$F$7:$AG$7,1))</f>
        <v>1200</v>
      </c>
      <c r="AM259" s="109" t="n">
        <f aca="false">INDEX($F259:$AG259,1,MATCH(AM$7,$F$7:$AG$7,1))</f>
        <v>1200</v>
      </c>
      <c r="AN259" s="109" t="n">
        <f aca="false">INDEX($F259:$AG259,1,MATCH(AN$7,$F$7:$AG$7,1))</f>
        <v>1200</v>
      </c>
      <c r="AO259" s="109" t="n">
        <f aca="false">INDEX($F259:$AG259,1,MATCH(AO$7,$F$7:$AG$7,1))</f>
        <v>1200</v>
      </c>
    </row>
    <row r="260" customFormat="false" ht="15" hidden="false" customHeight="false" outlineLevel="0" collapsed="false">
      <c r="A260" s="107" t="s">
        <v>1437</v>
      </c>
      <c r="B260" s="22" t="s">
        <v>664</v>
      </c>
      <c r="C260" s="22" t="s">
        <v>558</v>
      </c>
      <c r="D260" s="22"/>
      <c r="O260" s="108" t="n">
        <v>1200</v>
      </c>
      <c r="P260" s="108" t="n">
        <v>1200</v>
      </c>
      <c r="Q260" s="108" t="n">
        <v>1200</v>
      </c>
      <c r="R260" s="108" t="n">
        <v>1200</v>
      </c>
      <c r="S260" s="108" t="n">
        <v>1200</v>
      </c>
      <c r="T260" s="108" t="n">
        <v>1200</v>
      </c>
      <c r="U260" s="108" t="n">
        <v>1200</v>
      </c>
      <c r="V260" s="108" t="n">
        <v>1200</v>
      </c>
      <c r="W260" s="108" t="n">
        <v>1200</v>
      </c>
      <c r="X260" s="108" t="n">
        <v>1200</v>
      </c>
      <c r="Y260" s="108" t="n">
        <v>1200</v>
      </c>
      <c r="Z260" s="108" t="n">
        <v>1200</v>
      </c>
      <c r="AA260" s="108" t="n">
        <v>1200</v>
      </c>
      <c r="AB260" s="108" t="n">
        <v>1200</v>
      </c>
      <c r="AC260" s="108" t="n">
        <v>1200</v>
      </c>
      <c r="AD260" s="108" t="n">
        <v>1200</v>
      </c>
      <c r="AE260" s="108" t="n">
        <v>1200</v>
      </c>
      <c r="AF260" s="108" t="n">
        <v>1200</v>
      </c>
      <c r="AG260" s="108" t="n">
        <v>1200</v>
      </c>
      <c r="AI260" s="109" t="n">
        <f aca="false">INDEX($F260:$AG260,1,MATCH(AI$7,$F$7:$AG$7,1))</f>
        <v>0</v>
      </c>
      <c r="AJ260" s="109" t="n">
        <f aca="false">INDEX($F260:$AG260,1,MATCH(AJ$7,$F$7:$AG$7,1))</f>
        <v>0</v>
      </c>
      <c r="AK260" s="109" t="n">
        <f aca="false">INDEX($F260:$AG260,1,MATCH(AK$7,$F$7:$AG$7,1))</f>
        <v>1200</v>
      </c>
      <c r="AL260" s="109" t="n">
        <f aca="false">INDEX($F260:$AG260,1,MATCH(AL$7,$F$7:$AG$7,1))</f>
        <v>1200</v>
      </c>
      <c r="AM260" s="109" t="n">
        <f aca="false">INDEX($F260:$AG260,1,MATCH(AM$7,$F$7:$AG$7,1))</f>
        <v>1200</v>
      </c>
      <c r="AN260" s="109" t="n">
        <f aca="false">INDEX($F260:$AG260,1,MATCH(AN$7,$F$7:$AG$7,1))</f>
        <v>1200</v>
      </c>
      <c r="AO260" s="109" t="n">
        <f aca="false">INDEX($F260:$AG260,1,MATCH(AO$7,$F$7:$AG$7,1))</f>
        <v>1200</v>
      </c>
    </row>
    <row r="261" customFormat="false" ht="15" hidden="false" customHeight="false" outlineLevel="0" collapsed="false">
      <c r="A261" s="107" t="s">
        <v>1438</v>
      </c>
      <c r="B261" s="22" t="s">
        <v>664</v>
      </c>
      <c r="C261" s="22" t="s">
        <v>558</v>
      </c>
      <c r="D261" s="22"/>
      <c r="L261" s="108" t="n">
        <v>300</v>
      </c>
      <c r="M261" s="108" t="n">
        <v>300</v>
      </c>
      <c r="N261" s="108" t="n">
        <v>300</v>
      </c>
      <c r="O261" s="108" t="n">
        <v>300</v>
      </c>
      <c r="P261" s="108" t="n">
        <v>300</v>
      </c>
      <c r="Q261" s="108" t="n">
        <v>300</v>
      </c>
      <c r="R261" s="108" t="n">
        <v>300</v>
      </c>
      <c r="S261" s="108" t="n">
        <v>300</v>
      </c>
      <c r="T261" s="108" t="n">
        <v>300</v>
      </c>
      <c r="U261" s="108" t="n">
        <v>300</v>
      </c>
      <c r="V261" s="108" t="n">
        <v>300</v>
      </c>
      <c r="W261" s="108" t="n">
        <v>300</v>
      </c>
      <c r="X261" s="108" t="n">
        <v>300</v>
      </c>
      <c r="Y261" s="108" t="n">
        <v>300</v>
      </c>
      <c r="Z261" s="108" t="n">
        <v>300</v>
      </c>
      <c r="AA261" s="108" t="n">
        <v>300</v>
      </c>
      <c r="AB261" s="108" t="n">
        <v>300</v>
      </c>
      <c r="AC261" s="108" t="n">
        <v>300</v>
      </c>
      <c r="AD261" s="108" t="n">
        <v>300</v>
      </c>
      <c r="AE261" s="108" t="n">
        <v>300</v>
      </c>
      <c r="AF261" s="108" t="n">
        <v>300</v>
      </c>
      <c r="AG261" s="108" t="n">
        <v>300</v>
      </c>
      <c r="AI261" s="109" t="n">
        <f aca="false">INDEX($F261:$AG261,1,MATCH(AI$7,$F$7:$AG$7,1))</f>
        <v>0</v>
      </c>
      <c r="AJ261" s="109" t="n">
        <f aca="false">INDEX($F261:$AG261,1,MATCH(AJ$7,$F$7:$AG$7,1))</f>
        <v>300</v>
      </c>
      <c r="AK261" s="109" t="n">
        <f aca="false">INDEX($F261:$AG261,1,MATCH(AK$7,$F$7:$AG$7,1))</f>
        <v>300</v>
      </c>
      <c r="AL261" s="109" t="n">
        <f aca="false">INDEX($F261:$AG261,1,MATCH(AL$7,$F$7:$AG$7,1))</f>
        <v>300</v>
      </c>
      <c r="AM261" s="109" t="n">
        <f aca="false">INDEX($F261:$AG261,1,MATCH(AM$7,$F$7:$AG$7,1))</f>
        <v>300</v>
      </c>
      <c r="AN261" s="109" t="n">
        <f aca="false">INDEX($F261:$AG261,1,MATCH(AN$7,$F$7:$AG$7,1))</f>
        <v>300</v>
      </c>
      <c r="AO261" s="109" t="n">
        <f aca="false">INDEX($F261:$AG261,1,MATCH(AO$7,$F$7:$AG$7,1))</f>
        <v>300</v>
      </c>
    </row>
    <row r="262" customFormat="false" ht="15" hidden="false" customHeight="false" outlineLevel="0" collapsed="false">
      <c r="A262" s="107" t="s">
        <v>1440</v>
      </c>
      <c r="B262" s="22" t="s">
        <v>664</v>
      </c>
      <c r="C262" s="22" t="s">
        <v>558</v>
      </c>
      <c r="D262" s="22"/>
      <c r="N262" s="108" t="n">
        <v>240</v>
      </c>
      <c r="O262" s="108" t="n">
        <v>240</v>
      </c>
      <c r="P262" s="108" t="n">
        <v>240</v>
      </c>
      <c r="Q262" s="108" t="n">
        <v>240</v>
      </c>
      <c r="R262" s="108" t="n">
        <v>240</v>
      </c>
      <c r="S262" s="108" t="n">
        <v>240</v>
      </c>
      <c r="T262" s="108" t="n">
        <v>240</v>
      </c>
      <c r="U262" s="108" t="n">
        <v>240</v>
      </c>
      <c r="V262" s="108" t="n">
        <v>240</v>
      </c>
      <c r="W262" s="108" t="n">
        <v>240</v>
      </c>
      <c r="X262" s="108" t="n">
        <v>240</v>
      </c>
      <c r="Y262" s="108" t="n">
        <v>240</v>
      </c>
      <c r="Z262" s="108" t="n">
        <v>240</v>
      </c>
      <c r="AA262" s="108" t="n">
        <v>240</v>
      </c>
      <c r="AB262" s="108" t="n">
        <v>240</v>
      </c>
      <c r="AC262" s="108" t="n">
        <v>240</v>
      </c>
      <c r="AD262" s="108" t="n">
        <v>240</v>
      </c>
      <c r="AE262" s="108" t="n">
        <v>240</v>
      </c>
      <c r="AF262" s="108" t="n">
        <v>240</v>
      </c>
      <c r="AG262" s="108" t="n">
        <v>240</v>
      </c>
      <c r="AI262" s="109" t="n">
        <f aca="false">INDEX($F262:$AG262,1,MATCH(AI$7,$F$7:$AG$7,1))</f>
        <v>0</v>
      </c>
      <c r="AJ262" s="109" t="n">
        <f aca="false">INDEX($F262:$AG262,1,MATCH(AJ$7,$F$7:$AG$7,1))</f>
        <v>0</v>
      </c>
      <c r="AK262" s="109" t="n">
        <f aca="false">INDEX($F262:$AG262,1,MATCH(AK$7,$F$7:$AG$7,1))</f>
        <v>240</v>
      </c>
      <c r="AL262" s="109" t="n">
        <f aca="false">INDEX($F262:$AG262,1,MATCH(AL$7,$F$7:$AG$7,1))</f>
        <v>240</v>
      </c>
      <c r="AM262" s="109" t="n">
        <f aca="false">INDEX($F262:$AG262,1,MATCH(AM$7,$F$7:$AG$7,1))</f>
        <v>240</v>
      </c>
      <c r="AN262" s="109" t="n">
        <f aca="false">INDEX($F262:$AG262,1,MATCH(AN$7,$F$7:$AG$7,1))</f>
        <v>240</v>
      </c>
      <c r="AO262" s="109" t="n">
        <f aca="false">INDEX($F262:$AG262,1,MATCH(AO$7,$F$7:$AG$7,1))</f>
        <v>240</v>
      </c>
    </row>
    <row r="263" customFormat="false" ht="15" hidden="false" customHeight="false" outlineLevel="0" collapsed="false">
      <c r="A263" s="107" t="s">
        <v>1443</v>
      </c>
      <c r="B263" s="22" t="s">
        <v>664</v>
      </c>
      <c r="C263" s="22" t="s">
        <v>558</v>
      </c>
      <c r="D263" s="22"/>
      <c r="N263" s="108" t="n">
        <v>310</v>
      </c>
      <c r="O263" s="108" t="n">
        <v>310</v>
      </c>
      <c r="P263" s="108" t="n">
        <v>310</v>
      </c>
      <c r="Q263" s="108" t="n">
        <v>310</v>
      </c>
      <c r="R263" s="108" t="n">
        <v>310</v>
      </c>
      <c r="S263" s="108" t="n">
        <v>310</v>
      </c>
      <c r="T263" s="108" t="n">
        <v>310</v>
      </c>
      <c r="U263" s="108" t="n">
        <v>310</v>
      </c>
      <c r="V263" s="108" t="n">
        <v>310</v>
      </c>
      <c r="W263" s="108" t="n">
        <v>310</v>
      </c>
      <c r="X263" s="108" t="n">
        <v>310</v>
      </c>
      <c r="Y263" s="108" t="n">
        <v>310</v>
      </c>
      <c r="Z263" s="108" t="n">
        <v>310</v>
      </c>
      <c r="AA263" s="108" t="n">
        <v>310</v>
      </c>
      <c r="AB263" s="108" t="n">
        <v>310</v>
      </c>
      <c r="AC263" s="108" t="n">
        <v>310</v>
      </c>
      <c r="AD263" s="108" t="n">
        <v>310</v>
      </c>
      <c r="AE263" s="108" t="n">
        <v>310</v>
      </c>
      <c r="AF263" s="108" t="n">
        <v>310</v>
      </c>
      <c r="AG263" s="108" t="n">
        <v>310</v>
      </c>
      <c r="AI263" s="109" t="n">
        <f aca="false">INDEX($F263:$AG263,1,MATCH(AI$7,$F$7:$AG$7,1))</f>
        <v>0</v>
      </c>
      <c r="AJ263" s="109" t="n">
        <f aca="false">INDEX($F263:$AG263,1,MATCH(AJ$7,$F$7:$AG$7,1))</f>
        <v>0</v>
      </c>
      <c r="AK263" s="109" t="n">
        <f aca="false">INDEX($F263:$AG263,1,MATCH(AK$7,$F$7:$AG$7,1))</f>
        <v>310</v>
      </c>
      <c r="AL263" s="109" t="n">
        <f aca="false">INDEX($F263:$AG263,1,MATCH(AL$7,$F$7:$AG$7,1))</f>
        <v>310</v>
      </c>
      <c r="AM263" s="109" t="n">
        <f aca="false">INDEX($F263:$AG263,1,MATCH(AM$7,$F$7:$AG$7,1))</f>
        <v>310</v>
      </c>
      <c r="AN263" s="109" t="n">
        <f aca="false">INDEX($F263:$AG263,1,MATCH(AN$7,$F$7:$AG$7,1))</f>
        <v>310</v>
      </c>
      <c r="AO263" s="109" t="n">
        <f aca="false">INDEX($F263:$AG263,1,MATCH(AO$7,$F$7:$AG$7,1))</f>
        <v>310</v>
      </c>
    </row>
    <row r="264" customFormat="false" ht="15" hidden="false" customHeight="false" outlineLevel="0" collapsed="false">
      <c r="A264" s="107" t="s">
        <v>1444</v>
      </c>
      <c r="B264" s="22" t="s">
        <v>664</v>
      </c>
      <c r="C264" s="22" t="s">
        <v>558</v>
      </c>
      <c r="D264" s="22"/>
      <c r="I264" s="108" t="n">
        <v>75</v>
      </c>
      <c r="J264" s="108" t="n">
        <v>75</v>
      </c>
      <c r="K264" s="108" t="n">
        <v>75</v>
      </c>
      <c r="L264" s="108" t="n">
        <v>75</v>
      </c>
      <c r="M264" s="108" t="n">
        <v>75</v>
      </c>
      <c r="N264" s="108" t="n">
        <v>75</v>
      </c>
      <c r="O264" s="108" t="n">
        <v>75</v>
      </c>
      <c r="P264" s="108" t="n">
        <v>75</v>
      </c>
      <c r="Q264" s="108" t="n">
        <v>75</v>
      </c>
      <c r="R264" s="108" t="n">
        <v>75</v>
      </c>
      <c r="S264" s="108" t="n">
        <v>75</v>
      </c>
      <c r="T264" s="108" t="n">
        <v>75</v>
      </c>
      <c r="U264" s="108" t="n">
        <v>75</v>
      </c>
      <c r="V264" s="108" t="n">
        <v>75</v>
      </c>
      <c r="W264" s="108" t="n">
        <v>75</v>
      </c>
      <c r="X264" s="108" t="n">
        <v>75</v>
      </c>
      <c r="Y264" s="108" t="n">
        <v>75</v>
      </c>
      <c r="Z264" s="108" t="n">
        <v>75</v>
      </c>
      <c r="AA264" s="108" t="n">
        <v>75</v>
      </c>
      <c r="AB264" s="108" t="n">
        <v>75</v>
      </c>
      <c r="AC264" s="108" t="n">
        <v>75</v>
      </c>
      <c r="AD264" s="108" t="n">
        <v>75</v>
      </c>
      <c r="AE264" s="108" t="n">
        <v>75</v>
      </c>
      <c r="AF264" s="108" t="n">
        <v>75</v>
      </c>
      <c r="AG264" s="108" t="n">
        <v>75</v>
      </c>
      <c r="AI264" s="109" t="n">
        <f aca="false">INDEX($F264:$AG264,1,MATCH(AI$7,$F$7:$AG$7,1))</f>
        <v>75</v>
      </c>
      <c r="AJ264" s="109" t="n">
        <f aca="false">INDEX($F264:$AG264,1,MATCH(AJ$7,$F$7:$AG$7,1))</f>
        <v>75</v>
      </c>
      <c r="AK264" s="109" t="n">
        <f aca="false">INDEX($F264:$AG264,1,MATCH(AK$7,$F$7:$AG$7,1))</f>
        <v>75</v>
      </c>
      <c r="AL264" s="109" t="n">
        <f aca="false">INDEX($F264:$AG264,1,MATCH(AL$7,$F$7:$AG$7,1))</f>
        <v>75</v>
      </c>
      <c r="AM264" s="109" t="n">
        <f aca="false">INDEX($F264:$AG264,1,MATCH(AM$7,$F$7:$AG$7,1))</f>
        <v>75</v>
      </c>
      <c r="AN264" s="109" t="n">
        <f aca="false">INDEX($F264:$AG264,1,MATCH(AN$7,$F$7:$AG$7,1))</f>
        <v>75</v>
      </c>
      <c r="AO264" s="109" t="n">
        <f aca="false">INDEX($F264:$AG264,1,MATCH(AO$7,$F$7:$AG$7,1))</f>
        <v>75</v>
      </c>
    </row>
    <row r="265" customFormat="false" ht="15" hidden="false" customHeight="false" outlineLevel="0" collapsed="false">
      <c r="A265" s="107" t="s">
        <v>1445</v>
      </c>
      <c r="B265" s="22" t="s">
        <v>664</v>
      </c>
      <c r="C265" s="22" t="s">
        <v>558</v>
      </c>
      <c r="D265" s="22"/>
      <c r="O265" s="108" t="n">
        <v>70</v>
      </c>
      <c r="P265" s="108" t="n">
        <v>70</v>
      </c>
      <c r="Q265" s="108" t="n">
        <v>70</v>
      </c>
      <c r="R265" s="108" t="n">
        <v>70</v>
      </c>
      <c r="S265" s="108" t="n">
        <v>70</v>
      </c>
      <c r="T265" s="108" t="n">
        <v>70</v>
      </c>
      <c r="U265" s="108" t="n">
        <v>70</v>
      </c>
      <c r="V265" s="108" t="n">
        <v>70</v>
      </c>
      <c r="W265" s="108" t="n">
        <v>70</v>
      </c>
      <c r="X265" s="108" t="n">
        <v>70</v>
      </c>
      <c r="Y265" s="108" t="n">
        <v>70</v>
      </c>
      <c r="Z265" s="108" t="n">
        <v>70</v>
      </c>
      <c r="AA265" s="108" t="n">
        <v>70</v>
      </c>
      <c r="AB265" s="108" t="n">
        <v>70</v>
      </c>
      <c r="AC265" s="108" t="n">
        <v>70</v>
      </c>
      <c r="AD265" s="108" t="n">
        <v>70</v>
      </c>
      <c r="AE265" s="108" t="n">
        <v>70</v>
      </c>
      <c r="AF265" s="108" t="n">
        <v>70</v>
      </c>
      <c r="AG265" s="108" t="n">
        <v>70</v>
      </c>
      <c r="AI265" s="109" t="n">
        <f aca="false">INDEX($F265:$AG265,1,MATCH(AI$7,$F$7:$AG$7,1))</f>
        <v>0</v>
      </c>
      <c r="AJ265" s="109" t="n">
        <f aca="false">INDEX($F265:$AG265,1,MATCH(AJ$7,$F$7:$AG$7,1))</f>
        <v>0</v>
      </c>
      <c r="AK265" s="109" t="n">
        <f aca="false">INDEX($F265:$AG265,1,MATCH(AK$7,$F$7:$AG$7,1))</f>
        <v>70</v>
      </c>
      <c r="AL265" s="109" t="n">
        <f aca="false">INDEX($F265:$AG265,1,MATCH(AL$7,$F$7:$AG$7,1))</f>
        <v>70</v>
      </c>
      <c r="AM265" s="109" t="n">
        <f aca="false">INDEX($F265:$AG265,1,MATCH(AM$7,$F$7:$AG$7,1))</f>
        <v>70</v>
      </c>
      <c r="AN265" s="109" t="n">
        <f aca="false">INDEX($F265:$AG265,1,MATCH(AN$7,$F$7:$AG$7,1))</f>
        <v>70</v>
      </c>
      <c r="AO265" s="109" t="n">
        <f aca="false">INDEX($F265:$AG265,1,MATCH(AO$7,$F$7:$AG$7,1))</f>
        <v>70</v>
      </c>
    </row>
    <row r="266" customFormat="false" ht="15" hidden="false" customHeight="false" outlineLevel="0" collapsed="false">
      <c r="A266" s="107" t="s">
        <v>1446</v>
      </c>
      <c r="B266" s="22" t="s">
        <v>664</v>
      </c>
      <c r="C266" s="22" t="s">
        <v>558</v>
      </c>
      <c r="D266" s="22"/>
      <c r="I266" s="108" t="n">
        <v>40</v>
      </c>
      <c r="J266" s="108" t="n">
        <v>40</v>
      </c>
      <c r="K266" s="108" t="n">
        <v>40</v>
      </c>
      <c r="L266" s="108" t="n">
        <v>40</v>
      </c>
      <c r="M266" s="108" t="n">
        <v>40</v>
      </c>
      <c r="N266" s="108" t="n">
        <v>40</v>
      </c>
      <c r="O266" s="108" t="n">
        <v>40</v>
      </c>
      <c r="P266" s="108" t="n">
        <v>40</v>
      </c>
      <c r="Q266" s="108" t="n">
        <v>40</v>
      </c>
      <c r="R266" s="108" t="n">
        <v>40</v>
      </c>
      <c r="S266" s="108" t="n">
        <v>40</v>
      </c>
      <c r="T266" s="108" t="n">
        <v>40</v>
      </c>
      <c r="U266" s="108" t="n">
        <v>40</v>
      </c>
      <c r="V266" s="108" t="n">
        <v>40</v>
      </c>
      <c r="W266" s="108" t="n">
        <v>40</v>
      </c>
      <c r="X266" s="108" t="n">
        <v>40</v>
      </c>
      <c r="Y266" s="108" t="n">
        <v>40</v>
      </c>
      <c r="Z266" s="108" t="n">
        <v>40</v>
      </c>
      <c r="AA266" s="108" t="n">
        <v>40</v>
      </c>
      <c r="AB266" s="108" t="n">
        <v>40</v>
      </c>
      <c r="AC266" s="108" t="n">
        <v>40</v>
      </c>
      <c r="AD266" s="108" t="n">
        <v>40</v>
      </c>
      <c r="AE266" s="108" t="n">
        <v>40</v>
      </c>
      <c r="AF266" s="108" t="n">
        <v>40</v>
      </c>
      <c r="AG266" s="108" t="n">
        <v>40</v>
      </c>
      <c r="AI266" s="109" t="n">
        <f aca="false">INDEX($F266:$AG266,1,MATCH(AI$7,$F$7:$AG$7,1))</f>
        <v>40</v>
      </c>
      <c r="AJ266" s="109" t="n">
        <f aca="false">INDEX($F266:$AG266,1,MATCH(AJ$7,$F$7:$AG$7,1))</f>
        <v>40</v>
      </c>
      <c r="AK266" s="109" t="n">
        <f aca="false">INDEX($F266:$AG266,1,MATCH(AK$7,$F$7:$AG$7,1))</f>
        <v>40</v>
      </c>
      <c r="AL266" s="109" t="n">
        <f aca="false">INDEX($F266:$AG266,1,MATCH(AL$7,$F$7:$AG$7,1))</f>
        <v>40</v>
      </c>
      <c r="AM266" s="109" t="n">
        <f aca="false">INDEX($F266:$AG266,1,MATCH(AM$7,$F$7:$AG$7,1))</f>
        <v>40</v>
      </c>
      <c r="AN266" s="109" t="n">
        <f aca="false">INDEX($F266:$AG266,1,MATCH(AN$7,$F$7:$AG$7,1))</f>
        <v>40</v>
      </c>
      <c r="AO266" s="109" t="n">
        <f aca="false">INDEX($F266:$AG266,1,MATCH(AO$7,$F$7:$AG$7,1))</f>
        <v>40</v>
      </c>
    </row>
    <row r="267" customFormat="false" ht="15" hidden="false" customHeight="false" outlineLevel="0" collapsed="false">
      <c r="A267" s="107" t="s">
        <v>1448</v>
      </c>
      <c r="B267" s="22" t="s">
        <v>664</v>
      </c>
      <c r="C267" s="22" t="s">
        <v>558</v>
      </c>
      <c r="D267" s="22"/>
      <c r="H267" s="108" t="n">
        <v>5</v>
      </c>
      <c r="I267" s="108" t="n">
        <v>5</v>
      </c>
      <c r="J267" s="108" t="n">
        <v>5</v>
      </c>
      <c r="K267" s="108" t="n">
        <v>5</v>
      </c>
      <c r="L267" s="108" t="n">
        <v>5</v>
      </c>
      <c r="M267" s="108" t="n">
        <v>5</v>
      </c>
      <c r="N267" s="108" t="n">
        <v>5</v>
      </c>
      <c r="O267" s="108" t="n">
        <v>5</v>
      </c>
      <c r="P267" s="108" t="n">
        <v>5</v>
      </c>
      <c r="Q267" s="108" t="n">
        <v>5</v>
      </c>
      <c r="R267" s="108" t="n">
        <v>5</v>
      </c>
      <c r="S267" s="108" t="n">
        <v>5</v>
      </c>
      <c r="T267" s="108" t="n">
        <v>5</v>
      </c>
      <c r="U267" s="108" t="n">
        <v>5</v>
      </c>
      <c r="V267" s="108" t="n">
        <v>5</v>
      </c>
      <c r="W267" s="108" t="n">
        <v>5</v>
      </c>
      <c r="X267" s="108" t="n">
        <v>5</v>
      </c>
      <c r="Y267" s="108" t="n">
        <v>5</v>
      </c>
      <c r="Z267" s="108" t="n">
        <v>5</v>
      </c>
      <c r="AA267" s="108" t="n">
        <v>5</v>
      </c>
      <c r="AB267" s="108" t="n">
        <v>5</v>
      </c>
      <c r="AC267" s="108" t="n">
        <v>5</v>
      </c>
      <c r="AD267" s="108" t="n">
        <v>5</v>
      </c>
      <c r="AE267" s="108" t="n">
        <v>5</v>
      </c>
      <c r="AF267" s="108" t="n">
        <v>5</v>
      </c>
      <c r="AG267" s="108" t="n">
        <v>5</v>
      </c>
      <c r="AI267" s="109" t="n">
        <f aca="false">INDEX($F267:$AG267,1,MATCH(AI$7,$F$7:$AG$7,1))</f>
        <v>5</v>
      </c>
      <c r="AJ267" s="109" t="n">
        <f aca="false">INDEX($F267:$AG267,1,MATCH(AJ$7,$F$7:$AG$7,1))</f>
        <v>5</v>
      </c>
      <c r="AK267" s="109" t="n">
        <f aca="false">INDEX($F267:$AG267,1,MATCH(AK$7,$F$7:$AG$7,1))</f>
        <v>5</v>
      </c>
      <c r="AL267" s="109" t="n">
        <f aca="false">INDEX($F267:$AG267,1,MATCH(AL$7,$F$7:$AG$7,1))</f>
        <v>5</v>
      </c>
      <c r="AM267" s="109" t="n">
        <f aca="false">INDEX($F267:$AG267,1,MATCH(AM$7,$F$7:$AG$7,1))</f>
        <v>5</v>
      </c>
      <c r="AN267" s="109" t="n">
        <f aca="false">INDEX($F267:$AG267,1,MATCH(AN$7,$F$7:$AG$7,1))</f>
        <v>5</v>
      </c>
      <c r="AO267" s="109" t="n">
        <f aca="false">INDEX($F267:$AG267,1,MATCH(AO$7,$F$7:$AG$7,1))</f>
        <v>5</v>
      </c>
    </row>
    <row r="268" customFormat="false" ht="15" hidden="false" customHeight="false" outlineLevel="0" collapsed="false">
      <c r="A268" s="107" t="s">
        <v>1450</v>
      </c>
      <c r="B268" s="22" t="s">
        <v>664</v>
      </c>
      <c r="C268" s="22" t="s">
        <v>558</v>
      </c>
      <c r="D268" s="22"/>
      <c r="I268" s="108" t="n">
        <v>10</v>
      </c>
      <c r="J268" s="108" t="n">
        <v>10</v>
      </c>
      <c r="K268" s="108" t="n">
        <v>10</v>
      </c>
      <c r="L268" s="108" t="n">
        <v>10</v>
      </c>
      <c r="M268" s="108" t="n">
        <v>10</v>
      </c>
      <c r="N268" s="108" t="n">
        <v>10</v>
      </c>
      <c r="O268" s="108" t="n">
        <v>10</v>
      </c>
      <c r="P268" s="108" t="n">
        <v>10</v>
      </c>
      <c r="Q268" s="108" t="n">
        <v>10</v>
      </c>
      <c r="R268" s="108" t="n">
        <v>10</v>
      </c>
      <c r="S268" s="108" t="n">
        <v>10</v>
      </c>
      <c r="T268" s="108" t="n">
        <v>10</v>
      </c>
      <c r="U268" s="108" t="n">
        <v>10</v>
      </c>
      <c r="V268" s="108" t="n">
        <v>10</v>
      </c>
      <c r="W268" s="108" t="n">
        <v>10</v>
      </c>
      <c r="X268" s="108" t="n">
        <v>10</v>
      </c>
      <c r="Y268" s="108" t="n">
        <v>10</v>
      </c>
      <c r="Z268" s="108" t="n">
        <v>10</v>
      </c>
      <c r="AA268" s="108" t="n">
        <v>10</v>
      </c>
      <c r="AB268" s="108" t="n">
        <v>10</v>
      </c>
      <c r="AC268" s="108" t="n">
        <v>10</v>
      </c>
      <c r="AD268" s="108" t="n">
        <v>10</v>
      </c>
      <c r="AE268" s="108" t="n">
        <v>10</v>
      </c>
      <c r="AF268" s="108" t="n">
        <v>10</v>
      </c>
      <c r="AG268" s="108" t="n">
        <v>10</v>
      </c>
      <c r="AI268" s="109" t="n">
        <f aca="false">INDEX($F268:$AG268,1,MATCH(AI$7,$F$7:$AG$7,1))</f>
        <v>10</v>
      </c>
      <c r="AJ268" s="109" t="n">
        <f aca="false">INDEX($F268:$AG268,1,MATCH(AJ$7,$F$7:$AG$7,1))</f>
        <v>10</v>
      </c>
      <c r="AK268" s="109" t="n">
        <f aca="false">INDEX($F268:$AG268,1,MATCH(AK$7,$F$7:$AG$7,1))</f>
        <v>10</v>
      </c>
      <c r="AL268" s="109" t="n">
        <f aca="false">INDEX($F268:$AG268,1,MATCH(AL$7,$F$7:$AG$7,1))</f>
        <v>10</v>
      </c>
      <c r="AM268" s="109" t="n">
        <f aca="false">INDEX($F268:$AG268,1,MATCH(AM$7,$F$7:$AG$7,1))</f>
        <v>10</v>
      </c>
      <c r="AN268" s="109" t="n">
        <f aca="false">INDEX($F268:$AG268,1,MATCH(AN$7,$F$7:$AG$7,1))</f>
        <v>10</v>
      </c>
      <c r="AO268" s="109" t="n">
        <f aca="false">INDEX($F268:$AG268,1,MATCH(AO$7,$F$7:$AG$7,1))</f>
        <v>10</v>
      </c>
    </row>
    <row r="269" customFormat="false" ht="15" hidden="false" customHeight="false" outlineLevel="0" collapsed="false">
      <c r="A269" s="107" t="s">
        <v>1451</v>
      </c>
      <c r="B269" s="22" t="s">
        <v>664</v>
      </c>
      <c r="C269" s="22" t="s">
        <v>558</v>
      </c>
      <c r="D269" s="22"/>
      <c r="K269" s="108" t="n">
        <v>16</v>
      </c>
      <c r="L269" s="108" t="n">
        <v>16</v>
      </c>
      <c r="M269" s="108" t="n">
        <v>16</v>
      </c>
      <c r="N269" s="108" t="n">
        <v>16</v>
      </c>
      <c r="O269" s="108" t="n">
        <v>19</v>
      </c>
      <c r="P269" s="108" t="n">
        <v>19</v>
      </c>
      <c r="Q269" s="108" t="n">
        <v>19</v>
      </c>
      <c r="R269" s="108" t="n">
        <v>19</v>
      </c>
      <c r="S269" s="108" t="n">
        <v>19</v>
      </c>
      <c r="T269" s="108" t="n">
        <v>19</v>
      </c>
      <c r="U269" s="108" t="n">
        <v>19</v>
      </c>
      <c r="V269" s="108" t="n">
        <v>19</v>
      </c>
      <c r="W269" s="108" t="n">
        <v>19</v>
      </c>
      <c r="X269" s="108" t="n">
        <v>19</v>
      </c>
      <c r="Y269" s="108" t="n">
        <v>19</v>
      </c>
      <c r="Z269" s="108" t="n">
        <v>19</v>
      </c>
      <c r="AA269" s="108" t="n">
        <v>19</v>
      </c>
      <c r="AB269" s="108" t="n">
        <v>19</v>
      </c>
      <c r="AC269" s="108" t="n">
        <v>19</v>
      </c>
      <c r="AD269" s="108" t="n">
        <v>19</v>
      </c>
      <c r="AE269" s="108" t="n">
        <v>19</v>
      </c>
      <c r="AF269" s="108" t="n">
        <v>19</v>
      </c>
      <c r="AG269" s="108" t="n">
        <v>19</v>
      </c>
      <c r="AI269" s="109" t="n">
        <f aca="false">INDEX($F269:$AG269,1,MATCH(AI$7,$F$7:$AG$7,1))</f>
        <v>0</v>
      </c>
      <c r="AJ269" s="109" t="n">
        <f aca="false">INDEX($F269:$AG269,1,MATCH(AJ$7,$F$7:$AG$7,1))</f>
        <v>16</v>
      </c>
      <c r="AK269" s="109" t="n">
        <f aca="false">INDEX($F269:$AG269,1,MATCH(AK$7,$F$7:$AG$7,1))</f>
        <v>19</v>
      </c>
      <c r="AL269" s="109" t="n">
        <f aca="false">INDEX($F269:$AG269,1,MATCH(AL$7,$F$7:$AG$7,1))</f>
        <v>19</v>
      </c>
      <c r="AM269" s="109" t="n">
        <f aca="false">INDEX($F269:$AG269,1,MATCH(AM$7,$F$7:$AG$7,1))</f>
        <v>19</v>
      </c>
      <c r="AN269" s="109" t="n">
        <f aca="false">INDEX($F269:$AG269,1,MATCH(AN$7,$F$7:$AG$7,1))</f>
        <v>19</v>
      </c>
      <c r="AO269" s="109" t="n">
        <f aca="false">INDEX($F269:$AG269,1,MATCH(AO$7,$F$7:$AG$7,1))</f>
        <v>19</v>
      </c>
    </row>
    <row r="270" customFormat="false" ht="15" hidden="false" customHeight="false" outlineLevel="0" collapsed="false">
      <c r="A270" s="107" t="s">
        <v>1453</v>
      </c>
      <c r="B270" s="22" t="s">
        <v>664</v>
      </c>
      <c r="C270" s="22" t="s">
        <v>558</v>
      </c>
      <c r="D270" s="22"/>
      <c r="O270" s="108" t="n">
        <v>22</v>
      </c>
      <c r="P270" s="108" t="n">
        <v>22</v>
      </c>
      <c r="Q270" s="108" t="n">
        <v>22</v>
      </c>
      <c r="R270" s="108" t="n">
        <v>22</v>
      </c>
      <c r="S270" s="108" t="n">
        <v>22</v>
      </c>
      <c r="T270" s="108" t="n">
        <v>22</v>
      </c>
      <c r="U270" s="108" t="n">
        <v>22</v>
      </c>
      <c r="V270" s="108" t="n">
        <v>22</v>
      </c>
      <c r="W270" s="108" t="n">
        <v>22</v>
      </c>
      <c r="X270" s="108" t="n">
        <v>22</v>
      </c>
      <c r="Y270" s="108" t="n">
        <v>22</v>
      </c>
      <c r="Z270" s="108" t="n">
        <v>22</v>
      </c>
      <c r="AA270" s="108" t="n">
        <v>22</v>
      </c>
      <c r="AB270" s="108" t="n">
        <v>22</v>
      </c>
      <c r="AC270" s="108" t="n">
        <v>22</v>
      </c>
      <c r="AD270" s="108" t="n">
        <v>22</v>
      </c>
      <c r="AE270" s="108" t="n">
        <v>22</v>
      </c>
      <c r="AF270" s="108" t="n">
        <v>22</v>
      </c>
      <c r="AG270" s="108" t="n">
        <v>22</v>
      </c>
      <c r="AI270" s="109" t="n">
        <f aca="false">INDEX($F270:$AG270,1,MATCH(AI$7,$F$7:$AG$7,1))</f>
        <v>0</v>
      </c>
      <c r="AJ270" s="109" t="n">
        <f aca="false">INDEX($F270:$AG270,1,MATCH(AJ$7,$F$7:$AG$7,1))</f>
        <v>0</v>
      </c>
      <c r="AK270" s="109" t="n">
        <f aca="false">INDEX($F270:$AG270,1,MATCH(AK$7,$F$7:$AG$7,1))</f>
        <v>22</v>
      </c>
      <c r="AL270" s="109" t="n">
        <f aca="false">INDEX($F270:$AG270,1,MATCH(AL$7,$F$7:$AG$7,1))</f>
        <v>22</v>
      </c>
      <c r="AM270" s="109" t="n">
        <f aca="false">INDEX($F270:$AG270,1,MATCH(AM$7,$F$7:$AG$7,1))</f>
        <v>22</v>
      </c>
      <c r="AN270" s="109" t="n">
        <f aca="false">INDEX($F270:$AG270,1,MATCH(AN$7,$F$7:$AG$7,1))</f>
        <v>22</v>
      </c>
      <c r="AO270" s="109" t="n">
        <f aca="false">INDEX($F270:$AG270,1,MATCH(AO$7,$F$7:$AG$7,1))</f>
        <v>22</v>
      </c>
    </row>
    <row r="271" customFormat="false" ht="15" hidden="false" customHeight="false" outlineLevel="0" collapsed="false">
      <c r="A271" s="107" t="s">
        <v>1454</v>
      </c>
      <c r="B271" s="22" t="s">
        <v>664</v>
      </c>
      <c r="C271" s="22" t="s">
        <v>558</v>
      </c>
      <c r="D271" s="22"/>
      <c r="AI271" s="109" t="n">
        <f aca="false">INDEX($F271:$AG271,1,MATCH(AI$7,$F$7:$AG$7,1))</f>
        <v>0</v>
      </c>
      <c r="AJ271" s="109" t="n">
        <f aca="false">INDEX($F271:$AG271,1,MATCH(AJ$7,$F$7:$AG$7,1))</f>
        <v>0</v>
      </c>
      <c r="AK271" s="109" t="n">
        <f aca="false">INDEX($F271:$AG271,1,MATCH(AK$7,$F$7:$AG$7,1))</f>
        <v>0</v>
      </c>
      <c r="AL271" s="109" t="n">
        <f aca="false">INDEX($F271:$AG271,1,MATCH(AL$7,$F$7:$AG$7,1))</f>
        <v>0</v>
      </c>
      <c r="AM271" s="109" t="n">
        <f aca="false">INDEX($F271:$AG271,1,MATCH(AM$7,$F$7:$AG$7,1))</f>
        <v>0</v>
      </c>
      <c r="AN271" s="109" t="n">
        <f aca="false">INDEX($F271:$AG271,1,MATCH(AN$7,$F$7:$AG$7,1))</f>
        <v>0</v>
      </c>
      <c r="AO271" s="109" t="n">
        <f aca="false">INDEX($F271:$AG271,1,MATCH(AO$7,$F$7:$AG$7,1))</f>
        <v>0</v>
      </c>
    </row>
    <row r="272" customFormat="false" ht="15" hidden="false" customHeight="false" outlineLevel="0" collapsed="false">
      <c r="A272" s="107" t="s">
        <v>1455</v>
      </c>
      <c r="B272" s="22" t="s">
        <v>664</v>
      </c>
      <c r="C272" s="22" t="s">
        <v>558</v>
      </c>
      <c r="D272" s="22"/>
      <c r="K272" s="108" t="n">
        <v>8</v>
      </c>
      <c r="L272" s="108" t="n">
        <v>8</v>
      </c>
      <c r="M272" s="108" t="n">
        <v>8</v>
      </c>
      <c r="N272" s="108" t="n">
        <v>8</v>
      </c>
      <c r="O272" s="108" t="n">
        <v>8</v>
      </c>
      <c r="P272" s="108" t="n">
        <v>8</v>
      </c>
      <c r="Q272" s="108" t="n">
        <v>8</v>
      </c>
      <c r="R272" s="108" t="n">
        <v>8</v>
      </c>
      <c r="S272" s="108" t="n">
        <v>8</v>
      </c>
      <c r="T272" s="108" t="n">
        <v>8</v>
      </c>
      <c r="U272" s="108" t="n">
        <v>8</v>
      </c>
      <c r="V272" s="108" t="n">
        <v>8</v>
      </c>
      <c r="W272" s="108" t="n">
        <v>8</v>
      </c>
      <c r="X272" s="108" t="n">
        <v>8</v>
      </c>
      <c r="Y272" s="108" t="n">
        <v>8</v>
      </c>
      <c r="Z272" s="108" t="n">
        <v>8</v>
      </c>
      <c r="AA272" s="108" t="n">
        <v>8</v>
      </c>
      <c r="AB272" s="108" t="n">
        <v>8</v>
      </c>
      <c r="AC272" s="108" t="n">
        <v>8</v>
      </c>
      <c r="AD272" s="108" t="n">
        <v>8</v>
      </c>
      <c r="AE272" s="108" t="n">
        <v>8</v>
      </c>
      <c r="AF272" s="108" t="n">
        <v>8</v>
      </c>
      <c r="AG272" s="108" t="n">
        <v>8</v>
      </c>
      <c r="AI272" s="109" t="n">
        <f aca="false">INDEX($F272:$AG272,1,MATCH(AI$7,$F$7:$AG$7,1))</f>
        <v>0</v>
      </c>
      <c r="AJ272" s="109" t="n">
        <f aca="false">INDEX($F272:$AG272,1,MATCH(AJ$7,$F$7:$AG$7,1))</f>
        <v>8</v>
      </c>
      <c r="AK272" s="109" t="n">
        <f aca="false">INDEX($F272:$AG272,1,MATCH(AK$7,$F$7:$AG$7,1))</f>
        <v>8</v>
      </c>
      <c r="AL272" s="109" t="n">
        <f aca="false">INDEX($F272:$AG272,1,MATCH(AL$7,$F$7:$AG$7,1))</f>
        <v>8</v>
      </c>
      <c r="AM272" s="109" t="n">
        <f aca="false">INDEX($F272:$AG272,1,MATCH(AM$7,$F$7:$AG$7,1))</f>
        <v>8</v>
      </c>
      <c r="AN272" s="109" t="n">
        <f aca="false">INDEX($F272:$AG272,1,MATCH(AN$7,$F$7:$AG$7,1))</f>
        <v>8</v>
      </c>
      <c r="AO272" s="109" t="n">
        <f aca="false">INDEX($F272:$AG272,1,MATCH(AO$7,$F$7:$AG$7,1))</f>
        <v>8</v>
      </c>
    </row>
    <row r="273" customFormat="false" ht="15" hidden="false" customHeight="false" outlineLevel="0" collapsed="false">
      <c r="A273" s="107" t="s">
        <v>1457</v>
      </c>
      <c r="B273" s="22" t="s">
        <v>664</v>
      </c>
      <c r="C273" s="22" t="s">
        <v>558</v>
      </c>
      <c r="D273" s="22"/>
      <c r="N273" s="108" t="n">
        <v>22</v>
      </c>
      <c r="O273" s="108" t="n">
        <v>22</v>
      </c>
      <c r="P273" s="108" t="n">
        <v>22</v>
      </c>
      <c r="Q273" s="108" t="n">
        <v>22</v>
      </c>
      <c r="R273" s="108" t="n">
        <v>22</v>
      </c>
      <c r="S273" s="108" t="n">
        <v>22</v>
      </c>
      <c r="T273" s="108" t="n">
        <v>22</v>
      </c>
      <c r="U273" s="108" t="n">
        <v>22</v>
      </c>
      <c r="V273" s="108" t="n">
        <v>22</v>
      </c>
      <c r="W273" s="108" t="n">
        <v>22</v>
      </c>
      <c r="X273" s="108" t="n">
        <v>22</v>
      </c>
      <c r="Y273" s="108" t="n">
        <v>22</v>
      </c>
      <c r="Z273" s="108" t="n">
        <v>22</v>
      </c>
      <c r="AA273" s="108" t="n">
        <v>22</v>
      </c>
      <c r="AB273" s="108" t="n">
        <v>22</v>
      </c>
      <c r="AC273" s="108" t="n">
        <v>22</v>
      </c>
      <c r="AD273" s="108" t="n">
        <v>22</v>
      </c>
      <c r="AE273" s="108" t="n">
        <v>22</v>
      </c>
      <c r="AF273" s="108" t="n">
        <v>22</v>
      </c>
      <c r="AG273" s="108" t="n">
        <v>22</v>
      </c>
      <c r="AI273" s="109" t="n">
        <f aca="false">INDEX($F273:$AG273,1,MATCH(AI$7,$F$7:$AG$7,1))</f>
        <v>0</v>
      </c>
      <c r="AJ273" s="109" t="n">
        <f aca="false">INDEX($F273:$AG273,1,MATCH(AJ$7,$F$7:$AG$7,1))</f>
        <v>0</v>
      </c>
      <c r="AK273" s="109" t="n">
        <f aca="false">INDEX($F273:$AG273,1,MATCH(AK$7,$F$7:$AG$7,1))</f>
        <v>22</v>
      </c>
      <c r="AL273" s="109" t="n">
        <f aca="false">INDEX($F273:$AG273,1,MATCH(AL$7,$F$7:$AG$7,1))</f>
        <v>22</v>
      </c>
      <c r="AM273" s="109" t="n">
        <f aca="false">INDEX($F273:$AG273,1,MATCH(AM$7,$F$7:$AG$7,1))</f>
        <v>22</v>
      </c>
      <c r="AN273" s="109" t="n">
        <f aca="false">INDEX($F273:$AG273,1,MATCH(AN$7,$F$7:$AG$7,1))</f>
        <v>22</v>
      </c>
      <c r="AO273" s="109" t="n">
        <f aca="false">INDEX($F273:$AG273,1,MATCH(AO$7,$F$7:$AG$7,1))</f>
        <v>22</v>
      </c>
    </row>
    <row r="274" customFormat="false" ht="15" hidden="false" customHeight="false" outlineLevel="0" collapsed="false">
      <c r="A274" s="107" t="s">
        <v>1458</v>
      </c>
      <c r="B274" s="22" t="s">
        <v>664</v>
      </c>
      <c r="C274" s="22" t="s">
        <v>558</v>
      </c>
      <c r="D274" s="22"/>
      <c r="N274" s="108" t="n">
        <v>58</v>
      </c>
      <c r="O274" s="108" t="n">
        <v>58</v>
      </c>
      <c r="P274" s="108" t="n">
        <v>58</v>
      </c>
      <c r="Q274" s="108" t="n">
        <v>58</v>
      </c>
      <c r="R274" s="108" t="n">
        <v>58</v>
      </c>
      <c r="S274" s="108" t="n">
        <v>58</v>
      </c>
      <c r="T274" s="108" t="n">
        <v>58</v>
      </c>
      <c r="U274" s="108" t="n">
        <v>58</v>
      </c>
      <c r="V274" s="108" t="n">
        <v>58</v>
      </c>
      <c r="W274" s="108" t="n">
        <v>58</v>
      </c>
      <c r="X274" s="108" t="n">
        <v>58</v>
      </c>
      <c r="Y274" s="108" t="n">
        <v>58</v>
      </c>
      <c r="Z274" s="108" t="n">
        <v>58</v>
      </c>
      <c r="AA274" s="108" t="n">
        <v>58</v>
      </c>
      <c r="AB274" s="108" t="n">
        <v>58</v>
      </c>
      <c r="AC274" s="108" t="n">
        <v>58</v>
      </c>
      <c r="AD274" s="108" t="n">
        <v>58</v>
      </c>
      <c r="AE274" s="108" t="n">
        <v>58</v>
      </c>
      <c r="AF274" s="108" t="n">
        <v>58</v>
      </c>
      <c r="AG274" s="108" t="n">
        <v>58</v>
      </c>
      <c r="AI274" s="109" t="n">
        <f aca="false">INDEX($F274:$AG274,1,MATCH(AI$7,$F$7:$AG$7,1))</f>
        <v>0</v>
      </c>
      <c r="AJ274" s="109" t="n">
        <f aca="false">INDEX($F274:$AG274,1,MATCH(AJ$7,$F$7:$AG$7,1))</f>
        <v>0</v>
      </c>
      <c r="AK274" s="109" t="n">
        <f aca="false">INDEX($F274:$AG274,1,MATCH(AK$7,$F$7:$AG$7,1))</f>
        <v>58</v>
      </c>
      <c r="AL274" s="109" t="n">
        <f aca="false">INDEX($F274:$AG274,1,MATCH(AL$7,$F$7:$AG$7,1))</f>
        <v>58</v>
      </c>
      <c r="AM274" s="109" t="n">
        <f aca="false">INDEX($F274:$AG274,1,MATCH(AM$7,$F$7:$AG$7,1))</f>
        <v>58</v>
      </c>
      <c r="AN274" s="109" t="n">
        <f aca="false">INDEX($F274:$AG274,1,MATCH(AN$7,$F$7:$AG$7,1))</f>
        <v>58</v>
      </c>
      <c r="AO274" s="109" t="n">
        <f aca="false">INDEX($F274:$AG274,1,MATCH(AO$7,$F$7:$AG$7,1))</f>
        <v>58</v>
      </c>
    </row>
    <row r="275" customFormat="false" ht="15" hidden="false" customHeight="false" outlineLevel="0" collapsed="false">
      <c r="A275" s="107" t="s">
        <v>1459</v>
      </c>
      <c r="B275" s="22" t="s">
        <v>664</v>
      </c>
      <c r="C275" s="22" t="s">
        <v>558</v>
      </c>
      <c r="D275" s="22"/>
      <c r="O275" s="108" t="n">
        <v>18</v>
      </c>
      <c r="P275" s="108" t="n">
        <v>18</v>
      </c>
      <c r="Q275" s="108" t="n">
        <v>18</v>
      </c>
      <c r="R275" s="108" t="n">
        <v>18</v>
      </c>
      <c r="S275" s="108" t="n">
        <v>18</v>
      </c>
      <c r="T275" s="108" t="n">
        <v>18</v>
      </c>
      <c r="U275" s="108" t="n">
        <v>18</v>
      </c>
      <c r="V275" s="108" t="n">
        <v>18</v>
      </c>
      <c r="W275" s="108" t="n">
        <v>18</v>
      </c>
      <c r="X275" s="108" t="n">
        <v>18</v>
      </c>
      <c r="Y275" s="108" t="n">
        <v>18</v>
      </c>
      <c r="Z275" s="108" t="n">
        <v>18</v>
      </c>
      <c r="AA275" s="108" t="n">
        <v>18</v>
      </c>
      <c r="AB275" s="108" t="n">
        <v>18</v>
      </c>
      <c r="AC275" s="108" t="n">
        <v>18</v>
      </c>
      <c r="AD275" s="108" t="n">
        <v>18</v>
      </c>
      <c r="AE275" s="108" t="n">
        <v>18</v>
      </c>
      <c r="AF275" s="108" t="n">
        <v>18</v>
      </c>
      <c r="AG275" s="108" t="n">
        <v>18</v>
      </c>
      <c r="AI275" s="109" t="n">
        <f aca="false">INDEX($F275:$AG275,1,MATCH(AI$7,$F$7:$AG$7,1))</f>
        <v>0</v>
      </c>
      <c r="AJ275" s="109" t="n">
        <f aca="false">INDEX($F275:$AG275,1,MATCH(AJ$7,$F$7:$AG$7,1))</f>
        <v>0</v>
      </c>
      <c r="AK275" s="109" t="n">
        <f aca="false">INDEX($F275:$AG275,1,MATCH(AK$7,$F$7:$AG$7,1))</f>
        <v>18</v>
      </c>
      <c r="AL275" s="109" t="n">
        <f aca="false">INDEX($F275:$AG275,1,MATCH(AL$7,$F$7:$AG$7,1))</f>
        <v>18</v>
      </c>
      <c r="AM275" s="109" t="n">
        <f aca="false">INDEX($F275:$AG275,1,MATCH(AM$7,$F$7:$AG$7,1))</f>
        <v>18</v>
      </c>
      <c r="AN275" s="109" t="n">
        <f aca="false">INDEX($F275:$AG275,1,MATCH(AN$7,$F$7:$AG$7,1))</f>
        <v>18</v>
      </c>
      <c r="AO275" s="109" t="n">
        <f aca="false">INDEX($F275:$AG275,1,MATCH(AO$7,$F$7:$AG$7,1))</f>
        <v>18</v>
      </c>
    </row>
    <row r="276" customFormat="false" ht="15" hidden="false" customHeight="false" outlineLevel="0" collapsed="false">
      <c r="A276" s="107" t="s">
        <v>1460</v>
      </c>
      <c r="B276" s="22" t="s">
        <v>664</v>
      </c>
      <c r="C276" s="22" t="s">
        <v>558</v>
      </c>
      <c r="D276" s="22"/>
      <c r="O276" s="108" t="n">
        <v>22</v>
      </c>
      <c r="P276" s="108" t="n">
        <v>22</v>
      </c>
      <c r="Q276" s="108" t="n">
        <v>22</v>
      </c>
      <c r="R276" s="108" t="n">
        <v>22</v>
      </c>
      <c r="S276" s="108" t="n">
        <v>22</v>
      </c>
      <c r="T276" s="108" t="n">
        <v>22</v>
      </c>
      <c r="U276" s="108" t="n">
        <v>22</v>
      </c>
      <c r="V276" s="108" t="n">
        <v>22</v>
      </c>
      <c r="W276" s="108" t="n">
        <v>22</v>
      </c>
      <c r="X276" s="108" t="n">
        <v>22</v>
      </c>
      <c r="Y276" s="108" t="n">
        <v>22</v>
      </c>
      <c r="Z276" s="108" t="n">
        <v>22</v>
      </c>
      <c r="AA276" s="108" t="n">
        <v>22</v>
      </c>
      <c r="AB276" s="108" t="n">
        <v>22</v>
      </c>
      <c r="AC276" s="108" t="n">
        <v>22</v>
      </c>
      <c r="AD276" s="108" t="n">
        <v>22</v>
      </c>
      <c r="AE276" s="108" t="n">
        <v>22</v>
      </c>
      <c r="AF276" s="108" t="n">
        <v>22</v>
      </c>
      <c r="AG276" s="108" t="n">
        <v>22</v>
      </c>
      <c r="AI276" s="109" t="n">
        <f aca="false">INDEX($F276:$AG276,1,MATCH(AI$7,$F$7:$AG$7,1))</f>
        <v>0</v>
      </c>
      <c r="AJ276" s="109" t="n">
        <f aca="false">INDEX($F276:$AG276,1,MATCH(AJ$7,$F$7:$AG$7,1))</f>
        <v>0</v>
      </c>
      <c r="AK276" s="109" t="n">
        <f aca="false">INDEX($F276:$AG276,1,MATCH(AK$7,$F$7:$AG$7,1))</f>
        <v>22</v>
      </c>
      <c r="AL276" s="109" t="n">
        <f aca="false">INDEX($F276:$AG276,1,MATCH(AL$7,$F$7:$AG$7,1))</f>
        <v>22</v>
      </c>
      <c r="AM276" s="109" t="n">
        <f aca="false">INDEX($F276:$AG276,1,MATCH(AM$7,$F$7:$AG$7,1))</f>
        <v>22</v>
      </c>
      <c r="AN276" s="109" t="n">
        <f aca="false">INDEX($F276:$AG276,1,MATCH(AN$7,$F$7:$AG$7,1))</f>
        <v>22</v>
      </c>
      <c r="AO276" s="109" t="n">
        <f aca="false">INDEX($F276:$AG276,1,MATCH(AO$7,$F$7:$AG$7,1))</f>
        <v>22</v>
      </c>
    </row>
    <row r="277" customFormat="false" ht="15" hidden="false" customHeight="false" outlineLevel="0" collapsed="false">
      <c r="A277" s="107" t="s">
        <v>1461</v>
      </c>
      <c r="B277" s="22" t="s">
        <v>664</v>
      </c>
      <c r="C277" s="22" t="s">
        <v>558</v>
      </c>
      <c r="D277" s="22"/>
      <c r="AI277" s="109" t="n">
        <f aca="false">INDEX($F277:$AG277,1,MATCH(AI$7,$F$7:$AG$7,1))</f>
        <v>0</v>
      </c>
      <c r="AJ277" s="109" t="n">
        <f aca="false">INDEX($F277:$AG277,1,MATCH(AJ$7,$F$7:$AG$7,1))</f>
        <v>0</v>
      </c>
      <c r="AK277" s="109" t="n">
        <f aca="false">INDEX($F277:$AG277,1,MATCH(AK$7,$F$7:$AG$7,1))</f>
        <v>0</v>
      </c>
      <c r="AL277" s="109" t="n">
        <f aca="false">INDEX($F277:$AG277,1,MATCH(AL$7,$F$7:$AG$7,1))</f>
        <v>0</v>
      </c>
      <c r="AM277" s="109" t="n">
        <f aca="false">INDEX($F277:$AG277,1,MATCH(AM$7,$F$7:$AG$7,1))</f>
        <v>0</v>
      </c>
      <c r="AN277" s="109" t="n">
        <f aca="false">INDEX($F277:$AG277,1,MATCH(AN$7,$F$7:$AG$7,1))</f>
        <v>0</v>
      </c>
      <c r="AO277" s="109" t="n">
        <f aca="false">INDEX($F277:$AG277,1,MATCH(AO$7,$F$7:$AG$7,1))</f>
        <v>0</v>
      </c>
    </row>
    <row r="278" customFormat="false" ht="15" hidden="false" customHeight="false" outlineLevel="0" collapsed="false">
      <c r="A278" s="107" t="s">
        <v>1463</v>
      </c>
      <c r="B278" s="22" t="s">
        <v>664</v>
      </c>
      <c r="C278" s="22" t="s">
        <v>558</v>
      </c>
      <c r="D278" s="22"/>
      <c r="AI278" s="109" t="n">
        <f aca="false">INDEX($F278:$AG278,1,MATCH(AI$7,$F$7:$AG$7,1))</f>
        <v>0</v>
      </c>
      <c r="AJ278" s="109" t="n">
        <f aca="false">INDEX($F278:$AG278,1,MATCH(AJ$7,$F$7:$AG$7,1))</f>
        <v>0</v>
      </c>
      <c r="AK278" s="109" t="n">
        <f aca="false">INDEX($F278:$AG278,1,MATCH(AK$7,$F$7:$AG$7,1))</f>
        <v>0</v>
      </c>
      <c r="AL278" s="109" t="n">
        <f aca="false">INDEX($F278:$AG278,1,MATCH(AL$7,$F$7:$AG$7,1))</f>
        <v>0</v>
      </c>
      <c r="AM278" s="109" t="n">
        <f aca="false">INDEX($F278:$AG278,1,MATCH(AM$7,$F$7:$AG$7,1))</f>
        <v>0</v>
      </c>
      <c r="AN278" s="109" t="n">
        <f aca="false">INDEX($F278:$AG278,1,MATCH(AN$7,$F$7:$AG$7,1))</f>
        <v>0</v>
      </c>
      <c r="AO278" s="109" t="n">
        <f aca="false">INDEX($F278:$AG278,1,MATCH(AO$7,$F$7:$AG$7,1))</f>
        <v>0</v>
      </c>
    </row>
    <row r="279" customFormat="false" ht="15" hidden="false" customHeight="false" outlineLevel="0" collapsed="false">
      <c r="A279" s="107" t="s">
        <v>1464</v>
      </c>
      <c r="B279" s="22" t="s">
        <v>664</v>
      </c>
      <c r="C279" s="22" t="s">
        <v>558</v>
      </c>
      <c r="D279" s="22"/>
      <c r="AI279" s="109" t="n">
        <f aca="false">INDEX($F279:$AG279,1,MATCH(AI$7,$F$7:$AG$7,1))</f>
        <v>0</v>
      </c>
      <c r="AJ279" s="109" t="n">
        <f aca="false">INDEX($F279:$AG279,1,MATCH(AJ$7,$F$7:$AG$7,1))</f>
        <v>0</v>
      </c>
      <c r="AK279" s="109" t="n">
        <f aca="false">INDEX($F279:$AG279,1,MATCH(AK$7,$F$7:$AG$7,1))</f>
        <v>0</v>
      </c>
      <c r="AL279" s="109" t="n">
        <f aca="false">INDEX($F279:$AG279,1,MATCH(AL$7,$F$7:$AG$7,1))</f>
        <v>0</v>
      </c>
      <c r="AM279" s="109" t="n">
        <f aca="false">INDEX($F279:$AG279,1,MATCH(AM$7,$F$7:$AG$7,1))</f>
        <v>0</v>
      </c>
      <c r="AN279" s="109" t="n">
        <f aca="false">INDEX($F279:$AG279,1,MATCH(AN$7,$F$7:$AG$7,1))</f>
        <v>0</v>
      </c>
      <c r="AO279" s="109" t="n">
        <f aca="false">INDEX($F279:$AG279,1,MATCH(AO$7,$F$7:$AG$7,1))</f>
        <v>0</v>
      </c>
    </row>
    <row r="280" customFormat="false" ht="15" hidden="false" customHeight="false" outlineLevel="0" collapsed="false">
      <c r="A280" s="107" t="s">
        <v>1466</v>
      </c>
      <c r="B280" s="22" t="s">
        <v>664</v>
      </c>
      <c r="C280" s="22" t="s">
        <v>558</v>
      </c>
      <c r="D280" s="22"/>
      <c r="P280" s="108" t="n">
        <v>50</v>
      </c>
      <c r="Q280" s="108" t="n">
        <v>50</v>
      </c>
      <c r="R280" s="108" t="n">
        <v>50</v>
      </c>
      <c r="S280" s="108" t="n">
        <v>50</v>
      </c>
      <c r="T280" s="108" t="n">
        <v>50</v>
      </c>
      <c r="U280" s="108" t="n">
        <v>50</v>
      </c>
      <c r="V280" s="108" t="n">
        <v>50</v>
      </c>
      <c r="W280" s="108" t="n">
        <v>50</v>
      </c>
      <c r="X280" s="108" t="n">
        <v>50</v>
      </c>
      <c r="Y280" s="108" t="n">
        <v>50</v>
      </c>
      <c r="Z280" s="108" t="n">
        <v>50</v>
      </c>
      <c r="AA280" s="108" t="n">
        <v>50</v>
      </c>
      <c r="AB280" s="108" t="n">
        <v>50</v>
      </c>
      <c r="AC280" s="108" t="n">
        <v>50</v>
      </c>
      <c r="AD280" s="108" t="n">
        <v>50</v>
      </c>
      <c r="AE280" s="108" t="n">
        <v>50</v>
      </c>
      <c r="AF280" s="108" t="n">
        <v>50</v>
      </c>
      <c r="AG280" s="108" t="n">
        <v>50</v>
      </c>
      <c r="AI280" s="109" t="n">
        <f aca="false">INDEX($F280:$AG280,1,MATCH(AI$7,$F$7:$AG$7,1))</f>
        <v>0</v>
      </c>
      <c r="AJ280" s="109" t="n">
        <f aca="false">INDEX($F280:$AG280,1,MATCH(AJ$7,$F$7:$AG$7,1))</f>
        <v>0</v>
      </c>
      <c r="AK280" s="109" t="n">
        <f aca="false">INDEX($F280:$AG280,1,MATCH(AK$7,$F$7:$AG$7,1))</f>
        <v>50</v>
      </c>
      <c r="AL280" s="109" t="n">
        <f aca="false">INDEX($F280:$AG280,1,MATCH(AL$7,$F$7:$AG$7,1))</f>
        <v>50</v>
      </c>
      <c r="AM280" s="109" t="n">
        <f aca="false">INDEX($F280:$AG280,1,MATCH(AM$7,$F$7:$AG$7,1))</f>
        <v>50</v>
      </c>
      <c r="AN280" s="109" t="n">
        <f aca="false">INDEX($F280:$AG280,1,MATCH(AN$7,$F$7:$AG$7,1))</f>
        <v>50</v>
      </c>
      <c r="AO280" s="109" t="n">
        <f aca="false">INDEX($F280:$AG280,1,MATCH(AO$7,$F$7:$AG$7,1))</f>
        <v>50</v>
      </c>
    </row>
    <row r="281" customFormat="false" ht="15" hidden="false" customHeight="false" outlineLevel="0" collapsed="false">
      <c r="A281" s="107" t="s">
        <v>1467</v>
      </c>
      <c r="B281" s="22" t="s">
        <v>664</v>
      </c>
      <c r="C281" s="22" t="s">
        <v>558</v>
      </c>
      <c r="D281" s="22"/>
      <c r="AI281" s="109" t="n">
        <f aca="false">INDEX($F281:$AG281,1,MATCH(AI$7,$F$7:$AG$7,1))</f>
        <v>0</v>
      </c>
      <c r="AJ281" s="109" t="n">
        <f aca="false">INDEX($F281:$AG281,1,MATCH(AJ$7,$F$7:$AG$7,1))</f>
        <v>0</v>
      </c>
      <c r="AK281" s="109" t="n">
        <f aca="false">INDEX($F281:$AG281,1,MATCH(AK$7,$F$7:$AG$7,1))</f>
        <v>0</v>
      </c>
      <c r="AL281" s="109" t="n">
        <f aca="false">INDEX($F281:$AG281,1,MATCH(AL$7,$F$7:$AG$7,1))</f>
        <v>0</v>
      </c>
      <c r="AM281" s="109" t="n">
        <f aca="false">INDEX($F281:$AG281,1,MATCH(AM$7,$F$7:$AG$7,1))</f>
        <v>0</v>
      </c>
      <c r="AN281" s="109" t="n">
        <f aca="false">INDEX($F281:$AG281,1,MATCH(AN$7,$F$7:$AG$7,1))</f>
        <v>0</v>
      </c>
      <c r="AO281" s="109" t="n">
        <f aca="false">INDEX($F281:$AG281,1,MATCH(AO$7,$F$7:$AG$7,1))</f>
        <v>0</v>
      </c>
    </row>
    <row r="282" customFormat="false" ht="15" hidden="false" customHeight="false" outlineLevel="0" collapsed="false">
      <c r="A282" s="107" t="s">
        <v>1469</v>
      </c>
      <c r="B282" s="22" t="s">
        <v>664</v>
      </c>
      <c r="C282" s="22" t="s">
        <v>558</v>
      </c>
      <c r="D282" s="22"/>
      <c r="AI282" s="109" t="n">
        <f aca="false">INDEX($F282:$AG282,1,MATCH(AI$7,$F$7:$AG$7,1))</f>
        <v>0</v>
      </c>
      <c r="AJ282" s="109" t="n">
        <f aca="false">INDEX($F282:$AG282,1,MATCH(AJ$7,$F$7:$AG$7,1))</f>
        <v>0</v>
      </c>
      <c r="AK282" s="109" t="n">
        <f aca="false">INDEX($F282:$AG282,1,MATCH(AK$7,$F$7:$AG$7,1))</f>
        <v>0</v>
      </c>
      <c r="AL282" s="109" t="n">
        <f aca="false">INDEX($F282:$AG282,1,MATCH(AL$7,$F$7:$AG$7,1))</f>
        <v>0</v>
      </c>
      <c r="AM282" s="109" t="n">
        <f aca="false">INDEX($F282:$AG282,1,MATCH(AM$7,$F$7:$AG$7,1))</f>
        <v>0</v>
      </c>
      <c r="AN282" s="109" t="n">
        <f aca="false">INDEX($F282:$AG282,1,MATCH(AN$7,$F$7:$AG$7,1))</f>
        <v>0</v>
      </c>
      <c r="AO282" s="109" t="n">
        <f aca="false">INDEX($F282:$AG282,1,MATCH(AO$7,$F$7:$AG$7,1))</f>
        <v>0</v>
      </c>
    </row>
    <row r="283" customFormat="false" ht="15" hidden="false" customHeight="false" outlineLevel="0" collapsed="false">
      <c r="A283" s="107" t="s">
        <v>1696</v>
      </c>
      <c r="B283" s="22" t="s">
        <v>664</v>
      </c>
      <c r="C283" s="22" t="s">
        <v>558</v>
      </c>
      <c r="D283" s="22" t="s">
        <v>1697</v>
      </c>
      <c r="E283" s="0" t="s">
        <v>1433</v>
      </c>
      <c r="M283" s="113" t="n">
        <v>2000</v>
      </c>
      <c r="N283" s="108" t="n">
        <v>2750</v>
      </c>
      <c r="O283" s="113" t="n">
        <v>3500</v>
      </c>
      <c r="P283" s="108" t="n">
        <v>4250</v>
      </c>
      <c r="Q283" s="113" t="n">
        <v>5000</v>
      </c>
      <c r="R283" s="108" t="n">
        <v>5000</v>
      </c>
      <c r="S283" s="108" t="n">
        <v>5000</v>
      </c>
      <c r="T283" s="108" t="n">
        <v>5000</v>
      </c>
      <c r="U283" s="108" t="n">
        <v>5000</v>
      </c>
      <c r="V283" s="108" t="n">
        <v>5000</v>
      </c>
      <c r="W283" s="108" t="n">
        <v>5000</v>
      </c>
      <c r="X283" s="108" t="n">
        <v>5000</v>
      </c>
      <c r="Y283" s="108" t="n">
        <v>5000</v>
      </c>
      <c r="Z283" s="108" t="n">
        <v>5000</v>
      </c>
      <c r="AA283" s="108" t="n">
        <v>5000</v>
      </c>
      <c r="AB283" s="108" t="n">
        <v>5000</v>
      </c>
      <c r="AC283" s="108" t="n">
        <v>5000</v>
      </c>
      <c r="AD283" s="108" t="n">
        <v>5000</v>
      </c>
      <c r="AE283" s="108" t="n">
        <v>5000</v>
      </c>
      <c r="AF283" s="108" t="n">
        <v>5000</v>
      </c>
      <c r="AG283" s="108" t="n">
        <v>5000</v>
      </c>
      <c r="AI283" s="109" t="n">
        <f aca="false">INDEX($F283:$AG283,1,MATCH(AI$7,$F$7:$AG$7,1))</f>
        <v>0</v>
      </c>
      <c r="AJ283" s="109" t="n">
        <f aca="false">INDEX($F283:$AG283,1,MATCH(AJ$7,$F$7:$AG$7,1))</f>
        <v>2000</v>
      </c>
      <c r="AK283" s="109" t="n">
        <f aca="false">INDEX($F283:$AG283,1,MATCH(AK$7,$F$7:$AG$7,1))</f>
        <v>5000</v>
      </c>
      <c r="AL283" s="109" t="n">
        <f aca="false">INDEX($F283:$AG283,1,MATCH(AL$7,$F$7:$AG$7,1))</f>
        <v>5000</v>
      </c>
      <c r="AM283" s="109" t="n">
        <f aca="false">INDEX($F283:$AG283,1,MATCH(AM$7,$F$7:$AG$7,1))</f>
        <v>5000</v>
      </c>
      <c r="AN283" s="109" t="n">
        <f aca="false">INDEX($F283:$AG283,1,MATCH(AN$7,$F$7:$AG$7,1))</f>
        <v>5000</v>
      </c>
      <c r="AO283" s="109" t="n">
        <f aca="false">INDEX($F283:$AG283,1,MATCH(AO$7,$F$7:$AG$7,1))</f>
        <v>5000</v>
      </c>
    </row>
    <row r="284" customFormat="false" ht="15" hidden="false" customHeight="false" outlineLevel="0" collapsed="false">
      <c r="A284" s="107" t="s">
        <v>1698</v>
      </c>
      <c r="B284" s="22" t="s">
        <v>664</v>
      </c>
      <c r="C284" s="22" t="s">
        <v>540</v>
      </c>
      <c r="D284" s="22" t="s">
        <v>1699</v>
      </c>
      <c r="F284" s="112" t="n">
        <f aca="false">MAX(0,N(F283)*(1/PUE)-SUMPRODUCT(F258:F282,$F$12:$F$36))</f>
        <v>0</v>
      </c>
      <c r="G284" s="112" t="n">
        <f aca="false">MAX(0,N(G283)*(1/PUE)-SUMPRODUCT(G258:G282,$F$12:$F$36))</f>
        <v>0</v>
      </c>
      <c r="H284" s="112" t="n">
        <f aca="false">MAX(0,N(H283)*(1/PUE)-SUMPRODUCT(H258:H282,$F$12:$F$36))</f>
        <v>0</v>
      </c>
      <c r="I284" s="112" t="n">
        <f aca="false">MAX(0,N(I283)*(1/PUE)-SUMPRODUCT(I258:I282,$F$12:$F$36))</f>
        <v>0</v>
      </c>
      <c r="J284" s="112" t="n">
        <f aca="false">MAX(0,N(J283)*(1/PUE)-SUMPRODUCT(J258:J282,$F$12:$F$36))</f>
        <v>0</v>
      </c>
      <c r="K284" s="112" t="n">
        <f aca="false">MAX(0,N(K283)*(1/PUE)-SUMPRODUCT(K258:K282,$F$12:$F$36))</f>
        <v>0</v>
      </c>
      <c r="L284" s="112" t="n">
        <f aca="false">MAX(0,N(L283)*(1/PUE)-SUMPRODUCT(L258:L282,$F$12:$F$36))</f>
        <v>0</v>
      </c>
      <c r="M284" s="112" t="n">
        <f aca="false">MAX(0,N(M283)*(1/PUE)-SUMPRODUCT(M258:M282,$F$12:$F$36))</f>
        <v>45.4603</v>
      </c>
      <c r="N284" s="112" t="n">
        <f aca="false">MAX(0,N(N283)*(1/PUE)-SUMPRODUCT(N258:N282,$F$12:$F$36))</f>
        <v>111.2763</v>
      </c>
      <c r="O284" s="112" t="n">
        <f aca="false">MAX(0,N(O283)*(1/PUE)-SUMPRODUCT(O258:O282,$F$12:$F$36))</f>
        <v>0</v>
      </c>
      <c r="P284" s="109" t="n">
        <f aca="false">MAX(0,N(P283)*(1/PUE)-SUMPRODUCT(P258:P282,$F$12:$F$36))</f>
        <v>247.2567</v>
      </c>
      <c r="Q284" s="109" t="n">
        <f aca="false">MAX(0,N(Q283)*(1/PUE)-SUMPRODUCT(Q258:Q282,$F$12:$F$36))</f>
        <v>847.2567</v>
      </c>
      <c r="R284" s="109" t="n">
        <f aca="false">MAX(0,N(R283)*(1/PUE)-SUMPRODUCT(R258:R282,$F$12:$F$36))</f>
        <v>847.2567</v>
      </c>
      <c r="S284" s="109" t="n">
        <f aca="false">MAX(0,N(S283)*(1/PUE)-SUMPRODUCT(S258:S282,$F$12:$F$36))</f>
        <v>847.2567</v>
      </c>
      <c r="T284" s="109" t="n">
        <f aca="false">MAX(0,N(T283)*(1/PUE)-SUMPRODUCT(T258:T282,$F$12:$F$36))</f>
        <v>847.2567</v>
      </c>
      <c r="U284" s="109" t="n">
        <f aca="false">MAX(0,N(U283)*(1/PUE)-SUMPRODUCT(U258:U282,$F$12:$F$36))</f>
        <v>847.2567</v>
      </c>
      <c r="V284" s="109" t="n">
        <f aca="false">MAX(0,N(V283)*(1/PUE)-SUMPRODUCT(V258:V282,$F$12:$F$36))</f>
        <v>847.2567</v>
      </c>
      <c r="W284" s="109" t="n">
        <f aca="false">MAX(0,N(W283)*(1/PUE)-SUMPRODUCT(W258:W282,$F$12:$F$36))</f>
        <v>847.2567</v>
      </c>
      <c r="X284" s="109" t="n">
        <f aca="false">MAX(0,N(X283)*(1/PUE)-SUMPRODUCT(X258:X282,$F$12:$F$36))</f>
        <v>847.2567</v>
      </c>
      <c r="Y284" s="109" t="n">
        <f aca="false">MAX(0,N(Y283)*(1/PUE)-SUMPRODUCT(Y258:Y282,$F$12:$F$36))</f>
        <v>847.2567</v>
      </c>
      <c r="Z284" s="109" t="n">
        <f aca="false">MAX(0,N(Z283)*(1/PUE)-SUMPRODUCT(Z258:Z282,$F$12:$F$36))</f>
        <v>847.2567</v>
      </c>
      <c r="AA284" s="109" t="n">
        <f aca="false">MAX(0,N(AA283)*(1/PUE)-SUMPRODUCT(AA258:AA282,$F$12:$F$36))</f>
        <v>847.2567</v>
      </c>
      <c r="AB284" s="109" t="n">
        <f aca="false">MAX(0,N(AB283)*(1/PUE)-SUMPRODUCT(AB258:AB282,$F$12:$F$36))</f>
        <v>847.2567</v>
      </c>
      <c r="AC284" s="109" t="n">
        <f aca="false">MAX(0,N(AC283)*(1/PUE)-SUMPRODUCT(AC258:AC282,$F$12:$F$36))</f>
        <v>847.2567</v>
      </c>
      <c r="AD284" s="109" t="n">
        <f aca="false">MAX(0,N(AD283)*(1/PUE)-SUMPRODUCT(AD258:AD282,$F$12:$F$36))</f>
        <v>847.2567</v>
      </c>
      <c r="AE284" s="109" t="n">
        <f aca="false">MAX(0,N(AE283)*(1/PUE)-SUMPRODUCT(AE258:AE282,$F$12:$F$36))</f>
        <v>847.2567</v>
      </c>
      <c r="AF284" s="109" t="n">
        <f aca="false">MAX(0,N(AF283)*(1/PUE)-SUMPRODUCT(AF258:AF282,$F$12:$F$36))</f>
        <v>847.2567</v>
      </c>
      <c r="AG284" s="109" t="n">
        <f aca="false">MAX(0,N(AG283)*(1/PUE)-SUMPRODUCT(AG258:AG282,$F$12:$F$36))</f>
        <v>847.2567</v>
      </c>
      <c r="AI284" s="109" t="n">
        <f aca="false">INDEX($F284:$AG284,1,MATCH(AI$7,$F$7:$AG$7,1))</f>
        <v>0</v>
      </c>
      <c r="AJ284" s="109" t="n">
        <f aca="false">INDEX($F284:$AG284,1,MATCH(AJ$7,$F$7:$AG$7,1))</f>
        <v>45.4603</v>
      </c>
      <c r="AK284" s="109" t="n">
        <f aca="false">INDEX($F284:$AG284,1,MATCH(AK$7,$F$7:$AG$7,1))</f>
        <v>847.2567</v>
      </c>
      <c r="AL284" s="109" t="n">
        <f aca="false">INDEX($F284:$AG284,1,MATCH(AL$7,$F$7:$AG$7,1))</f>
        <v>847.2567</v>
      </c>
      <c r="AM284" s="109" t="n">
        <f aca="false">INDEX($F284:$AG284,1,MATCH(AM$7,$F$7:$AG$7,1))</f>
        <v>847.2567</v>
      </c>
      <c r="AN284" s="109" t="n">
        <f aca="false">INDEX($F284:$AG284,1,MATCH(AN$7,$F$7:$AG$7,1))</f>
        <v>847.2567</v>
      </c>
      <c r="AO284" s="109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1700</v>
      </c>
      <c r="B285" s="22" t="s">
        <v>664</v>
      </c>
      <c r="C285" s="22" t="s">
        <v>540</v>
      </c>
      <c r="D285" s="22" t="s">
        <v>1701</v>
      </c>
      <c r="F285" s="114" t="n">
        <f aca="false">SUMPRODUCT(F258:F282,$F$12:$F$36)+F284</f>
        <v>0</v>
      </c>
      <c r="G285" s="114" t="n">
        <f aca="false">SUMPRODUCT(G258:G282,$F$12:$F$36)+G284</f>
        <v>0</v>
      </c>
      <c r="H285" s="114" t="n">
        <f aca="false">SUMPRODUCT(H258:H282,$F$12:$F$36)+H284</f>
        <v>5</v>
      </c>
      <c r="I285" s="114" t="n">
        <f aca="false">SUMPRODUCT(I258:I282,$F$12:$F$36)+I284</f>
        <v>123.1825</v>
      </c>
      <c r="J285" s="114" t="n">
        <f aca="false">SUMPRODUCT(J258:J282,$F$12:$F$36)+J284</f>
        <v>423.1825</v>
      </c>
      <c r="K285" s="114" t="n">
        <f aca="false">SUMPRODUCT(K258:K282,$F$12:$F$36)+K284</f>
        <v>443.4897</v>
      </c>
      <c r="L285" s="114" t="n">
        <f aca="false">SUMPRODUCT(L258:L282,$F$12:$F$36)+L284</f>
        <v>665.6997</v>
      </c>
      <c r="M285" s="114" t="n">
        <f aca="false">SUMPRODUCT(M258:M282,$F$12:$F$36)+M284</f>
        <v>1600</v>
      </c>
      <c r="N285" s="114" t="n">
        <f aca="false">SUMPRODUCT(N258:N282,$F$12:$F$36)+N284</f>
        <v>2200</v>
      </c>
      <c r="O285" s="114" t="n">
        <f aca="false">SUMPRODUCT(O258:O282,$F$12:$F$36)+O284</f>
        <v>3102.7433</v>
      </c>
      <c r="P285" s="115" t="n">
        <f aca="false">SUMPRODUCT(P258:P282,$F$12:$F$36)+P284</f>
        <v>3400</v>
      </c>
      <c r="Q285" s="115" t="n">
        <f aca="false">SUMPRODUCT(Q258:Q282,$F$12:$F$36)+Q284</f>
        <v>4000</v>
      </c>
      <c r="R285" s="115" t="n">
        <f aca="false">SUMPRODUCT(R258:R282,$F$12:$F$36)+R284</f>
        <v>4000</v>
      </c>
      <c r="S285" s="115" t="n">
        <f aca="false">SUMPRODUCT(S258:S282,$F$12:$F$36)+S284</f>
        <v>4000</v>
      </c>
      <c r="T285" s="115" t="n">
        <f aca="false">SUMPRODUCT(T258:T282,$F$12:$F$36)+T284</f>
        <v>4000</v>
      </c>
      <c r="U285" s="115" t="n">
        <f aca="false">SUMPRODUCT(U258:U282,$F$12:$F$36)+U284</f>
        <v>4000</v>
      </c>
      <c r="V285" s="115" t="n">
        <f aca="false">SUMPRODUCT(V258:V282,$F$12:$F$36)+V284</f>
        <v>4000</v>
      </c>
      <c r="W285" s="115" t="n">
        <f aca="false">SUMPRODUCT(W258:W282,$F$12:$F$36)+W284</f>
        <v>4000</v>
      </c>
      <c r="X285" s="115" t="n">
        <f aca="false">SUMPRODUCT(X258:X282,$F$12:$F$36)+X284</f>
        <v>4000</v>
      </c>
      <c r="Y285" s="115" t="n">
        <f aca="false">SUMPRODUCT(Y258:Y282,$F$12:$F$36)+Y284</f>
        <v>4000</v>
      </c>
      <c r="Z285" s="115" t="n">
        <f aca="false">SUMPRODUCT(Z258:Z282,$F$12:$F$36)+Z284</f>
        <v>4000</v>
      </c>
      <c r="AA285" s="115" t="n">
        <f aca="false">SUMPRODUCT(AA258:AA282,$F$12:$F$36)+AA284</f>
        <v>4000</v>
      </c>
      <c r="AB285" s="115" t="n">
        <f aca="false">SUMPRODUCT(AB258:AB282,$F$12:$F$36)+AB284</f>
        <v>4000</v>
      </c>
      <c r="AC285" s="115" t="n">
        <f aca="false">SUMPRODUCT(AC258:AC282,$F$12:$F$36)+AC284</f>
        <v>4000</v>
      </c>
      <c r="AD285" s="115" t="n">
        <f aca="false">SUMPRODUCT(AD258:AD282,$F$12:$F$36)+AD284</f>
        <v>4000</v>
      </c>
      <c r="AE285" s="115" t="n">
        <f aca="false">SUMPRODUCT(AE258:AE282,$F$12:$F$36)+AE284</f>
        <v>4000</v>
      </c>
      <c r="AF285" s="115" t="n">
        <f aca="false">SUMPRODUCT(AF258:AF282,$F$12:$F$36)+AF284</f>
        <v>4000</v>
      </c>
      <c r="AG285" s="115" t="n">
        <f aca="false">SUMPRODUCT(AG258:AG282,$F$12:$F$36)+AG284</f>
        <v>4000</v>
      </c>
      <c r="AI285" s="115" t="n">
        <f aca="false">INDEX($F285:$AG285,1,MATCH(AI$7,$F$7:$AG$7,1))</f>
        <v>123.1825</v>
      </c>
      <c r="AJ285" s="115" t="n">
        <f aca="false">INDEX($F285:$AG285,1,MATCH(AJ$7,$F$7:$AG$7,1))</f>
        <v>1600</v>
      </c>
      <c r="AK285" s="115" t="n">
        <f aca="false">INDEX($F285:$AG285,1,MATCH(AK$7,$F$7:$AG$7,1))</f>
        <v>4000</v>
      </c>
      <c r="AL285" s="115" t="n">
        <f aca="false">INDEX($F285:$AG285,1,MATCH(AL$7,$F$7:$AG$7,1))</f>
        <v>4000</v>
      </c>
      <c r="AM285" s="115" t="n">
        <f aca="false">INDEX($F285:$AG285,1,MATCH(AM$7,$F$7:$AG$7,1))</f>
        <v>4000</v>
      </c>
      <c r="AN285" s="115" t="n">
        <f aca="false">INDEX($F285:$AG285,1,MATCH(AN$7,$F$7:$AG$7,1))</f>
        <v>4000</v>
      </c>
      <c r="AO285" s="115" t="n">
        <f aca="false">INDEX($F285:$AG285,1,MATCH(AO$7,$F$7:$AG$7,1))</f>
        <v>4000</v>
      </c>
    </row>
    <row r="286" customFormat="false" ht="15" hidden="false" customHeight="false" outlineLevel="0" collapsed="false">
      <c r="A286" s="107" t="s">
        <v>1702</v>
      </c>
      <c r="B286" s="22" t="s">
        <v>664</v>
      </c>
      <c r="C286" s="22" t="s">
        <v>540</v>
      </c>
      <c r="D286" s="22"/>
      <c r="F286" s="112" t="n">
        <f aca="false">SUMPRODUCT(F258:F282,$F$12:$F$36,$G$12:$G$36)+F284*INDEX(OwnedSh,1,F$7-FYBase)</f>
        <v>0</v>
      </c>
      <c r="G286" s="112" t="n">
        <f aca="false">SUMPRODUCT(G258:G282,$F$12:$F$36,$G$12:$G$36)+G284*INDEX(OwnedSh,1,G$7-FYBase)</f>
        <v>0</v>
      </c>
      <c r="H286" s="112" t="n">
        <f aca="false">SUMPRODUCT(H258:H282,$F$12:$F$36,$G$12:$G$36)+H284*INDEX(OwnedSh,1,H$7-FYBase)</f>
        <v>0</v>
      </c>
      <c r="I286" s="112" t="n">
        <f aca="false">SUMPRODUCT(I258:I282,$F$12:$F$36,$G$12:$G$36)+I284*INDEX(OwnedSh,1,I$7-FYBase)</f>
        <v>68.1825</v>
      </c>
      <c r="J286" s="112" t="n">
        <f aca="false">SUMPRODUCT(J258:J282,$F$12:$F$36,$G$12:$G$36)+J284*INDEX(OwnedSh,1,J$7-FYBase)</f>
        <v>68.1825</v>
      </c>
      <c r="K286" s="112" t="n">
        <f aca="false">SUMPRODUCT(K258:K282,$F$12:$F$36,$G$12:$G$36)+K284*INDEX(OwnedSh,1,K$7-FYBase)</f>
        <v>68.1825</v>
      </c>
      <c r="L286" s="112" t="n">
        <f aca="false">SUMPRODUCT(L258:L282,$F$12:$F$36,$G$12:$G$36)+L284*INDEX(OwnedSh,1,L$7-FYBase)</f>
        <v>290.3925</v>
      </c>
      <c r="M286" s="112" t="n">
        <f aca="false">SUMPRODUCT(M258:M282,$F$12:$F$36,$G$12:$G$36)+M284*INDEX(OwnedSh,1,M$7-FYBase)</f>
        <v>1192.87059</v>
      </c>
      <c r="N286" s="112" t="n">
        <f aca="false">SUMPRODUCT(N258:N282,$F$12:$F$36,$G$12:$G$36)+N284*INDEX(OwnedSh,1,N$7-FYBase)</f>
        <v>1482.19139</v>
      </c>
      <c r="O286" s="112" t="n">
        <f aca="false">SUMPRODUCT(O258:O282,$F$12:$F$36,$G$12:$G$36)+O284*INDEX(OwnedSh,1,O$7-FYBase)</f>
        <v>2398.5205</v>
      </c>
      <c r="P286" s="109" t="n">
        <f aca="false">SUMPRODUCT(P258:P282,$F$12:$F$36,$G$12:$G$36)+P284*INDEX(OwnedSh,1,P$7-FYBase)</f>
        <v>2472.69751</v>
      </c>
      <c r="Q286" s="109" t="n">
        <f aca="false">SUMPRODUCT(Q258:Q282,$F$12:$F$36,$G$12:$G$36)+Q284*INDEX(OwnedSh,1,Q$7-FYBase)</f>
        <v>2652.69751</v>
      </c>
      <c r="R286" s="109" t="n">
        <f aca="false">SUMPRODUCT(R258:R282,$F$12:$F$36,$G$12:$G$36)+R284*INDEX(OwnedSh,1,R$7-FYBase)</f>
        <v>2822.14885</v>
      </c>
      <c r="S286" s="109" t="n">
        <f aca="false">SUMPRODUCT(S258:S282,$F$12:$F$36,$G$12:$G$36)+S284*INDEX(OwnedSh,1,S$7-FYBase)</f>
        <v>2822.14885</v>
      </c>
      <c r="T286" s="109" t="n">
        <f aca="false">SUMPRODUCT(T258:T282,$F$12:$F$36,$G$12:$G$36)+T284*INDEX(OwnedSh,1,T$7-FYBase)</f>
        <v>2822.14885</v>
      </c>
      <c r="U286" s="109" t="n">
        <f aca="false">SUMPRODUCT(U258:U282,$F$12:$F$36,$G$12:$G$36)+U284*INDEX(OwnedSh,1,U$7-FYBase)</f>
        <v>2822.14885</v>
      </c>
      <c r="V286" s="109" t="n">
        <f aca="false">SUMPRODUCT(V258:V282,$F$12:$F$36,$G$12:$G$36)+V284*INDEX(OwnedSh,1,V$7-FYBase)</f>
        <v>2949.237355</v>
      </c>
      <c r="W286" s="109" t="n">
        <f aca="false">SUMPRODUCT(W258:W282,$F$12:$F$36,$G$12:$G$36)+W284*INDEX(OwnedSh,1,W$7-FYBase)</f>
        <v>2949.237355</v>
      </c>
      <c r="X286" s="109" t="n">
        <f aca="false">SUMPRODUCT(X258:X282,$F$12:$F$36,$G$12:$G$36)+X284*INDEX(OwnedSh,1,X$7-FYBase)</f>
        <v>2949.237355</v>
      </c>
      <c r="Y286" s="109" t="n">
        <f aca="false">SUMPRODUCT(Y258:Y282,$F$12:$F$36,$G$12:$G$36)+Y284*INDEX(OwnedSh,1,Y$7-FYBase)</f>
        <v>2949.237355</v>
      </c>
      <c r="Z286" s="109" t="n">
        <f aca="false">SUMPRODUCT(Z258:Z282,$F$12:$F$36,$G$12:$G$36)+Z284*INDEX(OwnedSh,1,Z$7-FYBase)</f>
        <v>2991.60019</v>
      </c>
      <c r="AA286" s="109" t="n">
        <f aca="false">SUMPRODUCT(AA258:AA282,$F$12:$F$36,$G$12:$G$36)+AA284*INDEX(OwnedSh,1,AA$7-FYBase)</f>
        <v>2991.60019</v>
      </c>
      <c r="AB286" s="109" t="n">
        <f aca="false">SUMPRODUCT(AB258:AB282,$F$12:$F$36,$G$12:$G$36)+AB284*INDEX(OwnedSh,1,AB$7-FYBase)</f>
        <v>2991.60019</v>
      </c>
      <c r="AC286" s="109" t="n">
        <f aca="false">SUMPRODUCT(AC258:AC282,$F$12:$F$36,$G$12:$G$36)+AC284*INDEX(OwnedSh,1,AC$7-FYBase)</f>
        <v>2991.60019</v>
      </c>
      <c r="AD286" s="109" t="n">
        <f aca="false">SUMPRODUCT(AD258:AD282,$F$12:$F$36,$G$12:$G$36)+AD284*INDEX(OwnedSh,1,AD$7-FYBase)</f>
        <v>3033.963025</v>
      </c>
      <c r="AE286" s="109" t="n">
        <f aca="false">SUMPRODUCT(AE258:AE282,$F$12:$F$36,$G$12:$G$36)+AE284*INDEX(OwnedSh,1,AE$7-FYBase)</f>
        <v>3033.963025</v>
      </c>
      <c r="AF286" s="109" t="n">
        <f aca="false">SUMPRODUCT(AF258:AF282,$F$12:$F$36,$G$12:$G$36)+AF284*INDEX(OwnedSh,1,AF$7-FYBase)</f>
        <v>3033.963025</v>
      </c>
      <c r="AG286" s="109" t="n">
        <f aca="false">SUMPRODUCT(AG258:AG282,$F$12:$F$36,$G$12:$G$36)+AG284*INDEX(OwnedSh,1,AG$7-FYBase)</f>
        <v>3033.963025</v>
      </c>
      <c r="AI286" s="109" t="n">
        <f aca="false">INDEX($F286:$AG286,1,MATCH(AI$7,$F$7:$AG$7,1))</f>
        <v>68.1825</v>
      </c>
      <c r="AJ286" s="109" t="n">
        <f aca="false">INDEX($F286:$AG286,1,MATCH(AJ$7,$F$7:$AG$7,1))</f>
        <v>1192.87059</v>
      </c>
      <c r="AK286" s="109" t="n">
        <f aca="false">INDEX($F286:$AG286,1,MATCH(AK$7,$F$7:$AG$7,1))</f>
        <v>2652.69751</v>
      </c>
      <c r="AL286" s="109" t="n">
        <f aca="false">INDEX($F286:$AG286,1,MATCH(AL$7,$F$7:$AG$7,1))</f>
        <v>2822.14885</v>
      </c>
      <c r="AM286" s="109" t="n">
        <f aca="false">INDEX($F286:$AG286,1,MATCH(AM$7,$F$7:$AG$7,1))</f>
        <v>2949.237355</v>
      </c>
      <c r="AN286" s="109" t="n">
        <f aca="false">INDEX($F286:$AG286,1,MATCH(AN$7,$F$7:$AG$7,1))</f>
        <v>2991.60019</v>
      </c>
      <c r="AO286" s="109" t="n">
        <f aca="false">INDEX($F286:$AG286,1,MATCH(AO$7,$F$7:$AG$7,1))</f>
        <v>3033.963025</v>
      </c>
    </row>
    <row r="288" customFormat="false" ht="15" hidden="false" customHeight="false" outlineLevel="0" collapsed="false">
      <c r="A288" s="58" t="s">
        <v>1703</v>
      </c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</row>
    <row r="289" customFormat="false" ht="15" hidden="false" customHeight="false" outlineLevel="0" collapsed="false">
      <c r="A289" s="107" t="s">
        <v>1424</v>
      </c>
      <c r="B289" s="22" t="s">
        <v>664</v>
      </c>
      <c r="C289" s="22" t="s">
        <v>558</v>
      </c>
      <c r="D289" s="22"/>
      <c r="F289" s="109" t="n">
        <f aca="false">IF(F$5&lt;=LastHist,F46,CHOOSE(Scen,F49,F46,F43))</f>
        <v>0</v>
      </c>
      <c r="G289" s="109" t="n">
        <f aca="false">IF(G$5&lt;=LastHist,G46,CHOOSE(Scen,G49,G46,G43))</f>
        <v>0</v>
      </c>
      <c r="H289" s="109" t="n">
        <f aca="false">IF(H$5&lt;=LastHist,H46,CHOOSE(Scen,H49,H46,H43))</f>
        <v>0</v>
      </c>
      <c r="I289" s="109" t="n">
        <f aca="false">IF(I$5&lt;=LastHist,I46,CHOOSE(Scen,I49,I46,I43))</f>
        <v>0</v>
      </c>
      <c r="J289" s="109" t="n">
        <f aca="false">IF(J$5&lt;=LastHist,J46,CHOOSE(Scen,J49,J46,J43))</f>
        <v>0</v>
      </c>
      <c r="K289" s="109" t="n">
        <f aca="false">IF(K$5&lt;=LastHist,K46,CHOOSE(Scen,K49,K46,K43))</f>
        <v>0</v>
      </c>
      <c r="L289" s="109" t="n">
        <f aca="false">IF(L$5&lt;=LastHist,L46,CHOOSE(Scen,L49,L46,L43))</f>
        <v>0</v>
      </c>
      <c r="M289" s="109" t="n">
        <f aca="false">IF(M$5&lt;=LastHist,M46,CHOOSE(Scen,M49,M46,M43))</f>
        <v>26.2</v>
      </c>
      <c r="N289" s="109" t="n">
        <f aca="false">IF(N$5&lt;=LastHist,N46,CHOOSE(Scen,N49,N46,N43))</f>
        <v>37.5</v>
      </c>
      <c r="O289" s="109" t="n">
        <f aca="false">IF(O$5&lt;=LastHist,O46,CHOOSE(Scen,O49,O46,O43))</f>
        <v>39</v>
      </c>
      <c r="P289" s="109" t="n">
        <f aca="false">IF(P$5&lt;=LastHist,P46,CHOOSE(Scen,P49,P46,P43))</f>
        <v>66</v>
      </c>
      <c r="Q289" s="109" t="n">
        <f aca="false">IF(Q$5&lt;=LastHist,Q46,CHOOSE(Scen,Q49,Q46,Q43))</f>
        <v>81.8</v>
      </c>
      <c r="R289" s="109" t="n">
        <f aca="false">IF(R$5&lt;=LastHist,R46,CHOOSE(Scen,R49,R46,R43))</f>
        <v>118.5</v>
      </c>
      <c r="S289" s="109" t="n">
        <f aca="false">IF(S$5&lt;=LastHist,S46,CHOOSE(Scen,S49,S46,S43))</f>
        <v>168.5</v>
      </c>
      <c r="T289" s="109" t="n">
        <f aca="false">IF(T$5&lt;=LastHist,T46,CHOOSE(Scen,T49,T46,T43))</f>
        <v>200</v>
      </c>
      <c r="U289" s="109" t="n">
        <f aca="false">IF(U$5&lt;=LastHist,U46,CHOOSE(Scen,U49,U46,U43))</f>
        <v>235</v>
      </c>
      <c r="V289" s="109" t="n">
        <f aca="false">IF(V$5&lt;=LastHist,V46,CHOOSE(Scen,V49,V46,V43))</f>
        <v>235</v>
      </c>
      <c r="W289" s="109" t="n">
        <f aca="false">IF(W$5&lt;=LastHist,W46,CHOOSE(Scen,W49,W46,W43))</f>
        <v>235</v>
      </c>
      <c r="X289" s="109" t="n">
        <f aca="false">IF(X$5&lt;=LastHist,X46,CHOOSE(Scen,X49,X46,X43))</f>
        <v>235</v>
      </c>
      <c r="Y289" s="109" t="n">
        <f aca="false">IF(Y$5&lt;=LastHist,Y46,CHOOSE(Scen,Y49,Y46,Y43))</f>
        <v>235</v>
      </c>
      <c r="Z289" s="109" t="n">
        <f aca="false">IF(Z$5&lt;=LastHist,Z46,CHOOSE(Scen,Z49,Z46,Z43))</f>
        <v>235</v>
      </c>
      <c r="AA289" s="109" t="n">
        <f aca="false">IF(AA$5&lt;=LastHist,AA46,CHOOSE(Scen,AA49,AA46,AA43))</f>
        <v>235</v>
      </c>
      <c r="AB289" s="109" t="n">
        <f aca="false">IF(AB$5&lt;=LastHist,AB46,CHOOSE(Scen,AB49,AB46,AB43))</f>
        <v>235</v>
      </c>
      <c r="AC289" s="109" t="n">
        <f aca="false">IF(AC$5&lt;=LastHist,AC46,CHOOSE(Scen,AC49,AC46,AC43))</f>
        <v>235</v>
      </c>
      <c r="AD289" s="109" t="n">
        <f aca="false">IF(AD$5&lt;=LastHist,AD46,CHOOSE(Scen,AD49,AD46,AD43))</f>
        <v>235</v>
      </c>
      <c r="AE289" s="109" t="n">
        <f aca="false">IF(AE$5&lt;=LastHist,AE46,CHOOSE(Scen,AE49,AE46,AE43))</f>
        <v>235</v>
      </c>
      <c r="AF289" s="109" t="n">
        <f aca="false">IF(AF$5&lt;=LastHist,AF46,CHOOSE(Scen,AF49,AF46,AF43))</f>
        <v>235</v>
      </c>
      <c r="AG289" s="109" t="n">
        <f aca="false">IF(AG$5&lt;=LastHist,AG46,CHOOSE(Scen,AG49,AG46,AG43))</f>
        <v>235</v>
      </c>
      <c r="AI289" s="109" t="n">
        <f aca="false">INDEX($F289:$AG289,1,MATCH(AI$7,$F$7:$AG$7,1))</f>
        <v>0</v>
      </c>
      <c r="AJ289" s="109" t="n">
        <f aca="false">INDEX($F289:$AG289,1,MATCH(AJ$7,$F$7:$AG$7,1))</f>
        <v>26.2</v>
      </c>
      <c r="AK289" s="109" t="n">
        <f aca="false">INDEX($F289:$AG289,1,MATCH(AK$7,$F$7:$AG$7,1))</f>
        <v>81.8</v>
      </c>
      <c r="AL289" s="109" t="n">
        <f aca="false">INDEX($F289:$AG289,1,MATCH(AL$7,$F$7:$AG$7,1))</f>
        <v>235</v>
      </c>
      <c r="AM289" s="109" t="n">
        <f aca="false">INDEX($F289:$AG289,1,MATCH(AM$7,$F$7:$AG$7,1))</f>
        <v>235</v>
      </c>
      <c r="AN289" s="109" t="n">
        <f aca="false">INDEX($F289:$AG289,1,MATCH(AN$7,$F$7:$AG$7,1))</f>
        <v>235</v>
      </c>
      <c r="AO289" s="109" t="n">
        <f aca="false">INDEX($F289:$AG289,1,MATCH(AO$7,$F$7:$AG$7,1))</f>
        <v>235</v>
      </c>
    </row>
    <row r="290" customFormat="false" ht="15" hidden="false" customHeight="false" outlineLevel="0" collapsed="false">
      <c r="A290" s="107" t="s">
        <v>1431</v>
      </c>
      <c r="B290" s="22" t="s">
        <v>664</v>
      </c>
      <c r="C290" s="22" t="s">
        <v>558</v>
      </c>
      <c r="D290" s="22"/>
      <c r="F290" s="109" t="n">
        <f aca="false">IF(F$5&lt;=LastHist,F55,CHOOSE(Scen,F58,F55,F52))</f>
        <v>0</v>
      </c>
      <c r="G290" s="109" t="n">
        <f aca="false">IF(G$5&lt;=LastHist,G55,CHOOSE(Scen,G58,G55,G52))</f>
        <v>0</v>
      </c>
      <c r="H290" s="109" t="n">
        <f aca="false">IF(H$5&lt;=LastHist,H55,CHOOSE(Scen,H58,H55,H52))</f>
        <v>0</v>
      </c>
      <c r="I290" s="109" t="n">
        <f aca="false">IF(I$5&lt;=LastHist,I55,CHOOSE(Scen,I58,I55,I52))</f>
        <v>0</v>
      </c>
      <c r="J290" s="109" t="n">
        <f aca="false">IF(J$5&lt;=LastHist,J55,CHOOSE(Scen,J58,J55,J52))</f>
        <v>0</v>
      </c>
      <c r="K290" s="109" t="n">
        <f aca="false">IF(K$5&lt;=LastHist,K55,CHOOSE(Scen,K58,K55,K52))</f>
        <v>0</v>
      </c>
      <c r="L290" s="109" t="n">
        <f aca="false">IF(L$5&lt;=LastHist,L55,CHOOSE(Scen,L58,L55,L52))</f>
        <v>0</v>
      </c>
      <c r="M290" s="109" t="n">
        <f aca="false">IF(M$5&lt;=LastHist,M55,CHOOSE(Scen,M58,M55,M52))</f>
        <v>0</v>
      </c>
      <c r="N290" s="109" t="n">
        <f aca="false">IF(N$5&lt;=LastHist,N55,CHOOSE(Scen,N58,N55,N52))</f>
        <v>0</v>
      </c>
      <c r="O290" s="109" t="n">
        <f aca="false">IF(O$5&lt;=LastHist,O55,CHOOSE(Scen,O58,O55,O52))</f>
        <v>0</v>
      </c>
      <c r="P290" s="109" t="n">
        <f aca="false">IF(P$5&lt;=LastHist,P55,CHOOSE(Scen,P58,P55,P52))</f>
        <v>0</v>
      </c>
      <c r="Q290" s="109" t="n">
        <f aca="false">IF(Q$5&lt;=LastHist,Q55,CHOOSE(Scen,Q58,Q55,Q52))</f>
        <v>0</v>
      </c>
      <c r="R290" s="109" t="n">
        <f aca="false">IF(R$5&lt;=LastHist,R55,CHOOSE(Scen,R58,R55,R52))</f>
        <v>0</v>
      </c>
      <c r="S290" s="109" t="n">
        <f aca="false">IF(S$5&lt;=LastHist,S55,CHOOSE(Scen,S58,S55,S52))</f>
        <v>0</v>
      </c>
      <c r="T290" s="109" t="n">
        <f aca="false">IF(T$5&lt;=LastHist,T55,CHOOSE(Scen,T58,T55,T52))</f>
        <v>50</v>
      </c>
      <c r="U290" s="109" t="n">
        <f aca="false">IF(U$5&lt;=LastHist,U55,CHOOSE(Scen,U58,U55,U52))</f>
        <v>125</v>
      </c>
      <c r="V290" s="109" t="n">
        <f aca="false">IF(V$5&lt;=LastHist,V55,CHOOSE(Scen,V58,V55,V52))</f>
        <v>125</v>
      </c>
      <c r="W290" s="109" t="n">
        <f aca="false">IF(W$5&lt;=LastHist,W55,CHOOSE(Scen,W58,W55,W52))</f>
        <v>175</v>
      </c>
      <c r="X290" s="109" t="n">
        <f aca="false">IF(X$5&lt;=LastHist,X55,CHOOSE(Scen,X58,X55,X52))</f>
        <v>175</v>
      </c>
      <c r="Y290" s="109" t="n">
        <f aca="false">IF(Y$5&lt;=LastHist,Y55,CHOOSE(Scen,Y58,Y55,Y52))</f>
        <v>225</v>
      </c>
      <c r="Z290" s="109" t="n">
        <f aca="false">IF(Z$5&lt;=LastHist,Z55,CHOOSE(Scen,Z58,Z55,Z52))</f>
        <v>225</v>
      </c>
      <c r="AA290" s="109" t="n">
        <f aca="false">IF(AA$5&lt;=LastHist,AA55,CHOOSE(Scen,AA58,AA55,AA52))</f>
        <v>450</v>
      </c>
      <c r="AB290" s="109" t="n">
        <f aca="false">IF(AB$5&lt;=LastHist,AB55,CHOOSE(Scen,AB58,AB55,AB52))</f>
        <v>450</v>
      </c>
      <c r="AC290" s="109" t="n">
        <f aca="false">IF(AC$5&lt;=LastHist,AC55,CHOOSE(Scen,AC58,AC55,AC52))</f>
        <v>650</v>
      </c>
      <c r="AD290" s="109" t="n">
        <f aca="false">IF(AD$5&lt;=LastHist,AD55,CHOOSE(Scen,AD58,AD55,AD52))</f>
        <v>650</v>
      </c>
      <c r="AE290" s="109" t="n">
        <f aca="false">IF(AE$5&lt;=LastHist,AE55,CHOOSE(Scen,AE58,AE55,AE52))</f>
        <v>650</v>
      </c>
      <c r="AF290" s="109" t="n">
        <f aca="false">IF(AF$5&lt;=LastHist,AF55,CHOOSE(Scen,AF58,AF55,AF52))</f>
        <v>650</v>
      </c>
      <c r="AG290" s="109" t="n">
        <f aca="false">IF(AG$5&lt;=LastHist,AG55,CHOOSE(Scen,AG58,AG55,AG52))</f>
        <v>950</v>
      </c>
      <c r="AI290" s="109" t="n">
        <f aca="false">INDEX($F290:$AG290,1,MATCH(AI$7,$F$7:$AG$7,1))</f>
        <v>0</v>
      </c>
      <c r="AJ290" s="109" t="n">
        <f aca="false">INDEX($F290:$AG290,1,MATCH(AJ$7,$F$7:$AG$7,1))</f>
        <v>0</v>
      </c>
      <c r="AK290" s="109" t="n">
        <f aca="false">INDEX($F290:$AG290,1,MATCH(AK$7,$F$7:$AG$7,1))</f>
        <v>0</v>
      </c>
      <c r="AL290" s="109" t="n">
        <f aca="false">INDEX($F290:$AG290,1,MATCH(AL$7,$F$7:$AG$7,1))</f>
        <v>125</v>
      </c>
      <c r="AM290" s="109" t="n">
        <f aca="false">INDEX($F290:$AG290,1,MATCH(AM$7,$F$7:$AG$7,1))</f>
        <v>225</v>
      </c>
      <c r="AN290" s="109" t="n">
        <f aca="false">INDEX($F290:$AG290,1,MATCH(AN$7,$F$7:$AG$7,1))</f>
        <v>650</v>
      </c>
      <c r="AO290" s="109" t="n">
        <f aca="false">INDEX($F290:$AG290,1,MATCH(AO$7,$F$7:$AG$7,1))</f>
        <v>950</v>
      </c>
    </row>
    <row r="291" customFormat="false" ht="15" hidden="false" customHeight="false" outlineLevel="0" collapsed="false">
      <c r="A291" s="107" t="s">
        <v>1437</v>
      </c>
      <c r="B291" s="22" t="s">
        <v>664</v>
      </c>
      <c r="C291" s="22" t="s">
        <v>558</v>
      </c>
      <c r="D291" s="22"/>
      <c r="F291" s="109" t="n">
        <f aca="false">IF(F$5&lt;=LastHist,F64,CHOOSE(Scen,F67,F64,F61))</f>
        <v>0</v>
      </c>
      <c r="G291" s="109" t="n">
        <f aca="false">IF(G$5&lt;=LastHist,G64,CHOOSE(Scen,G67,G64,G61))</f>
        <v>0</v>
      </c>
      <c r="H291" s="109" t="n">
        <f aca="false">IF(H$5&lt;=LastHist,H64,CHOOSE(Scen,H67,H64,H61))</f>
        <v>0</v>
      </c>
      <c r="I291" s="109" t="n">
        <f aca="false">IF(I$5&lt;=LastHist,I64,CHOOSE(Scen,I67,I64,I61))</f>
        <v>0</v>
      </c>
      <c r="J291" s="109" t="n">
        <f aca="false">IF(J$5&lt;=LastHist,J64,CHOOSE(Scen,J67,J64,J61))</f>
        <v>0</v>
      </c>
      <c r="K291" s="109" t="n">
        <f aca="false">IF(K$5&lt;=LastHist,K64,CHOOSE(Scen,K67,K64,K61))</f>
        <v>0</v>
      </c>
      <c r="L291" s="109" t="n">
        <f aca="false">IF(L$5&lt;=LastHist,L64,CHOOSE(Scen,L67,L64,L61))</f>
        <v>0</v>
      </c>
      <c r="M291" s="109" t="n">
        <f aca="false">IF(M$5&lt;=LastHist,M64,CHOOSE(Scen,M67,M64,M61))</f>
        <v>0</v>
      </c>
      <c r="N291" s="109" t="n">
        <f aca="false">IF(N$5&lt;=LastHist,N64,CHOOSE(Scen,N67,N64,N61))</f>
        <v>0</v>
      </c>
      <c r="O291" s="109" t="n">
        <f aca="false">IF(O$5&lt;=LastHist,O64,CHOOSE(Scen,O67,O64,O61))</f>
        <v>0</v>
      </c>
      <c r="P291" s="109" t="n">
        <f aca="false">IF(P$5&lt;=LastHist,P64,CHOOSE(Scen,P67,P64,P61))</f>
        <v>0</v>
      </c>
      <c r="Q291" s="109" t="n">
        <f aca="false">IF(Q$5&lt;=LastHist,Q64,CHOOSE(Scen,Q67,Q64,Q61))</f>
        <v>0</v>
      </c>
      <c r="R291" s="109" t="n">
        <f aca="false">IF(R$5&lt;=LastHist,R64,CHOOSE(Scen,R67,R64,R61))</f>
        <v>0</v>
      </c>
      <c r="S291" s="109" t="n">
        <f aca="false">IF(S$5&lt;=LastHist,S64,CHOOSE(Scen,S67,S64,S61))</f>
        <v>0</v>
      </c>
      <c r="T291" s="109" t="n">
        <f aca="false">IF(T$5&lt;=LastHist,T64,CHOOSE(Scen,T67,T64,T61))</f>
        <v>0</v>
      </c>
      <c r="U291" s="109" t="n">
        <f aca="false">IF(U$5&lt;=LastHist,U64,CHOOSE(Scen,U67,U64,U61))</f>
        <v>65</v>
      </c>
      <c r="V291" s="109" t="n">
        <f aca="false">IF(V$5&lt;=LastHist,V64,CHOOSE(Scen,V67,V64,V61))</f>
        <v>130</v>
      </c>
      <c r="W291" s="109" t="n">
        <f aca="false">IF(W$5&lt;=LastHist,W64,CHOOSE(Scen,W67,W64,W61))</f>
        <v>130</v>
      </c>
      <c r="X291" s="109" t="n">
        <f aca="false">IF(X$5&lt;=LastHist,X64,CHOOSE(Scen,X67,X64,X61))</f>
        <v>130</v>
      </c>
      <c r="Y291" s="109" t="n">
        <f aca="false">IF(Y$5&lt;=LastHist,Y64,CHOOSE(Scen,Y67,Y64,Y61))</f>
        <v>265</v>
      </c>
      <c r="Z291" s="109" t="n">
        <f aca="false">IF(Z$5&lt;=LastHist,Z64,CHOOSE(Scen,Z67,Z64,Z61))</f>
        <v>265</v>
      </c>
      <c r="AA291" s="109" t="n">
        <f aca="false">IF(AA$5&lt;=LastHist,AA64,CHOOSE(Scen,AA67,AA64,AA61))</f>
        <v>460</v>
      </c>
      <c r="AB291" s="109" t="n">
        <f aca="false">IF(AB$5&lt;=LastHist,AB64,CHOOSE(Scen,AB67,AB64,AB61))</f>
        <v>460</v>
      </c>
      <c r="AC291" s="109" t="n">
        <f aca="false">IF(AC$5&lt;=LastHist,AC64,CHOOSE(Scen,AC67,AC64,AC61))</f>
        <v>700</v>
      </c>
      <c r="AD291" s="109" t="n">
        <f aca="false">IF(AD$5&lt;=LastHist,AD64,CHOOSE(Scen,AD67,AD64,AD61))</f>
        <v>700</v>
      </c>
      <c r="AE291" s="109" t="n">
        <f aca="false">IF(AE$5&lt;=LastHist,AE64,CHOOSE(Scen,AE67,AE64,AE61))</f>
        <v>700</v>
      </c>
      <c r="AF291" s="109" t="n">
        <f aca="false">IF(AF$5&lt;=LastHist,AF64,CHOOSE(Scen,AF67,AF64,AF61))</f>
        <v>700</v>
      </c>
      <c r="AG291" s="109" t="n">
        <f aca="false">IF(AG$5&lt;=LastHist,AG64,CHOOSE(Scen,AG67,AG64,AG61))</f>
        <v>930</v>
      </c>
      <c r="AI291" s="109" t="n">
        <f aca="false">INDEX($F291:$AG291,1,MATCH(AI$7,$F$7:$AG$7,1))</f>
        <v>0</v>
      </c>
      <c r="AJ291" s="109" t="n">
        <f aca="false">INDEX($F291:$AG291,1,MATCH(AJ$7,$F$7:$AG$7,1))</f>
        <v>0</v>
      </c>
      <c r="AK291" s="109" t="n">
        <f aca="false">INDEX($F291:$AG291,1,MATCH(AK$7,$F$7:$AG$7,1))</f>
        <v>0</v>
      </c>
      <c r="AL291" s="109" t="n">
        <f aca="false">INDEX($F291:$AG291,1,MATCH(AL$7,$F$7:$AG$7,1))</f>
        <v>65</v>
      </c>
      <c r="AM291" s="109" t="n">
        <f aca="false">INDEX($F291:$AG291,1,MATCH(AM$7,$F$7:$AG$7,1))</f>
        <v>265</v>
      </c>
      <c r="AN291" s="109" t="n">
        <f aca="false">INDEX($F291:$AG291,1,MATCH(AN$7,$F$7:$AG$7,1))</f>
        <v>700</v>
      </c>
      <c r="AO291" s="109" t="n">
        <f aca="false">INDEX($F291:$AG291,1,MATCH(AO$7,$F$7:$AG$7,1))</f>
        <v>930</v>
      </c>
    </row>
    <row r="292" customFormat="false" ht="15" hidden="false" customHeight="false" outlineLevel="0" collapsed="false">
      <c r="A292" s="107" t="s">
        <v>1438</v>
      </c>
      <c r="B292" s="22" t="s">
        <v>664</v>
      </c>
      <c r="C292" s="22" t="s">
        <v>558</v>
      </c>
      <c r="D292" s="22"/>
      <c r="F292" s="109" t="n">
        <f aca="false">IF(F$5&lt;=LastHist,F73,CHOOSE(Scen,F76,F73,F70))</f>
        <v>0</v>
      </c>
      <c r="G292" s="109" t="n">
        <f aca="false">IF(G$5&lt;=LastHist,G73,CHOOSE(Scen,G76,G73,G70))</f>
        <v>0</v>
      </c>
      <c r="H292" s="109" t="n">
        <f aca="false">IF(H$5&lt;=LastHist,H73,CHOOSE(Scen,H76,H73,H70))</f>
        <v>0</v>
      </c>
      <c r="I292" s="109" t="n">
        <f aca="false">IF(I$5&lt;=LastHist,I73,CHOOSE(Scen,I76,I73,I70))</f>
        <v>0</v>
      </c>
      <c r="J292" s="109" t="n">
        <f aca="false">IF(J$5&lt;=LastHist,J73,CHOOSE(Scen,J76,J73,J70))</f>
        <v>0</v>
      </c>
      <c r="K292" s="109" t="n">
        <f aca="false">IF(K$5&lt;=LastHist,K73,CHOOSE(Scen,K76,K73,K70))</f>
        <v>0</v>
      </c>
      <c r="L292" s="109" t="n">
        <f aca="false">IF(L$5&lt;=LastHist,L73,CHOOSE(Scen,L76,L73,L70))</f>
        <v>0</v>
      </c>
      <c r="M292" s="109" t="n">
        <f aca="false">IF(M$5&lt;=LastHist,M73,CHOOSE(Scen,M76,M73,M70))</f>
        <v>0</v>
      </c>
      <c r="N292" s="109" t="n">
        <f aca="false">IF(N$5&lt;=LastHist,N73,CHOOSE(Scen,N76,N73,N70))</f>
        <v>0</v>
      </c>
      <c r="O292" s="109" t="n">
        <f aca="false">IF(O$5&lt;=LastHist,O73,CHOOSE(Scen,O76,O73,O70))</f>
        <v>0</v>
      </c>
      <c r="P292" s="109" t="n">
        <f aca="false">IF(P$5&lt;=LastHist,P73,CHOOSE(Scen,P76,P73,P70))</f>
        <v>0</v>
      </c>
      <c r="Q292" s="109" t="n">
        <f aca="false">IF(Q$5&lt;=LastHist,Q73,CHOOSE(Scen,Q76,Q73,Q70))</f>
        <v>0</v>
      </c>
      <c r="R292" s="109" t="n">
        <f aca="false">IF(R$5&lt;=LastHist,R73,CHOOSE(Scen,R76,R73,R70))</f>
        <v>12.5</v>
      </c>
      <c r="S292" s="109" t="n">
        <f aca="false">IF(S$5&lt;=LastHist,S73,CHOOSE(Scen,S76,S73,S70))</f>
        <v>25</v>
      </c>
      <c r="T292" s="109" t="n">
        <f aca="false">IF(T$5&lt;=LastHist,T73,CHOOSE(Scen,T76,T73,T70))</f>
        <v>50</v>
      </c>
      <c r="U292" s="109" t="n">
        <f aca="false">IF(U$5&lt;=LastHist,U73,CHOOSE(Scen,U76,U73,U70))</f>
        <v>75</v>
      </c>
      <c r="V292" s="109" t="n">
        <f aca="false">IF(V$5&lt;=LastHist,V73,CHOOSE(Scen,V76,V73,V70))</f>
        <v>75</v>
      </c>
      <c r="W292" s="109" t="n">
        <f aca="false">IF(W$5&lt;=LastHist,W73,CHOOSE(Scen,W76,W73,W70))</f>
        <v>150</v>
      </c>
      <c r="X292" s="109" t="n">
        <f aca="false">IF(X$5&lt;=LastHist,X73,CHOOSE(Scen,X76,X73,X70))</f>
        <v>150</v>
      </c>
      <c r="Y292" s="109" t="n">
        <f aca="false">IF(Y$5&lt;=LastHist,Y73,CHOOSE(Scen,Y76,Y73,Y70))</f>
        <v>250</v>
      </c>
      <c r="Z292" s="109" t="n">
        <f aca="false">IF(Z$5&lt;=LastHist,Z73,CHOOSE(Scen,Z76,Z73,Z70))</f>
        <v>250</v>
      </c>
      <c r="AA292" s="109" t="n">
        <f aca="false">IF(AA$5&lt;=LastHist,AA73,CHOOSE(Scen,AA76,AA73,AA70))</f>
        <v>250</v>
      </c>
      <c r="AB292" s="109" t="n">
        <f aca="false">IF(AB$5&lt;=LastHist,AB73,CHOOSE(Scen,AB76,AB73,AB70))</f>
        <v>250</v>
      </c>
      <c r="AC292" s="109" t="n">
        <f aca="false">IF(AC$5&lt;=LastHist,AC73,CHOOSE(Scen,AC76,AC73,AC70))</f>
        <v>300</v>
      </c>
      <c r="AD292" s="109" t="n">
        <f aca="false">IF(AD$5&lt;=LastHist,AD73,CHOOSE(Scen,AD76,AD73,AD70))</f>
        <v>300</v>
      </c>
      <c r="AE292" s="109" t="n">
        <f aca="false">IF(AE$5&lt;=LastHist,AE73,CHOOSE(Scen,AE76,AE73,AE70))</f>
        <v>300</v>
      </c>
      <c r="AF292" s="109" t="n">
        <f aca="false">IF(AF$5&lt;=LastHist,AF73,CHOOSE(Scen,AF76,AF73,AF70))</f>
        <v>300</v>
      </c>
      <c r="AG292" s="109" t="n">
        <f aca="false">IF(AG$5&lt;=LastHist,AG73,CHOOSE(Scen,AG76,AG73,AG70))</f>
        <v>300</v>
      </c>
      <c r="AI292" s="109" t="n">
        <f aca="false">INDEX($F292:$AG292,1,MATCH(AI$7,$F$7:$AG$7,1))</f>
        <v>0</v>
      </c>
      <c r="AJ292" s="109" t="n">
        <f aca="false">INDEX($F292:$AG292,1,MATCH(AJ$7,$F$7:$AG$7,1))</f>
        <v>0</v>
      </c>
      <c r="AK292" s="109" t="n">
        <f aca="false">INDEX($F292:$AG292,1,MATCH(AK$7,$F$7:$AG$7,1))</f>
        <v>0</v>
      </c>
      <c r="AL292" s="109" t="n">
        <f aca="false">INDEX($F292:$AG292,1,MATCH(AL$7,$F$7:$AG$7,1))</f>
        <v>75</v>
      </c>
      <c r="AM292" s="109" t="n">
        <f aca="false">INDEX($F292:$AG292,1,MATCH(AM$7,$F$7:$AG$7,1))</f>
        <v>250</v>
      </c>
      <c r="AN292" s="109" t="n">
        <f aca="false">INDEX($F292:$AG292,1,MATCH(AN$7,$F$7:$AG$7,1))</f>
        <v>300</v>
      </c>
      <c r="AO292" s="109" t="n">
        <f aca="false">INDEX($F292:$AG292,1,MATCH(AO$7,$F$7:$AG$7,1))</f>
        <v>300</v>
      </c>
    </row>
    <row r="293" customFormat="false" ht="15" hidden="false" customHeight="false" outlineLevel="0" collapsed="false">
      <c r="A293" s="107" t="s">
        <v>1440</v>
      </c>
      <c r="B293" s="22" t="s">
        <v>664</v>
      </c>
      <c r="C293" s="22" t="s">
        <v>558</v>
      </c>
      <c r="D293" s="22"/>
      <c r="F293" s="109" t="n">
        <f aca="false">IF(F$5&lt;=LastHist,F82,CHOOSE(Scen,F85,F82,F79))</f>
        <v>0</v>
      </c>
      <c r="G293" s="109" t="n">
        <f aca="false">IF(G$5&lt;=LastHist,G82,CHOOSE(Scen,G85,G82,G79))</f>
        <v>0</v>
      </c>
      <c r="H293" s="109" t="n">
        <f aca="false">IF(H$5&lt;=LastHist,H82,CHOOSE(Scen,H85,H82,H79))</f>
        <v>0</v>
      </c>
      <c r="I293" s="109" t="n">
        <f aca="false">IF(I$5&lt;=LastHist,I82,CHOOSE(Scen,I85,I82,I79))</f>
        <v>0</v>
      </c>
      <c r="J293" s="109" t="n">
        <f aca="false">IF(J$5&lt;=LastHist,J82,CHOOSE(Scen,J85,J82,J79))</f>
        <v>0</v>
      </c>
      <c r="K293" s="109" t="n">
        <f aca="false">IF(K$5&lt;=LastHist,K82,CHOOSE(Scen,K85,K82,K79))</f>
        <v>0</v>
      </c>
      <c r="L293" s="109" t="n">
        <f aca="false">IF(L$5&lt;=LastHist,L82,CHOOSE(Scen,L85,L82,L79))</f>
        <v>0</v>
      </c>
      <c r="M293" s="109" t="n">
        <f aca="false">IF(M$5&lt;=LastHist,M82,CHOOSE(Scen,M85,M82,M79))</f>
        <v>0</v>
      </c>
      <c r="N293" s="109" t="n">
        <f aca="false">IF(N$5&lt;=LastHist,N82,CHOOSE(Scen,N85,N82,N79))</f>
        <v>0</v>
      </c>
      <c r="O293" s="109" t="n">
        <f aca="false">IF(O$5&lt;=LastHist,O82,CHOOSE(Scen,O85,O82,O79))</f>
        <v>0</v>
      </c>
      <c r="P293" s="109" t="n">
        <f aca="false">IF(P$5&lt;=LastHist,P82,CHOOSE(Scen,P85,P82,P79))</f>
        <v>0</v>
      </c>
      <c r="Q293" s="109" t="n">
        <f aca="false">IF(Q$5&lt;=LastHist,Q82,CHOOSE(Scen,Q85,Q82,Q79))</f>
        <v>30</v>
      </c>
      <c r="R293" s="109" t="n">
        <f aca="false">IF(R$5&lt;=LastHist,R82,CHOOSE(Scen,R85,R82,R79))</f>
        <v>73.5</v>
      </c>
      <c r="S293" s="109" t="n">
        <f aca="false">IF(S$5&lt;=LastHist,S82,CHOOSE(Scen,S85,S82,S79))</f>
        <v>120</v>
      </c>
      <c r="T293" s="109" t="n">
        <f aca="false">IF(T$5&lt;=LastHist,T82,CHOOSE(Scen,T85,T82,T79))</f>
        <v>120</v>
      </c>
      <c r="U293" s="109" t="n">
        <f aca="false">IF(U$5&lt;=LastHist,U82,CHOOSE(Scen,U85,U82,U79))</f>
        <v>180</v>
      </c>
      <c r="V293" s="109" t="n">
        <f aca="false">IF(V$5&lt;=LastHist,V82,CHOOSE(Scen,V85,V82,V79))</f>
        <v>180</v>
      </c>
      <c r="W293" s="109" t="n">
        <f aca="false">IF(W$5&lt;=LastHist,W82,CHOOSE(Scen,W85,W82,W79))</f>
        <v>180</v>
      </c>
      <c r="X293" s="109" t="n">
        <f aca="false">IF(X$5&lt;=LastHist,X82,CHOOSE(Scen,X85,X82,X79))</f>
        <v>180</v>
      </c>
      <c r="Y293" s="109" t="n">
        <f aca="false">IF(Y$5&lt;=LastHist,Y82,CHOOSE(Scen,Y85,Y82,Y79))</f>
        <v>240</v>
      </c>
      <c r="Z293" s="109" t="n">
        <f aca="false">IF(Z$5&lt;=LastHist,Z82,CHOOSE(Scen,Z85,Z82,Z79))</f>
        <v>240</v>
      </c>
      <c r="AA293" s="109" t="n">
        <f aca="false">IF(AA$5&lt;=LastHist,AA82,CHOOSE(Scen,AA85,AA82,AA79))</f>
        <v>240</v>
      </c>
      <c r="AB293" s="109" t="n">
        <f aca="false">IF(AB$5&lt;=LastHist,AB82,CHOOSE(Scen,AB85,AB82,AB79))</f>
        <v>240</v>
      </c>
      <c r="AC293" s="109" t="n">
        <f aca="false">IF(AC$5&lt;=LastHist,AC82,CHOOSE(Scen,AC85,AC82,AC79))</f>
        <v>240</v>
      </c>
      <c r="AD293" s="109" t="n">
        <f aca="false">IF(AD$5&lt;=LastHist,AD82,CHOOSE(Scen,AD85,AD82,AD79))</f>
        <v>240</v>
      </c>
      <c r="AE293" s="109" t="n">
        <f aca="false">IF(AE$5&lt;=LastHist,AE82,CHOOSE(Scen,AE85,AE82,AE79))</f>
        <v>240</v>
      </c>
      <c r="AF293" s="109" t="n">
        <f aca="false">IF(AF$5&lt;=LastHist,AF82,CHOOSE(Scen,AF85,AF82,AF79))</f>
        <v>240</v>
      </c>
      <c r="AG293" s="109" t="n">
        <f aca="false">IF(AG$5&lt;=LastHist,AG82,CHOOSE(Scen,AG85,AG82,AG79))</f>
        <v>240</v>
      </c>
      <c r="AI293" s="109" t="n">
        <f aca="false">INDEX($F293:$AG293,1,MATCH(AI$7,$F$7:$AG$7,1))</f>
        <v>0</v>
      </c>
      <c r="AJ293" s="109" t="n">
        <f aca="false">INDEX($F293:$AG293,1,MATCH(AJ$7,$F$7:$AG$7,1))</f>
        <v>0</v>
      </c>
      <c r="AK293" s="109" t="n">
        <f aca="false">INDEX($F293:$AG293,1,MATCH(AK$7,$F$7:$AG$7,1))</f>
        <v>30</v>
      </c>
      <c r="AL293" s="109" t="n">
        <f aca="false">INDEX($F293:$AG293,1,MATCH(AL$7,$F$7:$AG$7,1))</f>
        <v>180</v>
      </c>
      <c r="AM293" s="109" t="n">
        <f aca="false">INDEX($F293:$AG293,1,MATCH(AM$7,$F$7:$AG$7,1))</f>
        <v>240</v>
      </c>
      <c r="AN293" s="109" t="n">
        <f aca="false">INDEX($F293:$AG293,1,MATCH(AN$7,$F$7:$AG$7,1))</f>
        <v>240</v>
      </c>
      <c r="AO293" s="109" t="n">
        <f aca="false">INDEX($F293:$AG293,1,MATCH(AO$7,$F$7:$AG$7,1))</f>
        <v>240</v>
      </c>
    </row>
    <row r="294" customFormat="false" ht="15" hidden="false" customHeight="false" outlineLevel="0" collapsed="false">
      <c r="A294" s="107" t="s">
        <v>1443</v>
      </c>
      <c r="B294" s="22" t="s">
        <v>664</v>
      </c>
      <c r="C294" s="22" t="s">
        <v>558</v>
      </c>
      <c r="D294" s="22"/>
      <c r="F294" s="109" t="n">
        <f aca="false">IF(F$5&lt;=LastHist,F91,CHOOSE(Scen,F94,F91,F88))</f>
        <v>0</v>
      </c>
      <c r="G294" s="109" t="n">
        <f aca="false">IF(G$5&lt;=LastHist,G91,CHOOSE(Scen,G94,G91,G88))</f>
        <v>0</v>
      </c>
      <c r="H294" s="109" t="n">
        <f aca="false">IF(H$5&lt;=LastHist,H91,CHOOSE(Scen,H94,H91,H88))</f>
        <v>0</v>
      </c>
      <c r="I294" s="109" t="n">
        <f aca="false">IF(I$5&lt;=LastHist,I91,CHOOSE(Scen,I94,I91,I88))</f>
        <v>0</v>
      </c>
      <c r="J294" s="109" t="n">
        <f aca="false">IF(J$5&lt;=LastHist,J91,CHOOSE(Scen,J94,J91,J88))</f>
        <v>0</v>
      </c>
      <c r="K294" s="109" t="n">
        <f aca="false">IF(K$5&lt;=LastHist,K91,CHOOSE(Scen,K94,K91,K88))</f>
        <v>0</v>
      </c>
      <c r="L294" s="109" t="n">
        <f aca="false">IF(L$5&lt;=LastHist,L91,CHOOSE(Scen,L94,L91,L88))</f>
        <v>0</v>
      </c>
      <c r="M294" s="109" t="n">
        <f aca="false">IF(M$5&lt;=LastHist,M91,CHOOSE(Scen,M94,M91,M88))</f>
        <v>0</v>
      </c>
      <c r="N294" s="109" t="n">
        <f aca="false">IF(N$5&lt;=LastHist,N91,CHOOSE(Scen,N94,N91,N88))</f>
        <v>0</v>
      </c>
      <c r="O294" s="109" t="n">
        <f aca="false">IF(O$5&lt;=LastHist,O91,CHOOSE(Scen,O94,O91,O88))</f>
        <v>0</v>
      </c>
      <c r="P294" s="109" t="n">
        <f aca="false">IF(P$5&lt;=LastHist,P91,CHOOSE(Scen,P94,P91,P88))</f>
        <v>0</v>
      </c>
      <c r="Q294" s="109" t="n">
        <f aca="false">IF(Q$5&lt;=LastHist,Q91,CHOOSE(Scen,Q94,Q91,Q88))</f>
        <v>0</v>
      </c>
      <c r="R294" s="109" t="n">
        <f aca="false">IF(R$5&lt;=LastHist,R91,CHOOSE(Scen,R94,R91,R88))</f>
        <v>0</v>
      </c>
      <c r="S294" s="109" t="n">
        <f aca="false">IF(S$5&lt;=LastHist,S91,CHOOSE(Scen,S94,S91,S88))</f>
        <v>17.5</v>
      </c>
      <c r="T294" s="109" t="n">
        <f aca="false">IF(T$5&lt;=LastHist,T91,CHOOSE(Scen,T94,T91,T88))</f>
        <v>35</v>
      </c>
      <c r="U294" s="109" t="n">
        <f aca="false">IF(U$5&lt;=LastHist,U91,CHOOSE(Scen,U94,U91,U88))</f>
        <v>52.5</v>
      </c>
      <c r="V294" s="109" t="n">
        <f aca="false">IF(V$5&lt;=LastHist,V91,CHOOSE(Scen,V94,V91,V88))</f>
        <v>52.5</v>
      </c>
      <c r="W294" s="109" t="n">
        <f aca="false">IF(W$5&lt;=LastHist,W91,CHOOSE(Scen,W94,W91,W88))</f>
        <v>105</v>
      </c>
      <c r="X294" s="109" t="n">
        <f aca="false">IF(X$5&lt;=LastHist,X91,CHOOSE(Scen,X94,X91,X88))</f>
        <v>105</v>
      </c>
      <c r="Y294" s="109" t="n">
        <f aca="false">IF(Y$5&lt;=LastHist,Y91,CHOOSE(Scen,Y94,Y91,Y88))</f>
        <v>170</v>
      </c>
      <c r="Z294" s="109" t="n">
        <f aca="false">IF(Z$5&lt;=LastHist,Z91,CHOOSE(Scen,Z94,Z91,Z88))</f>
        <v>170</v>
      </c>
      <c r="AA294" s="109" t="n">
        <f aca="false">IF(AA$5&lt;=LastHist,AA91,CHOOSE(Scen,AA94,AA91,AA88))</f>
        <v>170</v>
      </c>
      <c r="AB294" s="109" t="n">
        <f aca="false">IF(AB$5&lt;=LastHist,AB91,CHOOSE(Scen,AB94,AB91,AB88))</f>
        <v>170</v>
      </c>
      <c r="AC294" s="109" t="n">
        <f aca="false">IF(AC$5&lt;=LastHist,AC91,CHOOSE(Scen,AC94,AC91,AC88))</f>
        <v>265</v>
      </c>
      <c r="AD294" s="109" t="n">
        <f aca="false">IF(AD$5&lt;=LastHist,AD91,CHOOSE(Scen,AD94,AD91,AD88))</f>
        <v>265</v>
      </c>
      <c r="AE294" s="109" t="n">
        <f aca="false">IF(AE$5&lt;=LastHist,AE91,CHOOSE(Scen,AE94,AE91,AE88))</f>
        <v>265</v>
      </c>
      <c r="AF294" s="109" t="n">
        <f aca="false">IF(AF$5&lt;=LastHist,AF91,CHOOSE(Scen,AF94,AF91,AF88))</f>
        <v>265</v>
      </c>
      <c r="AG294" s="109" t="n">
        <f aca="false">IF(AG$5&lt;=LastHist,AG91,CHOOSE(Scen,AG94,AG91,AG88))</f>
        <v>310</v>
      </c>
      <c r="AI294" s="109" t="n">
        <f aca="false">INDEX($F294:$AG294,1,MATCH(AI$7,$F$7:$AG$7,1))</f>
        <v>0</v>
      </c>
      <c r="AJ294" s="109" t="n">
        <f aca="false">INDEX($F294:$AG294,1,MATCH(AJ$7,$F$7:$AG$7,1))</f>
        <v>0</v>
      </c>
      <c r="AK294" s="109" t="n">
        <f aca="false">INDEX($F294:$AG294,1,MATCH(AK$7,$F$7:$AG$7,1))</f>
        <v>0</v>
      </c>
      <c r="AL294" s="109" t="n">
        <f aca="false">INDEX($F294:$AG294,1,MATCH(AL$7,$F$7:$AG$7,1))</f>
        <v>52.5</v>
      </c>
      <c r="AM294" s="109" t="n">
        <f aca="false">INDEX($F294:$AG294,1,MATCH(AM$7,$F$7:$AG$7,1))</f>
        <v>170</v>
      </c>
      <c r="AN294" s="109" t="n">
        <f aca="false">INDEX($F294:$AG294,1,MATCH(AN$7,$F$7:$AG$7,1))</f>
        <v>265</v>
      </c>
      <c r="AO294" s="109" t="n">
        <f aca="false">INDEX($F294:$AG294,1,MATCH(AO$7,$F$7:$AG$7,1))</f>
        <v>310</v>
      </c>
    </row>
    <row r="295" customFormat="false" ht="15" hidden="false" customHeight="false" outlineLevel="0" collapsed="false">
      <c r="A295" s="107" t="s">
        <v>1444</v>
      </c>
      <c r="B295" s="22" t="s">
        <v>664</v>
      </c>
      <c r="C295" s="22" t="s">
        <v>558</v>
      </c>
      <c r="D295" s="22"/>
      <c r="F295" s="109" t="n">
        <f aca="false">IF(F$5&lt;=LastHist,F100,CHOOSE(Scen,F103,F100,F97))</f>
        <v>25</v>
      </c>
      <c r="G295" s="109" t="n">
        <f aca="false">IF(G$5&lt;=LastHist,G100,CHOOSE(Scen,G103,G100,G97))</f>
        <v>25</v>
      </c>
      <c r="H295" s="109" t="n">
        <f aca="false">IF(H$5&lt;=LastHist,H100,CHOOSE(Scen,H103,H100,H97))</f>
        <v>25</v>
      </c>
      <c r="I295" s="109" t="n">
        <f aca="false">IF(I$5&lt;=LastHist,I100,CHOOSE(Scen,I103,I100,I97))</f>
        <v>25</v>
      </c>
      <c r="J295" s="109" t="n">
        <f aca="false">IF(J$5&lt;=LastHist,J100,CHOOSE(Scen,J103,J100,J97))</f>
        <v>25</v>
      </c>
      <c r="K295" s="109" t="n">
        <f aca="false">IF(K$5&lt;=LastHist,K100,CHOOSE(Scen,K103,K100,K97))</f>
        <v>25</v>
      </c>
      <c r="L295" s="109" t="n">
        <f aca="false">IF(L$5&lt;=LastHist,L100,CHOOSE(Scen,L103,L100,L97))</f>
        <v>37.5</v>
      </c>
      <c r="M295" s="109" t="n">
        <f aca="false">IF(M$5&lt;=LastHist,M100,CHOOSE(Scen,M103,M100,M97))</f>
        <v>62.5</v>
      </c>
      <c r="N295" s="109" t="n">
        <f aca="false">IF(N$5&lt;=LastHist,N100,CHOOSE(Scen,N103,N100,N97))</f>
        <v>75</v>
      </c>
      <c r="O295" s="109" t="n">
        <f aca="false">IF(O$5&lt;=LastHist,O100,CHOOSE(Scen,O103,O100,O97))</f>
        <v>75</v>
      </c>
      <c r="P295" s="109" t="n">
        <f aca="false">IF(P$5&lt;=LastHist,P100,CHOOSE(Scen,P103,P100,P97))</f>
        <v>75</v>
      </c>
      <c r="Q295" s="109" t="n">
        <f aca="false">IF(Q$5&lt;=LastHist,Q100,CHOOSE(Scen,Q103,Q100,Q97))</f>
        <v>75</v>
      </c>
      <c r="R295" s="109" t="n">
        <f aca="false">IF(R$5&lt;=LastHist,R100,CHOOSE(Scen,R103,R100,R97))</f>
        <v>75</v>
      </c>
      <c r="S295" s="109" t="n">
        <f aca="false">IF(S$5&lt;=LastHist,S100,CHOOSE(Scen,S103,S100,S97))</f>
        <v>75</v>
      </c>
      <c r="T295" s="109" t="n">
        <f aca="false">IF(T$5&lt;=LastHist,T100,CHOOSE(Scen,T103,T100,T97))</f>
        <v>75</v>
      </c>
      <c r="U295" s="109" t="n">
        <f aca="false">IF(U$5&lt;=LastHist,U100,CHOOSE(Scen,U103,U100,U97))</f>
        <v>75</v>
      </c>
      <c r="V295" s="109" t="n">
        <f aca="false">IF(V$5&lt;=LastHist,V100,CHOOSE(Scen,V103,V100,V97))</f>
        <v>75</v>
      </c>
      <c r="W295" s="109" t="n">
        <f aca="false">IF(W$5&lt;=LastHist,W100,CHOOSE(Scen,W103,W100,W97))</f>
        <v>75</v>
      </c>
      <c r="X295" s="109" t="n">
        <f aca="false">IF(X$5&lt;=LastHist,X100,CHOOSE(Scen,X103,X100,X97))</f>
        <v>75</v>
      </c>
      <c r="Y295" s="109" t="n">
        <f aca="false">IF(Y$5&lt;=LastHist,Y100,CHOOSE(Scen,Y103,Y100,Y97))</f>
        <v>75</v>
      </c>
      <c r="Z295" s="109" t="n">
        <f aca="false">IF(Z$5&lt;=LastHist,Z100,CHOOSE(Scen,Z103,Z100,Z97))</f>
        <v>75</v>
      </c>
      <c r="AA295" s="109" t="n">
        <f aca="false">IF(AA$5&lt;=LastHist,AA100,CHOOSE(Scen,AA103,AA100,AA97))</f>
        <v>75</v>
      </c>
      <c r="AB295" s="109" t="n">
        <f aca="false">IF(AB$5&lt;=LastHist,AB100,CHOOSE(Scen,AB103,AB100,AB97))</f>
        <v>75</v>
      </c>
      <c r="AC295" s="109" t="n">
        <f aca="false">IF(AC$5&lt;=LastHist,AC100,CHOOSE(Scen,AC103,AC100,AC97))</f>
        <v>75</v>
      </c>
      <c r="AD295" s="109" t="n">
        <f aca="false">IF(AD$5&lt;=LastHist,AD100,CHOOSE(Scen,AD103,AD100,AD97))</f>
        <v>75</v>
      </c>
      <c r="AE295" s="109" t="n">
        <f aca="false">IF(AE$5&lt;=LastHist,AE100,CHOOSE(Scen,AE103,AE100,AE97))</f>
        <v>75</v>
      </c>
      <c r="AF295" s="109" t="n">
        <f aca="false">IF(AF$5&lt;=LastHist,AF100,CHOOSE(Scen,AF103,AF100,AF97))</f>
        <v>75</v>
      </c>
      <c r="AG295" s="109" t="n">
        <f aca="false">IF(AG$5&lt;=LastHist,AG100,CHOOSE(Scen,AG103,AG100,AG97))</f>
        <v>75</v>
      </c>
      <c r="AI295" s="109" t="n">
        <f aca="false">INDEX($F295:$AG295,1,MATCH(AI$7,$F$7:$AG$7,1))</f>
        <v>25</v>
      </c>
      <c r="AJ295" s="109" t="n">
        <f aca="false">INDEX($F295:$AG295,1,MATCH(AJ$7,$F$7:$AG$7,1))</f>
        <v>62.5</v>
      </c>
      <c r="AK295" s="109" t="n">
        <f aca="false">INDEX($F295:$AG295,1,MATCH(AK$7,$F$7:$AG$7,1))</f>
        <v>75</v>
      </c>
      <c r="AL295" s="109" t="n">
        <f aca="false">INDEX($F295:$AG295,1,MATCH(AL$7,$F$7:$AG$7,1))</f>
        <v>75</v>
      </c>
      <c r="AM295" s="109" t="n">
        <f aca="false">INDEX($F295:$AG295,1,MATCH(AM$7,$F$7:$AG$7,1))</f>
        <v>75</v>
      </c>
      <c r="AN295" s="109" t="n">
        <f aca="false">INDEX($F295:$AG295,1,MATCH(AN$7,$F$7:$AG$7,1))</f>
        <v>75</v>
      </c>
      <c r="AO295" s="109" t="n">
        <f aca="false">INDEX($F295:$AG295,1,MATCH(AO$7,$F$7:$AG$7,1))</f>
        <v>75</v>
      </c>
    </row>
    <row r="296" customFormat="false" ht="15" hidden="false" customHeight="false" outlineLevel="0" collapsed="false">
      <c r="A296" s="107" t="s">
        <v>1445</v>
      </c>
      <c r="B296" s="22" t="s">
        <v>664</v>
      </c>
      <c r="C296" s="22" t="s">
        <v>558</v>
      </c>
      <c r="D296" s="22"/>
      <c r="F296" s="109" t="n">
        <f aca="false">IF(F$5&lt;=LastHist,F109,CHOOSE(Scen,F112,F109,F106))</f>
        <v>0</v>
      </c>
      <c r="G296" s="109" t="n">
        <f aca="false">IF(G$5&lt;=LastHist,G109,CHOOSE(Scen,G112,G109,G106))</f>
        <v>0</v>
      </c>
      <c r="H296" s="109" t="n">
        <f aca="false">IF(H$5&lt;=LastHist,H109,CHOOSE(Scen,H112,H109,H106))</f>
        <v>0</v>
      </c>
      <c r="I296" s="109" t="n">
        <f aca="false">IF(I$5&lt;=LastHist,I109,CHOOSE(Scen,I112,I109,I106))</f>
        <v>0</v>
      </c>
      <c r="J296" s="109" t="n">
        <f aca="false">IF(J$5&lt;=LastHist,J109,CHOOSE(Scen,J112,J109,J106))</f>
        <v>0</v>
      </c>
      <c r="K296" s="109" t="n">
        <f aca="false">IF(K$5&lt;=LastHist,K109,CHOOSE(Scen,K112,K109,K106))</f>
        <v>0</v>
      </c>
      <c r="L296" s="109" t="n">
        <f aca="false">IF(L$5&lt;=LastHist,L109,CHOOSE(Scen,L112,L109,L106))</f>
        <v>0</v>
      </c>
      <c r="M296" s="109" t="n">
        <f aca="false">IF(M$5&lt;=LastHist,M109,CHOOSE(Scen,M112,M109,M106))</f>
        <v>0</v>
      </c>
      <c r="N296" s="109" t="n">
        <f aca="false">IF(N$5&lt;=LastHist,N109,CHOOSE(Scen,N112,N109,N106))</f>
        <v>0</v>
      </c>
      <c r="O296" s="109" t="n">
        <f aca="false">IF(O$5&lt;=LastHist,O109,CHOOSE(Scen,O112,O109,O106))</f>
        <v>0</v>
      </c>
      <c r="P296" s="109" t="n">
        <f aca="false">IF(P$5&lt;=LastHist,P109,CHOOSE(Scen,P112,P109,P106))</f>
        <v>0</v>
      </c>
      <c r="Q296" s="109" t="n">
        <f aca="false">IF(Q$5&lt;=LastHist,Q109,CHOOSE(Scen,Q112,Q109,Q106))</f>
        <v>0</v>
      </c>
      <c r="R296" s="109" t="n">
        <f aca="false">IF(R$5&lt;=LastHist,R109,CHOOSE(Scen,R112,R109,R106))</f>
        <v>0</v>
      </c>
      <c r="S296" s="109" t="n">
        <f aca="false">IF(S$5&lt;=LastHist,S109,CHOOSE(Scen,S112,S109,S106))</f>
        <v>0</v>
      </c>
      <c r="T296" s="109" t="n">
        <f aca="false">IF(T$5&lt;=LastHist,T109,CHOOSE(Scen,T112,T109,T106))</f>
        <v>0</v>
      </c>
      <c r="U296" s="109" t="n">
        <f aca="false">IF(U$5&lt;=LastHist,U109,CHOOSE(Scen,U112,U109,U106))</f>
        <v>17.5</v>
      </c>
      <c r="V296" s="109" t="n">
        <f aca="false">IF(V$5&lt;=LastHist,V109,CHOOSE(Scen,V112,V109,V106))</f>
        <v>52.5</v>
      </c>
      <c r="W296" s="109" t="n">
        <f aca="false">IF(W$5&lt;=LastHist,W109,CHOOSE(Scen,W112,W109,W106))</f>
        <v>70</v>
      </c>
      <c r="X296" s="109" t="n">
        <f aca="false">IF(X$5&lt;=LastHist,X109,CHOOSE(Scen,X112,X109,X106))</f>
        <v>70</v>
      </c>
      <c r="Y296" s="109" t="n">
        <f aca="false">IF(Y$5&lt;=LastHist,Y109,CHOOSE(Scen,Y112,Y109,Y106))</f>
        <v>70</v>
      </c>
      <c r="Z296" s="109" t="n">
        <f aca="false">IF(Z$5&lt;=LastHist,Z109,CHOOSE(Scen,Z112,Z109,Z106))</f>
        <v>70</v>
      </c>
      <c r="AA296" s="109" t="n">
        <f aca="false">IF(AA$5&lt;=LastHist,AA109,CHOOSE(Scen,AA112,AA109,AA106))</f>
        <v>70</v>
      </c>
      <c r="AB296" s="109" t="n">
        <f aca="false">IF(AB$5&lt;=LastHist,AB109,CHOOSE(Scen,AB112,AB109,AB106))</f>
        <v>70</v>
      </c>
      <c r="AC296" s="109" t="n">
        <f aca="false">IF(AC$5&lt;=LastHist,AC109,CHOOSE(Scen,AC112,AC109,AC106))</f>
        <v>70</v>
      </c>
      <c r="AD296" s="109" t="n">
        <f aca="false">IF(AD$5&lt;=LastHist,AD109,CHOOSE(Scen,AD112,AD109,AD106))</f>
        <v>70</v>
      </c>
      <c r="AE296" s="109" t="n">
        <f aca="false">IF(AE$5&lt;=LastHist,AE109,CHOOSE(Scen,AE112,AE109,AE106))</f>
        <v>70</v>
      </c>
      <c r="AF296" s="109" t="n">
        <f aca="false">IF(AF$5&lt;=LastHist,AF109,CHOOSE(Scen,AF112,AF109,AF106))</f>
        <v>70</v>
      </c>
      <c r="AG296" s="109" t="n">
        <f aca="false">IF(AG$5&lt;=LastHist,AG109,CHOOSE(Scen,AG112,AG109,AG106))</f>
        <v>70</v>
      </c>
      <c r="AI296" s="109" t="n">
        <f aca="false">INDEX($F296:$AG296,1,MATCH(AI$7,$F$7:$AG$7,1))</f>
        <v>0</v>
      </c>
      <c r="AJ296" s="109" t="n">
        <f aca="false">INDEX($F296:$AG296,1,MATCH(AJ$7,$F$7:$AG$7,1))</f>
        <v>0</v>
      </c>
      <c r="AK296" s="109" t="n">
        <f aca="false">INDEX($F296:$AG296,1,MATCH(AK$7,$F$7:$AG$7,1))</f>
        <v>0</v>
      </c>
      <c r="AL296" s="109" t="n">
        <f aca="false">INDEX($F296:$AG296,1,MATCH(AL$7,$F$7:$AG$7,1))</f>
        <v>17.5</v>
      </c>
      <c r="AM296" s="109" t="n">
        <f aca="false">INDEX($F296:$AG296,1,MATCH(AM$7,$F$7:$AG$7,1))</f>
        <v>70</v>
      </c>
      <c r="AN296" s="109" t="n">
        <f aca="false">INDEX($F296:$AG296,1,MATCH(AN$7,$F$7:$AG$7,1))</f>
        <v>70</v>
      </c>
      <c r="AO296" s="109" t="n">
        <f aca="false">INDEX($F296:$AG296,1,MATCH(AO$7,$F$7:$AG$7,1))</f>
        <v>70</v>
      </c>
    </row>
    <row r="297" customFormat="false" ht="15" hidden="false" customHeight="false" outlineLevel="0" collapsed="false">
      <c r="A297" s="107" t="s">
        <v>1446</v>
      </c>
      <c r="B297" s="22" t="s">
        <v>664</v>
      </c>
      <c r="C297" s="22" t="s">
        <v>558</v>
      </c>
      <c r="D297" s="22"/>
      <c r="F297" s="109" t="n">
        <f aca="false">IF(F$5&lt;=LastHist,F118,CHOOSE(Scen,F121,F118,F115))</f>
        <v>0</v>
      </c>
      <c r="G297" s="109" t="n">
        <f aca="false">IF(G$5&lt;=LastHist,G118,CHOOSE(Scen,G121,G118,G115))</f>
        <v>0</v>
      </c>
      <c r="H297" s="109" t="n">
        <f aca="false">IF(H$5&lt;=LastHist,H118,CHOOSE(Scen,H121,H118,H115))</f>
        <v>0</v>
      </c>
      <c r="I297" s="109" t="n">
        <f aca="false">IF(I$5&lt;=LastHist,I118,CHOOSE(Scen,I121,I118,I115))</f>
        <v>0</v>
      </c>
      <c r="J297" s="109" t="n">
        <f aca="false">IF(J$5&lt;=LastHist,J118,CHOOSE(Scen,J121,J118,J115))</f>
        <v>10</v>
      </c>
      <c r="K297" s="109" t="n">
        <f aca="false">IF(K$5&lt;=LastHist,K118,CHOOSE(Scen,K121,K118,K115))</f>
        <v>10</v>
      </c>
      <c r="L297" s="109" t="n">
        <f aca="false">IF(L$5&lt;=LastHist,L118,CHOOSE(Scen,L121,L118,L115))</f>
        <v>10</v>
      </c>
      <c r="M297" s="109" t="n">
        <f aca="false">IF(M$5&lt;=LastHist,M118,CHOOSE(Scen,M121,M118,M115))</f>
        <v>20</v>
      </c>
      <c r="N297" s="109" t="n">
        <f aca="false">IF(N$5&lt;=LastHist,N118,CHOOSE(Scen,N121,N118,N115))</f>
        <v>20</v>
      </c>
      <c r="O297" s="109" t="n">
        <f aca="false">IF(O$5&lt;=LastHist,O118,CHOOSE(Scen,O121,O118,O115))</f>
        <v>20</v>
      </c>
      <c r="P297" s="109" t="n">
        <f aca="false">IF(P$5&lt;=LastHist,P118,CHOOSE(Scen,P121,P118,P115))</f>
        <v>20</v>
      </c>
      <c r="Q297" s="109" t="n">
        <f aca="false">IF(Q$5&lt;=LastHist,Q118,CHOOSE(Scen,Q121,Q118,Q115))</f>
        <v>20</v>
      </c>
      <c r="R297" s="109" t="n">
        <f aca="false">IF(R$5&lt;=LastHist,R118,CHOOSE(Scen,R121,R118,R115))</f>
        <v>20</v>
      </c>
      <c r="S297" s="109" t="n">
        <f aca="false">IF(S$5&lt;=LastHist,S118,CHOOSE(Scen,S121,S118,S115))</f>
        <v>20</v>
      </c>
      <c r="T297" s="109" t="n">
        <f aca="false">IF(T$5&lt;=LastHist,T118,CHOOSE(Scen,T121,T118,T115))</f>
        <v>20</v>
      </c>
      <c r="U297" s="109" t="n">
        <f aca="false">IF(U$5&lt;=LastHist,U118,CHOOSE(Scen,U121,U118,U115))</f>
        <v>30</v>
      </c>
      <c r="V297" s="109" t="n">
        <f aca="false">IF(V$5&lt;=LastHist,V118,CHOOSE(Scen,V121,V118,V115))</f>
        <v>30</v>
      </c>
      <c r="W297" s="109" t="n">
        <f aca="false">IF(W$5&lt;=LastHist,W118,CHOOSE(Scen,W121,W118,W115))</f>
        <v>30</v>
      </c>
      <c r="X297" s="109" t="n">
        <f aca="false">IF(X$5&lt;=LastHist,X118,CHOOSE(Scen,X121,X118,X115))</f>
        <v>30</v>
      </c>
      <c r="Y297" s="109" t="n">
        <f aca="false">IF(Y$5&lt;=LastHist,Y118,CHOOSE(Scen,Y121,Y118,Y115))</f>
        <v>30</v>
      </c>
      <c r="Z297" s="109" t="n">
        <f aca="false">IF(Z$5&lt;=LastHist,Z118,CHOOSE(Scen,Z121,Z118,Z115))</f>
        <v>30</v>
      </c>
      <c r="AA297" s="109" t="n">
        <f aca="false">IF(AA$5&lt;=LastHist,AA118,CHOOSE(Scen,AA121,AA118,AA115))</f>
        <v>30</v>
      </c>
      <c r="AB297" s="109" t="n">
        <f aca="false">IF(AB$5&lt;=LastHist,AB118,CHOOSE(Scen,AB121,AB118,AB115))</f>
        <v>30</v>
      </c>
      <c r="AC297" s="109" t="n">
        <f aca="false">IF(AC$5&lt;=LastHist,AC118,CHOOSE(Scen,AC121,AC118,AC115))</f>
        <v>30</v>
      </c>
      <c r="AD297" s="109" t="n">
        <f aca="false">IF(AD$5&lt;=LastHist,AD118,CHOOSE(Scen,AD121,AD118,AD115))</f>
        <v>30</v>
      </c>
      <c r="AE297" s="109" t="n">
        <f aca="false">IF(AE$5&lt;=LastHist,AE118,CHOOSE(Scen,AE121,AE118,AE115))</f>
        <v>30</v>
      </c>
      <c r="AF297" s="109" t="n">
        <f aca="false">IF(AF$5&lt;=LastHist,AF118,CHOOSE(Scen,AF121,AF118,AF115))</f>
        <v>30</v>
      </c>
      <c r="AG297" s="109" t="n">
        <f aca="false">IF(AG$5&lt;=LastHist,AG118,CHOOSE(Scen,AG121,AG118,AG115))</f>
        <v>30</v>
      </c>
      <c r="AI297" s="109" t="n">
        <f aca="false">INDEX($F297:$AG297,1,MATCH(AI$7,$F$7:$AG$7,1))</f>
        <v>0</v>
      </c>
      <c r="AJ297" s="109" t="n">
        <f aca="false">INDEX($F297:$AG297,1,MATCH(AJ$7,$F$7:$AG$7,1))</f>
        <v>20</v>
      </c>
      <c r="AK297" s="109" t="n">
        <f aca="false">INDEX($F297:$AG297,1,MATCH(AK$7,$F$7:$AG$7,1))</f>
        <v>20</v>
      </c>
      <c r="AL297" s="109" t="n">
        <f aca="false">INDEX($F297:$AG297,1,MATCH(AL$7,$F$7:$AG$7,1))</f>
        <v>30</v>
      </c>
      <c r="AM297" s="109" t="n">
        <f aca="false">INDEX($F297:$AG297,1,MATCH(AM$7,$F$7:$AG$7,1))</f>
        <v>30</v>
      </c>
      <c r="AN297" s="109" t="n">
        <f aca="false">INDEX($F297:$AG297,1,MATCH(AN$7,$F$7:$AG$7,1))</f>
        <v>30</v>
      </c>
      <c r="AO297" s="109" t="n">
        <f aca="false">INDEX($F297:$AG297,1,MATCH(AO$7,$F$7:$AG$7,1))</f>
        <v>30</v>
      </c>
    </row>
    <row r="298" customFormat="false" ht="15" hidden="false" customHeight="false" outlineLevel="0" collapsed="false">
      <c r="A298" s="107" t="s">
        <v>1448</v>
      </c>
      <c r="B298" s="22" t="s">
        <v>664</v>
      </c>
      <c r="C298" s="22" t="s">
        <v>558</v>
      </c>
      <c r="D298" s="22"/>
      <c r="F298" s="109" t="n">
        <f aca="false">IF(F$5&lt;=LastHist,F127,CHOOSE(Scen,F130,F127,F124))</f>
        <v>0</v>
      </c>
      <c r="G298" s="109" t="n">
        <f aca="false">IF(G$5&lt;=LastHist,G127,CHOOSE(Scen,G130,G127,G124))</f>
        <v>0</v>
      </c>
      <c r="H298" s="109" t="n">
        <f aca="false">IF(H$5&lt;=LastHist,H127,CHOOSE(Scen,H130,H127,H124))</f>
        <v>0</v>
      </c>
      <c r="I298" s="109" t="n">
        <f aca="false">IF(I$5&lt;=LastHist,I127,CHOOSE(Scen,I130,I127,I124))</f>
        <v>5</v>
      </c>
      <c r="J298" s="109" t="n">
        <f aca="false">IF(J$5&lt;=LastHist,J127,CHOOSE(Scen,J130,J127,J124))</f>
        <v>5</v>
      </c>
      <c r="K298" s="109" t="n">
        <f aca="false">IF(K$5&lt;=LastHist,K127,CHOOSE(Scen,K130,K127,K124))</f>
        <v>5</v>
      </c>
      <c r="L298" s="109" t="n">
        <f aca="false">IF(L$5&lt;=LastHist,L127,CHOOSE(Scen,L130,L127,L124))</f>
        <v>5</v>
      </c>
      <c r="M298" s="109" t="n">
        <f aca="false">IF(M$5&lt;=LastHist,M127,CHOOSE(Scen,M130,M127,M124))</f>
        <v>5</v>
      </c>
      <c r="N298" s="109" t="n">
        <f aca="false">IF(N$5&lt;=LastHist,N127,CHOOSE(Scen,N130,N127,N124))</f>
        <v>5</v>
      </c>
      <c r="O298" s="109" t="n">
        <f aca="false">IF(O$5&lt;=LastHist,O127,CHOOSE(Scen,O130,O127,O124))</f>
        <v>5</v>
      </c>
      <c r="P298" s="109" t="n">
        <f aca="false">IF(P$5&lt;=LastHist,P127,CHOOSE(Scen,P130,P127,P124))</f>
        <v>5</v>
      </c>
      <c r="Q298" s="109" t="n">
        <f aca="false">IF(Q$5&lt;=LastHist,Q127,CHOOSE(Scen,Q130,Q127,Q124))</f>
        <v>5</v>
      </c>
      <c r="R298" s="109" t="n">
        <f aca="false">IF(R$5&lt;=LastHist,R127,CHOOSE(Scen,R130,R127,R124))</f>
        <v>5</v>
      </c>
      <c r="S298" s="109" t="n">
        <f aca="false">IF(S$5&lt;=LastHist,S127,CHOOSE(Scen,S130,S127,S124))</f>
        <v>5</v>
      </c>
      <c r="T298" s="109" t="n">
        <f aca="false">IF(T$5&lt;=LastHist,T127,CHOOSE(Scen,T130,T127,T124))</f>
        <v>5</v>
      </c>
      <c r="U298" s="109" t="n">
        <f aca="false">IF(U$5&lt;=LastHist,U127,CHOOSE(Scen,U130,U127,U124))</f>
        <v>5</v>
      </c>
      <c r="V298" s="109" t="n">
        <f aca="false">IF(V$5&lt;=LastHist,V127,CHOOSE(Scen,V130,V127,V124))</f>
        <v>5</v>
      </c>
      <c r="W298" s="109" t="n">
        <f aca="false">IF(W$5&lt;=LastHist,W127,CHOOSE(Scen,W130,W127,W124))</f>
        <v>5</v>
      </c>
      <c r="X298" s="109" t="n">
        <f aca="false">IF(X$5&lt;=LastHist,X127,CHOOSE(Scen,X130,X127,X124))</f>
        <v>5</v>
      </c>
      <c r="Y298" s="109" t="n">
        <f aca="false">IF(Y$5&lt;=LastHist,Y127,CHOOSE(Scen,Y130,Y127,Y124))</f>
        <v>5</v>
      </c>
      <c r="Z298" s="109" t="n">
        <f aca="false">IF(Z$5&lt;=LastHist,Z127,CHOOSE(Scen,Z130,Z127,Z124))</f>
        <v>5</v>
      </c>
      <c r="AA298" s="109" t="n">
        <f aca="false">IF(AA$5&lt;=LastHist,AA127,CHOOSE(Scen,AA130,AA127,AA124))</f>
        <v>5</v>
      </c>
      <c r="AB298" s="109" t="n">
        <f aca="false">IF(AB$5&lt;=LastHist,AB127,CHOOSE(Scen,AB130,AB127,AB124))</f>
        <v>5</v>
      </c>
      <c r="AC298" s="109" t="n">
        <f aca="false">IF(AC$5&lt;=LastHist,AC127,CHOOSE(Scen,AC130,AC127,AC124))</f>
        <v>5</v>
      </c>
      <c r="AD298" s="109" t="n">
        <f aca="false">IF(AD$5&lt;=LastHist,AD127,CHOOSE(Scen,AD130,AD127,AD124))</f>
        <v>5</v>
      </c>
      <c r="AE298" s="109" t="n">
        <f aca="false">IF(AE$5&lt;=LastHist,AE127,CHOOSE(Scen,AE130,AE127,AE124))</f>
        <v>5</v>
      </c>
      <c r="AF298" s="109" t="n">
        <f aca="false">IF(AF$5&lt;=LastHist,AF127,CHOOSE(Scen,AF130,AF127,AF124))</f>
        <v>5</v>
      </c>
      <c r="AG298" s="109" t="n">
        <f aca="false">IF(AG$5&lt;=LastHist,AG127,CHOOSE(Scen,AG130,AG127,AG124))</f>
        <v>5</v>
      </c>
      <c r="AI298" s="109" t="n">
        <f aca="false">INDEX($F298:$AG298,1,MATCH(AI$7,$F$7:$AG$7,1))</f>
        <v>5</v>
      </c>
      <c r="AJ298" s="109" t="n">
        <f aca="false">INDEX($F298:$AG298,1,MATCH(AJ$7,$F$7:$AG$7,1))</f>
        <v>5</v>
      </c>
      <c r="AK298" s="109" t="n">
        <f aca="false">INDEX($F298:$AG298,1,MATCH(AK$7,$F$7:$AG$7,1))</f>
        <v>5</v>
      </c>
      <c r="AL298" s="109" t="n">
        <f aca="false">INDEX($F298:$AG298,1,MATCH(AL$7,$F$7:$AG$7,1))</f>
        <v>5</v>
      </c>
      <c r="AM298" s="109" t="n">
        <f aca="false">INDEX($F298:$AG298,1,MATCH(AM$7,$F$7:$AG$7,1))</f>
        <v>5</v>
      </c>
      <c r="AN298" s="109" t="n">
        <f aca="false">INDEX($F298:$AG298,1,MATCH(AN$7,$F$7:$AG$7,1))</f>
        <v>5</v>
      </c>
      <c r="AO298" s="109" t="n">
        <f aca="false">INDEX($F298:$AG298,1,MATCH(AO$7,$F$7:$AG$7,1))</f>
        <v>5</v>
      </c>
    </row>
    <row r="299" customFormat="false" ht="15" hidden="false" customHeight="false" outlineLevel="0" collapsed="false">
      <c r="A299" s="107" t="s">
        <v>1450</v>
      </c>
      <c r="B299" s="22" t="s">
        <v>664</v>
      </c>
      <c r="C299" s="22" t="s">
        <v>558</v>
      </c>
      <c r="D299" s="22"/>
      <c r="F299" s="109" t="n">
        <f aca="false">IF(F$5&lt;=LastHist,F136,CHOOSE(Scen,F139,F136,F133))</f>
        <v>0</v>
      </c>
      <c r="G299" s="109" t="n">
        <f aca="false">IF(G$5&lt;=LastHist,G136,CHOOSE(Scen,G139,G136,G133))</f>
        <v>0</v>
      </c>
      <c r="H299" s="109" t="n">
        <f aca="false">IF(H$5&lt;=LastHist,H136,CHOOSE(Scen,H139,H136,H133))</f>
        <v>0</v>
      </c>
      <c r="I299" s="109" t="n">
        <f aca="false">IF(I$5&lt;=LastHist,I136,CHOOSE(Scen,I139,I136,I133))</f>
        <v>0</v>
      </c>
      <c r="J299" s="109" t="n">
        <f aca="false">IF(J$5&lt;=LastHist,J136,CHOOSE(Scen,J139,J136,J133))</f>
        <v>10</v>
      </c>
      <c r="K299" s="109" t="n">
        <f aca="false">IF(K$5&lt;=LastHist,K136,CHOOSE(Scen,K139,K136,K133))</f>
        <v>10</v>
      </c>
      <c r="L299" s="109" t="n">
        <f aca="false">IF(L$5&lt;=LastHist,L136,CHOOSE(Scen,L139,L136,L133))</f>
        <v>10</v>
      </c>
      <c r="M299" s="109" t="n">
        <f aca="false">IF(M$5&lt;=LastHist,M136,CHOOSE(Scen,M139,M136,M133))</f>
        <v>10</v>
      </c>
      <c r="N299" s="109" t="n">
        <f aca="false">IF(N$5&lt;=LastHist,N136,CHOOSE(Scen,N139,N136,N133))</f>
        <v>10</v>
      </c>
      <c r="O299" s="109" t="n">
        <f aca="false">IF(O$5&lt;=LastHist,O136,CHOOSE(Scen,O139,O136,O133))</f>
        <v>10</v>
      </c>
      <c r="P299" s="109" t="n">
        <f aca="false">IF(P$5&lt;=LastHist,P136,CHOOSE(Scen,P139,P136,P133))</f>
        <v>10</v>
      </c>
      <c r="Q299" s="109" t="n">
        <f aca="false">IF(Q$5&lt;=LastHist,Q136,CHOOSE(Scen,Q139,Q136,Q133))</f>
        <v>10</v>
      </c>
      <c r="R299" s="109" t="n">
        <f aca="false">IF(R$5&lt;=LastHist,R136,CHOOSE(Scen,R139,R136,R133))</f>
        <v>10</v>
      </c>
      <c r="S299" s="109" t="n">
        <f aca="false">IF(S$5&lt;=LastHist,S136,CHOOSE(Scen,S139,S136,S133))</f>
        <v>10</v>
      </c>
      <c r="T299" s="109" t="n">
        <f aca="false">IF(T$5&lt;=LastHist,T136,CHOOSE(Scen,T139,T136,T133))</f>
        <v>10</v>
      </c>
      <c r="U299" s="109" t="n">
        <f aca="false">IF(U$5&lt;=LastHist,U136,CHOOSE(Scen,U139,U136,U133))</f>
        <v>10</v>
      </c>
      <c r="V299" s="109" t="n">
        <f aca="false">IF(V$5&lt;=LastHist,V136,CHOOSE(Scen,V139,V136,V133))</f>
        <v>10</v>
      </c>
      <c r="W299" s="109" t="n">
        <f aca="false">IF(W$5&lt;=LastHist,W136,CHOOSE(Scen,W139,W136,W133))</f>
        <v>10</v>
      </c>
      <c r="X299" s="109" t="n">
        <f aca="false">IF(X$5&lt;=LastHist,X136,CHOOSE(Scen,X139,X136,X133))</f>
        <v>10</v>
      </c>
      <c r="Y299" s="109" t="n">
        <f aca="false">IF(Y$5&lt;=LastHist,Y136,CHOOSE(Scen,Y139,Y136,Y133))</f>
        <v>10</v>
      </c>
      <c r="Z299" s="109" t="n">
        <f aca="false">IF(Z$5&lt;=LastHist,Z136,CHOOSE(Scen,Z139,Z136,Z133))</f>
        <v>10</v>
      </c>
      <c r="AA299" s="109" t="n">
        <f aca="false">IF(AA$5&lt;=LastHist,AA136,CHOOSE(Scen,AA139,AA136,AA133))</f>
        <v>10</v>
      </c>
      <c r="AB299" s="109" t="n">
        <f aca="false">IF(AB$5&lt;=LastHist,AB136,CHOOSE(Scen,AB139,AB136,AB133))</f>
        <v>10</v>
      </c>
      <c r="AC299" s="109" t="n">
        <f aca="false">IF(AC$5&lt;=LastHist,AC136,CHOOSE(Scen,AC139,AC136,AC133))</f>
        <v>10</v>
      </c>
      <c r="AD299" s="109" t="n">
        <f aca="false">IF(AD$5&lt;=LastHist,AD136,CHOOSE(Scen,AD139,AD136,AD133))</f>
        <v>10</v>
      </c>
      <c r="AE299" s="109" t="n">
        <f aca="false">IF(AE$5&lt;=LastHist,AE136,CHOOSE(Scen,AE139,AE136,AE133))</f>
        <v>10</v>
      </c>
      <c r="AF299" s="109" t="n">
        <f aca="false">IF(AF$5&lt;=LastHist,AF136,CHOOSE(Scen,AF139,AF136,AF133))</f>
        <v>10</v>
      </c>
      <c r="AG299" s="109" t="n">
        <f aca="false">IF(AG$5&lt;=LastHist,AG136,CHOOSE(Scen,AG139,AG136,AG133))</f>
        <v>10</v>
      </c>
      <c r="AI299" s="109" t="n">
        <f aca="false">INDEX($F299:$AG299,1,MATCH(AI$7,$F$7:$AG$7,1))</f>
        <v>0</v>
      </c>
      <c r="AJ299" s="109" t="n">
        <f aca="false">INDEX($F299:$AG299,1,MATCH(AJ$7,$F$7:$AG$7,1))</f>
        <v>10</v>
      </c>
      <c r="AK299" s="109" t="n">
        <f aca="false">INDEX($F299:$AG299,1,MATCH(AK$7,$F$7:$AG$7,1))</f>
        <v>10</v>
      </c>
      <c r="AL299" s="109" t="n">
        <f aca="false">INDEX($F299:$AG299,1,MATCH(AL$7,$F$7:$AG$7,1))</f>
        <v>10</v>
      </c>
      <c r="AM299" s="109" t="n">
        <f aca="false">INDEX($F299:$AG299,1,MATCH(AM$7,$F$7:$AG$7,1))</f>
        <v>10</v>
      </c>
      <c r="AN299" s="109" t="n">
        <f aca="false">INDEX($F299:$AG299,1,MATCH(AN$7,$F$7:$AG$7,1))</f>
        <v>10</v>
      </c>
      <c r="AO299" s="109" t="n">
        <f aca="false">INDEX($F299:$AG299,1,MATCH(AO$7,$F$7:$AG$7,1))</f>
        <v>10</v>
      </c>
    </row>
    <row r="300" customFormat="false" ht="15" hidden="false" customHeight="false" outlineLevel="0" collapsed="false">
      <c r="A300" s="107" t="s">
        <v>1451</v>
      </c>
      <c r="B300" s="22" t="s">
        <v>664</v>
      </c>
      <c r="C300" s="22" t="s">
        <v>558</v>
      </c>
      <c r="D300" s="22"/>
      <c r="F300" s="109" t="n">
        <f aca="false">IF(F$5&lt;=LastHist,F145,CHOOSE(Scen,F148,F145,F142))</f>
        <v>0</v>
      </c>
      <c r="G300" s="109" t="n">
        <f aca="false">IF(G$5&lt;=LastHist,G145,CHOOSE(Scen,G148,G145,G142))</f>
        <v>0</v>
      </c>
      <c r="H300" s="109" t="n">
        <f aca="false">IF(H$5&lt;=LastHist,H145,CHOOSE(Scen,H148,H145,H142))</f>
        <v>0</v>
      </c>
      <c r="I300" s="109" t="n">
        <f aca="false">IF(I$5&lt;=LastHist,I145,CHOOSE(Scen,I148,I145,I142))</f>
        <v>0</v>
      </c>
      <c r="J300" s="109" t="n">
        <f aca="false">IF(J$5&lt;=LastHist,J145,CHOOSE(Scen,J148,J145,J142))</f>
        <v>0</v>
      </c>
      <c r="K300" s="109" t="n">
        <f aca="false">IF(K$5&lt;=LastHist,K145,CHOOSE(Scen,K148,K145,K142))</f>
        <v>0</v>
      </c>
      <c r="L300" s="109" t="n">
        <f aca="false">IF(L$5&lt;=LastHist,L145,CHOOSE(Scen,L148,L145,L142))</f>
        <v>0</v>
      </c>
      <c r="M300" s="109" t="n">
        <f aca="false">IF(M$5&lt;=LastHist,M145,CHOOSE(Scen,M148,M145,M142))</f>
        <v>16</v>
      </c>
      <c r="N300" s="109" t="n">
        <f aca="false">IF(N$5&lt;=LastHist,N145,CHOOSE(Scen,N148,N145,N142))</f>
        <v>16</v>
      </c>
      <c r="O300" s="109" t="n">
        <f aca="false">IF(O$5&lt;=LastHist,O145,CHOOSE(Scen,O148,O145,O142))</f>
        <v>16</v>
      </c>
      <c r="P300" s="109" t="n">
        <f aca="false">IF(P$5&lt;=LastHist,P145,CHOOSE(Scen,P148,P145,P142))</f>
        <v>16</v>
      </c>
      <c r="Q300" s="109" t="n">
        <f aca="false">IF(Q$5&lt;=LastHist,Q145,CHOOSE(Scen,Q148,Q145,Q142))</f>
        <v>17.5</v>
      </c>
      <c r="R300" s="109" t="n">
        <f aca="false">IF(R$5&lt;=LastHist,R145,CHOOSE(Scen,R148,R145,R142))</f>
        <v>19</v>
      </c>
      <c r="S300" s="109" t="n">
        <f aca="false">IF(S$5&lt;=LastHist,S145,CHOOSE(Scen,S148,S145,S142))</f>
        <v>19</v>
      </c>
      <c r="T300" s="109" t="n">
        <f aca="false">IF(T$5&lt;=LastHist,T145,CHOOSE(Scen,T148,T145,T142))</f>
        <v>19</v>
      </c>
      <c r="U300" s="109" t="n">
        <f aca="false">IF(U$5&lt;=LastHist,U145,CHOOSE(Scen,U148,U145,U142))</f>
        <v>19</v>
      </c>
      <c r="V300" s="109" t="n">
        <f aca="false">IF(V$5&lt;=LastHist,V145,CHOOSE(Scen,V148,V145,V142))</f>
        <v>19</v>
      </c>
      <c r="W300" s="109" t="n">
        <f aca="false">IF(W$5&lt;=LastHist,W145,CHOOSE(Scen,W148,W145,W142))</f>
        <v>19</v>
      </c>
      <c r="X300" s="109" t="n">
        <f aca="false">IF(X$5&lt;=LastHist,X145,CHOOSE(Scen,X148,X145,X142))</f>
        <v>19</v>
      </c>
      <c r="Y300" s="109" t="n">
        <f aca="false">IF(Y$5&lt;=LastHist,Y145,CHOOSE(Scen,Y148,Y145,Y142))</f>
        <v>19</v>
      </c>
      <c r="Z300" s="109" t="n">
        <f aca="false">IF(Z$5&lt;=LastHist,Z145,CHOOSE(Scen,Z148,Z145,Z142))</f>
        <v>19</v>
      </c>
      <c r="AA300" s="109" t="n">
        <f aca="false">IF(AA$5&lt;=LastHist,AA145,CHOOSE(Scen,AA148,AA145,AA142))</f>
        <v>19</v>
      </c>
      <c r="AB300" s="109" t="n">
        <f aca="false">IF(AB$5&lt;=LastHist,AB145,CHOOSE(Scen,AB148,AB145,AB142))</f>
        <v>19</v>
      </c>
      <c r="AC300" s="109" t="n">
        <f aca="false">IF(AC$5&lt;=LastHist,AC145,CHOOSE(Scen,AC148,AC145,AC142))</f>
        <v>19</v>
      </c>
      <c r="AD300" s="109" t="n">
        <f aca="false">IF(AD$5&lt;=LastHist,AD145,CHOOSE(Scen,AD148,AD145,AD142))</f>
        <v>19</v>
      </c>
      <c r="AE300" s="109" t="n">
        <f aca="false">IF(AE$5&lt;=LastHist,AE145,CHOOSE(Scen,AE148,AE145,AE142))</f>
        <v>19</v>
      </c>
      <c r="AF300" s="109" t="n">
        <f aca="false">IF(AF$5&lt;=LastHist,AF145,CHOOSE(Scen,AF148,AF145,AF142))</f>
        <v>19</v>
      </c>
      <c r="AG300" s="109" t="n">
        <f aca="false">IF(AG$5&lt;=LastHist,AG145,CHOOSE(Scen,AG148,AG145,AG142))</f>
        <v>19</v>
      </c>
      <c r="AI300" s="109" t="n">
        <f aca="false">INDEX($F300:$AG300,1,MATCH(AI$7,$F$7:$AG$7,1))</f>
        <v>0</v>
      </c>
      <c r="AJ300" s="109" t="n">
        <f aca="false">INDEX($F300:$AG300,1,MATCH(AJ$7,$F$7:$AG$7,1))</f>
        <v>16</v>
      </c>
      <c r="AK300" s="109" t="n">
        <f aca="false">INDEX($F300:$AG300,1,MATCH(AK$7,$F$7:$AG$7,1))</f>
        <v>17.5</v>
      </c>
      <c r="AL300" s="109" t="n">
        <f aca="false">INDEX($F300:$AG300,1,MATCH(AL$7,$F$7:$AG$7,1))</f>
        <v>19</v>
      </c>
      <c r="AM300" s="109" t="n">
        <f aca="false">INDEX($F300:$AG300,1,MATCH(AM$7,$F$7:$AG$7,1))</f>
        <v>19</v>
      </c>
      <c r="AN300" s="109" t="n">
        <f aca="false">INDEX($F300:$AG300,1,MATCH(AN$7,$F$7:$AG$7,1))</f>
        <v>19</v>
      </c>
      <c r="AO300" s="109" t="n">
        <f aca="false">INDEX($F300:$AG300,1,MATCH(AO$7,$F$7:$AG$7,1))</f>
        <v>19</v>
      </c>
    </row>
    <row r="301" customFormat="false" ht="15" hidden="false" customHeight="false" outlineLevel="0" collapsed="false">
      <c r="A301" s="107" t="s">
        <v>1453</v>
      </c>
      <c r="B301" s="22" t="s">
        <v>664</v>
      </c>
      <c r="C301" s="22" t="s">
        <v>558</v>
      </c>
      <c r="D301" s="22"/>
      <c r="F301" s="109" t="n">
        <f aca="false">IF(F$5&lt;=LastHist,F154,CHOOSE(Scen,F157,F154,F151))</f>
        <v>0</v>
      </c>
      <c r="G301" s="109" t="n">
        <f aca="false">IF(G$5&lt;=LastHist,G154,CHOOSE(Scen,G157,G154,G151))</f>
        <v>0</v>
      </c>
      <c r="H301" s="109" t="n">
        <f aca="false">IF(H$5&lt;=LastHist,H154,CHOOSE(Scen,H157,H154,H151))</f>
        <v>0</v>
      </c>
      <c r="I301" s="109" t="n">
        <f aca="false">IF(I$5&lt;=LastHist,I154,CHOOSE(Scen,I157,I154,I151))</f>
        <v>0</v>
      </c>
      <c r="J301" s="109" t="n">
        <f aca="false">IF(J$5&lt;=LastHist,J154,CHOOSE(Scen,J157,J154,J151))</f>
        <v>0</v>
      </c>
      <c r="K301" s="109" t="n">
        <f aca="false">IF(K$5&lt;=LastHist,K154,CHOOSE(Scen,K157,K154,K151))</f>
        <v>0</v>
      </c>
      <c r="L301" s="109" t="n">
        <f aca="false">IF(L$5&lt;=LastHist,L154,CHOOSE(Scen,L157,L154,L151))</f>
        <v>0</v>
      </c>
      <c r="M301" s="109" t="n">
        <f aca="false">IF(M$5&lt;=LastHist,M154,CHOOSE(Scen,M157,M154,M151))</f>
        <v>0</v>
      </c>
      <c r="N301" s="109" t="n">
        <f aca="false">IF(N$5&lt;=LastHist,N154,CHOOSE(Scen,N157,N154,N151))</f>
        <v>0</v>
      </c>
      <c r="O301" s="109" t="n">
        <f aca="false">IF(O$5&lt;=LastHist,O154,CHOOSE(Scen,O157,O154,O151))</f>
        <v>0</v>
      </c>
      <c r="P301" s="109" t="n">
        <f aca="false">IF(P$5&lt;=LastHist,P154,CHOOSE(Scen,P157,P154,P151))</f>
        <v>0</v>
      </c>
      <c r="Q301" s="109" t="n">
        <f aca="false">IF(Q$5&lt;=LastHist,Q154,CHOOSE(Scen,Q157,Q154,Q151))</f>
        <v>2.2</v>
      </c>
      <c r="R301" s="109" t="n">
        <f aca="false">IF(R$5&lt;=LastHist,R154,CHOOSE(Scen,R157,R154,R151))</f>
        <v>13.2</v>
      </c>
      <c r="S301" s="109" t="n">
        <f aca="false">IF(S$5&lt;=LastHist,S154,CHOOSE(Scen,S157,S154,S151))</f>
        <v>13.2</v>
      </c>
      <c r="T301" s="109" t="n">
        <f aca="false">IF(T$5&lt;=LastHist,T154,CHOOSE(Scen,T157,T154,T151))</f>
        <v>22</v>
      </c>
      <c r="U301" s="109" t="n">
        <f aca="false">IF(U$5&lt;=LastHist,U154,CHOOSE(Scen,U157,U154,U151))</f>
        <v>22</v>
      </c>
      <c r="V301" s="109" t="n">
        <f aca="false">IF(V$5&lt;=LastHist,V154,CHOOSE(Scen,V157,V154,V151))</f>
        <v>22</v>
      </c>
      <c r="W301" s="109" t="n">
        <f aca="false">IF(W$5&lt;=LastHist,W154,CHOOSE(Scen,W157,W154,W151))</f>
        <v>22</v>
      </c>
      <c r="X301" s="109" t="n">
        <f aca="false">IF(X$5&lt;=LastHist,X154,CHOOSE(Scen,X157,X154,X151))</f>
        <v>22</v>
      </c>
      <c r="Y301" s="109" t="n">
        <f aca="false">IF(Y$5&lt;=LastHist,Y154,CHOOSE(Scen,Y157,Y154,Y151))</f>
        <v>22</v>
      </c>
      <c r="Z301" s="109" t="n">
        <f aca="false">IF(Z$5&lt;=LastHist,Z154,CHOOSE(Scen,Z157,Z154,Z151))</f>
        <v>22</v>
      </c>
      <c r="AA301" s="109" t="n">
        <f aca="false">IF(AA$5&lt;=LastHist,AA154,CHOOSE(Scen,AA157,AA154,AA151))</f>
        <v>22</v>
      </c>
      <c r="AB301" s="109" t="n">
        <f aca="false">IF(AB$5&lt;=LastHist,AB154,CHOOSE(Scen,AB157,AB154,AB151))</f>
        <v>22</v>
      </c>
      <c r="AC301" s="109" t="n">
        <f aca="false">IF(AC$5&lt;=LastHist,AC154,CHOOSE(Scen,AC157,AC154,AC151))</f>
        <v>22</v>
      </c>
      <c r="AD301" s="109" t="n">
        <f aca="false">IF(AD$5&lt;=LastHist,AD154,CHOOSE(Scen,AD157,AD154,AD151))</f>
        <v>22</v>
      </c>
      <c r="AE301" s="109" t="n">
        <f aca="false">IF(AE$5&lt;=LastHist,AE154,CHOOSE(Scen,AE157,AE154,AE151))</f>
        <v>22</v>
      </c>
      <c r="AF301" s="109" t="n">
        <f aca="false">IF(AF$5&lt;=LastHist,AF154,CHOOSE(Scen,AF157,AF154,AF151))</f>
        <v>22</v>
      </c>
      <c r="AG301" s="109" t="n">
        <f aca="false">IF(AG$5&lt;=LastHist,AG154,CHOOSE(Scen,AG157,AG154,AG151))</f>
        <v>22</v>
      </c>
      <c r="AI301" s="109" t="n">
        <f aca="false">INDEX($F301:$AG301,1,MATCH(AI$7,$F$7:$AG$7,1))</f>
        <v>0</v>
      </c>
      <c r="AJ301" s="109" t="n">
        <f aca="false">INDEX($F301:$AG301,1,MATCH(AJ$7,$F$7:$AG$7,1))</f>
        <v>0</v>
      </c>
      <c r="AK301" s="109" t="n">
        <f aca="false">INDEX($F301:$AG301,1,MATCH(AK$7,$F$7:$AG$7,1))</f>
        <v>2.2</v>
      </c>
      <c r="AL301" s="109" t="n">
        <f aca="false">INDEX($F301:$AG301,1,MATCH(AL$7,$F$7:$AG$7,1))</f>
        <v>22</v>
      </c>
      <c r="AM301" s="109" t="n">
        <f aca="false">INDEX($F301:$AG301,1,MATCH(AM$7,$F$7:$AG$7,1))</f>
        <v>22</v>
      </c>
      <c r="AN301" s="109" t="n">
        <f aca="false">INDEX($F301:$AG301,1,MATCH(AN$7,$F$7:$AG$7,1))</f>
        <v>22</v>
      </c>
      <c r="AO301" s="109" t="n">
        <f aca="false">INDEX($F301:$AG301,1,MATCH(AO$7,$F$7:$AG$7,1))</f>
        <v>22</v>
      </c>
    </row>
    <row r="302" customFormat="false" ht="15" hidden="false" customHeight="false" outlineLevel="0" collapsed="false">
      <c r="A302" s="107" t="s">
        <v>1454</v>
      </c>
      <c r="B302" s="22" t="s">
        <v>664</v>
      </c>
      <c r="C302" s="22" t="s">
        <v>558</v>
      </c>
      <c r="D302" s="22"/>
      <c r="F302" s="109" t="n">
        <f aca="false">IF(F$5&lt;=LastHist,F163,CHOOSE(Scen,F166,F163,F160))</f>
        <v>0</v>
      </c>
      <c r="G302" s="109" t="n">
        <f aca="false">IF(G$5&lt;=LastHist,G163,CHOOSE(Scen,G166,G163,G160))</f>
        <v>0</v>
      </c>
      <c r="H302" s="109" t="n">
        <f aca="false">IF(H$5&lt;=LastHist,H163,CHOOSE(Scen,H166,H163,H160))</f>
        <v>0</v>
      </c>
      <c r="I302" s="109" t="n">
        <f aca="false">IF(I$5&lt;=LastHist,I163,CHOOSE(Scen,I166,I163,I160))</f>
        <v>0</v>
      </c>
      <c r="J302" s="109" t="n">
        <f aca="false">IF(J$5&lt;=LastHist,J163,CHOOSE(Scen,J166,J163,J160))</f>
        <v>0</v>
      </c>
      <c r="K302" s="109" t="n">
        <f aca="false">IF(K$5&lt;=LastHist,K163,CHOOSE(Scen,K166,K163,K160))</f>
        <v>0</v>
      </c>
      <c r="L302" s="109" t="n">
        <f aca="false">IF(L$5&lt;=LastHist,L163,CHOOSE(Scen,L166,L163,L160))</f>
        <v>0</v>
      </c>
      <c r="M302" s="109" t="n">
        <f aca="false">IF(M$5&lt;=LastHist,M163,CHOOSE(Scen,M166,M163,M160))</f>
        <v>0</v>
      </c>
      <c r="N302" s="109" t="n">
        <f aca="false">IF(N$5&lt;=LastHist,N163,CHOOSE(Scen,N166,N163,N160))</f>
        <v>0</v>
      </c>
      <c r="O302" s="109" t="n">
        <f aca="false">IF(O$5&lt;=LastHist,O163,CHOOSE(Scen,O166,O163,O160))</f>
        <v>0</v>
      </c>
      <c r="P302" s="109" t="n">
        <f aca="false">IF(P$5&lt;=LastHist,P163,CHOOSE(Scen,P166,P163,P160))</f>
        <v>0</v>
      </c>
      <c r="Q302" s="109" t="n">
        <f aca="false">IF(Q$5&lt;=LastHist,Q163,CHOOSE(Scen,Q166,Q163,Q160))</f>
        <v>0</v>
      </c>
      <c r="R302" s="109" t="n">
        <f aca="false">IF(R$5&lt;=LastHist,R163,CHOOSE(Scen,R166,R163,R160))</f>
        <v>0</v>
      </c>
      <c r="S302" s="109" t="n">
        <f aca="false">IF(S$5&lt;=LastHist,S163,CHOOSE(Scen,S166,S163,S160))</f>
        <v>2.5</v>
      </c>
      <c r="T302" s="109" t="n">
        <f aca="false">IF(T$5&lt;=LastHist,T163,CHOOSE(Scen,T166,T163,T160))</f>
        <v>6</v>
      </c>
      <c r="U302" s="109" t="n">
        <f aca="false">IF(U$5&lt;=LastHist,U163,CHOOSE(Scen,U166,U163,U160))</f>
        <v>7</v>
      </c>
      <c r="V302" s="109" t="n">
        <f aca="false">IF(V$5&lt;=LastHist,V163,CHOOSE(Scen,V166,V163,V160))</f>
        <v>7</v>
      </c>
      <c r="W302" s="109" t="n">
        <f aca="false">IF(W$5&lt;=LastHist,W163,CHOOSE(Scen,W166,W163,W160))</f>
        <v>7</v>
      </c>
      <c r="X302" s="109" t="n">
        <f aca="false">IF(X$5&lt;=LastHist,X163,CHOOSE(Scen,X166,X163,X160))</f>
        <v>7</v>
      </c>
      <c r="Y302" s="109" t="n">
        <f aca="false">IF(Y$5&lt;=LastHist,Y163,CHOOSE(Scen,Y166,Y163,Y160))</f>
        <v>7</v>
      </c>
      <c r="Z302" s="109" t="n">
        <f aca="false">IF(Z$5&lt;=LastHist,Z163,CHOOSE(Scen,Z166,Z163,Z160))</f>
        <v>7</v>
      </c>
      <c r="AA302" s="109" t="n">
        <f aca="false">IF(AA$5&lt;=LastHist,AA163,CHOOSE(Scen,AA166,AA163,AA160))</f>
        <v>7</v>
      </c>
      <c r="AB302" s="109" t="n">
        <f aca="false">IF(AB$5&lt;=LastHist,AB163,CHOOSE(Scen,AB166,AB163,AB160))</f>
        <v>7</v>
      </c>
      <c r="AC302" s="109" t="n">
        <f aca="false">IF(AC$5&lt;=LastHist,AC163,CHOOSE(Scen,AC166,AC163,AC160))</f>
        <v>7</v>
      </c>
      <c r="AD302" s="109" t="n">
        <f aca="false">IF(AD$5&lt;=LastHist,AD163,CHOOSE(Scen,AD166,AD163,AD160))</f>
        <v>7</v>
      </c>
      <c r="AE302" s="109" t="n">
        <f aca="false">IF(AE$5&lt;=LastHist,AE163,CHOOSE(Scen,AE166,AE163,AE160))</f>
        <v>7</v>
      </c>
      <c r="AF302" s="109" t="n">
        <f aca="false">IF(AF$5&lt;=LastHist,AF163,CHOOSE(Scen,AF166,AF163,AF160))</f>
        <v>7</v>
      </c>
      <c r="AG302" s="109" t="n">
        <f aca="false">IF(AG$5&lt;=LastHist,AG163,CHOOSE(Scen,AG166,AG163,AG160))</f>
        <v>7</v>
      </c>
      <c r="AI302" s="109" t="n">
        <f aca="false">INDEX($F302:$AG302,1,MATCH(AI$7,$F$7:$AG$7,1))</f>
        <v>0</v>
      </c>
      <c r="AJ302" s="109" t="n">
        <f aca="false">INDEX($F302:$AG302,1,MATCH(AJ$7,$F$7:$AG$7,1))</f>
        <v>0</v>
      </c>
      <c r="AK302" s="109" t="n">
        <f aca="false">INDEX($F302:$AG302,1,MATCH(AK$7,$F$7:$AG$7,1))</f>
        <v>0</v>
      </c>
      <c r="AL302" s="109" t="n">
        <f aca="false">INDEX($F302:$AG302,1,MATCH(AL$7,$F$7:$AG$7,1))</f>
        <v>7</v>
      </c>
      <c r="AM302" s="109" t="n">
        <f aca="false">INDEX($F302:$AG302,1,MATCH(AM$7,$F$7:$AG$7,1))</f>
        <v>7</v>
      </c>
      <c r="AN302" s="109" t="n">
        <f aca="false">INDEX($F302:$AG302,1,MATCH(AN$7,$F$7:$AG$7,1))</f>
        <v>7</v>
      </c>
      <c r="AO302" s="109" t="n">
        <f aca="false">INDEX($F302:$AG302,1,MATCH(AO$7,$F$7:$AG$7,1))</f>
        <v>7</v>
      </c>
    </row>
    <row r="303" customFormat="false" ht="15" hidden="false" customHeight="false" outlineLevel="0" collapsed="false">
      <c r="A303" s="107" t="s">
        <v>1455</v>
      </c>
      <c r="B303" s="22" t="s">
        <v>664</v>
      </c>
      <c r="C303" s="22" t="s">
        <v>558</v>
      </c>
      <c r="D303" s="22"/>
      <c r="F303" s="109" t="n">
        <f aca="false">IF(F$5&lt;=LastHist,F172,CHOOSE(Scen,F175,F172,F169))</f>
        <v>0</v>
      </c>
      <c r="G303" s="109" t="n">
        <f aca="false">IF(G$5&lt;=LastHist,G172,CHOOSE(Scen,G175,G172,G169))</f>
        <v>0</v>
      </c>
      <c r="H303" s="109" t="n">
        <f aca="false">IF(H$5&lt;=LastHist,H172,CHOOSE(Scen,H175,H172,H169))</f>
        <v>0</v>
      </c>
      <c r="I303" s="109" t="n">
        <f aca="false">IF(I$5&lt;=LastHist,I172,CHOOSE(Scen,I175,I172,I169))</f>
        <v>0</v>
      </c>
      <c r="J303" s="109" t="n">
        <f aca="false">IF(J$5&lt;=LastHist,J172,CHOOSE(Scen,J175,J172,J169))</f>
        <v>0</v>
      </c>
      <c r="K303" s="109" t="n">
        <f aca="false">IF(K$5&lt;=LastHist,K172,CHOOSE(Scen,K175,K172,K169))</f>
        <v>0</v>
      </c>
      <c r="L303" s="109" t="n">
        <f aca="false">IF(L$5&lt;=LastHist,L172,CHOOSE(Scen,L175,L172,L169))</f>
        <v>0</v>
      </c>
      <c r="M303" s="109" t="n">
        <f aca="false">IF(M$5&lt;=LastHist,M172,CHOOSE(Scen,M175,M172,M169))</f>
        <v>8</v>
      </c>
      <c r="N303" s="109" t="n">
        <f aca="false">IF(N$5&lt;=LastHist,N172,CHOOSE(Scen,N175,N172,N169))</f>
        <v>8</v>
      </c>
      <c r="O303" s="109" t="n">
        <f aca="false">IF(O$5&lt;=LastHist,O172,CHOOSE(Scen,O175,O172,O169))</f>
        <v>8</v>
      </c>
      <c r="P303" s="109" t="n">
        <f aca="false">IF(P$5&lt;=LastHist,P172,CHOOSE(Scen,P175,P172,P169))</f>
        <v>8</v>
      </c>
      <c r="Q303" s="109" t="n">
        <f aca="false">IF(Q$5&lt;=LastHist,Q172,CHOOSE(Scen,Q175,Q172,Q169))</f>
        <v>8</v>
      </c>
      <c r="R303" s="109" t="n">
        <f aca="false">IF(R$5&lt;=LastHist,R172,CHOOSE(Scen,R175,R172,R169))</f>
        <v>8</v>
      </c>
      <c r="S303" s="109" t="n">
        <f aca="false">IF(S$5&lt;=LastHist,S172,CHOOSE(Scen,S175,S172,S169))</f>
        <v>8</v>
      </c>
      <c r="T303" s="109" t="n">
        <f aca="false">IF(T$5&lt;=LastHist,T172,CHOOSE(Scen,T175,T172,T169))</f>
        <v>8</v>
      </c>
      <c r="U303" s="109" t="n">
        <f aca="false">IF(U$5&lt;=LastHist,U172,CHOOSE(Scen,U175,U172,U169))</f>
        <v>8</v>
      </c>
      <c r="V303" s="109" t="n">
        <f aca="false">IF(V$5&lt;=LastHist,V172,CHOOSE(Scen,V175,V172,V169))</f>
        <v>8</v>
      </c>
      <c r="W303" s="109" t="n">
        <f aca="false">IF(W$5&lt;=LastHist,W172,CHOOSE(Scen,W175,W172,W169))</f>
        <v>8</v>
      </c>
      <c r="X303" s="109" t="n">
        <f aca="false">IF(X$5&lt;=LastHist,X172,CHOOSE(Scen,X175,X172,X169))</f>
        <v>8</v>
      </c>
      <c r="Y303" s="109" t="n">
        <f aca="false">IF(Y$5&lt;=LastHist,Y172,CHOOSE(Scen,Y175,Y172,Y169))</f>
        <v>8</v>
      </c>
      <c r="Z303" s="109" t="n">
        <f aca="false">IF(Z$5&lt;=LastHist,Z172,CHOOSE(Scen,Z175,Z172,Z169))</f>
        <v>8</v>
      </c>
      <c r="AA303" s="109" t="n">
        <f aca="false">IF(AA$5&lt;=LastHist,AA172,CHOOSE(Scen,AA175,AA172,AA169))</f>
        <v>8</v>
      </c>
      <c r="AB303" s="109" t="n">
        <f aca="false">IF(AB$5&lt;=LastHist,AB172,CHOOSE(Scen,AB175,AB172,AB169))</f>
        <v>8</v>
      </c>
      <c r="AC303" s="109" t="n">
        <f aca="false">IF(AC$5&lt;=LastHist,AC172,CHOOSE(Scen,AC175,AC172,AC169))</f>
        <v>8</v>
      </c>
      <c r="AD303" s="109" t="n">
        <f aca="false">IF(AD$5&lt;=LastHist,AD172,CHOOSE(Scen,AD175,AD172,AD169))</f>
        <v>8</v>
      </c>
      <c r="AE303" s="109" t="n">
        <f aca="false">IF(AE$5&lt;=LastHist,AE172,CHOOSE(Scen,AE175,AE172,AE169))</f>
        <v>8</v>
      </c>
      <c r="AF303" s="109" t="n">
        <f aca="false">IF(AF$5&lt;=LastHist,AF172,CHOOSE(Scen,AF175,AF172,AF169))</f>
        <v>8</v>
      </c>
      <c r="AG303" s="109" t="n">
        <f aca="false">IF(AG$5&lt;=LastHist,AG172,CHOOSE(Scen,AG175,AG172,AG169))</f>
        <v>8</v>
      </c>
      <c r="AI303" s="109" t="n">
        <f aca="false">INDEX($F303:$AG303,1,MATCH(AI$7,$F$7:$AG$7,1))</f>
        <v>0</v>
      </c>
      <c r="AJ303" s="109" t="n">
        <f aca="false">INDEX($F303:$AG303,1,MATCH(AJ$7,$F$7:$AG$7,1))</f>
        <v>8</v>
      </c>
      <c r="AK303" s="109" t="n">
        <f aca="false">INDEX($F303:$AG303,1,MATCH(AK$7,$F$7:$AG$7,1))</f>
        <v>8</v>
      </c>
      <c r="AL303" s="109" t="n">
        <f aca="false">INDEX($F303:$AG303,1,MATCH(AL$7,$F$7:$AG$7,1))</f>
        <v>8</v>
      </c>
      <c r="AM303" s="109" t="n">
        <f aca="false">INDEX($F303:$AG303,1,MATCH(AM$7,$F$7:$AG$7,1))</f>
        <v>8</v>
      </c>
      <c r="AN303" s="109" t="n">
        <f aca="false">INDEX($F303:$AG303,1,MATCH(AN$7,$F$7:$AG$7,1))</f>
        <v>8</v>
      </c>
      <c r="AO303" s="109" t="n">
        <f aca="false">INDEX($F303:$AG303,1,MATCH(AO$7,$F$7:$AG$7,1))</f>
        <v>8</v>
      </c>
    </row>
    <row r="304" customFormat="false" ht="15" hidden="false" customHeight="false" outlineLevel="0" collapsed="false">
      <c r="A304" s="107" t="s">
        <v>1457</v>
      </c>
      <c r="B304" s="22" t="s">
        <v>664</v>
      </c>
      <c r="C304" s="22" t="s">
        <v>558</v>
      </c>
      <c r="D304" s="22"/>
      <c r="F304" s="109" t="n">
        <f aca="false">IF(F$5&lt;=LastHist,F181,CHOOSE(Scen,F184,F181,F178))</f>
        <v>0</v>
      </c>
      <c r="G304" s="109" t="n">
        <f aca="false">IF(G$5&lt;=LastHist,G181,CHOOSE(Scen,G184,G181,G178))</f>
        <v>0</v>
      </c>
      <c r="H304" s="109" t="n">
        <f aca="false">IF(H$5&lt;=LastHist,H181,CHOOSE(Scen,H184,H181,H178))</f>
        <v>0</v>
      </c>
      <c r="I304" s="109" t="n">
        <f aca="false">IF(I$5&lt;=LastHist,I181,CHOOSE(Scen,I184,I181,I178))</f>
        <v>0</v>
      </c>
      <c r="J304" s="109" t="n">
        <f aca="false">IF(J$5&lt;=LastHist,J181,CHOOSE(Scen,J184,J181,J178))</f>
        <v>0</v>
      </c>
      <c r="K304" s="109" t="n">
        <f aca="false">IF(K$5&lt;=LastHist,K181,CHOOSE(Scen,K184,K181,K178))</f>
        <v>0</v>
      </c>
      <c r="L304" s="109" t="n">
        <f aca="false">IF(L$5&lt;=LastHist,L181,CHOOSE(Scen,L184,L181,L178))</f>
        <v>0</v>
      </c>
      <c r="M304" s="109" t="n">
        <f aca="false">IF(M$5&lt;=LastHist,M181,CHOOSE(Scen,M184,M181,M178))</f>
        <v>0</v>
      </c>
      <c r="N304" s="109" t="n">
        <f aca="false">IF(N$5&lt;=LastHist,N181,CHOOSE(Scen,N184,N181,N178))</f>
        <v>0</v>
      </c>
      <c r="O304" s="109" t="n">
        <f aca="false">IF(O$5&lt;=LastHist,O181,CHOOSE(Scen,O184,O181,O178))</f>
        <v>0</v>
      </c>
      <c r="P304" s="109" t="n">
        <f aca="false">IF(P$5&lt;=LastHist,P181,CHOOSE(Scen,P184,P181,P178))</f>
        <v>0</v>
      </c>
      <c r="Q304" s="109" t="n">
        <f aca="false">IF(Q$5&lt;=LastHist,Q181,CHOOSE(Scen,Q184,Q181,Q178))</f>
        <v>5.5</v>
      </c>
      <c r="R304" s="109" t="n">
        <f aca="false">IF(R$5&lt;=LastHist,R181,CHOOSE(Scen,R184,R181,R178))</f>
        <v>11</v>
      </c>
      <c r="S304" s="109" t="n">
        <f aca="false">IF(S$5&lt;=LastHist,S181,CHOOSE(Scen,S184,S181,S178))</f>
        <v>16.5</v>
      </c>
      <c r="T304" s="109" t="n">
        <f aca="false">IF(T$5&lt;=LastHist,T181,CHOOSE(Scen,T184,T181,T178))</f>
        <v>22</v>
      </c>
      <c r="U304" s="109" t="n">
        <f aca="false">IF(U$5&lt;=LastHist,U181,CHOOSE(Scen,U184,U181,U178))</f>
        <v>22</v>
      </c>
      <c r="V304" s="109" t="n">
        <f aca="false">IF(V$5&lt;=LastHist,V181,CHOOSE(Scen,V184,V181,V178))</f>
        <v>22</v>
      </c>
      <c r="W304" s="109" t="n">
        <f aca="false">IF(W$5&lt;=LastHist,W181,CHOOSE(Scen,W184,W181,W178))</f>
        <v>22</v>
      </c>
      <c r="X304" s="109" t="n">
        <f aca="false">IF(X$5&lt;=LastHist,X181,CHOOSE(Scen,X184,X181,X178))</f>
        <v>22</v>
      </c>
      <c r="Y304" s="109" t="n">
        <f aca="false">IF(Y$5&lt;=LastHist,Y181,CHOOSE(Scen,Y184,Y181,Y178))</f>
        <v>22</v>
      </c>
      <c r="Z304" s="109" t="n">
        <f aca="false">IF(Z$5&lt;=LastHist,Z181,CHOOSE(Scen,Z184,Z181,Z178))</f>
        <v>22</v>
      </c>
      <c r="AA304" s="109" t="n">
        <f aca="false">IF(AA$5&lt;=LastHist,AA181,CHOOSE(Scen,AA184,AA181,AA178))</f>
        <v>22</v>
      </c>
      <c r="AB304" s="109" t="n">
        <f aca="false">IF(AB$5&lt;=LastHist,AB181,CHOOSE(Scen,AB184,AB181,AB178))</f>
        <v>22</v>
      </c>
      <c r="AC304" s="109" t="n">
        <f aca="false">IF(AC$5&lt;=LastHist,AC181,CHOOSE(Scen,AC184,AC181,AC178))</f>
        <v>22</v>
      </c>
      <c r="AD304" s="109" t="n">
        <f aca="false">IF(AD$5&lt;=LastHist,AD181,CHOOSE(Scen,AD184,AD181,AD178))</f>
        <v>22</v>
      </c>
      <c r="AE304" s="109" t="n">
        <f aca="false">IF(AE$5&lt;=LastHist,AE181,CHOOSE(Scen,AE184,AE181,AE178))</f>
        <v>22</v>
      </c>
      <c r="AF304" s="109" t="n">
        <f aca="false">IF(AF$5&lt;=LastHist,AF181,CHOOSE(Scen,AF184,AF181,AF178))</f>
        <v>22</v>
      </c>
      <c r="AG304" s="109" t="n">
        <f aca="false">IF(AG$5&lt;=LastHist,AG181,CHOOSE(Scen,AG184,AG181,AG178))</f>
        <v>22</v>
      </c>
      <c r="AI304" s="109" t="n">
        <f aca="false">INDEX($F304:$AG304,1,MATCH(AI$7,$F$7:$AG$7,1))</f>
        <v>0</v>
      </c>
      <c r="AJ304" s="109" t="n">
        <f aca="false">INDEX($F304:$AG304,1,MATCH(AJ$7,$F$7:$AG$7,1))</f>
        <v>0</v>
      </c>
      <c r="AK304" s="109" t="n">
        <f aca="false">INDEX($F304:$AG304,1,MATCH(AK$7,$F$7:$AG$7,1))</f>
        <v>5.5</v>
      </c>
      <c r="AL304" s="109" t="n">
        <f aca="false">INDEX($F304:$AG304,1,MATCH(AL$7,$F$7:$AG$7,1))</f>
        <v>22</v>
      </c>
      <c r="AM304" s="109" t="n">
        <f aca="false">INDEX($F304:$AG304,1,MATCH(AM$7,$F$7:$AG$7,1))</f>
        <v>22</v>
      </c>
      <c r="AN304" s="109" t="n">
        <f aca="false">INDEX($F304:$AG304,1,MATCH(AN$7,$F$7:$AG$7,1))</f>
        <v>22</v>
      </c>
      <c r="AO304" s="109" t="n">
        <f aca="false">INDEX($F304:$AG304,1,MATCH(AO$7,$F$7:$AG$7,1))</f>
        <v>22</v>
      </c>
    </row>
    <row r="305" customFormat="false" ht="15" hidden="false" customHeight="false" outlineLevel="0" collapsed="false">
      <c r="A305" s="107" t="s">
        <v>1458</v>
      </c>
      <c r="B305" s="22" t="s">
        <v>664</v>
      </c>
      <c r="C305" s="22" t="s">
        <v>558</v>
      </c>
      <c r="D305" s="22"/>
      <c r="F305" s="109" t="n">
        <f aca="false">IF(F$5&lt;=LastHist,F190,CHOOSE(Scen,F193,F190,F187))</f>
        <v>0</v>
      </c>
      <c r="G305" s="109" t="n">
        <f aca="false">IF(G$5&lt;=LastHist,G190,CHOOSE(Scen,G193,G190,G187))</f>
        <v>0</v>
      </c>
      <c r="H305" s="109" t="n">
        <f aca="false">IF(H$5&lt;=LastHist,H190,CHOOSE(Scen,H193,H190,H187))</f>
        <v>0</v>
      </c>
      <c r="I305" s="109" t="n">
        <f aca="false">IF(I$5&lt;=LastHist,I190,CHOOSE(Scen,I193,I190,I187))</f>
        <v>0</v>
      </c>
      <c r="J305" s="109" t="n">
        <f aca="false">IF(J$5&lt;=LastHist,J190,CHOOSE(Scen,J193,J190,J187))</f>
        <v>0</v>
      </c>
      <c r="K305" s="109" t="n">
        <f aca="false">IF(K$5&lt;=LastHist,K190,CHOOSE(Scen,K193,K190,K187))</f>
        <v>0</v>
      </c>
      <c r="L305" s="109" t="n">
        <f aca="false">IF(L$5&lt;=LastHist,L190,CHOOSE(Scen,L193,L190,L187))</f>
        <v>0</v>
      </c>
      <c r="M305" s="109" t="n">
        <f aca="false">IF(M$5&lt;=LastHist,M190,CHOOSE(Scen,M193,M190,M187))</f>
        <v>0</v>
      </c>
      <c r="N305" s="109" t="n">
        <f aca="false">IF(N$5&lt;=LastHist,N190,CHOOSE(Scen,N193,N190,N187))</f>
        <v>0</v>
      </c>
      <c r="O305" s="109" t="n">
        <f aca="false">IF(O$5&lt;=LastHist,O190,CHOOSE(Scen,O193,O190,O187))</f>
        <v>0</v>
      </c>
      <c r="P305" s="109" t="n">
        <f aca="false">IF(P$5&lt;=LastHist,P190,CHOOSE(Scen,P193,P190,P187))</f>
        <v>0</v>
      </c>
      <c r="Q305" s="109" t="n">
        <f aca="false">IF(Q$5&lt;=LastHist,Q190,CHOOSE(Scen,Q193,Q190,Q187))</f>
        <v>0</v>
      </c>
      <c r="R305" s="109" t="n">
        <f aca="false">IF(R$5&lt;=LastHist,R190,CHOOSE(Scen,R193,R190,R187))</f>
        <v>10</v>
      </c>
      <c r="S305" s="109" t="n">
        <f aca="false">IF(S$5&lt;=LastHist,S190,CHOOSE(Scen,S193,S190,S187))</f>
        <v>29.5</v>
      </c>
      <c r="T305" s="109" t="n">
        <f aca="false">IF(T$5&lt;=LastHist,T190,CHOOSE(Scen,T193,T190,T187))</f>
        <v>48.5</v>
      </c>
      <c r="U305" s="109" t="n">
        <f aca="false">IF(U$5&lt;=LastHist,U190,CHOOSE(Scen,U193,U190,U187))</f>
        <v>58</v>
      </c>
      <c r="V305" s="109" t="n">
        <f aca="false">IF(V$5&lt;=LastHist,V190,CHOOSE(Scen,V193,V190,V187))</f>
        <v>58</v>
      </c>
      <c r="W305" s="109" t="n">
        <f aca="false">IF(W$5&lt;=LastHist,W190,CHOOSE(Scen,W193,W190,W187))</f>
        <v>58</v>
      </c>
      <c r="X305" s="109" t="n">
        <f aca="false">IF(X$5&lt;=LastHist,X190,CHOOSE(Scen,X193,X190,X187))</f>
        <v>58</v>
      </c>
      <c r="Y305" s="109" t="n">
        <f aca="false">IF(Y$5&lt;=LastHist,Y190,CHOOSE(Scen,Y193,Y190,Y187))</f>
        <v>58</v>
      </c>
      <c r="Z305" s="109" t="n">
        <f aca="false">IF(Z$5&lt;=LastHist,Z190,CHOOSE(Scen,Z193,Z190,Z187))</f>
        <v>58</v>
      </c>
      <c r="AA305" s="109" t="n">
        <f aca="false">IF(AA$5&lt;=LastHist,AA190,CHOOSE(Scen,AA193,AA190,AA187))</f>
        <v>58</v>
      </c>
      <c r="AB305" s="109" t="n">
        <f aca="false">IF(AB$5&lt;=LastHist,AB190,CHOOSE(Scen,AB193,AB190,AB187))</f>
        <v>58</v>
      </c>
      <c r="AC305" s="109" t="n">
        <f aca="false">IF(AC$5&lt;=LastHist,AC190,CHOOSE(Scen,AC193,AC190,AC187))</f>
        <v>58</v>
      </c>
      <c r="AD305" s="109" t="n">
        <f aca="false">IF(AD$5&lt;=LastHist,AD190,CHOOSE(Scen,AD193,AD190,AD187))</f>
        <v>58</v>
      </c>
      <c r="AE305" s="109" t="n">
        <f aca="false">IF(AE$5&lt;=LastHist,AE190,CHOOSE(Scen,AE193,AE190,AE187))</f>
        <v>58</v>
      </c>
      <c r="AF305" s="109" t="n">
        <f aca="false">IF(AF$5&lt;=LastHist,AF190,CHOOSE(Scen,AF193,AF190,AF187))</f>
        <v>58</v>
      </c>
      <c r="AG305" s="109" t="n">
        <f aca="false">IF(AG$5&lt;=LastHist,AG190,CHOOSE(Scen,AG193,AG190,AG187))</f>
        <v>58</v>
      </c>
      <c r="AI305" s="109" t="n">
        <f aca="false">INDEX($F305:$AG305,1,MATCH(AI$7,$F$7:$AG$7,1))</f>
        <v>0</v>
      </c>
      <c r="AJ305" s="109" t="n">
        <f aca="false">INDEX($F305:$AG305,1,MATCH(AJ$7,$F$7:$AG$7,1))</f>
        <v>0</v>
      </c>
      <c r="AK305" s="109" t="n">
        <f aca="false">INDEX($F305:$AG305,1,MATCH(AK$7,$F$7:$AG$7,1))</f>
        <v>0</v>
      </c>
      <c r="AL305" s="109" t="n">
        <f aca="false">INDEX($F305:$AG305,1,MATCH(AL$7,$F$7:$AG$7,1))</f>
        <v>58</v>
      </c>
      <c r="AM305" s="109" t="n">
        <f aca="false">INDEX($F305:$AG305,1,MATCH(AM$7,$F$7:$AG$7,1))</f>
        <v>58</v>
      </c>
      <c r="AN305" s="109" t="n">
        <f aca="false">INDEX($F305:$AG305,1,MATCH(AN$7,$F$7:$AG$7,1))</f>
        <v>58</v>
      </c>
      <c r="AO305" s="109" t="n">
        <f aca="false">INDEX($F305:$AG305,1,MATCH(AO$7,$F$7:$AG$7,1))</f>
        <v>58</v>
      </c>
    </row>
    <row r="306" customFormat="false" ht="15" hidden="false" customHeight="false" outlineLevel="0" collapsed="false">
      <c r="A306" s="107" t="s">
        <v>1459</v>
      </c>
      <c r="B306" s="22" t="s">
        <v>664</v>
      </c>
      <c r="C306" s="22" t="s">
        <v>558</v>
      </c>
      <c r="D306" s="22"/>
      <c r="F306" s="109" t="n">
        <f aca="false">IF(F$5&lt;=LastHist,F199,CHOOSE(Scen,F202,F199,F196))</f>
        <v>0</v>
      </c>
      <c r="G306" s="109" t="n">
        <f aca="false">IF(G$5&lt;=LastHist,G199,CHOOSE(Scen,G202,G199,G196))</f>
        <v>0</v>
      </c>
      <c r="H306" s="109" t="n">
        <f aca="false">IF(H$5&lt;=LastHist,H199,CHOOSE(Scen,H202,H199,H196))</f>
        <v>0</v>
      </c>
      <c r="I306" s="109" t="n">
        <f aca="false">IF(I$5&lt;=LastHist,I199,CHOOSE(Scen,I202,I199,I196))</f>
        <v>0</v>
      </c>
      <c r="J306" s="109" t="n">
        <f aca="false">IF(J$5&lt;=LastHist,J199,CHOOSE(Scen,J202,J199,J196))</f>
        <v>0</v>
      </c>
      <c r="K306" s="109" t="n">
        <f aca="false">IF(K$5&lt;=LastHist,K199,CHOOSE(Scen,K202,K199,K196))</f>
        <v>0</v>
      </c>
      <c r="L306" s="109" t="n">
        <f aca="false">IF(L$5&lt;=LastHist,L199,CHOOSE(Scen,L202,L199,L196))</f>
        <v>0</v>
      </c>
      <c r="M306" s="109" t="n">
        <f aca="false">IF(M$5&lt;=LastHist,M199,CHOOSE(Scen,M202,M199,M196))</f>
        <v>0</v>
      </c>
      <c r="N306" s="109" t="n">
        <f aca="false">IF(N$5&lt;=LastHist,N199,CHOOSE(Scen,N202,N199,N196))</f>
        <v>0</v>
      </c>
      <c r="O306" s="109" t="n">
        <f aca="false">IF(O$5&lt;=LastHist,O199,CHOOSE(Scen,O202,O199,O196))</f>
        <v>0</v>
      </c>
      <c r="P306" s="109" t="n">
        <f aca="false">IF(P$5&lt;=LastHist,P199,CHOOSE(Scen,P202,P199,P196))</f>
        <v>7.5</v>
      </c>
      <c r="Q306" s="109" t="n">
        <f aca="false">IF(Q$5&lt;=LastHist,Q199,CHOOSE(Scen,Q202,Q199,Q196))</f>
        <v>13.5</v>
      </c>
      <c r="R306" s="109" t="n">
        <f aca="false">IF(R$5&lt;=LastHist,R199,CHOOSE(Scen,R202,R199,R196))</f>
        <v>18</v>
      </c>
      <c r="S306" s="109" t="n">
        <f aca="false">IF(S$5&lt;=LastHist,S199,CHOOSE(Scen,S202,S199,S196))</f>
        <v>18</v>
      </c>
      <c r="T306" s="109" t="n">
        <f aca="false">IF(T$5&lt;=LastHist,T199,CHOOSE(Scen,T202,T199,T196))</f>
        <v>18</v>
      </c>
      <c r="U306" s="109" t="n">
        <f aca="false">IF(U$5&lt;=LastHist,U199,CHOOSE(Scen,U202,U199,U196))</f>
        <v>18</v>
      </c>
      <c r="V306" s="109" t="n">
        <f aca="false">IF(V$5&lt;=LastHist,V199,CHOOSE(Scen,V202,V199,V196))</f>
        <v>18</v>
      </c>
      <c r="W306" s="109" t="n">
        <f aca="false">IF(W$5&lt;=LastHist,W199,CHOOSE(Scen,W202,W199,W196))</f>
        <v>18</v>
      </c>
      <c r="X306" s="109" t="n">
        <f aca="false">IF(X$5&lt;=LastHist,X199,CHOOSE(Scen,X202,X199,X196))</f>
        <v>18</v>
      </c>
      <c r="Y306" s="109" t="n">
        <f aca="false">IF(Y$5&lt;=LastHist,Y199,CHOOSE(Scen,Y202,Y199,Y196))</f>
        <v>18</v>
      </c>
      <c r="Z306" s="109" t="n">
        <f aca="false">IF(Z$5&lt;=LastHist,Z199,CHOOSE(Scen,Z202,Z199,Z196))</f>
        <v>18</v>
      </c>
      <c r="AA306" s="109" t="n">
        <f aca="false">IF(AA$5&lt;=LastHist,AA199,CHOOSE(Scen,AA202,AA199,AA196))</f>
        <v>18</v>
      </c>
      <c r="AB306" s="109" t="n">
        <f aca="false">IF(AB$5&lt;=LastHist,AB199,CHOOSE(Scen,AB202,AB199,AB196))</f>
        <v>18</v>
      </c>
      <c r="AC306" s="109" t="n">
        <f aca="false">IF(AC$5&lt;=LastHist,AC199,CHOOSE(Scen,AC202,AC199,AC196))</f>
        <v>18</v>
      </c>
      <c r="AD306" s="109" t="n">
        <f aca="false">IF(AD$5&lt;=LastHist,AD199,CHOOSE(Scen,AD202,AD199,AD196))</f>
        <v>18</v>
      </c>
      <c r="AE306" s="109" t="n">
        <f aca="false">IF(AE$5&lt;=LastHist,AE199,CHOOSE(Scen,AE202,AE199,AE196))</f>
        <v>18</v>
      </c>
      <c r="AF306" s="109" t="n">
        <f aca="false">IF(AF$5&lt;=LastHist,AF199,CHOOSE(Scen,AF202,AF199,AF196))</f>
        <v>18</v>
      </c>
      <c r="AG306" s="109" t="n">
        <f aca="false">IF(AG$5&lt;=LastHist,AG199,CHOOSE(Scen,AG202,AG199,AG196))</f>
        <v>18</v>
      </c>
      <c r="AI306" s="109" t="n">
        <f aca="false">INDEX($F306:$AG306,1,MATCH(AI$7,$F$7:$AG$7,1))</f>
        <v>0</v>
      </c>
      <c r="AJ306" s="109" t="n">
        <f aca="false">INDEX($F306:$AG306,1,MATCH(AJ$7,$F$7:$AG$7,1))</f>
        <v>0</v>
      </c>
      <c r="AK306" s="109" t="n">
        <f aca="false">INDEX($F306:$AG306,1,MATCH(AK$7,$F$7:$AG$7,1))</f>
        <v>13.5</v>
      </c>
      <c r="AL306" s="109" t="n">
        <f aca="false">INDEX($F306:$AG306,1,MATCH(AL$7,$F$7:$AG$7,1))</f>
        <v>18</v>
      </c>
      <c r="AM306" s="109" t="n">
        <f aca="false">INDEX($F306:$AG306,1,MATCH(AM$7,$F$7:$AG$7,1))</f>
        <v>18</v>
      </c>
      <c r="AN306" s="109" t="n">
        <f aca="false">INDEX($F306:$AG306,1,MATCH(AN$7,$F$7:$AG$7,1))</f>
        <v>18</v>
      </c>
      <c r="AO306" s="109" t="n">
        <f aca="false">INDEX($F306:$AG306,1,MATCH(AO$7,$F$7:$AG$7,1))</f>
        <v>18</v>
      </c>
    </row>
    <row r="307" customFormat="false" ht="15" hidden="false" customHeight="false" outlineLevel="0" collapsed="false">
      <c r="A307" s="107" t="s">
        <v>1460</v>
      </c>
      <c r="B307" s="22" t="s">
        <v>664</v>
      </c>
      <c r="C307" s="22" t="s">
        <v>558</v>
      </c>
      <c r="D307" s="22"/>
      <c r="F307" s="109" t="n">
        <f aca="false">IF(F$5&lt;=LastHist,F208,CHOOSE(Scen,F211,F208,F205))</f>
        <v>0</v>
      </c>
      <c r="G307" s="109" t="n">
        <f aca="false">IF(G$5&lt;=LastHist,G208,CHOOSE(Scen,G211,G208,G205))</f>
        <v>0</v>
      </c>
      <c r="H307" s="109" t="n">
        <f aca="false">IF(H$5&lt;=LastHist,H208,CHOOSE(Scen,H211,H208,H205))</f>
        <v>0</v>
      </c>
      <c r="I307" s="109" t="n">
        <f aca="false">IF(I$5&lt;=LastHist,I208,CHOOSE(Scen,I211,I208,I205))</f>
        <v>0</v>
      </c>
      <c r="J307" s="109" t="n">
        <f aca="false">IF(J$5&lt;=LastHist,J208,CHOOSE(Scen,J211,J208,J205))</f>
        <v>0</v>
      </c>
      <c r="K307" s="109" t="n">
        <f aca="false">IF(K$5&lt;=LastHist,K208,CHOOSE(Scen,K211,K208,K205))</f>
        <v>0</v>
      </c>
      <c r="L307" s="109" t="n">
        <f aca="false">IF(L$5&lt;=LastHist,L208,CHOOSE(Scen,L211,L208,L205))</f>
        <v>0</v>
      </c>
      <c r="M307" s="109" t="n">
        <f aca="false">IF(M$5&lt;=LastHist,M208,CHOOSE(Scen,M211,M208,M205))</f>
        <v>0</v>
      </c>
      <c r="N307" s="109" t="n">
        <f aca="false">IF(N$5&lt;=LastHist,N208,CHOOSE(Scen,N211,N208,N205))</f>
        <v>0</v>
      </c>
      <c r="O307" s="109" t="n">
        <f aca="false">IF(O$5&lt;=LastHist,O208,CHOOSE(Scen,O211,O208,O205))</f>
        <v>0</v>
      </c>
      <c r="P307" s="109" t="n">
        <f aca="false">IF(P$5&lt;=LastHist,P208,CHOOSE(Scen,P211,P208,P205))</f>
        <v>0</v>
      </c>
      <c r="Q307" s="109" t="n">
        <f aca="false">IF(Q$5&lt;=LastHist,Q208,CHOOSE(Scen,Q211,Q208,Q205))</f>
        <v>11</v>
      </c>
      <c r="R307" s="109" t="n">
        <f aca="false">IF(R$5&lt;=LastHist,R208,CHOOSE(Scen,R211,R208,R205))</f>
        <v>16.5</v>
      </c>
      <c r="S307" s="109" t="n">
        <f aca="false">IF(S$5&lt;=LastHist,S208,CHOOSE(Scen,S211,S208,S205))</f>
        <v>22</v>
      </c>
      <c r="T307" s="109" t="n">
        <f aca="false">IF(T$5&lt;=LastHist,T208,CHOOSE(Scen,T211,T208,T205))</f>
        <v>22</v>
      </c>
      <c r="U307" s="109" t="n">
        <f aca="false">IF(U$5&lt;=LastHist,U208,CHOOSE(Scen,U211,U208,U205))</f>
        <v>22</v>
      </c>
      <c r="V307" s="109" t="n">
        <f aca="false">IF(V$5&lt;=LastHist,V208,CHOOSE(Scen,V211,V208,V205))</f>
        <v>22</v>
      </c>
      <c r="W307" s="109" t="n">
        <f aca="false">IF(W$5&lt;=LastHist,W208,CHOOSE(Scen,W211,W208,W205))</f>
        <v>22</v>
      </c>
      <c r="X307" s="109" t="n">
        <f aca="false">IF(X$5&lt;=LastHist,X208,CHOOSE(Scen,X211,X208,X205))</f>
        <v>22</v>
      </c>
      <c r="Y307" s="109" t="n">
        <f aca="false">IF(Y$5&lt;=LastHist,Y208,CHOOSE(Scen,Y211,Y208,Y205))</f>
        <v>22</v>
      </c>
      <c r="Z307" s="109" t="n">
        <f aca="false">IF(Z$5&lt;=LastHist,Z208,CHOOSE(Scen,Z211,Z208,Z205))</f>
        <v>22</v>
      </c>
      <c r="AA307" s="109" t="n">
        <f aca="false">IF(AA$5&lt;=LastHist,AA208,CHOOSE(Scen,AA211,AA208,AA205))</f>
        <v>22</v>
      </c>
      <c r="AB307" s="109" t="n">
        <f aca="false">IF(AB$5&lt;=LastHist,AB208,CHOOSE(Scen,AB211,AB208,AB205))</f>
        <v>22</v>
      </c>
      <c r="AC307" s="109" t="n">
        <f aca="false">IF(AC$5&lt;=LastHist,AC208,CHOOSE(Scen,AC211,AC208,AC205))</f>
        <v>22</v>
      </c>
      <c r="AD307" s="109" t="n">
        <f aca="false">IF(AD$5&lt;=LastHist,AD208,CHOOSE(Scen,AD211,AD208,AD205))</f>
        <v>22</v>
      </c>
      <c r="AE307" s="109" t="n">
        <f aca="false">IF(AE$5&lt;=LastHist,AE208,CHOOSE(Scen,AE211,AE208,AE205))</f>
        <v>22</v>
      </c>
      <c r="AF307" s="109" t="n">
        <f aca="false">IF(AF$5&lt;=LastHist,AF208,CHOOSE(Scen,AF211,AF208,AF205))</f>
        <v>22</v>
      </c>
      <c r="AG307" s="109" t="n">
        <f aca="false">IF(AG$5&lt;=LastHist,AG208,CHOOSE(Scen,AG211,AG208,AG205))</f>
        <v>22</v>
      </c>
      <c r="AI307" s="109" t="n">
        <f aca="false">INDEX($F307:$AG307,1,MATCH(AI$7,$F$7:$AG$7,1))</f>
        <v>0</v>
      </c>
      <c r="AJ307" s="109" t="n">
        <f aca="false">INDEX($F307:$AG307,1,MATCH(AJ$7,$F$7:$AG$7,1))</f>
        <v>0</v>
      </c>
      <c r="AK307" s="109" t="n">
        <f aca="false">INDEX($F307:$AG307,1,MATCH(AK$7,$F$7:$AG$7,1))</f>
        <v>11</v>
      </c>
      <c r="AL307" s="109" t="n">
        <f aca="false">INDEX($F307:$AG307,1,MATCH(AL$7,$F$7:$AG$7,1))</f>
        <v>22</v>
      </c>
      <c r="AM307" s="109" t="n">
        <f aca="false">INDEX($F307:$AG307,1,MATCH(AM$7,$F$7:$AG$7,1))</f>
        <v>22</v>
      </c>
      <c r="AN307" s="109" t="n">
        <f aca="false">INDEX($F307:$AG307,1,MATCH(AN$7,$F$7:$AG$7,1))</f>
        <v>22</v>
      </c>
      <c r="AO307" s="109" t="n">
        <f aca="false">INDEX($F307:$AG307,1,MATCH(AO$7,$F$7:$AG$7,1))</f>
        <v>22</v>
      </c>
    </row>
    <row r="308" customFormat="false" ht="15" hidden="false" customHeight="false" outlineLevel="0" collapsed="false">
      <c r="A308" s="107" t="s">
        <v>1461</v>
      </c>
      <c r="B308" s="22" t="s">
        <v>664</v>
      </c>
      <c r="C308" s="22" t="s">
        <v>558</v>
      </c>
      <c r="D308" s="22"/>
      <c r="F308" s="109" t="n">
        <f aca="false">IF(F$5&lt;=LastHist,F217,CHOOSE(Scen,F220,F217,F214))</f>
        <v>0</v>
      </c>
      <c r="G308" s="109" t="n">
        <f aca="false">IF(G$5&lt;=LastHist,G217,CHOOSE(Scen,G220,G217,G214))</f>
        <v>0</v>
      </c>
      <c r="H308" s="109" t="n">
        <f aca="false">IF(H$5&lt;=LastHist,H217,CHOOSE(Scen,H220,H217,H214))</f>
        <v>0</v>
      </c>
      <c r="I308" s="109" t="n">
        <f aca="false">IF(I$5&lt;=LastHist,I217,CHOOSE(Scen,I220,I217,I214))</f>
        <v>0</v>
      </c>
      <c r="J308" s="109" t="n">
        <f aca="false">IF(J$5&lt;=LastHist,J217,CHOOSE(Scen,J220,J217,J214))</f>
        <v>0</v>
      </c>
      <c r="K308" s="109" t="n">
        <f aca="false">IF(K$5&lt;=LastHist,K217,CHOOSE(Scen,K220,K217,K214))</f>
        <v>0</v>
      </c>
      <c r="L308" s="109" t="n">
        <f aca="false">IF(L$5&lt;=LastHist,L217,CHOOSE(Scen,L220,L217,L214))</f>
        <v>0</v>
      </c>
      <c r="M308" s="109" t="n">
        <f aca="false">IF(M$5&lt;=LastHist,M217,CHOOSE(Scen,M220,M217,M214))</f>
        <v>0</v>
      </c>
      <c r="N308" s="109" t="n">
        <f aca="false">IF(N$5&lt;=LastHist,N217,CHOOSE(Scen,N220,N217,N214))</f>
        <v>10</v>
      </c>
      <c r="O308" s="109" t="n">
        <f aca="false">IF(O$5&lt;=LastHist,O217,CHOOSE(Scen,O220,O217,O214))</f>
        <v>10</v>
      </c>
      <c r="P308" s="109" t="n">
        <f aca="false">IF(P$5&lt;=LastHist,P217,CHOOSE(Scen,P220,P217,P214))</f>
        <v>10</v>
      </c>
      <c r="Q308" s="109" t="n">
        <f aca="false">IF(Q$5&lt;=LastHist,Q217,CHOOSE(Scen,Q220,Q217,Q214))</f>
        <v>10</v>
      </c>
      <c r="R308" s="109" t="n">
        <f aca="false">IF(R$5&lt;=LastHist,R217,CHOOSE(Scen,R220,R217,R214))</f>
        <v>10</v>
      </c>
      <c r="S308" s="109" t="n">
        <f aca="false">IF(S$5&lt;=LastHist,S217,CHOOSE(Scen,S220,S217,S214))</f>
        <v>10</v>
      </c>
      <c r="T308" s="109" t="n">
        <f aca="false">IF(T$5&lt;=LastHist,T217,CHOOSE(Scen,T220,T217,T214))</f>
        <v>10</v>
      </c>
      <c r="U308" s="109" t="n">
        <f aca="false">IF(U$5&lt;=LastHist,U217,CHOOSE(Scen,U220,U217,U214))</f>
        <v>10</v>
      </c>
      <c r="V308" s="109" t="n">
        <f aca="false">IF(V$5&lt;=LastHist,V217,CHOOSE(Scen,V220,V217,V214))</f>
        <v>10</v>
      </c>
      <c r="W308" s="109" t="n">
        <f aca="false">IF(W$5&lt;=LastHist,W217,CHOOSE(Scen,W220,W217,W214))</f>
        <v>10</v>
      </c>
      <c r="X308" s="109" t="n">
        <f aca="false">IF(X$5&lt;=LastHist,X217,CHOOSE(Scen,X220,X217,X214))</f>
        <v>10</v>
      </c>
      <c r="Y308" s="109" t="n">
        <f aca="false">IF(Y$5&lt;=LastHist,Y217,CHOOSE(Scen,Y220,Y217,Y214))</f>
        <v>10</v>
      </c>
      <c r="Z308" s="109" t="n">
        <f aca="false">IF(Z$5&lt;=LastHist,Z217,CHOOSE(Scen,Z220,Z217,Z214))</f>
        <v>10</v>
      </c>
      <c r="AA308" s="109" t="n">
        <f aca="false">IF(AA$5&lt;=LastHist,AA217,CHOOSE(Scen,AA220,AA217,AA214))</f>
        <v>10</v>
      </c>
      <c r="AB308" s="109" t="n">
        <f aca="false">IF(AB$5&lt;=LastHist,AB217,CHOOSE(Scen,AB220,AB217,AB214))</f>
        <v>10</v>
      </c>
      <c r="AC308" s="109" t="n">
        <f aca="false">IF(AC$5&lt;=LastHist,AC217,CHOOSE(Scen,AC220,AC217,AC214))</f>
        <v>10</v>
      </c>
      <c r="AD308" s="109" t="n">
        <f aca="false">IF(AD$5&lt;=LastHist,AD217,CHOOSE(Scen,AD220,AD217,AD214))</f>
        <v>10</v>
      </c>
      <c r="AE308" s="109" t="n">
        <f aca="false">IF(AE$5&lt;=LastHist,AE217,CHOOSE(Scen,AE220,AE217,AE214))</f>
        <v>10</v>
      </c>
      <c r="AF308" s="109" t="n">
        <f aca="false">IF(AF$5&lt;=LastHist,AF217,CHOOSE(Scen,AF220,AF217,AF214))</f>
        <v>10</v>
      </c>
      <c r="AG308" s="109" t="n">
        <f aca="false">IF(AG$5&lt;=LastHist,AG217,CHOOSE(Scen,AG220,AG217,AG214))</f>
        <v>10</v>
      </c>
      <c r="AI308" s="109" t="n">
        <f aca="false">INDEX($F308:$AG308,1,MATCH(AI$7,$F$7:$AG$7,1))</f>
        <v>0</v>
      </c>
      <c r="AJ308" s="109" t="n">
        <f aca="false">INDEX($F308:$AG308,1,MATCH(AJ$7,$F$7:$AG$7,1))</f>
        <v>0</v>
      </c>
      <c r="AK308" s="109" t="n">
        <f aca="false">INDEX($F308:$AG308,1,MATCH(AK$7,$F$7:$AG$7,1))</f>
        <v>10</v>
      </c>
      <c r="AL308" s="109" t="n">
        <f aca="false">INDEX($F308:$AG308,1,MATCH(AL$7,$F$7:$AG$7,1))</f>
        <v>10</v>
      </c>
      <c r="AM308" s="109" t="n">
        <f aca="false">INDEX($F308:$AG308,1,MATCH(AM$7,$F$7:$AG$7,1))</f>
        <v>10</v>
      </c>
      <c r="AN308" s="109" t="n">
        <f aca="false">INDEX($F308:$AG308,1,MATCH(AN$7,$F$7:$AG$7,1))</f>
        <v>10</v>
      </c>
      <c r="AO308" s="109" t="n">
        <f aca="false">INDEX($F308:$AG308,1,MATCH(AO$7,$F$7:$AG$7,1))</f>
        <v>10</v>
      </c>
    </row>
    <row r="309" customFormat="false" ht="15" hidden="false" customHeight="false" outlineLevel="0" collapsed="false">
      <c r="A309" s="107" t="s">
        <v>1463</v>
      </c>
      <c r="B309" s="22" t="s">
        <v>664</v>
      </c>
      <c r="C309" s="22" t="s">
        <v>558</v>
      </c>
      <c r="D309" s="22"/>
      <c r="F309" s="109" t="n">
        <f aca="false">IF(F$5&lt;=LastHist,F226,CHOOSE(Scen,F229,F226,F223))</f>
        <v>0</v>
      </c>
      <c r="G309" s="109" t="n">
        <f aca="false">IF(G$5&lt;=LastHist,G226,CHOOSE(Scen,G229,G226,G223))</f>
        <v>0</v>
      </c>
      <c r="H309" s="109" t="n">
        <f aca="false">IF(H$5&lt;=LastHist,H226,CHOOSE(Scen,H229,H226,H223))</f>
        <v>0</v>
      </c>
      <c r="I309" s="109" t="n">
        <f aca="false">IF(I$5&lt;=LastHist,I226,CHOOSE(Scen,I229,I226,I223))</f>
        <v>0</v>
      </c>
      <c r="J309" s="109" t="n">
        <f aca="false">IF(J$5&lt;=LastHist,J226,CHOOSE(Scen,J229,J226,J223))</f>
        <v>0</v>
      </c>
      <c r="K309" s="109" t="n">
        <f aca="false">IF(K$5&lt;=LastHist,K226,CHOOSE(Scen,K229,K226,K223))</f>
        <v>0</v>
      </c>
      <c r="L309" s="109" t="n">
        <f aca="false">IF(L$5&lt;=LastHist,L226,CHOOSE(Scen,L229,L226,L223))</f>
        <v>0</v>
      </c>
      <c r="M309" s="109" t="n">
        <f aca="false">IF(M$5&lt;=LastHist,M226,CHOOSE(Scen,M229,M226,M223))</f>
        <v>0</v>
      </c>
      <c r="N309" s="109" t="n">
        <f aca="false">IF(N$5&lt;=LastHist,N226,CHOOSE(Scen,N229,N226,N223))</f>
        <v>0</v>
      </c>
      <c r="O309" s="109" t="n">
        <f aca="false">IF(O$5&lt;=LastHist,O226,CHOOSE(Scen,O229,O226,O223))</f>
        <v>10</v>
      </c>
      <c r="P309" s="109" t="n">
        <f aca="false">IF(P$5&lt;=LastHist,P226,CHOOSE(Scen,P229,P226,P223))</f>
        <v>10</v>
      </c>
      <c r="Q309" s="109" t="n">
        <f aca="false">IF(Q$5&lt;=LastHist,Q226,CHOOSE(Scen,Q229,Q226,Q223))</f>
        <v>25</v>
      </c>
      <c r="R309" s="109" t="n">
        <f aca="false">IF(R$5&lt;=LastHist,R226,CHOOSE(Scen,R229,R226,R223))</f>
        <v>50</v>
      </c>
      <c r="S309" s="109" t="n">
        <f aca="false">IF(S$5&lt;=LastHist,S226,CHOOSE(Scen,S229,S226,S223))</f>
        <v>75</v>
      </c>
      <c r="T309" s="109" t="n">
        <f aca="false">IF(T$5&lt;=LastHist,T226,CHOOSE(Scen,T229,T226,T223))</f>
        <v>100</v>
      </c>
      <c r="U309" s="109" t="n">
        <f aca="false">IF(U$5&lt;=LastHist,U226,CHOOSE(Scen,U229,U226,U223))</f>
        <v>100</v>
      </c>
      <c r="V309" s="109" t="n">
        <f aca="false">IF(V$5&lt;=LastHist,V226,CHOOSE(Scen,V229,V226,V223))</f>
        <v>100</v>
      </c>
      <c r="W309" s="109" t="n">
        <f aca="false">IF(W$5&lt;=LastHist,W226,CHOOSE(Scen,W229,W226,W223))</f>
        <v>100</v>
      </c>
      <c r="X309" s="109" t="n">
        <f aca="false">IF(X$5&lt;=LastHist,X226,CHOOSE(Scen,X229,X226,X223))</f>
        <v>100</v>
      </c>
      <c r="Y309" s="109" t="n">
        <f aca="false">IF(Y$5&lt;=LastHist,Y226,CHOOSE(Scen,Y229,Y226,Y223))</f>
        <v>100</v>
      </c>
      <c r="Z309" s="109" t="n">
        <f aca="false">IF(Z$5&lt;=LastHist,Z226,CHOOSE(Scen,Z229,Z226,Z223))</f>
        <v>100</v>
      </c>
      <c r="AA309" s="109" t="n">
        <f aca="false">IF(AA$5&lt;=LastHist,AA226,CHOOSE(Scen,AA229,AA226,AA223))</f>
        <v>100</v>
      </c>
      <c r="AB309" s="109" t="n">
        <f aca="false">IF(AB$5&lt;=LastHist,AB226,CHOOSE(Scen,AB229,AB226,AB223))</f>
        <v>100</v>
      </c>
      <c r="AC309" s="109" t="n">
        <f aca="false">IF(AC$5&lt;=LastHist,AC226,CHOOSE(Scen,AC229,AC226,AC223))</f>
        <v>100</v>
      </c>
      <c r="AD309" s="109" t="n">
        <f aca="false">IF(AD$5&lt;=LastHist,AD226,CHOOSE(Scen,AD229,AD226,AD223))</f>
        <v>100</v>
      </c>
      <c r="AE309" s="109" t="n">
        <f aca="false">IF(AE$5&lt;=LastHist,AE226,CHOOSE(Scen,AE229,AE226,AE223))</f>
        <v>100</v>
      </c>
      <c r="AF309" s="109" t="n">
        <f aca="false">IF(AF$5&lt;=LastHist,AF226,CHOOSE(Scen,AF229,AF226,AF223))</f>
        <v>100</v>
      </c>
      <c r="AG309" s="109" t="n">
        <f aca="false">IF(AG$5&lt;=LastHist,AG226,CHOOSE(Scen,AG229,AG226,AG223))</f>
        <v>100</v>
      </c>
      <c r="AI309" s="109" t="n">
        <f aca="false">INDEX($F309:$AG309,1,MATCH(AI$7,$F$7:$AG$7,1))</f>
        <v>0</v>
      </c>
      <c r="AJ309" s="109" t="n">
        <f aca="false">INDEX($F309:$AG309,1,MATCH(AJ$7,$F$7:$AG$7,1))</f>
        <v>0</v>
      </c>
      <c r="AK309" s="109" t="n">
        <f aca="false">INDEX($F309:$AG309,1,MATCH(AK$7,$F$7:$AG$7,1))</f>
        <v>25</v>
      </c>
      <c r="AL309" s="109" t="n">
        <f aca="false">INDEX($F309:$AG309,1,MATCH(AL$7,$F$7:$AG$7,1))</f>
        <v>100</v>
      </c>
      <c r="AM309" s="109" t="n">
        <f aca="false">INDEX($F309:$AG309,1,MATCH(AM$7,$F$7:$AG$7,1))</f>
        <v>100</v>
      </c>
      <c r="AN309" s="109" t="n">
        <f aca="false">INDEX($F309:$AG309,1,MATCH(AN$7,$F$7:$AG$7,1))</f>
        <v>100</v>
      </c>
      <c r="AO309" s="109" t="n">
        <f aca="false">INDEX($F309:$AG309,1,MATCH(AO$7,$F$7:$AG$7,1))</f>
        <v>100</v>
      </c>
    </row>
    <row r="310" customFormat="false" ht="15" hidden="false" customHeight="false" outlineLevel="0" collapsed="false">
      <c r="A310" s="107" t="s">
        <v>1464</v>
      </c>
      <c r="B310" s="22" t="s">
        <v>664</v>
      </c>
      <c r="C310" s="22" t="s">
        <v>558</v>
      </c>
      <c r="D310" s="22"/>
      <c r="F310" s="109" t="n">
        <f aca="false">IF(F$5&lt;=LastHist,F231,CHOOSE(Scen,F232,F231,F230))</f>
        <v>0</v>
      </c>
      <c r="G310" s="109" t="n">
        <f aca="false">IF(G$5&lt;=LastHist,G231,CHOOSE(Scen,G232,G231,G230))</f>
        <v>0</v>
      </c>
      <c r="H310" s="109" t="n">
        <f aca="false">IF(H$5&lt;=LastHist,H231,CHOOSE(Scen,H232,H231,H230))</f>
        <v>0</v>
      </c>
      <c r="I310" s="109" t="n">
        <f aca="false">IF(I$5&lt;=LastHist,I231,CHOOSE(Scen,I232,I231,I230))</f>
        <v>0</v>
      </c>
      <c r="J310" s="109" t="n">
        <f aca="false">IF(J$5&lt;=LastHist,J231,CHOOSE(Scen,J232,J231,J230))</f>
        <v>0</v>
      </c>
      <c r="K310" s="109" t="n">
        <f aca="false">IF(K$5&lt;=LastHist,K231,CHOOSE(Scen,K232,K231,K230))</f>
        <v>0</v>
      </c>
      <c r="L310" s="109" t="n">
        <f aca="false">IF(L$5&lt;=LastHist,L231,CHOOSE(Scen,L232,L231,L230))</f>
        <v>0</v>
      </c>
      <c r="M310" s="109" t="n">
        <f aca="false">IF(M$5&lt;=LastHist,M231,CHOOSE(Scen,M232,M231,M230))</f>
        <v>0</v>
      </c>
      <c r="N310" s="109" t="n">
        <f aca="false">IF(N$5&lt;=LastHist,N231,CHOOSE(Scen,N232,N231,N230))</f>
        <v>0</v>
      </c>
      <c r="O310" s="109" t="n">
        <f aca="false">IF(O$5&lt;=LastHist,O231,CHOOSE(Scen,O232,O231,O230))</f>
        <v>0</v>
      </c>
      <c r="P310" s="109" t="n">
        <f aca="false">IF(P$5&lt;=LastHist,P231,CHOOSE(Scen,P232,P231,P230))</f>
        <v>0</v>
      </c>
      <c r="Q310" s="109" t="n">
        <f aca="false">IF(Q$5&lt;=LastHist,Q231,CHOOSE(Scen,Q232,Q231,Q230))</f>
        <v>0</v>
      </c>
      <c r="R310" s="109" t="n">
        <f aca="false">IF(R$5&lt;=LastHist,R231,CHOOSE(Scen,R232,R231,R230))</f>
        <v>0</v>
      </c>
      <c r="S310" s="109" t="n">
        <f aca="false">IF(S$5&lt;=LastHist,S231,CHOOSE(Scen,S232,S231,S230))</f>
        <v>0</v>
      </c>
      <c r="T310" s="109" t="n">
        <f aca="false">IF(T$5&lt;=LastHist,T231,CHOOSE(Scen,T232,T231,T230))</f>
        <v>0</v>
      </c>
      <c r="U310" s="109" t="n">
        <f aca="false">IF(U$5&lt;=LastHist,U231,CHOOSE(Scen,U232,U231,U230))</f>
        <v>0</v>
      </c>
      <c r="V310" s="109" t="n">
        <f aca="false">IF(V$5&lt;=LastHist,V231,CHOOSE(Scen,V232,V231,V230))</f>
        <v>0</v>
      </c>
      <c r="W310" s="109" t="n">
        <f aca="false">IF(W$5&lt;=LastHist,W231,CHOOSE(Scen,W232,W231,W230))</f>
        <v>0</v>
      </c>
      <c r="X310" s="109" t="n">
        <f aca="false">IF(X$5&lt;=LastHist,X231,CHOOSE(Scen,X232,X231,X230))</f>
        <v>0</v>
      </c>
      <c r="Y310" s="109" t="n">
        <f aca="false">IF(Y$5&lt;=LastHist,Y231,CHOOSE(Scen,Y232,Y231,Y230))</f>
        <v>0</v>
      </c>
      <c r="Z310" s="109" t="n">
        <f aca="false">IF(Z$5&lt;=LastHist,Z231,CHOOSE(Scen,Z232,Z231,Z230))</f>
        <v>0</v>
      </c>
      <c r="AA310" s="109" t="n">
        <f aca="false">IF(AA$5&lt;=LastHist,AA231,CHOOSE(Scen,AA232,AA231,AA230))</f>
        <v>0</v>
      </c>
      <c r="AB310" s="109" t="n">
        <f aca="false">IF(AB$5&lt;=LastHist,AB231,CHOOSE(Scen,AB232,AB231,AB230))</f>
        <v>0</v>
      </c>
      <c r="AC310" s="109" t="n">
        <f aca="false">IF(AC$5&lt;=LastHist,AC231,CHOOSE(Scen,AC232,AC231,AC230))</f>
        <v>0</v>
      </c>
      <c r="AD310" s="109" t="n">
        <f aca="false">IF(AD$5&lt;=LastHist,AD231,CHOOSE(Scen,AD232,AD231,AD230))</f>
        <v>0</v>
      </c>
      <c r="AE310" s="109" t="n">
        <f aca="false">IF(AE$5&lt;=LastHist,AE231,CHOOSE(Scen,AE232,AE231,AE230))</f>
        <v>0</v>
      </c>
      <c r="AF310" s="109" t="n">
        <f aca="false">IF(AF$5&lt;=LastHist,AF231,CHOOSE(Scen,AF232,AF231,AF230))</f>
        <v>0</v>
      </c>
      <c r="AG310" s="109" t="n">
        <f aca="false">IF(AG$5&lt;=LastHist,AG231,CHOOSE(Scen,AG232,AG231,AG230))</f>
        <v>0</v>
      </c>
      <c r="AI310" s="109" t="n">
        <f aca="false">INDEX($F310:$AG310,1,MATCH(AI$7,$F$7:$AG$7,1))</f>
        <v>0</v>
      </c>
      <c r="AJ310" s="109" t="n">
        <f aca="false">INDEX($F310:$AG310,1,MATCH(AJ$7,$F$7:$AG$7,1))</f>
        <v>0</v>
      </c>
      <c r="AK310" s="109" t="n">
        <f aca="false">INDEX($F310:$AG310,1,MATCH(AK$7,$F$7:$AG$7,1))</f>
        <v>0</v>
      </c>
      <c r="AL310" s="109" t="n">
        <f aca="false">INDEX($F310:$AG310,1,MATCH(AL$7,$F$7:$AG$7,1))</f>
        <v>0</v>
      </c>
      <c r="AM310" s="109" t="n">
        <f aca="false">INDEX($F310:$AG310,1,MATCH(AM$7,$F$7:$AG$7,1))</f>
        <v>0</v>
      </c>
      <c r="AN310" s="109" t="n">
        <f aca="false">INDEX($F310:$AG310,1,MATCH(AN$7,$F$7:$AG$7,1))</f>
        <v>0</v>
      </c>
      <c r="AO310" s="109" t="n">
        <f aca="false">INDEX($F310:$AG310,1,MATCH(AO$7,$F$7:$AG$7,1))</f>
        <v>0</v>
      </c>
    </row>
    <row r="311" customFormat="false" ht="15" hidden="false" customHeight="false" outlineLevel="0" collapsed="false">
      <c r="A311" s="107" t="s">
        <v>1466</v>
      </c>
      <c r="B311" s="22" t="s">
        <v>664</v>
      </c>
      <c r="C311" s="22" t="s">
        <v>558</v>
      </c>
      <c r="D311" s="22"/>
      <c r="F311" s="109" t="n">
        <f aca="false">IF(F$5&lt;=LastHist,F238,CHOOSE(Scen,F241,F238,F235))</f>
        <v>0</v>
      </c>
      <c r="G311" s="109" t="n">
        <f aca="false">IF(G$5&lt;=LastHist,G238,CHOOSE(Scen,G241,G238,G235))</f>
        <v>0</v>
      </c>
      <c r="H311" s="109" t="n">
        <f aca="false">IF(H$5&lt;=LastHist,H238,CHOOSE(Scen,H241,H238,H235))</f>
        <v>0</v>
      </c>
      <c r="I311" s="109" t="n">
        <f aca="false">IF(I$5&lt;=LastHist,I238,CHOOSE(Scen,I241,I238,I235))</f>
        <v>0</v>
      </c>
      <c r="J311" s="109" t="n">
        <f aca="false">IF(J$5&lt;=LastHist,J238,CHOOSE(Scen,J241,J238,J235))</f>
        <v>0</v>
      </c>
      <c r="K311" s="109" t="n">
        <f aca="false">IF(K$5&lt;=LastHist,K238,CHOOSE(Scen,K241,K238,K235))</f>
        <v>0</v>
      </c>
      <c r="L311" s="109" t="n">
        <f aca="false">IF(L$5&lt;=LastHist,L238,CHOOSE(Scen,L241,L238,L235))</f>
        <v>0</v>
      </c>
      <c r="M311" s="109" t="n">
        <f aca="false">IF(M$5&lt;=LastHist,M238,CHOOSE(Scen,M241,M238,M235))</f>
        <v>0</v>
      </c>
      <c r="N311" s="109" t="n">
        <f aca="false">IF(N$5&lt;=LastHist,N238,CHOOSE(Scen,N241,N238,N235))</f>
        <v>0</v>
      </c>
      <c r="O311" s="109" t="n">
        <f aca="false">IF(O$5&lt;=LastHist,O238,CHOOSE(Scen,O241,O238,O235))</f>
        <v>0</v>
      </c>
      <c r="P311" s="109" t="n">
        <f aca="false">IF(P$5&lt;=LastHist,P238,CHOOSE(Scen,P241,P238,P235))</f>
        <v>0</v>
      </c>
      <c r="Q311" s="109" t="n">
        <f aca="false">IF(Q$5&lt;=LastHist,Q238,CHOOSE(Scen,Q241,Q238,Q235))</f>
        <v>0</v>
      </c>
      <c r="R311" s="109" t="n">
        <f aca="false">IF(R$5&lt;=LastHist,R238,CHOOSE(Scen,R241,R238,R235))</f>
        <v>0</v>
      </c>
      <c r="S311" s="109" t="n">
        <f aca="false">IF(S$5&lt;=LastHist,S238,CHOOSE(Scen,S241,S238,S235))</f>
        <v>0</v>
      </c>
      <c r="T311" s="109" t="n">
        <f aca="false">IF(T$5&lt;=LastHist,T238,CHOOSE(Scen,T241,T238,T235))</f>
        <v>12.5</v>
      </c>
      <c r="U311" s="109" t="n">
        <f aca="false">IF(U$5&lt;=LastHist,U238,CHOOSE(Scen,U241,U238,U235))</f>
        <v>25</v>
      </c>
      <c r="V311" s="109" t="n">
        <f aca="false">IF(V$5&lt;=LastHist,V238,CHOOSE(Scen,V241,V238,V235))</f>
        <v>37.5</v>
      </c>
      <c r="W311" s="109" t="n">
        <f aca="false">IF(W$5&lt;=LastHist,W238,CHOOSE(Scen,W241,W238,W235))</f>
        <v>37.5</v>
      </c>
      <c r="X311" s="109" t="n">
        <f aca="false">IF(X$5&lt;=LastHist,X238,CHOOSE(Scen,X241,X238,X235))</f>
        <v>50</v>
      </c>
      <c r="Y311" s="109" t="n">
        <f aca="false">IF(Y$5&lt;=LastHist,Y238,CHOOSE(Scen,Y241,Y238,Y235))</f>
        <v>50</v>
      </c>
      <c r="Z311" s="109" t="n">
        <f aca="false">IF(Z$5&lt;=LastHist,Z238,CHOOSE(Scen,Z241,Z238,Z235))</f>
        <v>50</v>
      </c>
      <c r="AA311" s="109" t="n">
        <f aca="false">IF(AA$5&lt;=LastHist,AA238,CHOOSE(Scen,AA241,AA238,AA235))</f>
        <v>50</v>
      </c>
      <c r="AB311" s="109" t="n">
        <f aca="false">IF(AB$5&lt;=LastHist,AB238,CHOOSE(Scen,AB241,AB238,AB235))</f>
        <v>50</v>
      </c>
      <c r="AC311" s="109" t="n">
        <f aca="false">IF(AC$5&lt;=LastHist,AC238,CHOOSE(Scen,AC241,AC238,AC235))</f>
        <v>50</v>
      </c>
      <c r="AD311" s="109" t="n">
        <f aca="false">IF(AD$5&lt;=LastHist,AD238,CHOOSE(Scen,AD241,AD238,AD235))</f>
        <v>50</v>
      </c>
      <c r="AE311" s="109" t="n">
        <f aca="false">IF(AE$5&lt;=LastHist,AE238,CHOOSE(Scen,AE241,AE238,AE235))</f>
        <v>50</v>
      </c>
      <c r="AF311" s="109" t="n">
        <f aca="false">IF(AF$5&lt;=LastHist,AF238,CHOOSE(Scen,AF241,AF238,AF235))</f>
        <v>50</v>
      </c>
      <c r="AG311" s="109" t="n">
        <f aca="false">IF(AG$5&lt;=LastHist,AG238,CHOOSE(Scen,AG241,AG238,AG235))</f>
        <v>50</v>
      </c>
      <c r="AI311" s="109" t="n">
        <f aca="false">INDEX($F311:$AG311,1,MATCH(AI$7,$F$7:$AG$7,1))</f>
        <v>0</v>
      </c>
      <c r="AJ311" s="109" t="n">
        <f aca="false">INDEX($F311:$AG311,1,MATCH(AJ$7,$F$7:$AG$7,1))</f>
        <v>0</v>
      </c>
      <c r="AK311" s="109" t="n">
        <f aca="false">INDEX($F311:$AG311,1,MATCH(AK$7,$F$7:$AG$7,1))</f>
        <v>0</v>
      </c>
      <c r="AL311" s="109" t="n">
        <f aca="false">INDEX($F311:$AG311,1,MATCH(AL$7,$F$7:$AG$7,1))</f>
        <v>25</v>
      </c>
      <c r="AM311" s="109" t="n">
        <f aca="false">INDEX($F311:$AG311,1,MATCH(AM$7,$F$7:$AG$7,1))</f>
        <v>50</v>
      </c>
      <c r="AN311" s="109" t="n">
        <f aca="false">INDEX($F311:$AG311,1,MATCH(AN$7,$F$7:$AG$7,1))</f>
        <v>50</v>
      </c>
      <c r="AO311" s="109" t="n">
        <f aca="false">INDEX($F311:$AG311,1,MATCH(AO$7,$F$7:$AG$7,1))</f>
        <v>50</v>
      </c>
    </row>
    <row r="312" customFormat="false" ht="15" hidden="false" customHeight="false" outlineLevel="0" collapsed="false">
      <c r="A312" s="107" t="s">
        <v>1467</v>
      </c>
      <c r="B312" s="22" t="s">
        <v>664</v>
      </c>
      <c r="C312" s="22" t="s">
        <v>558</v>
      </c>
      <c r="D312" s="22"/>
      <c r="F312" s="109" t="n">
        <f aca="false">IF(F$5&lt;=LastHist,F245,CHOOSE(Scen,F247,F245,F243))</f>
        <v>0</v>
      </c>
      <c r="G312" s="109" t="n">
        <f aca="false">IF(G$5&lt;=LastHist,G245,CHOOSE(Scen,G247,G245,G243))</f>
        <v>0</v>
      </c>
      <c r="H312" s="109" t="n">
        <f aca="false">IF(H$5&lt;=LastHist,H245,CHOOSE(Scen,H247,H245,H243))</f>
        <v>0</v>
      </c>
      <c r="I312" s="109" t="n">
        <f aca="false">IF(I$5&lt;=LastHist,I245,CHOOSE(Scen,I247,I245,I243))</f>
        <v>0</v>
      </c>
      <c r="J312" s="109" t="n">
        <f aca="false">IF(J$5&lt;=LastHist,J245,CHOOSE(Scen,J247,J245,J243))</f>
        <v>0</v>
      </c>
      <c r="K312" s="109" t="n">
        <f aca="false">IF(K$5&lt;=LastHist,K245,CHOOSE(Scen,K247,K245,K243))</f>
        <v>0</v>
      </c>
      <c r="L312" s="109" t="n">
        <f aca="false">IF(L$5&lt;=LastHist,L245,CHOOSE(Scen,L247,L245,L243))</f>
        <v>0</v>
      </c>
      <c r="M312" s="109" t="n">
        <f aca="false">IF(M$5&lt;=LastHist,M245,CHOOSE(Scen,M247,M245,M243))</f>
        <v>0</v>
      </c>
      <c r="N312" s="109" t="n">
        <f aca="false">IF(N$5&lt;=LastHist,N245,CHOOSE(Scen,N247,N245,N243))</f>
        <v>0</v>
      </c>
      <c r="O312" s="109" t="n">
        <f aca="false">IF(O$5&lt;=LastHist,O245,CHOOSE(Scen,O247,O245,O243))</f>
        <v>0</v>
      </c>
      <c r="P312" s="109" t="n">
        <f aca="false">IF(P$5&lt;=LastHist,P245,CHOOSE(Scen,P247,P245,P243))</f>
        <v>0</v>
      </c>
      <c r="Q312" s="109" t="n">
        <f aca="false">IF(Q$5&lt;=LastHist,Q245,CHOOSE(Scen,Q247,Q245,Q243))</f>
        <v>5</v>
      </c>
      <c r="R312" s="109" t="n">
        <f aca="false">IF(R$5&lt;=LastHist,R245,CHOOSE(Scen,R247,R245,R243))</f>
        <v>15</v>
      </c>
      <c r="S312" s="109" t="n">
        <f aca="false">IF(S$5&lt;=LastHist,S245,CHOOSE(Scen,S247,S245,S243))</f>
        <v>22.5</v>
      </c>
      <c r="T312" s="109" t="n">
        <f aca="false">IF(T$5&lt;=LastHist,T245,CHOOSE(Scen,T247,T245,T243))</f>
        <v>29</v>
      </c>
      <c r="U312" s="109" t="n">
        <f aca="false">IF(U$5&lt;=LastHist,U245,CHOOSE(Scen,U247,U245,U243))</f>
        <v>31.5</v>
      </c>
      <c r="V312" s="109" t="n">
        <f aca="false">IF(V$5&lt;=LastHist,V245,CHOOSE(Scen,V247,V245,V243))</f>
        <v>31.5</v>
      </c>
      <c r="W312" s="109" t="n">
        <f aca="false">IF(W$5&lt;=LastHist,W245,CHOOSE(Scen,W247,W245,W243))</f>
        <v>31.5</v>
      </c>
      <c r="X312" s="109" t="n">
        <f aca="false">IF(X$5&lt;=LastHist,X245,CHOOSE(Scen,X247,X245,X243))</f>
        <v>31.5</v>
      </c>
      <c r="Y312" s="109" t="n">
        <f aca="false">IF(Y$5&lt;=LastHist,Y245,CHOOSE(Scen,Y247,Y245,Y243))</f>
        <v>31.5</v>
      </c>
      <c r="Z312" s="109" t="n">
        <f aca="false">IF(Z$5&lt;=LastHist,Z245,CHOOSE(Scen,Z247,Z245,Z243))</f>
        <v>31.5</v>
      </c>
      <c r="AA312" s="109" t="n">
        <f aca="false">IF(AA$5&lt;=LastHist,AA245,CHOOSE(Scen,AA247,AA245,AA243))</f>
        <v>31.5</v>
      </c>
      <c r="AB312" s="109" t="n">
        <f aca="false">IF(AB$5&lt;=LastHist,AB245,CHOOSE(Scen,AB247,AB245,AB243))</f>
        <v>31.5</v>
      </c>
      <c r="AC312" s="109" t="n">
        <f aca="false">IF(AC$5&lt;=LastHist,AC245,CHOOSE(Scen,AC247,AC245,AC243))</f>
        <v>31.5</v>
      </c>
      <c r="AD312" s="109" t="n">
        <f aca="false">IF(AD$5&lt;=LastHist,AD245,CHOOSE(Scen,AD247,AD245,AD243))</f>
        <v>31.5</v>
      </c>
      <c r="AE312" s="109" t="n">
        <f aca="false">IF(AE$5&lt;=LastHist,AE245,CHOOSE(Scen,AE247,AE245,AE243))</f>
        <v>31.5</v>
      </c>
      <c r="AF312" s="109" t="n">
        <f aca="false">IF(AF$5&lt;=LastHist,AF245,CHOOSE(Scen,AF247,AF245,AF243))</f>
        <v>31.5</v>
      </c>
      <c r="AG312" s="109" t="n">
        <f aca="false">IF(AG$5&lt;=LastHist,AG245,CHOOSE(Scen,AG247,AG245,AG243))</f>
        <v>31.5</v>
      </c>
      <c r="AI312" s="109" t="n">
        <f aca="false">INDEX($F312:$AG312,1,MATCH(AI$7,$F$7:$AG$7,1))</f>
        <v>0</v>
      </c>
      <c r="AJ312" s="109" t="n">
        <f aca="false">INDEX($F312:$AG312,1,MATCH(AJ$7,$F$7:$AG$7,1))</f>
        <v>0</v>
      </c>
      <c r="AK312" s="109" t="n">
        <f aca="false">INDEX($F312:$AG312,1,MATCH(AK$7,$F$7:$AG$7,1))</f>
        <v>5</v>
      </c>
      <c r="AL312" s="109" t="n">
        <f aca="false">INDEX($F312:$AG312,1,MATCH(AL$7,$F$7:$AG$7,1))</f>
        <v>31.5</v>
      </c>
      <c r="AM312" s="109" t="n">
        <f aca="false">INDEX($F312:$AG312,1,MATCH(AM$7,$F$7:$AG$7,1))</f>
        <v>31.5</v>
      </c>
      <c r="AN312" s="109" t="n">
        <f aca="false">INDEX($F312:$AG312,1,MATCH(AN$7,$F$7:$AG$7,1))</f>
        <v>31.5</v>
      </c>
      <c r="AO312" s="109" t="n">
        <f aca="false">INDEX($F312:$AG312,1,MATCH(AO$7,$F$7:$AG$7,1))</f>
        <v>31.5</v>
      </c>
    </row>
    <row r="313" customFormat="false" ht="15" hidden="false" customHeight="false" outlineLevel="0" collapsed="false">
      <c r="A313" s="107" t="s">
        <v>1469</v>
      </c>
      <c r="B313" s="22" t="s">
        <v>664</v>
      </c>
      <c r="C313" s="22" t="s">
        <v>558</v>
      </c>
      <c r="D313" s="22"/>
      <c r="F313" s="109" t="n">
        <f aca="false">IF(F$5&lt;=LastHist,F249,CHOOSE(Scen,F250,F249,F248))</f>
        <v>0</v>
      </c>
      <c r="G313" s="109" t="n">
        <f aca="false">IF(G$5&lt;=LastHist,G249,CHOOSE(Scen,G250,G249,G248))</f>
        <v>0</v>
      </c>
      <c r="H313" s="109" t="n">
        <f aca="false">IF(H$5&lt;=LastHist,H249,CHOOSE(Scen,H250,H249,H248))</f>
        <v>0</v>
      </c>
      <c r="I313" s="109" t="n">
        <f aca="false">IF(I$5&lt;=LastHist,I249,CHOOSE(Scen,I250,I249,I248))</f>
        <v>0</v>
      </c>
      <c r="J313" s="109" t="n">
        <f aca="false">IF(J$5&lt;=LastHist,J249,CHOOSE(Scen,J250,J249,J248))</f>
        <v>0</v>
      </c>
      <c r="K313" s="109" t="n">
        <f aca="false">IF(K$5&lt;=LastHist,K249,CHOOSE(Scen,K250,K249,K248))</f>
        <v>0</v>
      </c>
      <c r="L313" s="109" t="n">
        <f aca="false">IF(L$5&lt;=LastHist,L249,CHOOSE(Scen,L250,L249,L248))</f>
        <v>0</v>
      </c>
      <c r="M313" s="109" t="n">
        <f aca="false">IF(M$5&lt;=LastHist,M249,CHOOSE(Scen,M250,M249,M248))</f>
        <v>0</v>
      </c>
      <c r="N313" s="109" t="n">
        <f aca="false">IF(N$5&lt;=LastHist,N249,CHOOSE(Scen,N250,N249,N248))</f>
        <v>0</v>
      </c>
      <c r="O313" s="109" t="n">
        <f aca="false">IF(O$5&lt;=LastHist,O249,CHOOSE(Scen,O250,O249,O248))</f>
        <v>0</v>
      </c>
      <c r="P313" s="109" t="n">
        <f aca="false">IF(P$5&lt;=LastHist,P249,CHOOSE(Scen,P250,P249,P248))</f>
        <v>0</v>
      </c>
      <c r="Q313" s="109" t="n">
        <f aca="false">IF(Q$5&lt;=LastHist,Q249,CHOOSE(Scen,Q250,Q249,Q248))</f>
        <v>0</v>
      </c>
      <c r="R313" s="109" t="n">
        <f aca="false">IF(R$5&lt;=LastHist,R249,CHOOSE(Scen,R250,R249,R248))</f>
        <v>0</v>
      </c>
      <c r="S313" s="109" t="n">
        <f aca="false">IF(S$5&lt;=LastHist,S249,CHOOSE(Scen,S250,S249,S248))</f>
        <v>0</v>
      </c>
      <c r="T313" s="109" t="n">
        <f aca="false">IF(T$5&lt;=LastHist,T249,CHOOSE(Scen,T250,T249,T248))</f>
        <v>0</v>
      </c>
      <c r="U313" s="109" t="n">
        <f aca="false">IF(U$5&lt;=LastHist,U249,CHOOSE(Scen,U250,U249,U248))</f>
        <v>0</v>
      </c>
      <c r="V313" s="109" t="n">
        <f aca="false">IF(V$5&lt;=LastHist,V249,CHOOSE(Scen,V250,V249,V248))</f>
        <v>0</v>
      </c>
      <c r="W313" s="109" t="n">
        <f aca="false">IF(W$5&lt;=LastHist,W249,CHOOSE(Scen,W250,W249,W248))</f>
        <v>0</v>
      </c>
      <c r="X313" s="109" t="n">
        <f aca="false">IF(X$5&lt;=LastHist,X249,CHOOSE(Scen,X250,X249,X248))</f>
        <v>0</v>
      </c>
      <c r="Y313" s="109" t="n">
        <f aca="false">IF(Y$5&lt;=LastHist,Y249,CHOOSE(Scen,Y250,Y249,Y248))</f>
        <v>0</v>
      </c>
      <c r="Z313" s="109" t="n">
        <f aca="false">IF(Z$5&lt;=LastHist,Z249,CHOOSE(Scen,Z250,Z249,Z248))</f>
        <v>0</v>
      </c>
      <c r="AA313" s="109" t="n">
        <f aca="false">IF(AA$5&lt;=LastHist,AA249,CHOOSE(Scen,AA250,AA249,AA248))</f>
        <v>0</v>
      </c>
      <c r="AB313" s="109" t="n">
        <f aca="false">IF(AB$5&lt;=LastHist,AB249,CHOOSE(Scen,AB250,AB249,AB248))</f>
        <v>0</v>
      </c>
      <c r="AC313" s="109" t="n">
        <f aca="false">IF(AC$5&lt;=LastHist,AC249,CHOOSE(Scen,AC250,AC249,AC248))</f>
        <v>0</v>
      </c>
      <c r="AD313" s="109" t="n">
        <f aca="false">IF(AD$5&lt;=LastHist,AD249,CHOOSE(Scen,AD250,AD249,AD248))</f>
        <v>0</v>
      </c>
      <c r="AE313" s="109" t="n">
        <f aca="false">IF(AE$5&lt;=LastHist,AE249,CHOOSE(Scen,AE250,AE249,AE248))</f>
        <v>0</v>
      </c>
      <c r="AF313" s="109" t="n">
        <f aca="false">IF(AF$5&lt;=LastHist,AF249,CHOOSE(Scen,AF250,AF249,AF248))</f>
        <v>0</v>
      </c>
      <c r="AG313" s="109" t="n">
        <f aca="false">IF(AG$5&lt;=LastHist,AG249,CHOOSE(Scen,AG250,AG249,AG248))</f>
        <v>0</v>
      </c>
      <c r="AI313" s="109" t="n">
        <f aca="false">INDEX($F313:$AG313,1,MATCH(AI$7,$F$7:$AG$7,1))</f>
        <v>0</v>
      </c>
      <c r="AJ313" s="109" t="n">
        <f aca="false">INDEX($F313:$AG313,1,MATCH(AJ$7,$F$7:$AG$7,1))</f>
        <v>0</v>
      </c>
      <c r="AK313" s="109" t="n">
        <f aca="false">INDEX($F313:$AG313,1,MATCH(AK$7,$F$7:$AG$7,1))</f>
        <v>0</v>
      </c>
      <c r="AL313" s="109" t="n">
        <f aca="false">INDEX($F313:$AG313,1,MATCH(AL$7,$F$7:$AG$7,1))</f>
        <v>0</v>
      </c>
      <c r="AM313" s="109" t="n">
        <f aca="false">INDEX($F313:$AG313,1,MATCH(AM$7,$F$7:$AG$7,1))</f>
        <v>0</v>
      </c>
      <c r="AN313" s="109" t="n">
        <f aca="false">INDEX($F313:$AG313,1,MATCH(AN$7,$F$7:$AG$7,1))</f>
        <v>0</v>
      </c>
      <c r="AO313" s="109" t="n">
        <f aca="false">INDEX($F313:$AG313,1,MATCH(AO$7,$F$7:$AG$7,1))</f>
        <v>0</v>
      </c>
    </row>
    <row r="314" customFormat="false" ht="15" hidden="false" customHeight="false" outlineLevel="0" collapsed="false">
      <c r="A314" s="107" t="s">
        <v>1704</v>
      </c>
      <c r="B314" s="22" t="s">
        <v>664</v>
      </c>
      <c r="C314" s="22" t="s">
        <v>558</v>
      </c>
      <c r="D314" s="22" t="s">
        <v>1705</v>
      </c>
      <c r="E314" s="0" t="s">
        <v>1426</v>
      </c>
      <c r="AI314" s="109" t="n">
        <f aca="false">INDEX($F314:$AG314,1,MATCH(AI$7,$F$7:$AG$7,1))</f>
        <v>0</v>
      </c>
      <c r="AJ314" s="109" t="n">
        <f aca="false">INDEX($F314:$AG314,1,MATCH(AJ$7,$F$7:$AG$7,1))</f>
        <v>0</v>
      </c>
      <c r="AK314" s="109" t="n">
        <f aca="false">INDEX($F314:$AG314,1,MATCH(AK$7,$F$7:$AG$7,1))</f>
        <v>0</v>
      </c>
      <c r="AL314" s="109" t="n">
        <f aca="false">INDEX($F314:$AG314,1,MATCH(AL$7,$F$7:$AG$7,1))</f>
        <v>0</v>
      </c>
      <c r="AM314" s="109" t="n">
        <f aca="false">INDEX($F314:$AG314,1,MATCH(AM$7,$F$7:$AG$7,1))</f>
        <v>0</v>
      </c>
      <c r="AN314" s="109" t="n">
        <f aca="false">INDEX($F314:$AG314,1,MATCH(AN$7,$F$7:$AG$7,1))</f>
        <v>0</v>
      </c>
      <c r="AO314" s="109" t="n">
        <f aca="false">INDEX($F314:$AG314,1,MATCH(AO$7,$F$7:$AG$7,1))</f>
        <v>0</v>
      </c>
    </row>
    <row r="315" customFormat="false" ht="15" hidden="false" customHeight="false" outlineLevel="0" collapsed="false">
      <c r="A315" s="107" t="s">
        <v>1698</v>
      </c>
      <c r="B315" s="22" t="s">
        <v>664</v>
      </c>
      <c r="C315" s="22" t="s">
        <v>540</v>
      </c>
      <c r="D315" s="22" t="s">
        <v>1699</v>
      </c>
      <c r="F315" s="112" t="n">
        <f aca="false">MAX(0,N(F314)*1-SUMPRODUCT(F289:F313,$F$12:$F$36))</f>
        <v>0</v>
      </c>
      <c r="G315" s="112" t="n">
        <f aca="false">MAX(0,N(G314)*1-SUMPRODUCT(G289:G313,$F$12:$F$36))</f>
        <v>0</v>
      </c>
      <c r="H315" s="112" t="n">
        <f aca="false">MAX(0,N(H314)*1-SUMPRODUCT(H289:H313,$F$12:$F$36))</f>
        <v>0</v>
      </c>
      <c r="I315" s="112" t="n">
        <f aca="false">MAX(0,N(I314)*1-SUMPRODUCT(I289:I313,$F$12:$F$36))</f>
        <v>0</v>
      </c>
      <c r="J315" s="112" t="n">
        <f aca="false">MAX(0,N(J314)*1-SUMPRODUCT(J289:J313,$F$12:$F$36))</f>
        <v>0</v>
      </c>
      <c r="K315" s="112" t="n">
        <f aca="false">MAX(0,N(K314)*1-SUMPRODUCT(K289:K313,$F$12:$F$36))</f>
        <v>0</v>
      </c>
      <c r="L315" s="112" t="n">
        <f aca="false">MAX(0,N(L314)*1-SUMPRODUCT(L289:L313,$F$12:$F$36))</f>
        <v>0</v>
      </c>
      <c r="M315" s="112" t="n">
        <f aca="false">MAX(0,N(M314)*1-SUMPRODUCT(M289:M313,$F$12:$F$36))</f>
        <v>0</v>
      </c>
      <c r="N315" s="112" t="n">
        <f aca="false">MAX(0,N(N314)*1-SUMPRODUCT(N289:N313,$F$12:$F$36))</f>
        <v>0</v>
      </c>
      <c r="O315" s="112" t="n">
        <f aca="false">MAX(0,N(O314)*1-SUMPRODUCT(O289:O313,$F$12:$F$36))</f>
        <v>0</v>
      </c>
      <c r="P315" s="109" t="n">
        <f aca="false">MAX(0,N(P314)*1-SUMPRODUCT(P289:P313,$F$12:$F$36))</f>
        <v>0</v>
      </c>
      <c r="Q315" s="109" t="n">
        <f aca="false">MAX(0,N(Q314)*1-SUMPRODUCT(Q289:Q313,$F$12:$F$36))</f>
        <v>0</v>
      </c>
      <c r="R315" s="109" t="n">
        <f aca="false">MAX(0,N(R314)*1-SUMPRODUCT(R289:R313,$F$12:$F$36))</f>
        <v>0</v>
      </c>
      <c r="S315" s="109" t="n">
        <f aca="false">MAX(0,N(S314)*1-SUMPRODUCT(S289:S313,$F$12:$F$36))</f>
        <v>0</v>
      </c>
      <c r="T315" s="109" t="n">
        <f aca="false">MAX(0,N(T314)*1-SUMPRODUCT(T289:T313,$F$12:$F$36))</f>
        <v>0</v>
      </c>
      <c r="U315" s="109" t="n">
        <f aca="false">MAX(0,N(U314)*1-SUMPRODUCT(U289:U313,$F$12:$F$36))</f>
        <v>0</v>
      </c>
      <c r="V315" s="109" t="n">
        <f aca="false">MAX(0,N(V314)*1-SUMPRODUCT(V289:V313,$F$12:$F$36))</f>
        <v>0</v>
      </c>
      <c r="W315" s="109" t="n">
        <f aca="false">MAX(0,N(W314)*1-SUMPRODUCT(W289:W313,$F$12:$F$36))</f>
        <v>0</v>
      </c>
      <c r="X315" s="109" t="n">
        <f aca="false">MAX(0,N(X314)*1-SUMPRODUCT(X289:X313,$F$12:$F$36))</f>
        <v>0</v>
      </c>
      <c r="Y315" s="109" t="n">
        <f aca="false">MAX(0,N(Y314)*1-SUMPRODUCT(Y289:Y313,$F$12:$F$36))</f>
        <v>0</v>
      </c>
      <c r="Z315" s="109" t="n">
        <f aca="false">MAX(0,N(Z314)*1-SUMPRODUCT(Z289:Z313,$F$12:$F$36))</f>
        <v>0</v>
      </c>
      <c r="AA315" s="109" t="n">
        <f aca="false">MAX(0,N(AA314)*1-SUMPRODUCT(AA289:AA313,$F$12:$F$36))</f>
        <v>0</v>
      </c>
      <c r="AB315" s="109" t="n">
        <f aca="false">MAX(0,N(AB314)*1-SUMPRODUCT(AB289:AB313,$F$12:$F$36))</f>
        <v>0</v>
      </c>
      <c r="AC315" s="109" t="n">
        <f aca="false">MAX(0,N(AC314)*1-SUMPRODUCT(AC289:AC313,$F$12:$F$36))</f>
        <v>0</v>
      </c>
      <c r="AD315" s="109" t="n">
        <f aca="false">MAX(0,N(AD314)*1-SUMPRODUCT(AD289:AD313,$F$12:$F$36))</f>
        <v>0</v>
      </c>
      <c r="AE315" s="109" t="n">
        <f aca="false">MAX(0,N(AE314)*1-SUMPRODUCT(AE289:AE313,$F$12:$F$36))</f>
        <v>0</v>
      </c>
      <c r="AF315" s="109" t="n">
        <f aca="false">MAX(0,N(AF314)*1-SUMPRODUCT(AF289:AF313,$F$12:$F$36))</f>
        <v>0</v>
      </c>
      <c r="AG315" s="109" t="n">
        <f aca="false">MAX(0,N(AG314)*1-SUMPRODUCT(AG289:AG313,$F$12:$F$36))</f>
        <v>0</v>
      </c>
      <c r="AI315" s="109" t="n">
        <f aca="false">INDEX($F315:$AG315,1,MATCH(AI$7,$F$7:$AG$7,1))</f>
        <v>0</v>
      </c>
      <c r="AJ315" s="109" t="n">
        <f aca="false">INDEX($F315:$AG315,1,MATCH(AJ$7,$F$7:$AG$7,1))</f>
        <v>0</v>
      </c>
      <c r="AK315" s="109" t="n">
        <f aca="false">INDEX($F315:$AG315,1,MATCH(AK$7,$F$7:$AG$7,1))</f>
        <v>0</v>
      </c>
      <c r="AL315" s="109" t="n">
        <f aca="false">INDEX($F315:$AG315,1,MATCH(AL$7,$F$7:$AG$7,1))</f>
        <v>0</v>
      </c>
      <c r="AM315" s="109" t="n">
        <f aca="false">INDEX($F315:$AG315,1,MATCH(AM$7,$F$7:$AG$7,1))</f>
        <v>0</v>
      </c>
      <c r="AN315" s="109" t="n">
        <f aca="false">INDEX($F315:$AG315,1,MATCH(AN$7,$F$7:$AG$7,1))</f>
        <v>0</v>
      </c>
      <c r="AO315" s="109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1706</v>
      </c>
      <c r="B316" s="22" t="s">
        <v>664</v>
      </c>
      <c r="C316" s="22" t="s">
        <v>540</v>
      </c>
      <c r="D316" s="22" t="s">
        <v>1701</v>
      </c>
      <c r="F316" s="114" t="n">
        <f aca="false">SUMPRODUCT(F289:F313,$F$12:$F$36)+F315</f>
        <v>22.7275</v>
      </c>
      <c r="G316" s="114" t="n">
        <f aca="false">SUMPRODUCT(G289:G313,$F$12:$F$36)+G315</f>
        <v>22.7275</v>
      </c>
      <c r="H316" s="114" t="n">
        <f aca="false">SUMPRODUCT(H289:H313,$F$12:$F$36)+H315</f>
        <v>22.7275</v>
      </c>
      <c r="I316" s="114" t="n">
        <f aca="false">SUMPRODUCT(I289:I313,$F$12:$F$36)+I315</f>
        <v>27.7275</v>
      </c>
      <c r="J316" s="114" t="n">
        <f aca="false">SUMPRODUCT(J289:J313,$F$12:$F$36)+J315</f>
        <v>47.7275</v>
      </c>
      <c r="K316" s="114" t="n">
        <f aca="false">SUMPRODUCT(K289:K313,$F$12:$F$36)+K315</f>
        <v>47.7275</v>
      </c>
      <c r="L316" s="114" t="n">
        <f aca="false">SUMPRODUCT(L289:L313,$F$12:$F$36)+L315</f>
        <v>59.09125</v>
      </c>
      <c r="M316" s="114" t="n">
        <f aca="false">SUMPRODUCT(M289:M313,$F$12:$F$36)+M315</f>
        <v>138.32595</v>
      </c>
      <c r="N316" s="114" t="n">
        <f aca="false">SUMPRODUCT(N289:N313,$F$12:$F$36)+N315</f>
        <v>170.9897</v>
      </c>
      <c r="O316" s="114" t="n">
        <f aca="false">SUMPRODUCT(O289:O313,$F$12:$F$36)+O315</f>
        <v>182.4897</v>
      </c>
      <c r="P316" s="115" t="n">
        <f aca="false">SUMPRODUCT(P289:P313,$F$12:$F$36)+P315</f>
        <v>216.9897</v>
      </c>
      <c r="Q316" s="115" t="n">
        <f aca="false">SUMPRODUCT(Q289:Q313,$F$12:$F$36)+Q315</f>
        <v>301.7195</v>
      </c>
      <c r="R316" s="115" t="n">
        <f aca="false">SUMPRODUCT(R289:R313,$F$12:$F$36)+R315</f>
        <v>453.79225</v>
      </c>
      <c r="S316" s="115" t="n">
        <f aca="false">SUMPRODUCT(S289:S313,$F$12:$F$36)+S315</f>
        <v>629.5368</v>
      </c>
      <c r="T316" s="115" t="n">
        <f aca="false">SUMPRODUCT(T289:T313,$F$12:$F$36)+T315</f>
        <v>812.6073</v>
      </c>
      <c r="U316" s="115" t="n">
        <f aca="false">SUMPRODUCT(U289:U313,$F$12:$F$36)+U315</f>
        <v>1081.9108</v>
      </c>
      <c r="V316" s="115" t="n">
        <f aca="false">SUMPRODUCT(V289:V313,$F$12:$F$36)+V315</f>
        <v>1172.9923</v>
      </c>
      <c r="W316" s="115" t="n">
        <f aca="false">SUMPRODUCT(W289:W313,$F$12:$F$36)+W315</f>
        <v>1326.4518</v>
      </c>
      <c r="X316" s="115" t="n">
        <f aca="false">SUMPRODUCT(X289:X313,$F$12:$F$36)+X315</f>
        <v>1338.9518</v>
      </c>
      <c r="Y316" s="115" t="n">
        <f aca="false">SUMPRODUCT(Y289:Y313,$F$12:$F$36)+Y315</f>
        <v>1652.7273</v>
      </c>
      <c r="Z316" s="115" t="n">
        <f aca="false">SUMPRODUCT(Z289:Z313,$F$12:$F$36)+Z315</f>
        <v>1652.7273</v>
      </c>
      <c r="AA316" s="115" t="n">
        <f aca="false">SUMPRODUCT(AA289:AA313,$F$12:$F$36)+AA315</f>
        <v>1963.8213</v>
      </c>
      <c r="AB316" s="115" t="n">
        <f aca="false">SUMPRODUCT(AB289:AB313,$F$12:$F$36)+AB315</f>
        <v>1963.8213</v>
      </c>
      <c r="AC316" s="115" t="n">
        <f aca="false">SUMPRODUCT(AC289:AC313,$F$12:$F$36)+AC315</f>
        <v>2409.3763</v>
      </c>
      <c r="AD316" s="115" t="n">
        <f aca="false">SUMPRODUCT(AD289:AD313,$F$12:$F$36)+AD315</f>
        <v>2409.3763</v>
      </c>
      <c r="AE316" s="115" t="n">
        <f aca="false">SUMPRODUCT(AE289:AE313,$F$12:$F$36)+AE315</f>
        <v>2409.3763</v>
      </c>
      <c r="AF316" s="115" t="n">
        <f aca="false">SUMPRODUCT(AF289:AF313,$F$12:$F$36)+AF315</f>
        <v>2409.3763</v>
      </c>
      <c r="AG316" s="115" t="n">
        <f aca="false">SUMPRODUCT(AG289:AG313,$F$12:$F$36)+AG315</f>
        <v>2841.0793</v>
      </c>
      <c r="AI316" s="115" t="n">
        <f aca="false">INDEX($F316:$AG316,1,MATCH(AI$7,$F$7:$AG$7,1))</f>
        <v>27.7275</v>
      </c>
      <c r="AJ316" s="115" t="n">
        <f aca="false">INDEX($F316:$AG316,1,MATCH(AJ$7,$F$7:$AG$7,1))</f>
        <v>138.32595</v>
      </c>
      <c r="AK316" s="115" t="n">
        <f aca="false">INDEX($F316:$AG316,1,MATCH(AK$7,$F$7:$AG$7,1))</f>
        <v>301.7195</v>
      </c>
      <c r="AL316" s="115" t="n">
        <f aca="false">INDEX($F316:$AG316,1,MATCH(AL$7,$F$7:$AG$7,1))</f>
        <v>1081.9108</v>
      </c>
      <c r="AM316" s="115" t="n">
        <f aca="false">INDEX($F316:$AG316,1,MATCH(AM$7,$F$7:$AG$7,1))</f>
        <v>1652.7273</v>
      </c>
      <c r="AN316" s="115" t="n">
        <f aca="false">INDEX($F316:$AG316,1,MATCH(AN$7,$F$7:$AG$7,1))</f>
        <v>2409.3763</v>
      </c>
      <c r="AO316" s="115" t="n">
        <f aca="false">INDEX($F316:$AG316,1,MATCH(AO$7,$F$7:$AG$7,1))</f>
        <v>2841.0793</v>
      </c>
    </row>
    <row r="317" customFormat="false" ht="15" hidden="false" customHeight="false" outlineLevel="0" collapsed="false">
      <c r="A317" s="107" t="s">
        <v>1707</v>
      </c>
      <c r="B317" s="22" t="s">
        <v>664</v>
      </c>
      <c r="C317" s="22" t="s">
        <v>540</v>
      </c>
      <c r="D317" s="22"/>
      <c r="F317" s="112" t="n">
        <f aca="false">SUMPRODUCT(F289:F313,$F$12:$F$36,$G$12:$G$36)+F315*INDEX(OwnedSh,1,F$7-FYBase)</f>
        <v>22.7275</v>
      </c>
      <c r="G317" s="112" t="n">
        <f aca="false">SUMPRODUCT(G289:G313,$F$12:$F$36,$G$12:$G$36)+G315*INDEX(OwnedSh,1,G$7-FYBase)</f>
        <v>22.7275</v>
      </c>
      <c r="H317" s="112" t="n">
        <f aca="false">SUMPRODUCT(H289:H313,$F$12:$F$36,$G$12:$G$36)+H315*INDEX(OwnedSh,1,H$7-FYBase)</f>
        <v>22.7275</v>
      </c>
      <c r="I317" s="112" t="n">
        <f aca="false">SUMPRODUCT(I289:I313,$F$12:$F$36,$G$12:$G$36)+I315*INDEX(OwnedSh,1,I$7-FYBase)</f>
        <v>22.7275</v>
      </c>
      <c r="J317" s="112" t="n">
        <f aca="false">SUMPRODUCT(J289:J313,$F$12:$F$36,$G$12:$G$36)+J315*INDEX(OwnedSh,1,J$7-FYBase)</f>
        <v>22.7275</v>
      </c>
      <c r="K317" s="112" t="n">
        <f aca="false">SUMPRODUCT(K289:K313,$F$12:$F$36,$G$12:$G$36)+K315*INDEX(OwnedSh,1,K$7-FYBase)</f>
        <v>22.7275</v>
      </c>
      <c r="L317" s="112" t="n">
        <f aca="false">SUMPRODUCT(L289:L313,$F$12:$F$36,$G$12:$G$36)+L315*INDEX(OwnedSh,1,L$7-FYBase)</f>
        <v>34.09125</v>
      </c>
      <c r="M317" s="112" t="n">
        <f aca="false">SUMPRODUCT(M289:M313,$F$12:$F$36,$G$12:$G$36)+M315*INDEX(OwnedSh,1,M$7-FYBase)</f>
        <v>56.81875</v>
      </c>
      <c r="N317" s="112" t="n">
        <f aca="false">SUMPRODUCT(N289:N313,$F$12:$F$36,$G$12:$G$36)+N315*INDEX(OwnedSh,1,N$7-FYBase)</f>
        <v>68.1825</v>
      </c>
      <c r="O317" s="112" t="n">
        <f aca="false">SUMPRODUCT(O289:O313,$F$12:$F$36,$G$12:$G$36)+O315*INDEX(OwnedSh,1,O$7-FYBase)</f>
        <v>68.1825</v>
      </c>
      <c r="P317" s="109" t="n">
        <f aca="false">SUMPRODUCT(P289:P313,$F$12:$F$36,$G$12:$G$36)+P315*INDEX(OwnedSh,1,P$7-FYBase)</f>
        <v>68.1825</v>
      </c>
      <c r="Q317" s="109" t="n">
        <f aca="false">SUMPRODUCT(Q289:Q313,$F$12:$F$36,$G$12:$G$36)+Q315*INDEX(OwnedSh,1,Q$7-FYBase)</f>
        <v>68.1825</v>
      </c>
      <c r="R317" s="109" t="n">
        <f aca="false">SUMPRODUCT(R289:R313,$F$12:$F$36,$G$12:$G$36)+R315*INDEX(OwnedSh,1,R$7-FYBase)</f>
        <v>77.44125</v>
      </c>
      <c r="S317" s="109" t="n">
        <f aca="false">SUMPRODUCT(S289:S313,$F$12:$F$36,$G$12:$G$36)+S315*INDEX(OwnedSh,1,S$7-FYBase)</f>
        <v>101.918</v>
      </c>
      <c r="T317" s="109" t="n">
        <f aca="false">SUMPRODUCT(T289:T313,$F$12:$F$36,$G$12:$G$36)+T315*INDEX(OwnedSh,1,T$7-FYBase)</f>
        <v>172.6885</v>
      </c>
      <c r="U317" s="109" t="n">
        <f aca="false">SUMPRODUCT(U289:U313,$F$12:$F$36,$G$12:$G$36)+U315*INDEX(OwnedSh,1,U$7-FYBase)</f>
        <v>325.34</v>
      </c>
      <c r="V317" s="109" t="n">
        <f aca="false">SUMPRODUCT(V289:V313,$F$12:$F$36,$G$12:$G$36)+V315*INDEX(OwnedSh,1,V$7-FYBase)</f>
        <v>403.9215</v>
      </c>
      <c r="W317" s="109" t="n">
        <f aca="false">SUMPRODUCT(W289:W313,$F$12:$F$36,$G$12:$G$36)+W315*INDEX(OwnedSh,1,W$7-FYBase)</f>
        <v>557.381</v>
      </c>
      <c r="X317" s="109" t="n">
        <f aca="false">SUMPRODUCT(X289:X313,$F$12:$F$36,$G$12:$G$36)+X315*INDEX(OwnedSh,1,X$7-FYBase)</f>
        <v>557.381</v>
      </c>
      <c r="Y317" s="109" t="n">
        <f aca="false">SUMPRODUCT(Y289:Y313,$F$12:$F$36,$G$12:$G$36)+Y315*INDEX(OwnedSh,1,Y$7-FYBase)</f>
        <v>825.0045</v>
      </c>
      <c r="Z317" s="109" t="n">
        <f aca="false">SUMPRODUCT(Z289:Z313,$F$12:$F$36,$G$12:$G$36)+Z315*INDEX(OwnedSh,1,Z$7-FYBase)</f>
        <v>825.0045</v>
      </c>
      <c r="AA317" s="109" t="n">
        <f aca="false">SUMPRODUCT(AA289:AA313,$F$12:$F$36,$G$12:$G$36)+AA315*INDEX(OwnedSh,1,AA$7-FYBase)</f>
        <v>1136.0985</v>
      </c>
      <c r="AB317" s="109" t="n">
        <f aca="false">SUMPRODUCT(AB289:AB313,$F$12:$F$36,$G$12:$G$36)+AB315*INDEX(OwnedSh,1,AB$7-FYBase)</f>
        <v>1136.0985</v>
      </c>
      <c r="AC317" s="109" t="n">
        <f aca="false">SUMPRODUCT(AC289:AC313,$F$12:$F$36,$G$12:$G$36)+AC315*INDEX(OwnedSh,1,AC$7-FYBase)</f>
        <v>1581.6535</v>
      </c>
      <c r="AD317" s="109" t="n">
        <f aca="false">SUMPRODUCT(AD289:AD313,$F$12:$F$36,$G$12:$G$36)+AD315*INDEX(OwnedSh,1,AD$7-FYBase)</f>
        <v>1581.6535</v>
      </c>
      <c r="AE317" s="109" t="n">
        <f aca="false">SUMPRODUCT(AE289:AE313,$F$12:$F$36,$G$12:$G$36)+AE315*INDEX(OwnedSh,1,AE$7-FYBase)</f>
        <v>1581.6535</v>
      </c>
      <c r="AF317" s="109" t="n">
        <f aca="false">SUMPRODUCT(AF289:AF313,$F$12:$F$36,$G$12:$G$36)+AF315*INDEX(OwnedSh,1,AF$7-FYBase)</f>
        <v>1581.6535</v>
      </c>
      <c r="AG317" s="109" t="n">
        <f aca="false">SUMPRODUCT(AG289:AG313,$F$12:$F$36,$G$12:$G$36)+AG315*INDEX(OwnedSh,1,AG$7-FYBase)</f>
        <v>2013.3565</v>
      </c>
      <c r="AI317" s="109" t="n">
        <f aca="false">INDEX($F317:$AG317,1,MATCH(AI$7,$F$7:$AG$7,1))</f>
        <v>22.7275</v>
      </c>
      <c r="AJ317" s="109" t="n">
        <f aca="false">INDEX($F317:$AG317,1,MATCH(AJ$7,$F$7:$AG$7,1))</f>
        <v>56.81875</v>
      </c>
      <c r="AK317" s="109" t="n">
        <f aca="false">INDEX($F317:$AG317,1,MATCH(AK$7,$F$7:$AG$7,1))</f>
        <v>68.1825</v>
      </c>
      <c r="AL317" s="109" t="n">
        <f aca="false">INDEX($F317:$AG317,1,MATCH(AL$7,$F$7:$AG$7,1))</f>
        <v>325.34</v>
      </c>
      <c r="AM317" s="109" t="n">
        <f aca="false">INDEX($F317:$AG317,1,MATCH(AM$7,$F$7:$AG$7,1))</f>
        <v>825.0045</v>
      </c>
      <c r="AN317" s="109" t="n">
        <f aca="false">INDEX($F317:$AG317,1,MATCH(AN$7,$F$7:$AG$7,1))</f>
        <v>1581.6535</v>
      </c>
      <c r="AO317" s="109" t="n">
        <f aca="false">INDEX($F317:$AG317,1,MATCH(AO$7,$F$7:$AG$7,1))</f>
        <v>2013.3565</v>
      </c>
    </row>
    <row r="319" customFormat="false" ht="15" hidden="false" customHeight="false" outlineLevel="0" collapsed="false">
      <c r="A319" s="58" t="s">
        <v>1708</v>
      </c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</row>
    <row r="320" customFormat="false" ht="15" hidden="false" customHeight="false" outlineLevel="0" collapsed="false">
      <c r="A320" s="107" t="s">
        <v>1709</v>
      </c>
      <c r="B320" s="22" t="s">
        <v>613</v>
      </c>
      <c r="C320" s="22" t="s">
        <v>558</v>
      </c>
      <c r="D320" s="22" t="s">
        <v>1710</v>
      </c>
      <c r="F320" s="111" t="n">
        <f aca="false">SUMPRODUCT(((F289:F313-E289:E313)&gt;0)*(F289:F313-E289:E313),$F$12:$F$36,$O$12:$O$36-$P$12:$P$36)</f>
        <v>836.08790625</v>
      </c>
      <c r="G320" s="111" t="n">
        <f aca="false">SUMPRODUCT(((G289:G313-F289:F313)&gt;0)*(G289:G313-F289:F313),$F$12:$F$36,$O$12:$O$36-$P$12:$P$36)</f>
        <v>0</v>
      </c>
      <c r="H320" s="111" t="n">
        <f aca="false">SUMPRODUCT(((H289:H313-G289:G313)&gt;0)*(H289:H313-G289:G313),$F$12:$F$36,$O$12:$O$36-$P$12:$P$36)</f>
        <v>0</v>
      </c>
      <c r="I320" s="111" t="n">
        <f aca="false">SUMPRODUCT(((I289:I313-H289:H313)&gt;0)*(I289:I313-H289:H313),$F$12:$F$36,$O$12:$O$36-$P$12:$P$36)</f>
        <v>150</v>
      </c>
      <c r="J320" s="111" t="n">
        <f aca="false">SUMPRODUCT(((J289:J313-I289:I313)&gt;0)*(J289:J313-I289:I313),$F$12:$F$36,$O$12:$O$36-$P$12:$P$36)</f>
        <v>600</v>
      </c>
      <c r="K320" s="111" t="n">
        <f aca="false">SUMPRODUCT(((K289:K313-J289:J313)&gt;0)*(K289:K313-J289:J313),$F$12:$F$36,$O$12:$O$36-$P$12:$P$36)</f>
        <v>0</v>
      </c>
      <c r="L320" s="111" t="n">
        <f aca="false">SUMPRODUCT(((L289:L313-K289:K313)&gt;0)*(L289:L313-K289:K313),$F$12:$F$36,$O$12:$O$36-$P$12:$P$36)</f>
        <v>418.043953125</v>
      </c>
      <c r="M320" s="111" t="n">
        <f aca="false">SUMPRODUCT(((M289:M313-L289:L313)&gt;0)*(M289:M313-L289:L313),$F$12:$F$36,$O$12:$O$36-$P$12:$P$36)</f>
        <v>2709.13640625</v>
      </c>
      <c r="N320" s="111" t="n">
        <f aca="false">SUMPRODUCT(((N289:N313-M289:M313)&gt;0)*(N289:N313-M289:M313),$F$12:$F$36,$O$12:$O$36-$P$12:$P$36)</f>
        <v>1133.742703125</v>
      </c>
      <c r="O320" s="111" t="n">
        <f aca="false">SUMPRODUCT(((O289:O313-N289:N313)&gt;0)*(O289:O313-N289:N313),$F$12:$F$36,$O$12:$O$36-$P$12:$P$36)</f>
        <v>423.05625</v>
      </c>
      <c r="P320" s="33" t="n">
        <f aca="false">SUMPRODUCT(((P289:P313-O289:O313)&gt;0)*(P289:P313-O289:O313),$F$12:$F$36,$O$12:$O$36-$P$12:$P$36)</f>
        <v>1218.2625</v>
      </c>
      <c r="Q320" s="33" t="n">
        <f aca="false">SUMPRODUCT(((Q289:Q313-P289:P313)&gt;0)*(Q289:Q313-P289:P313),$F$12:$F$36,$O$12:$O$36-$P$12:$P$36)</f>
        <v>3053.5086</v>
      </c>
      <c r="R320" s="33" t="n">
        <f aca="false">SUMPRODUCT(((R289:R313-Q289:Q313)&gt;0)*(R289:R313-Q289:Q313),$F$12:$F$36,$O$12:$O$36-$P$12:$P$36)</f>
        <v>5512.0082325</v>
      </c>
      <c r="S320" s="33" t="n">
        <f aca="false">SUMPRODUCT(((S289:S313-R289:R313)&gt;0)*(S289:S313-R289:R313),$F$12:$F$36,$O$12:$O$36-$P$12:$P$36)</f>
        <v>6546.2818675</v>
      </c>
      <c r="T320" s="33" t="n">
        <f aca="false">SUMPRODUCT(((T289:T313-S289:S313)&gt;0)*(T289:T313-S289:S313),$F$12:$F$36,$O$12:$O$36-$P$12:$P$36)</f>
        <v>6963.30955</v>
      </c>
      <c r="U320" s="33" t="n">
        <f aca="false">SUMPRODUCT(((U289:U313-T289:T313)&gt;0)*(U289:U313-T289:T313),$F$12:$F$36,$O$12:$O$36-$P$12:$P$36)</f>
        <v>10398.69185</v>
      </c>
      <c r="V320" s="33" t="n">
        <f aca="false">SUMPRODUCT(((V289:V313-U289:U313)&gt;0)*(V289:V313-U289:U313),$F$12:$F$36,$O$12:$O$36-$P$12:$P$36)</f>
        <v>3664.86815</v>
      </c>
      <c r="W320" s="33" t="n">
        <f aca="false">SUMPRODUCT(((W289:W313-V289:V313)&gt;0)*(W289:W313-V289:V313),$F$12:$F$36,$O$12:$O$36-$P$12:$P$36)</f>
        <v>6153.72595</v>
      </c>
      <c r="X320" s="33" t="n">
        <f aca="false">SUMPRODUCT(((X289:X313-W289:W313)&gt;0)*(X289:X313-W289:W313),$F$12:$F$36,$O$12:$O$36-$P$12:$P$36)</f>
        <v>513.75</v>
      </c>
      <c r="Y320" s="33" t="n">
        <f aca="false">SUMPRODUCT(((Y289:Y313-X289:X313)&gt;0)*(Y289:Y313-X289:X313),$F$12:$F$36,$O$12:$O$36-$P$12:$P$36)</f>
        <v>12429.51905</v>
      </c>
      <c r="Z320" s="33" t="n">
        <f aca="false">SUMPRODUCT(((Z289:Z313-Y289:Y313)&gt;0)*(Z289:Z313-Y289:Y313),$F$12:$F$36,$O$12:$O$36-$P$12:$P$36)</f>
        <v>0</v>
      </c>
      <c r="AA320" s="33" t="n">
        <f aca="false">SUMPRODUCT(((AA289:AA313-Z289:Z313)&gt;0)*(AA289:AA313-Z289:Z313),$F$12:$F$36,$O$12:$O$36-$P$12:$P$36)</f>
        <v>12474.8694</v>
      </c>
      <c r="AB320" s="33" t="n">
        <f aca="false">SUMPRODUCT(((AB289:AB313-AA289:AA313)&gt;0)*(AB289:AB313-AA289:AA313),$F$12:$F$36,$O$12:$O$36-$P$12:$P$36)</f>
        <v>0</v>
      </c>
      <c r="AC320" s="33" t="n">
        <f aca="false">SUMPRODUCT(((AC289:AC313-AB289:AB313)&gt;0)*(AC289:AC313-AB289:AB313),$F$12:$F$36,$O$12:$O$36-$P$12:$P$36)</f>
        <v>17866.7555</v>
      </c>
      <c r="AD320" s="33" t="n">
        <f aca="false">SUMPRODUCT(((AD289:AD313-AC289:AC313)&gt;0)*(AD289:AD313-AC289:AC313),$F$12:$F$36,$O$12:$O$36-$P$12:$P$36)</f>
        <v>0</v>
      </c>
      <c r="AE320" s="33" t="n">
        <f aca="false">SUMPRODUCT(((AE289:AE313-AD289:AD313)&gt;0)*(AE289:AE313-AD289:AD313),$F$12:$F$36,$O$12:$O$36-$P$12:$P$36)</f>
        <v>0</v>
      </c>
      <c r="AF320" s="33" t="n">
        <f aca="false">SUMPRODUCT(((AF289:AF313-AE289:AE313)&gt;0)*(AF289:AF313-AE289:AE313),$F$12:$F$36,$O$12:$O$36-$P$12:$P$36)</f>
        <v>0</v>
      </c>
      <c r="AG320" s="33" t="n">
        <f aca="false">SUMPRODUCT(((AG289:AG313-AF289:AF313)&gt;0)*(AG289:AG313-AF289:AF313),$F$12:$F$36,$O$12:$O$36-$P$12:$P$36)</f>
        <v>17311.2903</v>
      </c>
      <c r="AI320" s="33" t="n">
        <f aca="false">SUMIF($F$7:$AG$7,AI$7,$F320:$AG320)</f>
        <v>986.08790625</v>
      </c>
      <c r="AJ320" s="33" t="n">
        <f aca="false">SUMIF($F$7:$AG$7,AJ$7,$F320:$AG320)</f>
        <v>3727.180359375</v>
      </c>
      <c r="AK320" s="33" t="n">
        <f aca="false">SUMIF($F$7:$AG$7,AK$7,$F320:$AG320)</f>
        <v>5828.570053125</v>
      </c>
      <c r="AL320" s="33" t="n">
        <f aca="false">SUMIF($F$7:$AG$7,AL$7,$F320:$AG320)</f>
        <v>29420.2915</v>
      </c>
      <c r="AM320" s="33" t="n">
        <f aca="false">SUMIF($F$7:$AG$7,AM$7,$F320:$AG320)</f>
        <v>22761.86315</v>
      </c>
      <c r="AN320" s="33" t="n">
        <f aca="false">SUMIF($F$7:$AG$7,AN$7,$F320:$AG320)</f>
        <v>30341.6249</v>
      </c>
      <c r="AO320" s="33" t="n">
        <f aca="false">SUMIF($F$7:$AG$7,AO$7,$F320:$AG320)</f>
        <v>17311.2903</v>
      </c>
    </row>
    <row r="321" customFormat="false" ht="15" hidden="false" customHeight="false" outlineLevel="0" collapsed="false">
      <c r="A321" s="107" t="s">
        <v>1711</v>
      </c>
      <c r="B321" s="22" t="s">
        <v>613</v>
      </c>
      <c r="C321" s="22" t="s">
        <v>558</v>
      </c>
      <c r="D321" s="22"/>
      <c r="F321" s="111" t="n">
        <f aca="false">SUMPRODUCT(((F289:F313-E289:E313)&gt;0)*(F289:F313-E289:E313),$F$12:$F$36,$P$12:$P$36)</f>
        <v>284.09375</v>
      </c>
      <c r="G321" s="111" t="n">
        <f aca="false">SUMPRODUCT(((G289:G313-F289:F313)&gt;0)*(G289:G313-F289:F313),$F$12:$F$36,$P$12:$P$36)</f>
        <v>0</v>
      </c>
      <c r="H321" s="111" t="n">
        <f aca="false">SUMPRODUCT(((H289:H313-G289:G313)&gt;0)*(H289:H313-G289:G313),$F$12:$F$36,$P$12:$P$36)</f>
        <v>0</v>
      </c>
      <c r="I321" s="111" t="n">
        <f aca="false">SUMPRODUCT(((I289:I313-H289:H313)&gt;0)*(I289:I313-H289:H313),$F$12:$F$36,$P$12:$P$36)</f>
        <v>0</v>
      </c>
      <c r="J321" s="111" t="n">
        <f aca="false">SUMPRODUCT(((J289:J313-I289:I313)&gt;0)*(J289:J313-I289:I313),$F$12:$F$36,$P$12:$P$36)</f>
        <v>0</v>
      </c>
      <c r="K321" s="111" t="n">
        <f aca="false">SUMPRODUCT(((K289:K313-J289:J313)&gt;0)*(K289:K313-J289:J313),$F$12:$F$36,$P$12:$P$36)</f>
        <v>0</v>
      </c>
      <c r="L321" s="111" t="n">
        <f aca="false">SUMPRODUCT(((L289:L313-K289:K313)&gt;0)*(L289:L313-K289:K313),$F$12:$F$36,$P$12:$P$36)</f>
        <v>142.046875</v>
      </c>
      <c r="M321" s="111" t="n">
        <f aca="false">SUMPRODUCT(((M289:M313-L289:L313)&gt;0)*(M289:M313-L289:L313),$F$12:$F$36,$P$12:$P$36)</f>
        <v>284.09375</v>
      </c>
      <c r="N321" s="111" t="n">
        <f aca="false">SUMPRODUCT(((N289:N313-M289:M313)&gt;0)*(N289:N313-M289:M313),$F$12:$F$36,$P$12:$P$36)</f>
        <v>142.046875</v>
      </c>
      <c r="O321" s="111" t="n">
        <f aca="false">SUMPRODUCT(((O289:O313-N289:N313)&gt;0)*(O289:O313-N289:N313),$F$12:$F$36,$P$12:$P$36)</f>
        <v>0</v>
      </c>
      <c r="P321" s="33" t="n">
        <f aca="false">SUMPRODUCT(((P289:P313-O289:O313)&gt;0)*(P289:P313-O289:O313),$F$12:$F$36,$P$12:$P$36)</f>
        <v>0</v>
      </c>
      <c r="Q321" s="33" t="n">
        <f aca="false">SUMPRODUCT(((Q289:Q313-P289:P313)&gt;0)*(Q289:Q313-P289:P313),$F$12:$F$36,$P$12:$P$36)</f>
        <v>0</v>
      </c>
      <c r="R321" s="33" t="n">
        <f aca="false">SUMPRODUCT(((R289:R313-Q289:Q313)&gt;0)*(R289:R313-Q289:Q313),$F$12:$F$36,$P$12:$P$36)</f>
        <v>115.734375</v>
      </c>
      <c r="S321" s="33" t="n">
        <f aca="false">SUMPRODUCT(((S289:S313-R289:R313)&gt;0)*(S289:S313-R289:R313),$F$12:$F$36,$P$12:$P$36)</f>
        <v>305.959375</v>
      </c>
      <c r="T321" s="33" t="n">
        <f aca="false">SUMPRODUCT(((T289:T313-S289:S313)&gt;0)*(T289:T313-S289:S313),$F$12:$F$36,$P$12:$P$36)</f>
        <v>884.63125</v>
      </c>
      <c r="U321" s="33" t="n">
        <f aca="false">SUMPRODUCT(((U289:U313-T289:T313)&gt;0)*(U289:U313-T289:T313),$F$12:$F$36,$P$12:$P$36)</f>
        <v>1908.14375</v>
      </c>
      <c r="V321" s="33" t="n">
        <f aca="false">SUMPRODUCT(((V289:V313-U289:U313)&gt;0)*(V289:V313-U289:U313),$F$12:$F$36,$P$12:$P$36)</f>
        <v>982.26875</v>
      </c>
      <c r="W321" s="33" t="n">
        <f aca="false">SUMPRODUCT(((W289:W313-V289:V313)&gt;0)*(W289:W313-V289:V313),$F$12:$F$36,$P$12:$P$36)</f>
        <v>1918.24375</v>
      </c>
      <c r="X321" s="33" t="n">
        <f aca="false">SUMPRODUCT(((X289:X313-W289:W313)&gt;0)*(X289:X313-W289:W313),$F$12:$F$36,$P$12:$P$36)</f>
        <v>0</v>
      </c>
      <c r="Y321" s="33" t="n">
        <f aca="false">SUMPRODUCT(((Y289:Y313-X289:X313)&gt;0)*(Y289:Y313-X289:X313),$F$12:$F$36,$P$12:$P$36)</f>
        <v>3345.29375</v>
      </c>
      <c r="Z321" s="33" t="n">
        <f aca="false">SUMPRODUCT(((Z289:Z313-Y289:Y313)&gt;0)*(Z289:Z313-Y289:Y313),$F$12:$F$36,$P$12:$P$36)</f>
        <v>0</v>
      </c>
      <c r="AA321" s="33" t="n">
        <f aca="false">SUMPRODUCT(((AA289:AA313-Z289:Z313)&gt;0)*(AA289:AA313-Z289:Z313),$F$12:$F$36,$P$12:$P$36)</f>
        <v>3888.675</v>
      </c>
      <c r="AB321" s="33" t="n">
        <f aca="false">SUMPRODUCT(((AB289:AB313-AA289:AA313)&gt;0)*(AB289:AB313-AA289:AA313),$F$12:$F$36,$P$12:$P$36)</f>
        <v>0</v>
      </c>
      <c r="AC321" s="33" t="n">
        <f aca="false">SUMPRODUCT(((AC289:AC313-AB289:AB313)&gt;0)*(AC289:AC313-AB289:AB313),$F$12:$F$36,$P$12:$P$36)</f>
        <v>5569.4375</v>
      </c>
      <c r="AD321" s="33" t="n">
        <f aca="false">SUMPRODUCT(((AD289:AD313-AC289:AC313)&gt;0)*(AD289:AD313-AC289:AC313),$F$12:$F$36,$P$12:$P$36)</f>
        <v>0</v>
      </c>
      <c r="AE321" s="33" t="n">
        <f aca="false">SUMPRODUCT(((AE289:AE313-AD289:AD313)&gt;0)*(AE289:AE313-AD289:AD313),$F$12:$F$36,$P$12:$P$36)</f>
        <v>0</v>
      </c>
      <c r="AF321" s="33" t="n">
        <f aca="false">SUMPRODUCT(((AF289:AF313-AE289:AE313)&gt;0)*(AF289:AF313-AE289:AE313),$F$12:$F$36,$P$12:$P$36)</f>
        <v>0</v>
      </c>
      <c r="AG321" s="33" t="n">
        <f aca="false">SUMPRODUCT(((AG289:AG313-AF289:AF313)&gt;0)*(AG289:AG313-AF289:AF313),$F$12:$F$36,$P$12:$P$36)</f>
        <v>5396.2875</v>
      </c>
      <c r="AI321" s="33" t="n">
        <f aca="false">SUMIF($F$7:$AG$7,AI$7,$F321:$AG321)</f>
        <v>284.09375</v>
      </c>
      <c r="AJ321" s="33" t="n">
        <f aca="false">SUMIF($F$7:$AG$7,AJ$7,$F321:$AG321)</f>
        <v>426.140625</v>
      </c>
      <c r="AK321" s="33" t="n">
        <f aca="false">SUMIF($F$7:$AG$7,AK$7,$F321:$AG321)</f>
        <v>142.046875</v>
      </c>
      <c r="AL321" s="33" t="n">
        <f aca="false">SUMIF($F$7:$AG$7,AL$7,$F321:$AG321)</f>
        <v>3214.46875</v>
      </c>
      <c r="AM321" s="33" t="n">
        <f aca="false">SUMIF($F$7:$AG$7,AM$7,$F321:$AG321)</f>
        <v>6245.80625</v>
      </c>
      <c r="AN321" s="33" t="n">
        <f aca="false">SUMIF($F$7:$AG$7,AN$7,$F321:$AG321)</f>
        <v>9458.1125</v>
      </c>
      <c r="AO321" s="33" t="n">
        <f aca="false">SUMIF($F$7:$AG$7,AO$7,$F321:$AG321)</f>
        <v>5396.2875</v>
      </c>
    </row>
    <row r="322" customFormat="false" ht="15" hidden="false" customHeight="false" outlineLevel="0" collapsed="false">
      <c r="A322" s="107" t="s">
        <v>1712</v>
      </c>
      <c r="B322" s="22" t="s">
        <v>664</v>
      </c>
      <c r="C322" s="22" t="s">
        <v>558</v>
      </c>
      <c r="D322" s="22"/>
      <c r="F322" s="116" t="n">
        <f aca="false">SUMPRODUCT(((F289:F313-E289:E313)&gt;0)*(F289:F313-E289:E313),$F$12:$F$36)</f>
        <v>22.7275</v>
      </c>
      <c r="G322" s="116" t="n">
        <f aca="false">SUMPRODUCT(((G289:G313-F289:F313)&gt;0)*(G289:G313-F289:F313),$F$12:$F$36)</f>
        <v>0</v>
      </c>
      <c r="H322" s="116" t="n">
        <f aca="false">SUMPRODUCT(((H289:H313-G289:G313)&gt;0)*(H289:H313-G289:G313),$F$12:$F$36)</f>
        <v>0</v>
      </c>
      <c r="I322" s="116" t="n">
        <f aca="false">SUMPRODUCT(((I289:I313-H289:H313)&gt;0)*(I289:I313-H289:H313),$F$12:$F$36)</f>
        <v>5</v>
      </c>
      <c r="J322" s="116" t="n">
        <f aca="false">SUMPRODUCT(((J289:J313-I289:I313)&gt;0)*(J289:J313-I289:I313),$F$12:$F$36)</f>
        <v>20</v>
      </c>
      <c r="K322" s="116" t="n">
        <f aca="false">SUMPRODUCT(((K289:K313-J289:J313)&gt;0)*(K289:K313-J289:J313),$F$12:$F$36)</f>
        <v>0</v>
      </c>
      <c r="L322" s="116" t="n">
        <f aca="false">SUMPRODUCT(((L289:L313-K289:K313)&gt;0)*(L289:L313-K289:K313),$F$12:$F$36)</f>
        <v>11.36375</v>
      </c>
      <c r="M322" s="116" t="n">
        <f aca="false">SUMPRODUCT(((M289:M313-L289:L313)&gt;0)*(M289:M313-L289:L313),$F$12:$F$36)</f>
        <v>79.2347</v>
      </c>
      <c r="N322" s="116" t="n">
        <f aca="false">SUMPRODUCT(((N289:N313-M289:M313)&gt;0)*(N289:N313-M289:M313),$F$12:$F$36)</f>
        <v>32.66375</v>
      </c>
      <c r="O322" s="116" t="n">
        <f aca="false">SUMPRODUCT(((O289:O313-N289:N313)&gt;0)*(O289:O313-N289:N313),$F$12:$F$36)</f>
        <v>11.5</v>
      </c>
      <c r="P322" s="36" t="n">
        <f aca="false">SUMPRODUCT(((P289:P313-O289:O313)&gt;0)*(P289:P313-O289:O313),$F$12:$F$36)</f>
        <v>34.5</v>
      </c>
      <c r="Q322" s="36" t="n">
        <f aca="false">SUMPRODUCT(((Q289:Q313-P289:P313)&gt;0)*(Q289:Q313-P289:P313),$F$12:$F$36)</f>
        <v>84.7298</v>
      </c>
      <c r="R322" s="36" t="n">
        <f aca="false">SUMPRODUCT(((R289:R313-Q289:Q313)&gt;0)*(R289:R313-Q289:Q313),$F$12:$F$36)</f>
        <v>152.07275</v>
      </c>
      <c r="S322" s="36" t="n">
        <f aca="false">SUMPRODUCT(((S289:S313-R289:R313)&gt;0)*(S289:S313-R289:R313),$F$12:$F$36)</f>
        <v>175.74455</v>
      </c>
      <c r="T322" s="36" t="n">
        <f aca="false">SUMPRODUCT(((T289:T313-S289:S313)&gt;0)*(T289:T313-S289:S313),$F$12:$F$36)</f>
        <v>183.0705</v>
      </c>
      <c r="U322" s="36" t="n">
        <f aca="false">SUMPRODUCT(((U289:U313-T289:T313)&gt;0)*(U289:U313-T289:T313),$F$12:$F$36)</f>
        <v>269.3035</v>
      </c>
      <c r="V322" s="36" t="n">
        <f aca="false">SUMPRODUCT(((V289:V313-U289:U313)&gt;0)*(V289:V313-U289:U313),$F$12:$F$36)</f>
        <v>91.0815</v>
      </c>
      <c r="W322" s="36" t="n">
        <f aca="false">SUMPRODUCT(((W289:W313-V289:V313)&gt;0)*(W289:W313-V289:V313),$F$12:$F$36)</f>
        <v>153.4595</v>
      </c>
      <c r="X322" s="36" t="n">
        <f aca="false">SUMPRODUCT(((X289:X313-W289:W313)&gt;0)*(X289:X313-W289:W313),$F$12:$F$36)</f>
        <v>12.5</v>
      </c>
      <c r="Y322" s="36" t="n">
        <f aca="false">SUMPRODUCT(((Y289:Y313-X289:X313)&gt;0)*(Y289:Y313-X289:X313),$F$12:$F$36)</f>
        <v>313.7755</v>
      </c>
      <c r="Z322" s="36" t="n">
        <f aca="false">SUMPRODUCT(((Z289:Z313-Y289:Y313)&gt;0)*(Z289:Z313-Y289:Y313),$F$12:$F$36)</f>
        <v>0</v>
      </c>
      <c r="AA322" s="36" t="n">
        <f aca="false">SUMPRODUCT(((AA289:AA313-Z289:Z313)&gt;0)*(AA289:AA313-Z289:Z313),$F$12:$F$36)</f>
        <v>311.094</v>
      </c>
      <c r="AB322" s="36" t="n">
        <f aca="false">SUMPRODUCT(((AB289:AB313-AA289:AA313)&gt;0)*(AB289:AB313-AA289:AA313),$F$12:$F$36)</f>
        <v>0</v>
      </c>
      <c r="AC322" s="36" t="n">
        <f aca="false">SUMPRODUCT(((AC289:AC313-AB289:AB313)&gt;0)*(AC289:AC313-AB289:AB313),$F$12:$F$36)</f>
        <v>445.555</v>
      </c>
      <c r="AD322" s="36" t="n">
        <f aca="false">SUMPRODUCT(((AD289:AD313-AC289:AC313)&gt;0)*(AD289:AD313-AC289:AC313),$F$12:$F$36)</f>
        <v>0</v>
      </c>
      <c r="AE322" s="36" t="n">
        <f aca="false">SUMPRODUCT(((AE289:AE313-AD289:AD313)&gt;0)*(AE289:AE313-AD289:AD313),$F$12:$F$36)</f>
        <v>0</v>
      </c>
      <c r="AF322" s="36" t="n">
        <f aca="false">SUMPRODUCT(((AF289:AF313-AE289:AE313)&gt;0)*(AF289:AF313-AE289:AE313),$F$12:$F$36)</f>
        <v>0</v>
      </c>
      <c r="AG322" s="36" t="n">
        <f aca="false">SUMPRODUCT(((AG289:AG313-AF289:AF313)&gt;0)*(AG289:AG313-AF289:AF313),$F$12:$F$36)</f>
        <v>431.703</v>
      </c>
      <c r="AI322" s="36" t="n">
        <f aca="false">SUMIF($F$7:$AG$7,AI$7,$F322:$AG322)</f>
        <v>27.7275</v>
      </c>
      <c r="AJ322" s="36" t="n">
        <f aca="false">SUMIF($F$7:$AG$7,AJ$7,$F322:$AG322)</f>
        <v>110.59845</v>
      </c>
      <c r="AK322" s="36" t="n">
        <f aca="false">SUMIF($F$7:$AG$7,AK$7,$F322:$AG322)</f>
        <v>163.39355</v>
      </c>
      <c r="AL322" s="36" t="n">
        <f aca="false">SUMIF($F$7:$AG$7,AL$7,$F322:$AG322)</f>
        <v>780.1913</v>
      </c>
      <c r="AM322" s="36" t="n">
        <f aca="false">SUMIF($F$7:$AG$7,AM$7,$F322:$AG322)</f>
        <v>570.8165</v>
      </c>
      <c r="AN322" s="36" t="n">
        <f aca="false">SUMIF($F$7:$AG$7,AN$7,$F322:$AG322)</f>
        <v>756.649</v>
      </c>
      <c r="AO322" s="36" t="n">
        <f aca="false">SUMIF($F$7:$AG$7,AO$7,$F322:$AG322)</f>
        <v>431.703</v>
      </c>
    </row>
    <row r="323" customFormat="false" ht="15" hidden="false" customHeight="false" outlineLevel="0" collapsed="false">
      <c r="A323" s="107" t="s">
        <v>1713</v>
      </c>
      <c r="B323" s="22" t="s">
        <v>664</v>
      </c>
      <c r="C323" s="22" t="s">
        <v>558</v>
      </c>
      <c r="D323" s="22" t="s">
        <v>1714</v>
      </c>
      <c r="F323" s="116" t="n">
        <f aca="false">SUMPRODUCT(((F289:F313-E289:E313)&gt;0)*(F289:F313-E289:E313),$F$12:$F$36,1-$G$12:$G$36)</f>
        <v>0</v>
      </c>
      <c r="G323" s="116" t="n">
        <f aca="false">SUMPRODUCT(((G289:G313-F289:F313)&gt;0)*(G289:G313-F289:F313),$F$12:$F$36,1-$G$12:$G$36)</f>
        <v>0</v>
      </c>
      <c r="H323" s="116" t="n">
        <f aca="false">SUMPRODUCT(((H289:H313-G289:G313)&gt;0)*(H289:H313-G289:G313),$F$12:$F$36,1-$G$12:$G$36)</f>
        <v>0</v>
      </c>
      <c r="I323" s="116" t="n">
        <f aca="false">SUMPRODUCT(((I289:I313-H289:H313)&gt;0)*(I289:I313-H289:H313),$F$12:$F$36,1-$G$12:$G$36)</f>
        <v>5</v>
      </c>
      <c r="J323" s="116" t="n">
        <f aca="false">SUMPRODUCT(((J289:J313-I289:I313)&gt;0)*(J289:J313-I289:I313),$F$12:$F$36,1-$G$12:$G$36)</f>
        <v>20</v>
      </c>
      <c r="K323" s="116" t="n">
        <f aca="false">SUMPRODUCT(((K289:K313-J289:J313)&gt;0)*(K289:K313-J289:J313),$F$12:$F$36,1-$G$12:$G$36)</f>
        <v>0</v>
      </c>
      <c r="L323" s="116" t="n">
        <f aca="false">SUMPRODUCT(((L289:L313-K289:K313)&gt;0)*(L289:L313-K289:K313),$F$12:$F$36,1-$G$12:$G$36)</f>
        <v>0</v>
      </c>
      <c r="M323" s="116" t="n">
        <f aca="false">SUMPRODUCT(((M289:M313-L289:L313)&gt;0)*(M289:M313-L289:L313),$F$12:$F$36,1-$G$12:$G$36)</f>
        <v>56.5072</v>
      </c>
      <c r="N323" s="116" t="n">
        <f aca="false">SUMPRODUCT(((N289:N313-M289:M313)&gt;0)*(N289:N313-M289:M313),$F$12:$F$36,1-$G$12:$G$36)</f>
        <v>21.3</v>
      </c>
      <c r="O323" s="116" t="n">
        <f aca="false">SUMPRODUCT(((O289:O313-N289:N313)&gt;0)*(O289:O313-N289:N313),$F$12:$F$36,1-$G$12:$G$36)</f>
        <v>11.5</v>
      </c>
      <c r="P323" s="36" t="n">
        <f aca="false">SUMPRODUCT(((P289:P313-O289:O313)&gt;0)*(P289:P313-O289:O313),$F$12:$F$36,1-$G$12:$G$36)</f>
        <v>34.5</v>
      </c>
      <c r="Q323" s="36" t="n">
        <f aca="false">SUMPRODUCT(((Q289:Q313-P289:P313)&gt;0)*(Q289:Q313-P289:P313),$F$12:$F$36,1-$G$12:$G$36)</f>
        <v>84.7298</v>
      </c>
      <c r="R323" s="36" t="n">
        <f aca="false">SUMPRODUCT(((R289:R313-Q289:Q313)&gt;0)*(R289:R313-Q289:Q313),$F$12:$F$36,1-$G$12:$G$36)</f>
        <v>142.814</v>
      </c>
      <c r="S323" s="36" t="n">
        <f aca="false">SUMPRODUCT(((S289:S313-R289:R313)&gt;0)*(S289:S313-R289:R313),$F$12:$F$36,1-$G$12:$G$36)</f>
        <v>151.2678</v>
      </c>
      <c r="T323" s="36" t="n">
        <f aca="false">SUMPRODUCT(((T289:T313-S289:S313)&gt;0)*(T289:T313-S289:S313),$F$12:$F$36,1-$G$12:$G$36)</f>
        <v>112.3</v>
      </c>
      <c r="U323" s="36" t="n">
        <f aca="false">SUMPRODUCT(((U289:U313-T289:T313)&gt;0)*(U289:U313-T289:T313),$F$12:$F$36,1-$G$12:$G$36)</f>
        <v>116.652</v>
      </c>
      <c r="V323" s="36" t="n">
        <f aca="false">SUMPRODUCT(((V289:V313-U289:U313)&gt;0)*(V289:V313-U289:U313),$F$12:$F$36,1-$G$12:$G$36)</f>
        <v>12.5</v>
      </c>
      <c r="W323" s="36" t="n">
        <f aca="false">SUMPRODUCT(((W289:W313-V289:V313)&gt;0)*(W289:W313-V289:V313),$F$12:$F$36,1-$G$12:$G$36)</f>
        <v>0</v>
      </c>
      <c r="X323" s="36" t="n">
        <f aca="false">SUMPRODUCT(((X289:X313-W289:W313)&gt;0)*(X289:X313-W289:W313),$F$12:$F$36,1-$G$12:$G$36)</f>
        <v>12.5</v>
      </c>
      <c r="Y323" s="36" t="n">
        <f aca="false">SUMPRODUCT(((Y289:Y313-X289:X313)&gt;0)*(Y289:Y313-X289:X313),$F$12:$F$36,1-$G$12:$G$36)</f>
        <v>46.152</v>
      </c>
      <c r="Z323" s="36" t="n">
        <f aca="false">SUMPRODUCT(((Z289:Z313-Y289:Y313)&gt;0)*(Z289:Z313-Y289:Y313),$F$12:$F$36,1-$G$12:$G$36)</f>
        <v>0</v>
      </c>
      <c r="AA323" s="36" t="n">
        <f aca="false">SUMPRODUCT(((AA289:AA313-Z289:Z313)&gt;0)*(AA289:AA313-Z289:Z313),$F$12:$F$36,1-$G$12:$G$36)</f>
        <v>0</v>
      </c>
      <c r="AB323" s="36" t="n">
        <f aca="false">SUMPRODUCT(((AB289:AB313-AA289:AA313)&gt;0)*(AB289:AB313-AA289:AA313),$F$12:$F$36,1-$G$12:$G$36)</f>
        <v>0</v>
      </c>
      <c r="AC323" s="36" t="n">
        <f aca="false">SUMPRODUCT(((AC289:AC313-AB289:AB313)&gt;0)*(AC289:AC313-AB289:AB313),$F$12:$F$36,1-$G$12:$G$36)</f>
        <v>0</v>
      </c>
      <c r="AD323" s="36" t="n">
        <f aca="false">SUMPRODUCT(((AD289:AD313-AC289:AC313)&gt;0)*(AD289:AD313-AC289:AC313),$F$12:$F$36,1-$G$12:$G$36)</f>
        <v>0</v>
      </c>
      <c r="AE323" s="36" t="n">
        <f aca="false">SUMPRODUCT(((AE289:AE313-AD289:AD313)&gt;0)*(AE289:AE313-AD289:AD313),$F$12:$F$36,1-$G$12:$G$36)</f>
        <v>0</v>
      </c>
      <c r="AF323" s="36" t="n">
        <f aca="false">SUMPRODUCT(((AF289:AF313-AE289:AE313)&gt;0)*(AF289:AF313-AE289:AE313),$F$12:$F$36,1-$G$12:$G$36)</f>
        <v>0</v>
      </c>
      <c r="AG323" s="36" t="n">
        <f aca="false">SUMPRODUCT(((AG289:AG313-AF289:AF313)&gt;0)*(AG289:AG313-AF289:AF313),$F$12:$F$36,1-$G$12:$G$36)</f>
        <v>0</v>
      </c>
      <c r="AI323" s="36" t="n">
        <f aca="false">SUMIF($F$7:$AG$7,AI$7,$F323:$AG323)</f>
        <v>5</v>
      </c>
      <c r="AJ323" s="36" t="n">
        <f aca="false">SUMIF($F$7:$AG$7,AJ$7,$F323:$AG323)</f>
        <v>76.5072</v>
      </c>
      <c r="AK323" s="36" t="n">
        <f aca="false">SUMIF($F$7:$AG$7,AK$7,$F323:$AG323)</f>
        <v>152.0298</v>
      </c>
      <c r="AL323" s="36" t="n">
        <f aca="false">SUMIF($F$7:$AG$7,AL$7,$F323:$AG323)</f>
        <v>523.0338</v>
      </c>
      <c r="AM323" s="36" t="n">
        <f aca="false">SUMIF($F$7:$AG$7,AM$7,$F323:$AG323)</f>
        <v>71.152</v>
      </c>
      <c r="AN323" s="36" t="n">
        <f aca="false">SUMIF($F$7:$AG$7,AN$7,$F323:$AG323)</f>
        <v>0</v>
      </c>
      <c r="AO323" s="36" t="n">
        <f aca="false">SUMIF($F$7:$AG$7,AO$7,$F323:$AG323)</f>
        <v>0</v>
      </c>
    </row>
    <row r="324" customFormat="false" ht="15" hidden="false" customHeight="false" outlineLevel="0" collapsed="false">
      <c r="A324" s="107" t="s">
        <v>1715</v>
      </c>
      <c r="B324" s="22" t="s">
        <v>564</v>
      </c>
      <c r="C324" s="22" t="s">
        <v>558</v>
      </c>
      <c r="D324" s="22" t="s">
        <v>1716</v>
      </c>
      <c r="F324" s="117" t="n">
        <f aca="false">IF(F322&gt;0.01,F320/F322,IFERROR(SUMPRODUCT((Q_Idx&gt;LastHist)*PathIT)/SUMPRODUCT((Q_Idx&gt;LastHist)*EnNewIT),CPM_Lease_GB300))</f>
        <v>36.7875</v>
      </c>
      <c r="G324" s="117" t="n">
        <f aca="false">IF(G322&gt;0.01,G320/G322,IFERROR(SUMPRODUCT((Q_Idx&gt;LastHist)*PathIT)/SUMPRODUCT((Q_Idx&gt;LastHist)*EnNewIT),CPM_Lease_GB300))</f>
        <v>39.1586730610847</v>
      </c>
      <c r="H324" s="117" t="n">
        <f aca="false">IF(H322&gt;0.01,H320/H322,IFERROR(SUMPRODUCT((Q_Idx&gt;LastHist)*PathIT)/SUMPRODUCT((Q_Idx&gt;LastHist)*EnNewIT),CPM_Lease_GB300))</f>
        <v>39.1586730610847</v>
      </c>
      <c r="I324" s="117" t="n">
        <f aca="false">IF(I322&gt;0.01,I320/I322,IFERROR(SUMPRODUCT((Q_Idx&gt;LastHist)*PathIT)/SUMPRODUCT((Q_Idx&gt;LastHist)*EnNewIT),CPM_Lease_GB300))</f>
        <v>30</v>
      </c>
      <c r="J324" s="117" t="n">
        <f aca="false">IF(J322&gt;0.01,J320/J322,IFERROR(SUMPRODUCT((Q_Idx&gt;LastHist)*PathIT)/SUMPRODUCT((Q_Idx&gt;LastHist)*EnNewIT),CPM_Lease_GB300))</f>
        <v>30</v>
      </c>
      <c r="K324" s="117" t="n">
        <f aca="false">IF(K322&gt;0.01,K320/K322,IFERROR(SUMPRODUCT((Q_Idx&gt;LastHist)*PathIT)/SUMPRODUCT((Q_Idx&gt;LastHist)*EnNewIT),CPM_Lease_GB300))</f>
        <v>39.1586730610847</v>
      </c>
      <c r="L324" s="117" t="n">
        <f aca="false">IF(L322&gt;0.01,L320/L322,IFERROR(SUMPRODUCT((Q_Idx&gt;LastHist)*PathIT)/SUMPRODUCT((Q_Idx&gt;LastHist)*EnNewIT),CPM_Lease_GB300))</f>
        <v>36.7875</v>
      </c>
      <c r="M324" s="117" t="n">
        <f aca="false">IF(M322&gt;0.01,M320/M322,IFERROR(SUMPRODUCT((Q_Idx&gt;LastHist)*PathIT)/SUMPRODUCT((Q_Idx&gt;LastHist)*EnNewIT),CPM_Lease_GB300))</f>
        <v>34.1912874819997</v>
      </c>
      <c r="N324" s="117" t="n">
        <f aca="false">IF(N322&gt;0.01,N320/N322,IFERROR(SUMPRODUCT((Q_Idx&gt;LastHist)*PathIT)/SUMPRODUCT((Q_Idx&gt;LastHist)*EnNewIT),CPM_Lease_GB300))</f>
        <v>34.7095083425816</v>
      </c>
      <c r="O324" s="117" t="n">
        <f aca="false">IF(O322&gt;0.01,O320/O322,IFERROR(SUMPRODUCT((Q_Idx&gt;LastHist)*PathIT)/SUMPRODUCT((Q_Idx&gt;LastHist)*EnNewIT),CPM_Lease_GB300))</f>
        <v>36.7875</v>
      </c>
      <c r="P324" s="30" t="n">
        <f aca="false">IF(P322&gt;0.01,P320/P322,IFERROR(SUMPRODUCT((Q_Idx&gt;LastHist)*PathIT)/SUMPRODUCT((Q_Idx&gt;LastHist)*EnNewIT),CPM_Lease_GB300))</f>
        <v>35.3119565217391</v>
      </c>
      <c r="Q324" s="30" t="n">
        <f aca="false">IF(Q322&gt;0.01,Q320/Q322,IFERROR(SUMPRODUCT((Q_Idx&gt;LastHist)*PathIT)/SUMPRODUCT((Q_Idx&gt;LastHist)*EnNewIT),CPM_Lease_GB300))</f>
        <v>36.0381896333994</v>
      </c>
      <c r="R324" s="30" t="n">
        <f aca="false">IF(R322&gt;0.01,R320/R322,IFERROR(SUMPRODUCT((Q_Idx&gt;LastHist)*PathIT)/SUMPRODUCT((Q_Idx&gt;LastHist)*EnNewIT),CPM_Lease_GB300))</f>
        <v>36.2458641176674</v>
      </c>
      <c r="S324" s="30" t="n">
        <f aca="false">IF(S322&gt;0.01,S320/S322,IFERROR(SUMPRODUCT((Q_Idx&gt;LastHist)*PathIT)/SUMPRODUCT((Q_Idx&gt;LastHist)*EnNewIT),CPM_Lease_GB300))</f>
        <v>37.2488470766234</v>
      </c>
      <c r="T324" s="30" t="n">
        <f aca="false">IF(T322&gt;0.01,T320/T322,IFERROR(SUMPRODUCT((Q_Idx&gt;LastHist)*PathIT)/SUMPRODUCT((Q_Idx&gt;LastHist)*EnNewIT),CPM_Lease_GB300))</f>
        <v>38.0362185606092</v>
      </c>
      <c r="U324" s="30" t="n">
        <f aca="false">IF(U322&gt;0.01,U320/U322,IFERROR(SUMPRODUCT((Q_Idx&gt;LastHist)*PathIT)/SUMPRODUCT((Q_Idx&gt;LastHist)*EnNewIT),CPM_Lease_GB300))</f>
        <v>38.6132814835307</v>
      </c>
      <c r="V324" s="30" t="n">
        <f aca="false">IF(V322&gt;0.01,V320/V322,IFERROR(SUMPRODUCT((Q_Idx&gt;LastHist)*PathIT)/SUMPRODUCT((Q_Idx&gt;LastHist)*EnNewIT),CPM_Lease_GB300))</f>
        <v>40.2372397248618</v>
      </c>
      <c r="W324" s="30" t="n">
        <f aca="false">IF(W322&gt;0.01,W320/W322,IFERROR(SUMPRODUCT((Q_Idx&gt;LastHist)*PathIT)/SUMPRODUCT((Q_Idx&gt;LastHist)*EnNewIT),CPM_Lease_GB300))</f>
        <v>40.1</v>
      </c>
      <c r="X324" s="30" t="n">
        <f aca="false">IF(X322&gt;0.01,X320/X322,IFERROR(SUMPRODUCT((Q_Idx&gt;LastHist)*PathIT)/SUMPRODUCT((Q_Idx&gt;LastHist)*EnNewIT),CPM_Lease_GB300))</f>
        <v>41.1</v>
      </c>
      <c r="Y324" s="30" t="n">
        <f aca="false">IF(Y322&gt;0.01,Y320/Y322,IFERROR(SUMPRODUCT((Q_Idx&gt;LastHist)*PathIT)/SUMPRODUCT((Q_Idx&gt;LastHist)*EnNewIT),CPM_Lease_GB300))</f>
        <v>39.61277744757</v>
      </c>
      <c r="Z324" s="30" t="n">
        <f aca="false">IF(Z322&gt;0.01,Z320/Z322,IFERROR(SUMPRODUCT((Q_Idx&gt;LastHist)*PathIT)/SUMPRODUCT((Q_Idx&gt;LastHist)*EnNewIT),CPM_Lease_GB300))</f>
        <v>39.1586730610847</v>
      </c>
      <c r="AA324" s="30" t="n">
        <f aca="false">IF(AA322&gt;0.01,AA320/AA322,IFERROR(SUMPRODUCT((Q_Idx&gt;LastHist)*PathIT)/SUMPRODUCT((Q_Idx&gt;LastHist)*EnNewIT),CPM_Lease_GB300))</f>
        <v>40.1</v>
      </c>
      <c r="AB324" s="30" t="n">
        <f aca="false">IF(AB322&gt;0.01,AB320/AB322,IFERROR(SUMPRODUCT((Q_Idx&gt;LastHist)*PathIT)/SUMPRODUCT((Q_Idx&gt;LastHist)*EnNewIT),CPM_Lease_GB300))</f>
        <v>39.1586730610847</v>
      </c>
      <c r="AC324" s="30" t="n">
        <f aca="false">IF(AC322&gt;0.01,AC320/AC322,IFERROR(SUMPRODUCT((Q_Idx&gt;LastHist)*PathIT)/SUMPRODUCT((Q_Idx&gt;LastHist)*EnNewIT),CPM_Lease_GB300))</f>
        <v>40.1</v>
      </c>
      <c r="AD324" s="30" t="n">
        <f aca="false">IF(AD322&gt;0.01,AD320/AD322,IFERROR(SUMPRODUCT((Q_Idx&gt;LastHist)*PathIT)/SUMPRODUCT((Q_Idx&gt;LastHist)*EnNewIT),CPM_Lease_GB300))</f>
        <v>39.1586730610847</v>
      </c>
      <c r="AE324" s="30" t="n">
        <f aca="false">IF(AE322&gt;0.01,AE320/AE322,IFERROR(SUMPRODUCT((Q_Idx&gt;LastHist)*PathIT)/SUMPRODUCT((Q_Idx&gt;LastHist)*EnNewIT),CPM_Lease_GB300))</f>
        <v>39.1586730610847</v>
      </c>
      <c r="AF324" s="30" t="n">
        <f aca="false">IF(AF322&gt;0.01,AF320/AF322,IFERROR(SUMPRODUCT((Q_Idx&gt;LastHist)*PathIT)/SUMPRODUCT((Q_Idx&gt;LastHist)*EnNewIT),CPM_Lease_GB300))</f>
        <v>39.1586730610847</v>
      </c>
      <c r="AG324" s="30" t="n">
        <f aca="false">IF(AG322&gt;0.01,AG320/AG322,IFERROR(SUMPRODUCT((Q_Idx&gt;LastHist)*PathIT)/SUMPRODUCT((Q_Idx&gt;LastHist)*EnNewIT),CPM_Lease_GB300))</f>
        <v>40.1</v>
      </c>
      <c r="AI324" s="30" t="n">
        <f aca="false">SUMIF($F$7:$AG$7,AI$7,$F324:$AG324)</f>
        <v>145.104846122169</v>
      </c>
      <c r="AJ324" s="30" t="n">
        <f aca="false">SUMIF($F$7:$AG$7,AJ$7,$F324:$AG324)</f>
        <v>140.137460543084</v>
      </c>
      <c r="AK324" s="30" t="n">
        <f aca="false">SUMIF($F$7:$AG$7,AK$7,$F324:$AG324)</f>
        <v>142.84715449772</v>
      </c>
      <c r="AL324" s="30" t="n">
        <f aca="false">SUMIF($F$7:$AG$7,AL$7,$F324:$AG324)</f>
        <v>150.144211238431</v>
      </c>
      <c r="AM324" s="30" t="n">
        <f aca="false">SUMIF($F$7:$AG$7,AM$7,$F324:$AG324)</f>
        <v>161.050017172432</v>
      </c>
      <c r="AN324" s="30" t="n">
        <f aca="false">SUMIF($F$7:$AG$7,AN$7,$F324:$AG324)</f>
        <v>158.517346122169</v>
      </c>
      <c r="AO324" s="30" t="n">
        <f aca="false">SUMIF($F$7:$AG$7,AO$7,$F324:$AG324)</f>
        <v>157.576019183254</v>
      </c>
    </row>
    <row r="325" customFormat="false" ht="15" hidden="false" customHeight="false" outlineLevel="0" collapsed="false">
      <c r="A325" s="107" t="s">
        <v>1717</v>
      </c>
      <c r="B325" s="22" t="s">
        <v>564</v>
      </c>
      <c r="C325" s="22" t="s">
        <v>558</v>
      </c>
      <c r="D325" s="22"/>
      <c r="F325" s="117" t="n">
        <f aca="false">IF(F322&gt;0.01,F321/F322,IFERROR(SUMPRODUCT((Q_Idx&gt;LastHist)*PathSP)/SUMPRODUCT((Q_Idx&gt;LastHist)*EnNewIT),0))</f>
        <v>12.5</v>
      </c>
      <c r="G325" s="117" t="n">
        <f aca="false">IF(G322&gt;0.01,G321/G322,IFERROR(SUMPRODUCT((Q_Idx&gt;LastHist)*PathSP)/SUMPRODUCT((Q_Idx&gt;LastHist)*EnNewIT),0))</f>
        <v>9.14570454951001</v>
      </c>
      <c r="H325" s="117" t="n">
        <f aca="false">IF(H322&gt;0.01,H321/H322,IFERROR(SUMPRODUCT((Q_Idx&gt;LastHist)*PathSP)/SUMPRODUCT((Q_Idx&gt;LastHist)*EnNewIT),0))</f>
        <v>9.14570454951001</v>
      </c>
      <c r="I325" s="117" t="n">
        <f aca="false">IF(I322&gt;0.01,I321/I322,IFERROR(SUMPRODUCT((Q_Idx&gt;LastHist)*PathSP)/SUMPRODUCT((Q_Idx&gt;LastHist)*EnNewIT),0))</f>
        <v>0</v>
      </c>
      <c r="J325" s="117" t="n">
        <f aca="false">IF(J322&gt;0.01,J321/J322,IFERROR(SUMPRODUCT((Q_Idx&gt;LastHist)*PathSP)/SUMPRODUCT((Q_Idx&gt;LastHist)*EnNewIT),0))</f>
        <v>0</v>
      </c>
      <c r="K325" s="117" t="n">
        <f aca="false">IF(K322&gt;0.01,K321/K322,IFERROR(SUMPRODUCT((Q_Idx&gt;LastHist)*PathSP)/SUMPRODUCT((Q_Idx&gt;LastHist)*EnNewIT),0))</f>
        <v>9.14570454951001</v>
      </c>
      <c r="L325" s="117" t="n">
        <f aca="false">IF(L322&gt;0.01,L321/L322,IFERROR(SUMPRODUCT((Q_Idx&gt;LastHist)*PathSP)/SUMPRODUCT((Q_Idx&gt;LastHist)*EnNewIT),0))</f>
        <v>12.5</v>
      </c>
      <c r="M325" s="117" t="n">
        <f aca="false">IF(M322&gt;0.01,M321/M322,IFERROR(SUMPRODUCT((Q_Idx&gt;LastHist)*PathSP)/SUMPRODUCT((Q_Idx&gt;LastHist)*EnNewIT),0))</f>
        <v>3.5854713906912</v>
      </c>
      <c r="N325" s="117" t="n">
        <f aca="false">IF(N322&gt;0.01,N321/N322,IFERROR(SUMPRODUCT((Q_Idx&gt;LastHist)*PathSP)/SUMPRODUCT((Q_Idx&gt;LastHist)*EnNewIT),0))</f>
        <v>4.34876200681183</v>
      </c>
      <c r="O325" s="117" t="n">
        <f aca="false">IF(O322&gt;0.01,O321/O322,IFERROR(SUMPRODUCT((Q_Idx&gt;LastHist)*PathSP)/SUMPRODUCT((Q_Idx&gt;LastHist)*EnNewIT),0))</f>
        <v>0</v>
      </c>
      <c r="P325" s="30" t="n">
        <f aca="false">IF(P322&gt;0.01,P321/P322,IFERROR(SUMPRODUCT((Q_Idx&gt;LastHist)*PathSP)/SUMPRODUCT((Q_Idx&gt;LastHist)*EnNewIT),0))</f>
        <v>0</v>
      </c>
      <c r="Q325" s="30" t="n">
        <f aca="false">IF(Q322&gt;0.01,Q321/Q322,IFERROR(SUMPRODUCT((Q_Idx&gt;LastHist)*PathSP)/SUMPRODUCT((Q_Idx&gt;LastHist)*EnNewIT),0))</f>
        <v>0</v>
      </c>
      <c r="R325" s="30" t="n">
        <f aca="false">IF(R322&gt;0.01,R321/R322,IFERROR(SUMPRODUCT((Q_Idx&gt;LastHist)*PathSP)/SUMPRODUCT((Q_Idx&gt;LastHist)*EnNewIT),0))</f>
        <v>0.761046111154037</v>
      </c>
      <c r="S325" s="30" t="n">
        <f aca="false">IF(S322&gt;0.01,S321/S322,IFERROR(SUMPRODUCT((Q_Idx&gt;LastHist)*PathSP)/SUMPRODUCT((Q_Idx&gt;LastHist)*EnNewIT),0))</f>
        <v>1.74093236461671</v>
      </c>
      <c r="T325" s="30" t="n">
        <f aca="false">IF(T322&gt;0.01,T321/T322,IFERROR(SUMPRODUCT((Q_Idx&gt;LastHist)*PathSP)/SUMPRODUCT((Q_Idx&gt;LastHist)*EnNewIT),0))</f>
        <v>4.8321889654532</v>
      </c>
      <c r="U325" s="30" t="n">
        <f aca="false">IF(U322&gt;0.01,U321/U322,IFERROR(SUMPRODUCT((Q_Idx&gt;LastHist)*PathSP)/SUMPRODUCT((Q_Idx&gt;LastHist)*EnNewIT),0))</f>
        <v>7.08547698043286</v>
      </c>
      <c r="V325" s="30" t="n">
        <f aca="false">IF(V322&gt;0.01,V321/V322,IFERROR(SUMPRODUCT((Q_Idx&gt;LastHist)*PathSP)/SUMPRODUCT((Q_Idx&gt;LastHist)*EnNewIT),0))</f>
        <v>10.7845034392275</v>
      </c>
      <c r="W325" s="30" t="n">
        <f aca="false">IF(W322&gt;0.01,W321/W322,IFERROR(SUMPRODUCT((Q_Idx&gt;LastHist)*PathSP)/SUMPRODUCT((Q_Idx&gt;LastHist)*EnNewIT),0))</f>
        <v>12.5</v>
      </c>
      <c r="X325" s="30" t="n">
        <f aca="false">IF(X322&gt;0.01,X321/X322,IFERROR(SUMPRODUCT((Q_Idx&gt;LastHist)*PathSP)/SUMPRODUCT((Q_Idx&gt;LastHist)*EnNewIT),0))</f>
        <v>0</v>
      </c>
      <c r="Y325" s="30" t="n">
        <f aca="false">IF(Y322&gt;0.01,Y321/Y322,IFERROR(SUMPRODUCT((Q_Idx&gt;LastHist)*PathSP)/SUMPRODUCT((Q_Idx&gt;LastHist)*EnNewIT),0))</f>
        <v>10.6614243304528</v>
      </c>
      <c r="Z325" s="30" t="n">
        <f aca="false">IF(Z322&gt;0.01,Z321/Z322,IFERROR(SUMPRODUCT((Q_Idx&gt;LastHist)*PathSP)/SUMPRODUCT((Q_Idx&gt;LastHist)*EnNewIT),0))</f>
        <v>9.14570454951001</v>
      </c>
      <c r="AA325" s="30" t="n">
        <f aca="false">IF(AA322&gt;0.01,AA321/AA322,IFERROR(SUMPRODUCT((Q_Idx&gt;LastHist)*PathSP)/SUMPRODUCT((Q_Idx&gt;LastHist)*EnNewIT),0))</f>
        <v>12.5</v>
      </c>
      <c r="AB325" s="30" t="n">
        <f aca="false">IF(AB322&gt;0.01,AB321/AB322,IFERROR(SUMPRODUCT((Q_Idx&gt;LastHist)*PathSP)/SUMPRODUCT((Q_Idx&gt;LastHist)*EnNewIT),0))</f>
        <v>9.14570454951001</v>
      </c>
      <c r="AC325" s="30" t="n">
        <f aca="false">IF(AC322&gt;0.01,AC321/AC322,IFERROR(SUMPRODUCT((Q_Idx&gt;LastHist)*PathSP)/SUMPRODUCT((Q_Idx&gt;LastHist)*EnNewIT),0))</f>
        <v>12.5</v>
      </c>
      <c r="AD325" s="30" t="n">
        <f aca="false">IF(AD322&gt;0.01,AD321/AD322,IFERROR(SUMPRODUCT((Q_Idx&gt;LastHist)*PathSP)/SUMPRODUCT((Q_Idx&gt;LastHist)*EnNewIT),0))</f>
        <v>9.14570454951001</v>
      </c>
      <c r="AE325" s="30" t="n">
        <f aca="false">IF(AE322&gt;0.01,AE321/AE322,IFERROR(SUMPRODUCT((Q_Idx&gt;LastHist)*PathSP)/SUMPRODUCT((Q_Idx&gt;LastHist)*EnNewIT),0))</f>
        <v>9.14570454951001</v>
      </c>
      <c r="AF325" s="30" t="n">
        <f aca="false">IF(AF322&gt;0.01,AF321/AF322,IFERROR(SUMPRODUCT((Q_Idx&gt;LastHist)*PathSP)/SUMPRODUCT((Q_Idx&gt;LastHist)*EnNewIT),0))</f>
        <v>9.14570454951001</v>
      </c>
      <c r="AG325" s="30" t="n">
        <f aca="false">IF(AG322&gt;0.01,AG321/AG322,IFERROR(SUMPRODUCT((Q_Idx&gt;LastHist)*PathSP)/SUMPRODUCT((Q_Idx&gt;LastHist)*EnNewIT),0))</f>
        <v>12.5</v>
      </c>
      <c r="AI325" s="30" t="n">
        <f aca="false">SUMIF($F$7:$AG$7,AI$7,$F325:$AG325)</f>
        <v>30.79140909902</v>
      </c>
      <c r="AJ325" s="30" t="n">
        <f aca="false">SUMIF($F$7:$AG$7,AJ$7,$F325:$AG325)</f>
        <v>25.2311759402012</v>
      </c>
      <c r="AK325" s="30" t="n">
        <f aca="false">SUMIF($F$7:$AG$7,AK$7,$F325:$AG325)</f>
        <v>4.34876200681183</v>
      </c>
      <c r="AL325" s="30" t="n">
        <f aca="false">SUMIF($F$7:$AG$7,AL$7,$F325:$AG325)</f>
        <v>14.4196444216568</v>
      </c>
      <c r="AM325" s="30" t="n">
        <f aca="false">SUMIF($F$7:$AG$7,AM$7,$F325:$AG325)</f>
        <v>33.9459277696803</v>
      </c>
      <c r="AN325" s="30" t="n">
        <f aca="false">SUMIF($F$7:$AG$7,AN$7,$F325:$AG325)</f>
        <v>43.29140909902</v>
      </c>
      <c r="AO325" s="30" t="n">
        <f aca="false">SUMIF($F$7:$AG$7,AO$7,$F325:$AG325)</f>
        <v>39.93711364853</v>
      </c>
    </row>
    <row r="326" customFormat="false" ht="15" hidden="false" customHeight="false" outlineLevel="0" collapsed="false">
      <c r="A326" s="107" t="s">
        <v>1718</v>
      </c>
      <c r="B326" s="22" t="s">
        <v>664</v>
      </c>
      <c r="C326" s="22" t="s">
        <v>558</v>
      </c>
      <c r="D326" s="22" t="s">
        <v>1719</v>
      </c>
      <c r="F326" s="116" t="n">
        <f aca="false">F289*$F$12</f>
        <v>0</v>
      </c>
      <c r="G326" s="116" t="n">
        <f aca="false">G289*$F$12</f>
        <v>0</v>
      </c>
      <c r="H326" s="116" t="n">
        <f aca="false">H289*$F$12</f>
        <v>0</v>
      </c>
      <c r="I326" s="116" t="n">
        <f aca="false">I289*$F$12</f>
        <v>0</v>
      </c>
      <c r="J326" s="116" t="n">
        <f aca="false">J289*$F$12</f>
        <v>0</v>
      </c>
      <c r="K326" s="116" t="n">
        <f aca="false">K289*$F$12</f>
        <v>0</v>
      </c>
      <c r="L326" s="116" t="n">
        <f aca="false">L289*$F$12</f>
        <v>0</v>
      </c>
      <c r="M326" s="116" t="n">
        <f aca="false">M289*$F$12</f>
        <v>26.2</v>
      </c>
      <c r="N326" s="116" t="n">
        <f aca="false">N289*$F$12</f>
        <v>37.5</v>
      </c>
      <c r="O326" s="116" t="n">
        <f aca="false">O289*$F$12</f>
        <v>39</v>
      </c>
      <c r="P326" s="36" t="n">
        <f aca="false">P289*$F$12</f>
        <v>66</v>
      </c>
      <c r="Q326" s="36" t="n">
        <f aca="false">Q289*$F$12</f>
        <v>81.8</v>
      </c>
      <c r="R326" s="36" t="n">
        <f aca="false">R289*$F$12</f>
        <v>118.5</v>
      </c>
      <c r="S326" s="36" t="n">
        <f aca="false">S289*$F$12</f>
        <v>168.5</v>
      </c>
      <c r="T326" s="36" t="n">
        <f aca="false">T289*$F$12</f>
        <v>200</v>
      </c>
      <c r="U326" s="36" t="n">
        <f aca="false">U289*$F$12</f>
        <v>235</v>
      </c>
      <c r="V326" s="36" t="n">
        <f aca="false">V289*$F$12</f>
        <v>235</v>
      </c>
      <c r="W326" s="36" t="n">
        <f aca="false">W289*$F$12</f>
        <v>235</v>
      </c>
      <c r="X326" s="36" t="n">
        <f aca="false">X289*$F$12</f>
        <v>235</v>
      </c>
      <c r="Y326" s="36" t="n">
        <f aca="false">Y289*$F$12</f>
        <v>235</v>
      </c>
      <c r="Z326" s="36" t="n">
        <f aca="false">Z289*$F$12</f>
        <v>235</v>
      </c>
      <c r="AA326" s="36" t="n">
        <f aca="false">AA289*$F$12</f>
        <v>235</v>
      </c>
      <c r="AB326" s="36" t="n">
        <f aca="false">AB289*$F$12</f>
        <v>235</v>
      </c>
      <c r="AC326" s="36" t="n">
        <f aca="false">AC289*$F$12</f>
        <v>235</v>
      </c>
      <c r="AD326" s="36" t="n">
        <f aca="false">AD289*$F$12</f>
        <v>235</v>
      </c>
      <c r="AE326" s="36" t="n">
        <f aca="false">AE289*$F$12</f>
        <v>235</v>
      </c>
      <c r="AF326" s="36" t="n">
        <f aca="false">AF289*$F$12</f>
        <v>235</v>
      </c>
      <c r="AG326" s="36" t="n">
        <f aca="false">AG289*$F$12</f>
        <v>235</v>
      </c>
      <c r="AI326" s="36" t="n">
        <f aca="false">INDEX($F326:$AG326,1,MATCH(AI$7,$F$7:$AG$7,1))</f>
        <v>0</v>
      </c>
      <c r="AJ326" s="36" t="n">
        <f aca="false">INDEX($F326:$AG326,1,MATCH(AJ$7,$F$7:$AG$7,1))</f>
        <v>26.2</v>
      </c>
      <c r="AK326" s="36" t="n">
        <f aca="false">INDEX($F326:$AG326,1,MATCH(AK$7,$F$7:$AG$7,1))</f>
        <v>81.8</v>
      </c>
      <c r="AL326" s="36" t="n">
        <f aca="false">INDEX($F326:$AG326,1,MATCH(AL$7,$F$7:$AG$7,1))</f>
        <v>235</v>
      </c>
      <c r="AM326" s="36" t="n">
        <f aca="false">INDEX($F326:$AG326,1,MATCH(AM$7,$F$7:$AG$7,1))</f>
        <v>235</v>
      </c>
      <c r="AN326" s="36" t="n">
        <f aca="false">INDEX($F326:$AG326,1,MATCH(AN$7,$F$7:$AG$7,1))</f>
        <v>235</v>
      </c>
      <c r="AO326" s="36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1720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58" t="s">
        <v>1721</v>
      </c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</row>
    <row r="330" customFormat="false" ht="15" hidden="false" customHeight="false" outlineLevel="0" collapsed="false">
      <c r="A330" s="107" t="s">
        <v>1424</v>
      </c>
      <c r="B330" s="22" t="s">
        <v>664</v>
      </c>
      <c r="C330" s="22" t="s">
        <v>981</v>
      </c>
      <c r="D330" s="22"/>
      <c r="AI330" s="109" t="n">
        <f aca="false">INDEX($F330:$AG330,1,MATCH(AI$7,$F$7:$AG$7,1))</f>
        <v>0</v>
      </c>
      <c r="AJ330" s="109" t="n">
        <f aca="false">INDEX($F330:$AG330,1,MATCH(AJ$7,$F$7:$AG$7,1))</f>
        <v>0</v>
      </c>
      <c r="AK330" s="109" t="n">
        <f aca="false">INDEX($F330:$AG330,1,MATCH(AK$7,$F$7:$AG$7,1))</f>
        <v>0</v>
      </c>
      <c r="AL330" s="109" t="n">
        <f aca="false">INDEX($F330:$AG330,1,MATCH(AL$7,$F$7:$AG$7,1))</f>
        <v>0</v>
      </c>
      <c r="AM330" s="109" t="n">
        <f aca="false">INDEX($F330:$AG330,1,MATCH(AM$7,$F$7:$AG$7,1))</f>
        <v>0</v>
      </c>
      <c r="AN330" s="109" t="n">
        <f aca="false">INDEX($F330:$AG330,1,MATCH(AN$7,$F$7:$AG$7,1))</f>
        <v>0</v>
      </c>
      <c r="AO330" s="109" t="n">
        <f aca="false">INDEX($F330:$AG330,1,MATCH(AO$7,$F$7:$AG$7,1))</f>
        <v>0</v>
      </c>
    </row>
    <row r="331" customFormat="false" ht="15" hidden="false" customHeight="false" outlineLevel="0" collapsed="false">
      <c r="A331" s="107" t="s">
        <v>1431</v>
      </c>
      <c r="B331" s="22" t="s">
        <v>664</v>
      </c>
      <c r="C331" s="22" t="s">
        <v>981</v>
      </c>
      <c r="D331" s="22"/>
      <c r="AI331" s="109" t="n">
        <f aca="false">INDEX($F331:$AG331,1,MATCH(AI$7,$F$7:$AG$7,1))</f>
        <v>0</v>
      </c>
      <c r="AJ331" s="109" t="n">
        <f aca="false">INDEX($F331:$AG331,1,MATCH(AJ$7,$F$7:$AG$7,1))</f>
        <v>0</v>
      </c>
      <c r="AK331" s="109" t="n">
        <f aca="false">INDEX($F331:$AG331,1,MATCH(AK$7,$F$7:$AG$7,1))</f>
        <v>0</v>
      </c>
      <c r="AL331" s="109" t="n">
        <f aca="false">INDEX($F331:$AG331,1,MATCH(AL$7,$F$7:$AG$7,1))</f>
        <v>0</v>
      </c>
      <c r="AM331" s="109" t="n">
        <f aca="false">INDEX($F331:$AG331,1,MATCH(AM$7,$F$7:$AG$7,1))</f>
        <v>0</v>
      </c>
      <c r="AN331" s="109" t="n">
        <f aca="false">INDEX($F331:$AG331,1,MATCH(AN$7,$F$7:$AG$7,1))</f>
        <v>0</v>
      </c>
      <c r="AO331" s="109" t="n">
        <f aca="false">INDEX($F331:$AG331,1,MATCH(AO$7,$F$7:$AG$7,1))</f>
        <v>0</v>
      </c>
    </row>
    <row r="332" customFormat="false" ht="15" hidden="false" customHeight="false" outlineLevel="0" collapsed="false">
      <c r="A332" s="107" t="s">
        <v>1437</v>
      </c>
      <c r="B332" s="22" t="s">
        <v>664</v>
      </c>
      <c r="C332" s="22" t="s">
        <v>981</v>
      </c>
      <c r="D332" s="22"/>
      <c r="AI332" s="109" t="n">
        <f aca="false">INDEX($F332:$AG332,1,MATCH(AI$7,$F$7:$AG$7,1))</f>
        <v>0</v>
      </c>
      <c r="AJ332" s="109" t="n">
        <f aca="false">INDEX($F332:$AG332,1,MATCH(AJ$7,$F$7:$AG$7,1))</f>
        <v>0</v>
      </c>
      <c r="AK332" s="109" t="n">
        <f aca="false">INDEX($F332:$AG332,1,MATCH(AK$7,$F$7:$AG$7,1))</f>
        <v>0</v>
      </c>
      <c r="AL332" s="109" t="n">
        <f aca="false">INDEX($F332:$AG332,1,MATCH(AL$7,$F$7:$AG$7,1))</f>
        <v>0</v>
      </c>
      <c r="AM332" s="109" t="n">
        <f aca="false">INDEX($F332:$AG332,1,MATCH(AM$7,$F$7:$AG$7,1))</f>
        <v>0</v>
      </c>
      <c r="AN332" s="109" t="n">
        <f aca="false">INDEX($F332:$AG332,1,MATCH(AN$7,$F$7:$AG$7,1))</f>
        <v>0</v>
      </c>
      <c r="AO332" s="109" t="n">
        <f aca="false">INDEX($F332:$AG332,1,MATCH(AO$7,$F$7:$AG$7,1))</f>
        <v>0</v>
      </c>
    </row>
    <row r="333" customFormat="false" ht="15" hidden="false" customHeight="false" outlineLevel="0" collapsed="false">
      <c r="A333" s="107" t="s">
        <v>1438</v>
      </c>
      <c r="B333" s="22" t="s">
        <v>664</v>
      </c>
      <c r="C333" s="22" t="s">
        <v>981</v>
      </c>
      <c r="D333" s="22"/>
      <c r="AI333" s="109" t="n">
        <f aca="false">INDEX($F333:$AG333,1,MATCH(AI$7,$F$7:$AG$7,1))</f>
        <v>0</v>
      </c>
      <c r="AJ333" s="109" t="n">
        <f aca="false">INDEX($F333:$AG333,1,MATCH(AJ$7,$F$7:$AG$7,1))</f>
        <v>0</v>
      </c>
      <c r="AK333" s="109" t="n">
        <f aca="false">INDEX($F333:$AG333,1,MATCH(AK$7,$F$7:$AG$7,1))</f>
        <v>0</v>
      </c>
      <c r="AL333" s="109" t="n">
        <f aca="false">INDEX($F333:$AG333,1,MATCH(AL$7,$F$7:$AG$7,1))</f>
        <v>0</v>
      </c>
      <c r="AM333" s="109" t="n">
        <f aca="false">INDEX($F333:$AG333,1,MATCH(AM$7,$F$7:$AG$7,1))</f>
        <v>0</v>
      </c>
      <c r="AN333" s="109" t="n">
        <f aca="false">INDEX($F333:$AG333,1,MATCH(AN$7,$F$7:$AG$7,1))</f>
        <v>0</v>
      </c>
      <c r="AO333" s="109" t="n">
        <f aca="false">INDEX($F333:$AG333,1,MATCH(AO$7,$F$7:$AG$7,1))</f>
        <v>0</v>
      </c>
    </row>
    <row r="334" customFormat="false" ht="15" hidden="false" customHeight="false" outlineLevel="0" collapsed="false">
      <c r="A334" s="107" t="s">
        <v>1440</v>
      </c>
      <c r="B334" s="22" t="s">
        <v>664</v>
      </c>
      <c r="C334" s="22" t="s">
        <v>981</v>
      </c>
      <c r="D334" s="22"/>
      <c r="AI334" s="109" t="n">
        <f aca="false">INDEX($F334:$AG334,1,MATCH(AI$7,$F$7:$AG$7,1))</f>
        <v>0</v>
      </c>
      <c r="AJ334" s="109" t="n">
        <f aca="false">INDEX($F334:$AG334,1,MATCH(AJ$7,$F$7:$AG$7,1))</f>
        <v>0</v>
      </c>
      <c r="AK334" s="109" t="n">
        <f aca="false">INDEX($F334:$AG334,1,MATCH(AK$7,$F$7:$AG$7,1))</f>
        <v>0</v>
      </c>
      <c r="AL334" s="109" t="n">
        <f aca="false">INDEX($F334:$AG334,1,MATCH(AL$7,$F$7:$AG$7,1))</f>
        <v>0</v>
      </c>
      <c r="AM334" s="109" t="n">
        <f aca="false">INDEX($F334:$AG334,1,MATCH(AM$7,$F$7:$AG$7,1))</f>
        <v>0</v>
      </c>
      <c r="AN334" s="109" t="n">
        <f aca="false">INDEX($F334:$AG334,1,MATCH(AN$7,$F$7:$AG$7,1))</f>
        <v>0</v>
      </c>
      <c r="AO334" s="109" t="n">
        <f aca="false">INDEX($F334:$AG334,1,MATCH(AO$7,$F$7:$AG$7,1))</f>
        <v>0</v>
      </c>
    </row>
    <row r="335" customFormat="false" ht="15" hidden="false" customHeight="false" outlineLevel="0" collapsed="false">
      <c r="A335" s="107" t="s">
        <v>1443</v>
      </c>
      <c r="B335" s="22" t="s">
        <v>664</v>
      </c>
      <c r="C335" s="22" t="s">
        <v>981</v>
      </c>
      <c r="D335" s="22"/>
      <c r="AI335" s="109" t="n">
        <f aca="false">INDEX($F335:$AG335,1,MATCH(AI$7,$F$7:$AG$7,1))</f>
        <v>0</v>
      </c>
      <c r="AJ335" s="109" t="n">
        <f aca="false">INDEX($F335:$AG335,1,MATCH(AJ$7,$F$7:$AG$7,1))</f>
        <v>0</v>
      </c>
      <c r="AK335" s="109" t="n">
        <f aca="false">INDEX($F335:$AG335,1,MATCH(AK$7,$F$7:$AG$7,1))</f>
        <v>0</v>
      </c>
      <c r="AL335" s="109" t="n">
        <f aca="false">INDEX($F335:$AG335,1,MATCH(AL$7,$F$7:$AG$7,1))</f>
        <v>0</v>
      </c>
      <c r="AM335" s="109" t="n">
        <f aca="false">INDEX($F335:$AG335,1,MATCH(AM$7,$F$7:$AG$7,1))</f>
        <v>0</v>
      </c>
      <c r="AN335" s="109" t="n">
        <f aca="false">INDEX($F335:$AG335,1,MATCH(AN$7,$F$7:$AG$7,1))</f>
        <v>0</v>
      </c>
      <c r="AO335" s="109" t="n">
        <f aca="false">INDEX($F335:$AG335,1,MATCH(AO$7,$F$7:$AG$7,1))</f>
        <v>0</v>
      </c>
    </row>
    <row r="336" customFormat="false" ht="15" hidden="false" customHeight="false" outlineLevel="0" collapsed="false">
      <c r="A336" s="107" t="s">
        <v>1444</v>
      </c>
      <c r="B336" s="22" t="s">
        <v>664</v>
      </c>
      <c r="C336" s="22" t="s">
        <v>981</v>
      </c>
      <c r="D336" s="22"/>
      <c r="AI336" s="109" t="n">
        <f aca="false">INDEX($F336:$AG336,1,MATCH(AI$7,$F$7:$AG$7,1))</f>
        <v>0</v>
      </c>
      <c r="AJ336" s="109" t="n">
        <f aca="false">INDEX($F336:$AG336,1,MATCH(AJ$7,$F$7:$AG$7,1))</f>
        <v>0</v>
      </c>
      <c r="AK336" s="109" t="n">
        <f aca="false">INDEX($F336:$AG336,1,MATCH(AK$7,$F$7:$AG$7,1))</f>
        <v>0</v>
      </c>
      <c r="AL336" s="109" t="n">
        <f aca="false">INDEX($F336:$AG336,1,MATCH(AL$7,$F$7:$AG$7,1))</f>
        <v>0</v>
      </c>
      <c r="AM336" s="109" t="n">
        <f aca="false">INDEX($F336:$AG336,1,MATCH(AM$7,$F$7:$AG$7,1))</f>
        <v>0</v>
      </c>
      <c r="AN336" s="109" t="n">
        <f aca="false">INDEX($F336:$AG336,1,MATCH(AN$7,$F$7:$AG$7,1))</f>
        <v>0</v>
      </c>
      <c r="AO336" s="109" t="n">
        <f aca="false">INDEX($F336:$AG336,1,MATCH(AO$7,$F$7:$AG$7,1))</f>
        <v>0</v>
      </c>
    </row>
    <row r="337" customFormat="false" ht="15" hidden="false" customHeight="false" outlineLevel="0" collapsed="false">
      <c r="A337" s="107" t="s">
        <v>1445</v>
      </c>
      <c r="B337" s="22" t="s">
        <v>664</v>
      </c>
      <c r="C337" s="22" t="s">
        <v>981</v>
      </c>
      <c r="D337" s="22"/>
      <c r="AI337" s="109" t="n">
        <f aca="false">INDEX($F337:$AG337,1,MATCH(AI$7,$F$7:$AG$7,1))</f>
        <v>0</v>
      </c>
      <c r="AJ337" s="109" t="n">
        <f aca="false">INDEX($F337:$AG337,1,MATCH(AJ$7,$F$7:$AG$7,1))</f>
        <v>0</v>
      </c>
      <c r="AK337" s="109" t="n">
        <f aca="false">INDEX($F337:$AG337,1,MATCH(AK$7,$F$7:$AG$7,1))</f>
        <v>0</v>
      </c>
      <c r="AL337" s="109" t="n">
        <f aca="false">INDEX($F337:$AG337,1,MATCH(AL$7,$F$7:$AG$7,1))</f>
        <v>0</v>
      </c>
      <c r="AM337" s="109" t="n">
        <f aca="false">INDEX($F337:$AG337,1,MATCH(AM$7,$F$7:$AG$7,1))</f>
        <v>0</v>
      </c>
      <c r="AN337" s="109" t="n">
        <f aca="false">INDEX($F337:$AG337,1,MATCH(AN$7,$F$7:$AG$7,1))</f>
        <v>0</v>
      </c>
      <c r="AO337" s="109" t="n">
        <f aca="false">INDEX($F337:$AG337,1,MATCH(AO$7,$F$7:$AG$7,1))</f>
        <v>0</v>
      </c>
    </row>
    <row r="338" customFormat="false" ht="15" hidden="false" customHeight="false" outlineLevel="0" collapsed="false">
      <c r="A338" s="107" t="s">
        <v>1446</v>
      </c>
      <c r="B338" s="22" t="s">
        <v>664</v>
      </c>
      <c r="C338" s="22" t="s">
        <v>981</v>
      </c>
      <c r="D338" s="22"/>
      <c r="AI338" s="109" t="n">
        <f aca="false">INDEX($F338:$AG338,1,MATCH(AI$7,$F$7:$AG$7,1))</f>
        <v>0</v>
      </c>
      <c r="AJ338" s="109" t="n">
        <f aca="false">INDEX($F338:$AG338,1,MATCH(AJ$7,$F$7:$AG$7,1))</f>
        <v>0</v>
      </c>
      <c r="AK338" s="109" t="n">
        <f aca="false">INDEX($F338:$AG338,1,MATCH(AK$7,$F$7:$AG$7,1))</f>
        <v>0</v>
      </c>
      <c r="AL338" s="109" t="n">
        <f aca="false">INDEX($F338:$AG338,1,MATCH(AL$7,$F$7:$AG$7,1))</f>
        <v>0</v>
      </c>
      <c r="AM338" s="109" t="n">
        <f aca="false">INDEX($F338:$AG338,1,MATCH(AM$7,$F$7:$AG$7,1))</f>
        <v>0</v>
      </c>
      <c r="AN338" s="109" t="n">
        <f aca="false">INDEX($F338:$AG338,1,MATCH(AN$7,$F$7:$AG$7,1))</f>
        <v>0</v>
      </c>
      <c r="AO338" s="109" t="n">
        <f aca="false">INDEX($F338:$AG338,1,MATCH(AO$7,$F$7:$AG$7,1))</f>
        <v>0</v>
      </c>
    </row>
    <row r="339" customFormat="false" ht="15" hidden="false" customHeight="false" outlineLevel="0" collapsed="false">
      <c r="A339" s="107" t="s">
        <v>1448</v>
      </c>
      <c r="B339" s="22" t="s">
        <v>664</v>
      </c>
      <c r="C339" s="22" t="s">
        <v>981</v>
      </c>
      <c r="D339" s="22"/>
      <c r="AI339" s="109" t="n">
        <f aca="false">INDEX($F339:$AG339,1,MATCH(AI$7,$F$7:$AG$7,1))</f>
        <v>0</v>
      </c>
      <c r="AJ339" s="109" t="n">
        <f aca="false">INDEX($F339:$AG339,1,MATCH(AJ$7,$F$7:$AG$7,1))</f>
        <v>0</v>
      </c>
      <c r="AK339" s="109" t="n">
        <f aca="false">INDEX($F339:$AG339,1,MATCH(AK$7,$F$7:$AG$7,1))</f>
        <v>0</v>
      </c>
      <c r="AL339" s="109" t="n">
        <f aca="false">INDEX($F339:$AG339,1,MATCH(AL$7,$F$7:$AG$7,1))</f>
        <v>0</v>
      </c>
      <c r="AM339" s="109" t="n">
        <f aca="false">INDEX($F339:$AG339,1,MATCH(AM$7,$F$7:$AG$7,1))</f>
        <v>0</v>
      </c>
      <c r="AN339" s="109" t="n">
        <f aca="false">INDEX($F339:$AG339,1,MATCH(AN$7,$F$7:$AG$7,1))</f>
        <v>0</v>
      </c>
      <c r="AO339" s="109" t="n">
        <f aca="false">INDEX($F339:$AG339,1,MATCH(AO$7,$F$7:$AG$7,1))</f>
        <v>0</v>
      </c>
    </row>
    <row r="340" customFormat="false" ht="15" hidden="false" customHeight="false" outlineLevel="0" collapsed="false">
      <c r="A340" s="107" t="s">
        <v>1450</v>
      </c>
      <c r="B340" s="22" t="s">
        <v>664</v>
      </c>
      <c r="C340" s="22" t="s">
        <v>981</v>
      </c>
      <c r="D340" s="22"/>
      <c r="AI340" s="109" t="n">
        <f aca="false">INDEX($F340:$AG340,1,MATCH(AI$7,$F$7:$AG$7,1))</f>
        <v>0</v>
      </c>
      <c r="AJ340" s="109" t="n">
        <f aca="false">INDEX($F340:$AG340,1,MATCH(AJ$7,$F$7:$AG$7,1))</f>
        <v>0</v>
      </c>
      <c r="AK340" s="109" t="n">
        <f aca="false">INDEX($F340:$AG340,1,MATCH(AK$7,$F$7:$AG$7,1))</f>
        <v>0</v>
      </c>
      <c r="AL340" s="109" t="n">
        <f aca="false">INDEX($F340:$AG340,1,MATCH(AL$7,$F$7:$AG$7,1))</f>
        <v>0</v>
      </c>
      <c r="AM340" s="109" t="n">
        <f aca="false">INDEX($F340:$AG340,1,MATCH(AM$7,$F$7:$AG$7,1))</f>
        <v>0</v>
      </c>
      <c r="AN340" s="109" t="n">
        <f aca="false">INDEX($F340:$AG340,1,MATCH(AN$7,$F$7:$AG$7,1))</f>
        <v>0</v>
      </c>
      <c r="AO340" s="109" t="n">
        <f aca="false">INDEX($F340:$AG340,1,MATCH(AO$7,$F$7:$AG$7,1))</f>
        <v>0</v>
      </c>
    </row>
    <row r="341" customFormat="false" ht="15" hidden="false" customHeight="false" outlineLevel="0" collapsed="false">
      <c r="A341" s="107" t="s">
        <v>1451</v>
      </c>
      <c r="B341" s="22" t="s">
        <v>664</v>
      </c>
      <c r="C341" s="22" t="s">
        <v>981</v>
      </c>
      <c r="D341" s="22"/>
      <c r="AI341" s="109" t="n">
        <f aca="false">INDEX($F341:$AG341,1,MATCH(AI$7,$F$7:$AG$7,1))</f>
        <v>0</v>
      </c>
      <c r="AJ341" s="109" t="n">
        <f aca="false">INDEX($F341:$AG341,1,MATCH(AJ$7,$F$7:$AG$7,1))</f>
        <v>0</v>
      </c>
      <c r="AK341" s="109" t="n">
        <f aca="false">INDEX($F341:$AG341,1,MATCH(AK$7,$F$7:$AG$7,1))</f>
        <v>0</v>
      </c>
      <c r="AL341" s="109" t="n">
        <f aca="false">INDEX($F341:$AG341,1,MATCH(AL$7,$F$7:$AG$7,1))</f>
        <v>0</v>
      </c>
      <c r="AM341" s="109" t="n">
        <f aca="false">INDEX($F341:$AG341,1,MATCH(AM$7,$F$7:$AG$7,1))</f>
        <v>0</v>
      </c>
      <c r="AN341" s="109" t="n">
        <f aca="false">INDEX($F341:$AG341,1,MATCH(AN$7,$F$7:$AG$7,1))</f>
        <v>0</v>
      </c>
      <c r="AO341" s="109" t="n">
        <f aca="false">INDEX($F341:$AG341,1,MATCH(AO$7,$F$7:$AG$7,1))</f>
        <v>0</v>
      </c>
    </row>
    <row r="342" customFormat="false" ht="15" hidden="false" customHeight="false" outlineLevel="0" collapsed="false">
      <c r="A342" s="107" t="s">
        <v>1453</v>
      </c>
      <c r="B342" s="22" t="s">
        <v>664</v>
      </c>
      <c r="C342" s="22" t="s">
        <v>981</v>
      </c>
      <c r="D342" s="22"/>
      <c r="AI342" s="109" t="n">
        <f aca="false">INDEX($F342:$AG342,1,MATCH(AI$7,$F$7:$AG$7,1))</f>
        <v>0</v>
      </c>
      <c r="AJ342" s="109" t="n">
        <f aca="false">INDEX($F342:$AG342,1,MATCH(AJ$7,$F$7:$AG$7,1))</f>
        <v>0</v>
      </c>
      <c r="AK342" s="109" t="n">
        <f aca="false">INDEX($F342:$AG342,1,MATCH(AK$7,$F$7:$AG$7,1))</f>
        <v>0</v>
      </c>
      <c r="AL342" s="109" t="n">
        <f aca="false">INDEX($F342:$AG342,1,MATCH(AL$7,$F$7:$AG$7,1))</f>
        <v>0</v>
      </c>
      <c r="AM342" s="109" t="n">
        <f aca="false">INDEX($F342:$AG342,1,MATCH(AM$7,$F$7:$AG$7,1))</f>
        <v>0</v>
      </c>
      <c r="AN342" s="109" t="n">
        <f aca="false">INDEX($F342:$AG342,1,MATCH(AN$7,$F$7:$AG$7,1))</f>
        <v>0</v>
      </c>
      <c r="AO342" s="109" t="n">
        <f aca="false">INDEX($F342:$AG342,1,MATCH(AO$7,$F$7:$AG$7,1))</f>
        <v>0</v>
      </c>
    </row>
    <row r="343" customFormat="false" ht="15" hidden="false" customHeight="false" outlineLevel="0" collapsed="false">
      <c r="A343" s="107" t="s">
        <v>1454</v>
      </c>
      <c r="B343" s="22" t="s">
        <v>664</v>
      </c>
      <c r="C343" s="22" t="s">
        <v>981</v>
      </c>
      <c r="D343" s="22"/>
      <c r="AI343" s="109" t="n">
        <f aca="false">INDEX($F343:$AG343,1,MATCH(AI$7,$F$7:$AG$7,1))</f>
        <v>0</v>
      </c>
      <c r="AJ343" s="109" t="n">
        <f aca="false">INDEX($F343:$AG343,1,MATCH(AJ$7,$F$7:$AG$7,1))</f>
        <v>0</v>
      </c>
      <c r="AK343" s="109" t="n">
        <f aca="false">INDEX($F343:$AG343,1,MATCH(AK$7,$F$7:$AG$7,1))</f>
        <v>0</v>
      </c>
      <c r="AL343" s="109" t="n">
        <f aca="false">INDEX($F343:$AG343,1,MATCH(AL$7,$F$7:$AG$7,1))</f>
        <v>0</v>
      </c>
      <c r="AM343" s="109" t="n">
        <f aca="false">INDEX($F343:$AG343,1,MATCH(AM$7,$F$7:$AG$7,1))</f>
        <v>0</v>
      </c>
      <c r="AN343" s="109" t="n">
        <f aca="false">INDEX($F343:$AG343,1,MATCH(AN$7,$F$7:$AG$7,1))</f>
        <v>0</v>
      </c>
      <c r="AO343" s="109" t="n">
        <f aca="false">INDEX($F343:$AG343,1,MATCH(AO$7,$F$7:$AG$7,1))</f>
        <v>0</v>
      </c>
    </row>
    <row r="344" customFormat="false" ht="15" hidden="false" customHeight="false" outlineLevel="0" collapsed="false">
      <c r="A344" s="107" t="s">
        <v>1455</v>
      </c>
      <c r="B344" s="22" t="s">
        <v>664</v>
      </c>
      <c r="C344" s="22" t="s">
        <v>981</v>
      </c>
      <c r="D344" s="22"/>
      <c r="AI344" s="109" t="n">
        <f aca="false">INDEX($F344:$AG344,1,MATCH(AI$7,$F$7:$AG$7,1))</f>
        <v>0</v>
      </c>
      <c r="AJ344" s="109" t="n">
        <f aca="false">INDEX($F344:$AG344,1,MATCH(AJ$7,$F$7:$AG$7,1))</f>
        <v>0</v>
      </c>
      <c r="AK344" s="109" t="n">
        <f aca="false">INDEX($F344:$AG344,1,MATCH(AK$7,$F$7:$AG$7,1))</f>
        <v>0</v>
      </c>
      <c r="AL344" s="109" t="n">
        <f aca="false">INDEX($F344:$AG344,1,MATCH(AL$7,$F$7:$AG$7,1))</f>
        <v>0</v>
      </c>
      <c r="AM344" s="109" t="n">
        <f aca="false">INDEX($F344:$AG344,1,MATCH(AM$7,$F$7:$AG$7,1))</f>
        <v>0</v>
      </c>
      <c r="AN344" s="109" t="n">
        <f aca="false">INDEX($F344:$AG344,1,MATCH(AN$7,$F$7:$AG$7,1))</f>
        <v>0</v>
      </c>
      <c r="AO344" s="109" t="n">
        <f aca="false">INDEX($F344:$AG344,1,MATCH(AO$7,$F$7:$AG$7,1))</f>
        <v>0</v>
      </c>
    </row>
    <row r="345" customFormat="false" ht="15" hidden="false" customHeight="false" outlineLevel="0" collapsed="false">
      <c r="A345" s="107" t="s">
        <v>1457</v>
      </c>
      <c r="B345" s="22" t="s">
        <v>664</v>
      </c>
      <c r="C345" s="22" t="s">
        <v>981</v>
      </c>
      <c r="D345" s="22"/>
      <c r="AI345" s="109" t="n">
        <f aca="false">INDEX($F345:$AG345,1,MATCH(AI$7,$F$7:$AG$7,1))</f>
        <v>0</v>
      </c>
      <c r="AJ345" s="109" t="n">
        <f aca="false">INDEX($F345:$AG345,1,MATCH(AJ$7,$F$7:$AG$7,1))</f>
        <v>0</v>
      </c>
      <c r="AK345" s="109" t="n">
        <f aca="false">INDEX($F345:$AG345,1,MATCH(AK$7,$F$7:$AG$7,1))</f>
        <v>0</v>
      </c>
      <c r="AL345" s="109" t="n">
        <f aca="false">INDEX($F345:$AG345,1,MATCH(AL$7,$F$7:$AG$7,1))</f>
        <v>0</v>
      </c>
      <c r="AM345" s="109" t="n">
        <f aca="false">INDEX($F345:$AG345,1,MATCH(AM$7,$F$7:$AG$7,1))</f>
        <v>0</v>
      </c>
      <c r="AN345" s="109" t="n">
        <f aca="false">INDEX($F345:$AG345,1,MATCH(AN$7,$F$7:$AG$7,1))</f>
        <v>0</v>
      </c>
      <c r="AO345" s="109" t="n">
        <f aca="false">INDEX($F345:$AG345,1,MATCH(AO$7,$F$7:$AG$7,1))</f>
        <v>0</v>
      </c>
    </row>
    <row r="346" customFormat="false" ht="15" hidden="false" customHeight="false" outlineLevel="0" collapsed="false">
      <c r="A346" s="107" t="s">
        <v>1458</v>
      </c>
      <c r="B346" s="22" t="s">
        <v>664</v>
      </c>
      <c r="C346" s="22" t="s">
        <v>981</v>
      </c>
      <c r="D346" s="22"/>
      <c r="AI346" s="109" t="n">
        <f aca="false">INDEX($F346:$AG346,1,MATCH(AI$7,$F$7:$AG$7,1))</f>
        <v>0</v>
      </c>
      <c r="AJ346" s="109" t="n">
        <f aca="false">INDEX($F346:$AG346,1,MATCH(AJ$7,$F$7:$AG$7,1))</f>
        <v>0</v>
      </c>
      <c r="AK346" s="109" t="n">
        <f aca="false">INDEX($F346:$AG346,1,MATCH(AK$7,$F$7:$AG$7,1))</f>
        <v>0</v>
      </c>
      <c r="AL346" s="109" t="n">
        <f aca="false">INDEX($F346:$AG346,1,MATCH(AL$7,$F$7:$AG$7,1))</f>
        <v>0</v>
      </c>
      <c r="AM346" s="109" t="n">
        <f aca="false">INDEX($F346:$AG346,1,MATCH(AM$7,$F$7:$AG$7,1))</f>
        <v>0</v>
      </c>
      <c r="AN346" s="109" t="n">
        <f aca="false">INDEX($F346:$AG346,1,MATCH(AN$7,$F$7:$AG$7,1))</f>
        <v>0</v>
      </c>
      <c r="AO346" s="109" t="n">
        <f aca="false">INDEX($F346:$AG346,1,MATCH(AO$7,$F$7:$AG$7,1))</f>
        <v>0</v>
      </c>
    </row>
    <row r="347" customFormat="false" ht="15" hidden="false" customHeight="false" outlineLevel="0" collapsed="false">
      <c r="A347" s="107" t="s">
        <v>1459</v>
      </c>
      <c r="B347" s="22" t="s">
        <v>664</v>
      </c>
      <c r="C347" s="22" t="s">
        <v>981</v>
      </c>
      <c r="D347" s="22"/>
      <c r="AI347" s="109" t="n">
        <f aca="false">INDEX($F347:$AG347,1,MATCH(AI$7,$F$7:$AG$7,1))</f>
        <v>0</v>
      </c>
      <c r="AJ347" s="109" t="n">
        <f aca="false">INDEX($F347:$AG347,1,MATCH(AJ$7,$F$7:$AG$7,1))</f>
        <v>0</v>
      </c>
      <c r="AK347" s="109" t="n">
        <f aca="false">INDEX($F347:$AG347,1,MATCH(AK$7,$F$7:$AG$7,1))</f>
        <v>0</v>
      </c>
      <c r="AL347" s="109" t="n">
        <f aca="false">INDEX($F347:$AG347,1,MATCH(AL$7,$F$7:$AG$7,1))</f>
        <v>0</v>
      </c>
      <c r="AM347" s="109" t="n">
        <f aca="false">INDEX($F347:$AG347,1,MATCH(AM$7,$F$7:$AG$7,1))</f>
        <v>0</v>
      </c>
      <c r="AN347" s="109" t="n">
        <f aca="false">INDEX($F347:$AG347,1,MATCH(AN$7,$F$7:$AG$7,1))</f>
        <v>0</v>
      </c>
      <c r="AO347" s="109" t="n">
        <f aca="false">INDEX($F347:$AG347,1,MATCH(AO$7,$F$7:$AG$7,1))</f>
        <v>0</v>
      </c>
    </row>
    <row r="348" customFormat="false" ht="15" hidden="false" customHeight="false" outlineLevel="0" collapsed="false">
      <c r="A348" s="107" t="s">
        <v>1460</v>
      </c>
      <c r="B348" s="22" t="s">
        <v>664</v>
      </c>
      <c r="C348" s="22" t="s">
        <v>981</v>
      </c>
      <c r="D348" s="22"/>
      <c r="AI348" s="109" t="n">
        <f aca="false">INDEX($F348:$AG348,1,MATCH(AI$7,$F$7:$AG$7,1))</f>
        <v>0</v>
      </c>
      <c r="AJ348" s="109" t="n">
        <f aca="false">INDEX($F348:$AG348,1,MATCH(AJ$7,$F$7:$AG$7,1))</f>
        <v>0</v>
      </c>
      <c r="AK348" s="109" t="n">
        <f aca="false">INDEX($F348:$AG348,1,MATCH(AK$7,$F$7:$AG$7,1))</f>
        <v>0</v>
      </c>
      <c r="AL348" s="109" t="n">
        <f aca="false">INDEX($F348:$AG348,1,MATCH(AL$7,$F$7:$AG$7,1))</f>
        <v>0</v>
      </c>
      <c r="AM348" s="109" t="n">
        <f aca="false">INDEX($F348:$AG348,1,MATCH(AM$7,$F$7:$AG$7,1))</f>
        <v>0</v>
      </c>
      <c r="AN348" s="109" t="n">
        <f aca="false">INDEX($F348:$AG348,1,MATCH(AN$7,$F$7:$AG$7,1))</f>
        <v>0</v>
      </c>
      <c r="AO348" s="109" t="n">
        <f aca="false">INDEX($F348:$AG348,1,MATCH(AO$7,$F$7:$AG$7,1))</f>
        <v>0</v>
      </c>
    </row>
    <row r="349" customFormat="false" ht="15" hidden="false" customHeight="false" outlineLevel="0" collapsed="false">
      <c r="A349" s="107" t="s">
        <v>1461</v>
      </c>
      <c r="B349" s="22" t="s">
        <v>664</v>
      </c>
      <c r="C349" s="22" t="s">
        <v>981</v>
      </c>
      <c r="D349" s="22"/>
      <c r="AI349" s="109" t="n">
        <f aca="false">INDEX($F349:$AG349,1,MATCH(AI$7,$F$7:$AG$7,1))</f>
        <v>0</v>
      </c>
      <c r="AJ349" s="109" t="n">
        <f aca="false">INDEX($F349:$AG349,1,MATCH(AJ$7,$F$7:$AG$7,1))</f>
        <v>0</v>
      </c>
      <c r="AK349" s="109" t="n">
        <f aca="false">INDEX($F349:$AG349,1,MATCH(AK$7,$F$7:$AG$7,1))</f>
        <v>0</v>
      </c>
      <c r="AL349" s="109" t="n">
        <f aca="false">INDEX($F349:$AG349,1,MATCH(AL$7,$F$7:$AG$7,1))</f>
        <v>0</v>
      </c>
      <c r="AM349" s="109" t="n">
        <f aca="false">INDEX($F349:$AG349,1,MATCH(AM$7,$F$7:$AG$7,1))</f>
        <v>0</v>
      </c>
      <c r="AN349" s="109" t="n">
        <f aca="false">INDEX($F349:$AG349,1,MATCH(AN$7,$F$7:$AG$7,1))</f>
        <v>0</v>
      </c>
      <c r="AO349" s="109" t="n">
        <f aca="false">INDEX($F349:$AG349,1,MATCH(AO$7,$F$7:$AG$7,1))</f>
        <v>0</v>
      </c>
    </row>
    <row r="350" customFormat="false" ht="15" hidden="false" customHeight="false" outlineLevel="0" collapsed="false">
      <c r="A350" s="107" t="s">
        <v>1463</v>
      </c>
      <c r="B350" s="22" t="s">
        <v>664</v>
      </c>
      <c r="C350" s="22" t="s">
        <v>981</v>
      </c>
      <c r="D350" s="22"/>
      <c r="AI350" s="109" t="n">
        <f aca="false">INDEX($F350:$AG350,1,MATCH(AI$7,$F$7:$AG$7,1))</f>
        <v>0</v>
      </c>
      <c r="AJ350" s="109" t="n">
        <f aca="false">INDEX($F350:$AG350,1,MATCH(AJ$7,$F$7:$AG$7,1))</f>
        <v>0</v>
      </c>
      <c r="AK350" s="109" t="n">
        <f aca="false">INDEX($F350:$AG350,1,MATCH(AK$7,$F$7:$AG$7,1))</f>
        <v>0</v>
      </c>
      <c r="AL350" s="109" t="n">
        <f aca="false">INDEX($F350:$AG350,1,MATCH(AL$7,$F$7:$AG$7,1))</f>
        <v>0</v>
      </c>
      <c r="AM350" s="109" t="n">
        <f aca="false">INDEX($F350:$AG350,1,MATCH(AM$7,$F$7:$AG$7,1))</f>
        <v>0</v>
      </c>
      <c r="AN350" s="109" t="n">
        <f aca="false">INDEX($F350:$AG350,1,MATCH(AN$7,$F$7:$AG$7,1))</f>
        <v>0</v>
      </c>
      <c r="AO350" s="109" t="n">
        <f aca="false">INDEX($F350:$AG350,1,MATCH(AO$7,$F$7:$AG$7,1))</f>
        <v>0</v>
      </c>
    </row>
    <row r="351" customFormat="false" ht="15" hidden="false" customHeight="false" outlineLevel="0" collapsed="false">
      <c r="A351" s="107" t="s">
        <v>1464</v>
      </c>
      <c r="B351" s="22" t="s">
        <v>664</v>
      </c>
      <c r="C351" s="22" t="s">
        <v>981</v>
      </c>
      <c r="D351" s="22"/>
      <c r="AI351" s="109" t="n">
        <f aca="false">INDEX($F351:$AG351,1,MATCH(AI$7,$F$7:$AG$7,1))</f>
        <v>0</v>
      </c>
      <c r="AJ351" s="109" t="n">
        <f aca="false">INDEX($F351:$AG351,1,MATCH(AJ$7,$F$7:$AG$7,1))</f>
        <v>0</v>
      </c>
      <c r="AK351" s="109" t="n">
        <f aca="false">INDEX($F351:$AG351,1,MATCH(AK$7,$F$7:$AG$7,1))</f>
        <v>0</v>
      </c>
      <c r="AL351" s="109" t="n">
        <f aca="false">INDEX($F351:$AG351,1,MATCH(AL$7,$F$7:$AG$7,1))</f>
        <v>0</v>
      </c>
      <c r="AM351" s="109" t="n">
        <f aca="false">INDEX($F351:$AG351,1,MATCH(AM$7,$F$7:$AG$7,1))</f>
        <v>0</v>
      </c>
      <c r="AN351" s="109" t="n">
        <f aca="false">INDEX($F351:$AG351,1,MATCH(AN$7,$F$7:$AG$7,1))</f>
        <v>0</v>
      </c>
      <c r="AO351" s="109" t="n">
        <f aca="false">INDEX($F351:$AG351,1,MATCH(AO$7,$F$7:$AG$7,1))</f>
        <v>0</v>
      </c>
    </row>
    <row r="352" customFormat="false" ht="15" hidden="false" customHeight="false" outlineLevel="0" collapsed="false">
      <c r="A352" s="107" t="s">
        <v>1466</v>
      </c>
      <c r="B352" s="22" t="s">
        <v>664</v>
      </c>
      <c r="C352" s="22" t="s">
        <v>981</v>
      </c>
      <c r="D352" s="22"/>
      <c r="AI352" s="109" t="n">
        <f aca="false">INDEX($F352:$AG352,1,MATCH(AI$7,$F$7:$AG$7,1))</f>
        <v>0</v>
      </c>
      <c r="AJ352" s="109" t="n">
        <f aca="false">INDEX($F352:$AG352,1,MATCH(AJ$7,$F$7:$AG$7,1))</f>
        <v>0</v>
      </c>
      <c r="AK352" s="109" t="n">
        <f aca="false">INDEX($F352:$AG352,1,MATCH(AK$7,$F$7:$AG$7,1))</f>
        <v>0</v>
      </c>
      <c r="AL352" s="109" t="n">
        <f aca="false">INDEX($F352:$AG352,1,MATCH(AL$7,$F$7:$AG$7,1))</f>
        <v>0</v>
      </c>
      <c r="AM352" s="109" t="n">
        <f aca="false">INDEX($F352:$AG352,1,MATCH(AM$7,$F$7:$AG$7,1))</f>
        <v>0</v>
      </c>
      <c r="AN352" s="109" t="n">
        <f aca="false">INDEX($F352:$AG352,1,MATCH(AN$7,$F$7:$AG$7,1))</f>
        <v>0</v>
      </c>
      <c r="AO352" s="109" t="n">
        <f aca="false">INDEX($F352:$AG352,1,MATCH(AO$7,$F$7:$AG$7,1))</f>
        <v>0</v>
      </c>
    </row>
    <row r="353" customFormat="false" ht="15" hidden="false" customHeight="false" outlineLevel="0" collapsed="false">
      <c r="A353" s="107" t="s">
        <v>1467</v>
      </c>
      <c r="B353" s="22" t="s">
        <v>664</v>
      </c>
      <c r="C353" s="22" t="s">
        <v>981</v>
      </c>
      <c r="D353" s="22"/>
      <c r="AI353" s="109" t="n">
        <f aca="false">INDEX($F353:$AG353,1,MATCH(AI$7,$F$7:$AG$7,1))</f>
        <v>0</v>
      </c>
      <c r="AJ353" s="109" t="n">
        <f aca="false">INDEX($F353:$AG353,1,MATCH(AJ$7,$F$7:$AG$7,1))</f>
        <v>0</v>
      </c>
      <c r="AK353" s="109" t="n">
        <f aca="false">INDEX($F353:$AG353,1,MATCH(AK$7,$F$7:$AG$7,1))</f>
        <v>0</v>
      </c>
      <c r="AL353" s="109" t="n">
        <f aca="false">INDEX($F353:$AG353,1,MATCH(AL$7,$F$7:$AG$7,1))</f>
        <v>0</v>
      </c>
      <c r="AM353" s="109" t="n">
        <f aca="false">INDEX($F353:$AG353,1,MATCH(AM$7,$F$7:$AG$7,1))</f>
        <v>0</v>
      </c>
      <c r="AN353" s="109" t="n">
        <f aca="false">INDEX($F353:$AG353,1,MATCH(AN$7,$F$7:$AG$7,1))</f>
        <v>0</v>
      </c>
      <c r="AO353" s="109" t="n">
        <f aca="false">INDEX($F353:$AG353,1,MATCH(AO$7,$F$7:$AG$7,1))</f>
        <v>0</v>
      </c>
    </row>
    <row r="354" customFormat="false" ht="15" hidden="false" customHeight="false" outlineLevel="0" collapsed="false">
      <c r="A354" s="107" t="s">
        <v>1469</v>
      </c>
      <c r="B354" s="22" t="s">
        <v>664</v>
      </c>
      <c r="C354" s="22" t="s">
        <v>981</v>
      </c>
      <c r="D354" s="22"/>
      <c r="AI354" s="109" t="n">
        <f aca="false">INDEX($F354:$AG354,1,MATCH(AI$7,$F$7:$AG$7,1))</f>
        <v>0</v>
      </c>
      <c r="AJ354" s="109" t="n">
        <f aca="false">INDEX($F354:$AG354,1,MATCH(AJ$7,$F$7:$AG$7,1))</f>
        <v>0</v>
      </c>
      <c r="AK354" s="109" t="n">
        <f aca="false">INDEX($F354:$AG354,1,MATCH(AK$7,$F$7:$AG$7,1))</f>
        <v>0</v>
      </c>
      <c r="AL354" s="109" t="n">
        <f aca="false">INDEX($F354:$AG354,1,MATCH(AL$7,$F$7:$AG$7,1))</f>
        <v>0</v>
      </c>
      <c r="AM354" s="109" t="n">
        <f aca="false">INDEX($F354:$AG354,1,MATCH(AM$7,$F$7:$AG$7,1))</f>
        <v>0</v>
      </c>
      <c r="AN354" s="109" t="n">
        <f aca="false">INDEX($F354:$AG354,1,MATCH(AN$7,$F$7:$AG$7,1))</f>
        <v>0</v>
      </c>
      <c r="AO354" s="109" t="n">
        <f aca="false">INDEX($F354:$AG354,1,MATCH(AO$7,$F$7:$AG$7,1))</f>
        <v>0</v>
      </c>
    </row>
    <row r="355" customFormat="false" ht="15" hidden="false" customHeight="false" outlineLevel="0" collapsed="false">
      <c r="A355" s="107" t="s">
        <v>1704</v>
      </c>
      <c r="B355" s="22" t="s">
        <v>664</v>
      </c>
      <c r="C355" s="22" t="s">
        <v>981</v>
      </c>
      <c r="D355" s="22" t="s">
        <v>1722</v>
      </c>
      <c r="E355" s="0" t="s">
        <v>1426</v>
      </c>
      <c r="F355" s="108" t="n">
        <v>8.5</v>
      </c>
      <c r="G355" s="108" t="n">
        <v>10.8</v>
      </c>
      <c r="H355" s="108" t="n">
        <v>24</v>
      </c>
      <c r="I355" s="108" t="n">
        <v>26.3</v>
      </c>
      <c r="J355" s="108" t="n">
        <v>38</v>
      </c>
      <c r="K355" s="108" t="n">
        <v>78.5</v>
      </c>
      <c r="L355" s="108" t="n">
        <v>109.1</v>
      </c>
      <c r="M355" s="113" t="n">
        <v>170</v>
      </c>
      <c r="N355" s="108" t="n">
        <v>291.7</v>
      </c>
      <c r="O355" s="108" t="n">
        <v>413.3</v>
      </c>
      <c r="P355" s="108" t="n">
        <v>650</v>
      </c>
      <c r="Q355" s="108" t="n">
        <v>900</v>
      </c>
      <c r="R355" s="108" t="n">
        <v>1125</v>
      </c>
      <c r="S355" s="108" t="n">
        <v>1350</v>
      </c>
      <c r="T355" s="108" t="n">
        <v>1575</v>
      </c>
      <c r="U355" s="108" t="n">
        <v>1800</v>
      </c>
      <c r="V355" s="108" t="n">
        <v>2050</v>
      </c>
      <c r="W355" s="108" t="n">
        <v>2300</v>
      </c>
      <c r="X355" s="108" t="n">
        <v>2550</v>
      </c>
      <c r="Y355" s="108" t="n">
        <v>2800</v>
      </c>
      <c r="Z355" s="108" t="n">
        <v>3050</v>
      </c>
      <c r="AA355" s="108" t="n">
        <v>3300</v>
      </c>
      <c r="AB355" s="108" t="n">
        <v>3550</v>
      </c>
      <c r="AC355" s="108" t="n">
        <v>3800</v>
      </c>
      <c r="AD355" s="108" t="n">
        <v>4050</v>
      </c>
      <c r="AE355" s="108" t="n">
        <v>4300</v>
      </c>
      <c r="AF355" s="108" t="n">
        <v>4550</v>
      </c>
      <c r="AG355" s="108" t="n">
        <v>4800</v>
      </c>
      <c r="AI355" s="109" t="n">
        <f aca="false">INDEX($F355:$AG355,1,MATCH(AI$7,$F$7:$AG$7,1))</f>
        <v>26.3</v>
      </c>
      <c r="AJ355" s="109" t="n">
        <f aca="false">INDEX($F355:$AG355,1,MATCH(AJ$7,$F$7:$AG$7,1))</f>
        <v>170</v>
      </c>
      <c r="AK355" s="109" t="n">
        <f aca="false">INDEX($F355:$AG355,1,MATCH(AK$7,$F$7:$AG$7,1))</f>
        <v>900</v>
      </c>
      <c r="AL355" s="109" t="n">
        <f aca="false">INDEX($F355:$AG355,1,MATCH(AL$7,$F$7:$AG$7,1))</f>
        <v>1800</v>
      </c>
      <c r="AM355" s="109" t="n">
        <f aca="false">INDEX($F355:$AG355,1,MATCH(AM$7,$F$7:$AG$7,1))</f>
        <v>2800</v>
      </c>
      <c r="AN355" s="109" t="n">
        <f aca="false">INDEX($F355:$AG355,1,MATCH(AN$7,$F$7:$AG$7,1))</f>
        <v>3800</v>
      </c>
      <c r="AO355" s="109" t="n">
        <f aca="false">INDEX($F355:$AG355,1,MATCH(AO$7,$F$7:$AG$7,1))</f>
        <v>4800</v>
      </c>
    </row>
    <row r="356" customFormat="false" ht="15" hidden="false" customHeight="false" outlineLevel="0" collapsed="false">
      <c r="A356" s="107" t="s">
        <v>1698</v>
      </c>
      <c r="B356" s="22" t="s">
        <v>664</v>
      </c>
      <c r="C356" s="22" t="s">
        <v>540</v>
      </c>
      <c r="D356" s="22" t="s">
        <v>1699</v>
      </c>
      <c r="F356" s="112" t="n">
        <f aca="false">MAX(0,N(F355)*1-SUMPRODUCT(F330:F354,$F$12:$F$36))</f>
        <v>8.5</v>
      </c>
      <c r="G356" s="112" t="n">
        <f aca="false">MAX(0,N(G355)*1-SUMPRODUCT(G330:G354,$F$12:$F$36))</f>
        <v>10.8</v>
      </c>
      <c r="H356" s="112" t="n">
        <f aca="false">MAX(0,N(H355)*1-SUMPRODUCT(H330:H354,$F$12:$F$36))</f>
        <v>24</v>
      </c>
      <c r="I356" s="112" t="n">
        <f aca="false">MAX(0,N(I355)*1-SUMPRODUCT(I330:I354,$F$12:$F$36))</f>
        <v>26.3</v>
      </c>
      <c r="J356" s="112" t="n">
        <f aca="false">MAX(0,N(J355)*1-SUMPRODUCT(J330:J354,$F$12:$F$36))</f>
        <v>38</v>
      </c>
      <c r="K356" s="112" t="n">
        <f aca="false">MAX(0,N(K355)*1-SUMPRODUCT(K330:K354,$F$12:$F$36))</f>
        <v>78.5</v>
      </c>
      <c r="L356" s="112" t="n">
        <f aca="false">MAX(0,N(L355)*1-SUMPRODUCT(L330:L354,$F$12:$F$36))</f>
        <v>109.1</v>
      </c>
      <c r="M356" s="112" t="n">
        <f aca="false">MAX(0,N(M355)*1-SUMPRODUCT(M330:M354,$F$12:$F$36))</f>
        <v>170</v>
      </c>
      <c r="N356" s="112" t="n">
        <f aca="false">MAX(0,N(N355)*1-SUMPRODUCT(N330:N354,$F$12:$F$36))</f>
        <v>291.7</v>
      </c>
      <c r="O356" s="112" t="n">
        <f aca="false">MAX(0,N(O355)*1-SUMPRODUCT(O330:O354,$F$12:$F$36))</f>
        <v>413.3</v>
      </c>
      <c r="P356" s="109" t="n">
        <f aca="false">MAX(0,N(P355)*1-SUMPRODUCT(P330:P354,$F$12:$F$36))</f>
        <v>650</v>
      </c>
      <c r="Q356" s="109" t="n">
        <f aca="false">MAX(0,N(Q355)*1-SUMPRODUCT(Q330:Q354,$F$12:$F$36))</f>
        <v>900</v>
      </c>
      <c r="R356" s="109" t="n">
        <f aca="false">MAX(0,N(R355)*1-SUMPRODUCT(R330:R354,$F$12:$F$36))</f>
        <v>1125</v>
      </c>
      <c r="S356" s="109" t="n">
        <f aca="false">MAX(0,N(S355)*1-SUMPRODUCT(S330:S354,$F$12:$F$36))</f>
        <v>1350</v>
      </c>
      <c r="T356" s="109" t="n">
        <f aca="false">MAX(0,N(T355)*1-SUMPRODUCT(T330:T354,$F$12:$F$36))</f>
        <v>1575</v>
      </c>
      <c r="U356" s="109" t="n">
        <f aca="false">MAX(0,N(U355)*1-SUMPRODUCT(U330:U354,$F$12:$F$36))</f>
        <v>1800</v>
      </c>
      <c r="V356" s="109" t="n">
        <f aca="false">MAX(0,N(V355)*1-SUMPRODUCT(V330:V354,$F$12:$F$36))</f>
        <v>2050</v>
      </c>
      <c r="W356" s="109" t="n">
        <f aca="false">MAX(0,N(W355)*1-SUMPRODUCT(W330:W354,$F$12:$F$36))</f>
        <v>2300</v>
      </c>
      <c r="X356" s="109" t="n">
        <f aca="false">MAX(0,N(X355)*1-SUMPRODUCT(X330:X354,$F$12:$F$36))</f>
        <v>2550</v>
      </c>
      <c r="Y356" s="109" t="n">
        <f aca="false">MAX(0,N(Y355)*1-SUMPRODUCT(Y330:Y354,$F$12:$F$36))</f>
        <v>2800</v>
      </c>
      <c r="Z356" s="109" t="n">
        <f aca="false">MAX(0,N(Z355)*1-SUMPRODUCT(Z330:Z354,$F$12:$F$36))</f>
        <v>3050</v>
      </c>
      <c r="AA356" s="109" t="n">
        <f aca="false">MAX(0,N(AA355)*1-SUMPRODUCT(AA330:AA354,$F$12:$F$36))</f>
        <v>3300</v>
      </c>
      <c r="AB356" s="109" t="n">
        <f aca="false">MAX(0,N(AB355)*1-SUMPRODUCT(AB330:AB354,$F$12:$F$36))</f>
        <v>3550</v>
      </c>
      <c r="AC356" s="109" t="n">
        <f aca="false">MAX(0,N(AC355)*1-SUMPRODUCT(AC330:AC354,$F$12:$F$36))</f>
        <v>3800</v>
      </c>
      <c r="AD356" s="109" t="n">
        <f aca="false">MAX(0,N(AD355)*1-SUMPRODUCT(AD330:AD354,$F$12:$F$36))</f>
        <v>4050</v>
      </c>
      <c r="AE356" s="109" t="n">
        <f aca="false">MAX(0,N(AE355)*1-SUMPRODUCT(AE330:AE354,$F$12:$F$36))</f>
        <v>4300</v>
      </c>
      <c r="AF356" s="109" t="n">
        <f aca="false">MAX(0,N(AF355)*1-SUMPRODUCT(AF330:AF354,$F$12:$F$36))</f>
        <v>4550</v>
      </c>
      <c r="AG356" s="109" t="n">
        <f aca="false">MAX(0,N(AG355)*1-SUMPRODUCT(AG330:AG354,$F$12:$F$36))</f>
        <v>4800</v>
      </c>
      <c r="AI356" s="109" t="n">
        <f aca="false">INDEX($F356:$AG356,1,MATCH(AI$7,$F$7:$AG$7,1))</f>
        <v>26.3</v>
      </c>
      <c r="AJ356" s="109" t="n">
        <f aca="false">INDEX($F356:$AG356,1,MATCH(AJ$7,$F$7:$AG$7,1))</f>
        <v>170</v>
      </c>
      <c r="AK356" s="109" t="n">
        <f aca="false">INDEX($F356:$AG356,1,MATCH(AK$7,$F$7:$AG$7,1))</f>
        <v>900</v>
      </c>
      <c r="AL356" s="109" t="n">
        <f aca="false">INDEX($F356:$AG356,1,MATCH(AL$7,$F$7:$AG$7,1))</f>
        <v>1800</v>
      </c>
      <c r="AM356" s="109" t="n">
        <f aca="false">INDEX($F356:$AG356,1,MATCH(AM$7,$F$7:$AG$7,1))</f>
        <v>2800</v>
      </c>
      <c r="AN356" s="109" t="n">
        <f aca="false">INDEX($F356:$AG356,1,MATCH(AN$7,$F$7:$AG$7,1))</f>
        <v>3800</v>
      </c>
      <c r="AO356" s="109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1723</v>
      </c>
      <c r="B357" s="22" t="s">
        <v>664</v>
      </c>
      <c r="C357" s="22" t="s">
        <v>540</v>
      </c>
      <c r="D357" s="22" t="s">
        <v>1701</v>
      </c>
      <c r="F357" s="114" t="n">
        <f aca="false">SUMPRODUCT(F330:F354,$F$12:$F$36)+F356</f>
        <v>8.5</v>
      </c>
      <c r="G357" s="114" t="n">
        <f aca="false">SUMPRODUCT(G330:G354,$F$12:$F$36)+G356</f>
        <v>10.8</v>
      </c>
      <c r="H357" s="114" t="n">
        <f aca="false">SUMPRODUCT(H330:H354,$F$12:$F$36)+H356</f>
        <v>24</v>
      </c>
      <c r="I357" s="114" t="n">
        <f aca="false">SUMPRODUCT(I330:I354,$F$12:$F$36)+I356</f>
        <v>26.3</v>
      </c>
      <c r="J357" s="114" t="n">
        <f aca="false">SUMPRODUCT(J330:J354,$F$12:$F$36)+J356</f>
        <v>38</v>
      </c>
      <c r="K357" s="114" t="n">
        <f aca="false">SUMPRODUCT(K330:K354,$F$12:$F$36)+K356</f>
        <v>78.5</v>
      </c>
      <c r="L357" s="114" t="n">
        <f aca="false">SUMPRODUCT(L330:L354,$F$12:$F$36)+L356</f>
        <v>109.1</v>
      </c>
      <c r="M357" s="114" t="n">
        <f aca="false">SUMPRODUCT(M330:M354,$F$12:$F$36)+M356</f>
        <v>170</v>
      </c>
      <c r="N357" s="114" t="n">
        <f aca="false">SUMPRODUCT(N330:N354,$F$12:$F$36)+N356</f>
        <v>291.7</v>
      </c>
      <c r="O357" s="114" t="n">
        <f aca="false">SUMPRODUCT(O330:O354,$F$12:$F$36)+O356</f>
        <v>413.3</v>
      </c>
      <c r="P357" s="115" t="n">
        <f aca="false">SUMPRODUCT(P330:P354,$F$12:$F$36)+P356</f>
        <v>650</v>
      </c>
      <c r="Q357" s="115" t="n">
        <f aca="false">SUMPRODUCT(Q330:Q354,$F$12:$F$36)+Q356</f>
        <v>900</v>
      </c>
      <c r="R357" s="115" t="n">
        <f aca="false">SUMPRODUCT(R330:R354,$F$12:$F$36)+R356</f>
        <v>1125</v>
      </c>
      <c r="S357" s="115" t="n">
        <f aca="false">SUMPRODUCT(S330:S354,$F$12:$F$36)+S356</f>
        <v>1350</v>
      </c>
      <c r="T357" s="115" t="n">
        <f aca="false">SUMPRODUCT(T330:T354,$F$12:$F$36)+T356</f>
        <v>1575</v>
      </c>
      <c r="U357" s="115" t="n">
        <f aca="false">SUMPRODUCT(U330:U354,$F$12:$F$36)+U356</f>
        <v>1800</v>
      </c>
      <c r="V357" s="115" t="n">
        <f aca="false">SUMPRODUCT(V330:V354,$F$12:$F$36)+V356</f>
        <v>2050</v>
      </c>
      <c r="W357" s="115" t="n">
        <f aca="false">SUMPRODUCT(W330:W354,$F$12:$F$36)+W356</f>
        <v>2300</v>
      </c>
      <c r="X357" s="115" t="n">
        <f aca="false">SUMPRODUCT(X330:X354,$F$12:$F$36)+X356</f>
        <v>2550</v>
      </c>
      <c r="Y357" s="115" t="n">
        <f aca="false">SUMPRODUCT(Y330:Y354,$F$12:$F$36)+Y356</f>
        <v>2800</v>
      </c>
      <c r="Z357" s="115" t="n">
        <f aca="false">SUMPRODUCT(Z330:Z354,$F$12:$F$36)+Z356</f>
        <v>3050</v>
      </c>
      <c r="AA357" s="115" t="n">
        <f aca="false">SUMPRODUCT(AA330:AA354,$F$12:$F$36)+AA356</f>
        <v>3300</v>
      </c>
      <c r="AB357" s="115" t="n">
        <f aca="false">SUMPRODUCT(AB330:AB354,$F$12:$F$36)+AB356</f>
        <v>3550</v>
      </c>
      <c r="AC357" s="115" t="n">
        <f aca="false">SUMPRODUCT(AC330:AC354,$F$12:$F$36)+AC356</f>
        <v>3800</v>
      </c>
      <c r="AD357" s="115" t="n">
        <f aca="false">SUMPRODUCT(AD330:AD354,$F$12:$F$36)+AD356</f>
        <v>4050</v>
      </c>
      <c r="AE357" s="115" t="n">
        <f aca="false">SUMPRODUCT(AE330:AE354,$F$12:$F$36)+AE356</f>
        <v>4300</v>
      </c>
      <c r="AF357" s="115" t="n">
        <f aca="false">SUMPRODUCT(AF330:AF354,$F$12:$F$36)+AF356</f>
        <v>4550</v>
      </c>
      <c r="AG357" s="115" t="n">
        <f aca="false">SUMPRODUCT(AG330:AG354,$F$12:$F$36)+AG356</f>
        <v>4800</v>
      </c>
      <c r="AI357" s="115" t="n">
        <f aca="false">INDEX($F357:$AG357,1,MATCH(AI$7,$F$7:$AG$7,1))</f>
        <v>26.3</v>
      </c>
      <c r="AJ357" s="115" t="n">
        <f aca="false">INDEX($F357:$AG357,1,MATCH(AJ$7,$F$7:$AG$7,1))</f>
        <v>170</v>
      </c>
      <c r="AK357" s="115" t="n">
        <f aca="false">INDEX($F357:$AG357,1,MATCH(AK$7,$F$7:$AG$7,1))</f>
        <v>900</v>
      </c>
      <c r="AL357" s="115" t="n">
        <f aca="false">INDEX($F357:$AG357,1,MATCH(AL$7,$F$7:$AG$7,1))</f>
        <v>1800</v>
      </c>
      <c r="AM357" s="115" t="n">
        <f aca="false">INDEX($F357:$AG357,1,MATCH(AM$7,$F$7:$AG$7,1))</f>
        <v>2800</v>
      </c>
      <c r="AN357" s="115" t="n">
        <f aca="false">INDEX($F357:$AG357,1,MATCH(AN$7,$F$7:$AG$7,1))</f>
        <v>3800</v>
      </c>
      <c r="AO357" s="115" t="n">
        <f aca="false">INDEX($F357:$AG357,1,MATCH(AO$7,$F$7:$AG$7,1))</f>
        <v>4800</v>
      </c>
    </row>
    <row r="358" customFormat="false" ht="15" hidden="false" customHeight="false" outlineLevel="0" collapsed="false">
      <c r="A358" s="107" t="s">
        <v>1724</v>
      </c>
      <c r="B358" s="22" t="s">
        <v>664</v>
      </c>
      <c r="C358" s="22" t="s">
        <v>540</v>
      </c>
      <c r="D358" s="22"/>
      <c r="F358" s="112" t="n">
        <f aca="false">SUMPRODUCT(F330:F354,$F$12:$F$36,$G$12:$G$36)+F356*INDEX(OwnedSh,1,F$7-FYBase)</f>
        <v>2.55</v>
      </c>
      <c r="G358" s="112" t="n">
        <f aca="false">SUMPRODUCT(G330:G354,$F$12:$F$36,$G$12:$G$36)+G356*INDEX(OwnedSh,1,G$7-FYBase)</f>
        <v>3.24</v>
      </c>
      <c r="H358" s="112" t="n">
        <f aca="false">SUMPRODUCT(H330:H354,$F$12:$F$36,$G$12:$G$36)+H356*INDEX(OwnedSh,1,H$7-FYBase)</f>
        <v>7.2</v>
      </c>
      <c r="I358" s="112" t="n">
        <f aca="false">SUMPRODUCT(I330:I354,$F$12:$F$36,$G$12:$G$36)+I356*INDEX(OwnedSh,1,I$7-FYBase)</f>
        <v>7.89</v>
      </c>
      <c r="J358" s="112" t="n">
        <f aca="false">SUMPRODUCT(J330:J354,$F$12:$F$36,$G$12:$G$36)+J356*INDEX(OwnedSh,1,J$7-FYBase)</f>
        <v>11.4</v>
      </c>
      <c r="K358" s="112" t="n">
        <f aca="false">SUMPRODUCT(K330:K354,$F$12:$F$36,$G$12:$G$36)+K356*INDEX(OwnedSh,1,K$7-FYBase)</f>
        <v>23.55</v>
      </c>
      <c r="L358" s="112" t="n">
        <f aca="false">SUMPRODUCT(L330:L354,$F$12:$F$36,$G$12:$G$36)+L356*INDEX(OwnedSh,1,L$7-FYBase)</f>
        <v>32.73</v>
      </c>
      <c r="M358" s="112" t="n">
        <f aca="false">SUMPRODUCT(M330:M354,$F$12:$F$36,$G$12:$G$36)+M356*INDEX(OwnedSh,1,M$7-FYBase)</f>
        <v>51</v>
      </c>
      <c r="N358" s="112" t="n">
        <f aca="false">SUMPRODUCT(N330:N354,$F$12:$F$36,$G$12:$G$36)+N356*INDEX(OwnedSh,1,N$7-FYBase)</f>
        <v>87.51</v>
      </c>
      <c r="O358" s="112" t="n">
        <f aca="false">SUMPRODUCT(O330:O354,$F$12:$F$36,$G$12:$G$36)+O356*INDEX(OwnedSh,1,O$7-FYBase)</f>
        <v>123.99</v>
      </c>
      <c r="P358" s="109" t="n">
        <f aca="false">SUMPRODUCT(P330:P354,$F$12:$F$36,$G$12:$G$36)+P356*INDEX(OwnedSh,1,P$7-FYBase)</f>
        <v>195</v>
      </c>
      <c r="Q358" s="109" t="n">
        <f aca="false">SUMPRODUCT(Q330:Q354,$F$12:$F$36,$G$12:$G$36)+Q356*INDEX(OwnedSh,1,Q$7-FYBase)</f>
        <v>270</v>
      </c>
      <c r="R358" s="109" t="n">
        <f aca="false">SUMPRODUCT(R330:R354,$F$12:$F$36,$G$12:$G$36)+R356*INDEX(OwnedSh,1,R$7-FYBase)</f>
        <v>562.5</v>
      </c>
      <c r="S358" s="109" t="n">
        <f aca="false">SUMPRODUCT(S330:S354,$F$12:$F$36,$G$12:$G$36)+S356*INDEX(OwnedSh,1,S$7-FYBase)</f>
        <v>675</v>
      </c>
      <c r="T358" s="109" t="n">
        <f aca="false">SUMPRODUCT(T330:T354,$F$12:$F$36,$G$12:$G$36)+T356*INDEX(OwnedSh,1,T$7-FYBase)</f>
        <v>787.5</v>
      </c>
      <c r="U358" s="109" t="n">
        <f aca="false">SUMPRODUCT(U330:U354,$F$12:$F$36,$G$12:$G$36)+U356*INDEX(OwnedSh,1,U$7-FYBase)</f>
        <v>900</v>
      </c>
      <c r="V358" s="109" t="n">
        <f aca="false">SUMPRODUCT(V330:V354,$F$12:$F$36,$G$12:$G$36)+V356*INDEX(OwnedSh,1,V$7-FYBase)</f>
        <v>1332.5</v>
      </c>
      <c r="W358" s="109" t="n">
        <f aca="false">SUMPRODUCT(W330:W354,$F$12:$F$36,$G$12:$G$36)+W356*INDEX(OwnedSh,1,W$7-FYBase)</f>
        <v>1495</v>
      </c>
      <c r="X358" s="109" t="n">
        <f aca="false">SUMPRODUCT(X330:X354,$F$12:$F$36,$G$12:$G$36)+X356*INDEX(OwnedSh,1,X$7-FYBase)</f>
        <v>1657.5</v>
      </c>
      <c r="Y358" s="109" t="n">
        <f aca="false">SUMPRODUCT(Y330:Y354,$F$12:$F$36,$G$12:$G$36)+Y356*INDEX(OwnedSh,1,Y$7-FYBase)</f>
        <v>1820</v>
      </c>
      <c r="Z358" s="109" t="n">
        <f aca="false">SUMPRODUCT(Z330:Z354,$F$12:$F$36,$G$12:$G$36)+Z356*INDEX(OwnedSh,1,Z$7-FYBase)</f>
        <v>2135</v>
      </c>
      <c r="AA358" s="109" t="n">
        <f aca="false">SUMPRODUCT(AA330:AA354,$F$12:$F$36,$G$12:$G$36)+AA356*INDEX(OwnedSh,1,AA$7-FYBase)</f>
        <v>2310</v>
      </c>
      <c r="AB358" s="109" t="n">
        <f aca="false">SUMPRODUCT(AB330:AB354,$F$12:$F$36,$G$12:$G$36)+AB356*INDEX(OwnedSh,1,AB$7-FYBase)</f>
        <v>2485</v>
      </c>
      <c r="AC358" s="109" t="n">
        <f aca="false">SUMPRODUCT(AC330:AC354,$F$12:$F$36,$G$12:$G$36)+AC356*INDEX(OwnedSh,1,AC$7-FYBase)</f>
        <v>2660</v>
      </c>
      <c r="AD358" s="109" t="n">
        <f aca="false">SUMPRODUCT(AD330:AD354,$F$12:$F$36,$G$12:$G$36)+AD356*INDEX(OwnedSh,1,AD$7-FYBase)</f>
        <v>3037.5</v>
      </c>
      <c r="AE358" s="109" t="n">
        <f aca="false">SUMPRODUCT(AE330:AE354,$F$12:$F$36,$G$12:$G$36)+AE356*INDEX(OwnedSh,1,AE$7-FYBase)</f>
        <v>3225</v>
      </c>
      <c r="AF358" s="109" t="n">
        <f aca="false">SUMPRODUCT(AF330:AF354,$F$12:$F$36,$G$12:$G$36)+AF356*INDEX(OwnedSh,1,AF$7-FYBase)</f>
        <v>3412.5</v>
      </c>
      <c r="AG358" s="109" t="n">
        <f aca="false">SUMPRODUCT(AG330:AG354,$F$12:$F$36,$G$12:$G$36)+AG356*INDEX(OwnedSh,1,AG$7-FYBase)</f>
        <v>3600</v>
      </c>
      <c r="AI358" s="109" t="n">
        <f aca="false">INDEX($F358:$AG358,1,MATCH(AI$7,$F$7:$AG$7,1))</f>
        <v>7.89</v>
      </c>
      <c r="AJ358" s="109" t="n">
        <f aca="false">INDEX($F358:$AG358,1,MATCH(AJ$7,$F$7:$AG$7,1))</f>
        <v>51</v>
      </c>
      <c r="AK358" s="109" t="n">
        <f aca="false">INDEX($F358:$AG358,1,MATCH(AK$7,$F$7:$AG$7,1))</f>
        <v>270</v>
      </c>
      <c r="AL358" s="109" t="n">
        <f aca="false">INDEX($F358:$AG358,1,MATCH(AL$7,$F$7:$AG$7,1))</f>
        <v>900</v>
      </c>
      <c r="AM358" s="109" t="n">
        <f aca="false">INDEX($F358:$AG358,1,MATCH(AM$7,$F$7:$AG$7,1))</f>
        <v>1820</v>
      </c>
      <c r="AN358" s="109" t="n">
        <f aca="false">INDEX($F358:$AG358,1,MATCH(AN$7,$F$7:$AG$7,1))</f>
        <v>2660</v>
      </c>
      <c r="AO358" s="109" t="n">
        <f aca="false">INDEX($F358:$AG358,1,MATCH(AO$7,$F$7:$AG$7,1))</f>
        <v>3600</v>
      </c>
    </row>
    <row r="360" customFormat="false" ht="15" hidden="false" customHeight="false" outlineLevel="0" collapsed="false">
      <c r="A360" s="58" t="s">
        <v>1725</v>
      </c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</row>
    <row r="361" customFormat="false" ht="15" hidden="false" customHeight="false" outlineLevel="0" collapsed="false">
      <c r="A361" s="107" t="s">
        <v>1726</v>
      </c>
      <c r="B361" s="22" t="s">
        <v>763</v>
      </c>
      <c r="C361" s="22" t="s">
        <v>558</v>
      </c>
      <c r="D361" s="22" t="s">
        <v>1727</v>
      </c>
      <c r="F361" s="74" t="n">
        <v>13713</v>
      </c>
      <c r="G361" s="74" t="n">
        <v>13713</v>
      </c>
      <c r="H361" s="74" t="n">
        <v>13713</v>
      </c>
      <c r="I361" s="74" t="n">
        <v>16456</v>
      </c>
      <c r="J361" s="74" t="n">
        <v>21941</v>
      </c>
      <c r="K361" s="74" t="n">
        <v>24684</v>
      </c>
      <c r="L361" s="74" t="n">
        <v>24684</v>
      </c>
      <c r="M361" s="74" t="n">
        <v>24684</v>
      </c>
      <c r="N361" s="74" t="n">
        <v>24684</v>
      </c>
      <c r="O361" s="74" t="n">
        <v>24684</v>
      </c>
      <c r="P361" s="74" t="n">
        <v>24684</v>
      </c>
      <c r="Q361" s="74" t="n">
        <v>24684</v>
      </c>
      <c r="R361" s="74" t="n">
        <v>24684</v>
      </c>
      <c r="S361" s="74" t="n">
        <v>24684</v>
      </c>
      <c r="T361" s="74" t="n">
        <v>24684</v>
      </c>
      <c r="U361" s="74" t="n">
        <v>24684</v>
      </c>
      <c r="V361" s="74" t="n">
        <v>24684</v>
      </c>
      <c r="W361" s="74" t="n">
        <v>24684</v>
      </c>
      <c r="X361" s="74" t="n">
        <v>24684</v>
      </c>
      <c r="Y361" s="74" t="n">
        <v>24684</v>
      </c>
      <c r="Z361" s="74" t="n">
        <v>24684</v>
      </c>
      <c r="AA361" s="74" t="n">
        <v>24684</v>
      </c>
      <c r="AB361" s="74" t="n">
        <v>24684</v>
      </c>
      <c r="AC361" s="74" t="n">
        <v>24684</v>
      </c>
      <c r="AD361" s="74" t="n">
        <v>24684</v>
      </c>
      <c r="AE361" s="74" t="n">
        <v>24684</v>
      </c>
      <c r="AF361" s="74" t="n">
        <v>24684</v>
      </c>
      <c r="AG361" s="74" t="n">
        <v>24684</v>
      </c>
      <c r="AI361" s="33" t="n">
        <f aca="false">INDEX($F361:$AG361,1,MATCH(AI$7,$F$7:$AG$7,1))</f>
        <v>16456</v>
      </c>
      <c r="AJ361" s="33" t="n">
        <f aca="false">INDEX($F361:$AG361,1,MATCH(AJ$7,$F$7:$AG$7,1))</f>
        <v>24684</v>
      </c>
      <c r="AK361" s="33" t="n">
        <f aca="false">INDEX($F361:$AG361,1,MATCH(AK$7,$F$7:$AG$7,1))</f>
        <v>24684</v>
      </c>
      <c r="AL361" s="33" t="n">
        <f aca="false">INDEX($F361:$AG361,1,MATCH(AL$7,$F$7:$AG$7,1))</f>
        <v>24684</v>
      </c>
      <c r="AM361" s="33" t="n">
        <f aca="false">INDEX($F361:$AG361,1,MATCH(AM$7,$F$7:$AG$7,1))</f>
        <v>24684</v>
      </c>
      <c r="AN361" s="33" t="n">
        <f aca="false">INDEX($F361:$AG361,1,MATCH(AN$7,$F$7:$AG$7,1))</f>
        <v>24684</v>
      </c>
      <c r="AO361" s="33" t="n">
        <f aca="false">INDEX($F361:$AG361,1,MATCH(AO$7,$F$7:$AG$7,1))</f>
        <v>24684</v>
      </c>
    </row>
    <row r="362" customFormat="false" ht="15" hidden="false" customHeight="false" outlineLevel="0" collapsed="false">
      <c r="A362" s="107" t="s">
        <v>1728</v>
      </c>
      <c r="B362" s="22" t="s">
        <v>763</v>
      </c>
      <c r="C362" s="22" t="s">
        <v>558</v>
      </c>
      <c r="D362" s="22" t="s">
        <v>1729</v>
      </c>
      <c r="F362" s="74" t="n">
        <v>13713</v>
      </c>
      <c r="G362" s="74" t="n">
        <v>13713</v>
      </c>
      <c r="H362" s="74" t="n">
        <v>13713</v>
      </c>
      <c r="I362" s="74" t="n">
        <v>16456</v>
      </c>
      <c r="J362" s="74" t="n">
        <v>27426</v>
      </c>
      <c r="K362" s="74" t="n">
        <v>27426</v>
      </c>
      <c r="L362" s="74" t="n">
        <v>27426</v>
      </c>
      <c r="M362" s="74" t="n">
        <v>27426</v>
      </c>
      <c r="N362" s="74" t="n">
        <v>27426</v>
      </c>
      <c r="O362" s="74" t="n">
        <v>27426</v>
      </c>
      <c r="P362" s="74" t="n">
        <v>27426</v>
      </c>
      <c r="Q362" s="74" t="n">
        <v>27426</v>
      </c>
      <c r="R362" s="74" t="n">
        <v>27426</v>
      </c>
      <c r="S362" s="74" t="n">
        <v>27426</v>
      </c>
      <c r="T362" s="74" t="n">
        <v>27426</v>
      </c>
      <c r="U362" s="74" t="n">
        <v>27426</v>
      </c>
      <c r="V362" s="74" t="n">
        <v>27426</v>
      </c>
      <c r="W362" s="74" t="n">
        <v>27426</v>
      </c>
      <c r="X362" s="74" t="n">
        <v>27426</v>
      </c>
      <c r="Y362" s="74" t="n">
        <v>27426</v>
      </c>
      <c r="Z362" s="74" t="n">
        <v>27426</v>
      </c>
      <c r="AA362" s="74" t="n">
        <v>27426</v>
      </c>
      <c r="AB362" s="74" t="n">
        <v>27426</v>
      </c>
      <c r="AC362" s="74" t="n">
        <v>27426</v>
      </c>
      <c r="AD362" s="74" t="n">
        <v>27426</v>
      </c>
      <c r="AE362" s="74" t="n">
        <v>27426</v>
      </c>
      <c r="AF362" s="74" t="n">
        <v>27426</v>
      </c>
      <c r="AG362" s="74" t="n">
        <v>27426</v>
      </c>
      <c r="AI362" s="33" t="n">
        <f aca="false">INDEX($F362:$AG362,1,MATCH(AI$7,$F$7:$AG$7,1))</f>
        <v>16456</v>
      </c>
      <c r="AJ362" s="33" t="n">
        <f aca="false">INDEX($F362:$AG362,1,MATCH(AJ$7,$F$7:$AG$7,1))</f>
        <v>27426</v>
      </c>
      <c r="AK362" s="33" t="n">
        <f aca="false">INDEX($F362:$AG362,1,MATCH(AK$7,$F$7:$AG$7,1))</f>
        <v>27426</v>
      </c>
      <c r="AL362" s="33" t="n">
        <f aca="false">INDEX($F362:$AG362,1,MATCH(AL$7,$F$7:$AG$7,1))</f>
        <v>27426</v>
      </c>
      <c r="AM362" s="33" t="n">
        <f aca="false">INDEX($F362:$AG362,1,MATCH(AM$7,$F$7:$AG$7,1))</f>
        <v>27426</v>
      </c>
      <c r="AN362" s="33" t="n">
        <f aca="false">INDEX($F362:$AG362,1,MATCH(AN$7,$F$7:$AG$7,1))</f>
        <v>27426</v>
      </c>
      <c r="AO362" s="33" t="n">
        <f aca="false">INDEX($F362:$AG362,1,MATCH(AO$7,$F$7:$AG$7,1))</f>
        <v>27426</v>
      </c>
    </row>
    <row r="363" customFormat="false" ht="15" hidden="false" customHeight="false" outlineLevel="0" collapsed="false">
      <c r="A363" s="107" t="s">
        <v>1730</v>
      </c>
      <c r="B363" s="22" t="s">
        <v>763</v>
      </c>
      <c r="C363" s="22" t="s">
        <v>540</v>
      </c>
      <c r="D363" s="22"/>
      <c r="F363" s="33" t="n">
        <f aca="false">IF(CapV=2,F362,F361)</f>
        <v>13713</v>
      </c>
      <c r="G363" s="33" t="n">
        <f aca="false">IF(CapV=2,G362,G361)</f>
        <v>13713</v>
      </c>
      <c r="H363" s="33" t="n">
        <f aca="false">IF(CapV=2,H362,H361)</f>
        <v>13713</v>
      </c>
      <c r="I363" s="33" t="n">
        <f aca="false">IF(CapV=2,I362,I361)</f>
        <v>16456</v>
      </c>
      <c r="J363" s="33" t="n">
        <f aca="false">IF(CapV=2,J362,J361)</f>
        <v>27426</v>
      </c>
      <c r="K363" s="33" t="n">
        <f aca="false">IF(CapV=2,K362,K361)</f>
        <v>27426</v>
      </c>
      <c r="L363" s="33" t="n">
        <f aca="false">IF(CapV=2,L362,L361)</f>
        <v>27426</v>
      </c>
      <c r="M363" s="33" t="n">
        <f aca="false">IF(CapV=2,M362,M361)</f>
        <v>27426</v>
      </c>
      <c r="N363" s="33" t="n">
        <f aca="false">IF(CapV=2,N362,N361)</f>
        <v>27426</v>
      </c>
      <c r="O363" s="33" t="n">
        <f aca="false">IF(CapV=2,O362,O361)</f>
        <v>27426</v>
      </c>
      <c r="P363" s="33" t="n">
        <f aca="false">IF(CapV=2,P362,P361)</f>
        <v>27426</v>
      </c>
      <c r="Q363" s="33" t="n">
        <f aca="false">IF(CapV=2,Q362,Q361)</f>
        <v>27426</v>
      </c>
      <c r="R363" s="33" t="n">
        <f aca="false">IF(CapV=2,R362,R361)</f>
        <v>27426</v>
      </c>
      <c r="S363" s="33" t="n">
        <f aca="false">IF(CapV=2,S362,S361)</f>
        <v>27426</v>
      </c>
      <c r="T363" s="33" t="n">
        <f aca="false">IF(CapV=2,T362,T361)</f>
        <v>27426</v>
      </c>
      <c r="U363" s="33" t="n">
        <f aca="false">IF(CapV=2,U362,U361)</f>
        <v>27426</v>
      </c>
      <c r="V363" s="33" t="n">
        <f aca="false">IF(CapV=2,V362,V361)</f>
        <v>27426</v>
      </c>
      <c r="W363" s="33" t="n">
        <f aca="false">IF(CapV=2,W362,W361)</f>
        <v>27426</v>
      </c>
      <c r="X363" s="33" t="n">
        <f aca="false">IF(CapV=2,X362,X361)</f>
        <v>27426</v>
      </c>
      <c r="Y363" s="33" t="n">
        <f aca="false">IF(CapV=2,Y362,Y361)</f>
        <v>27426</v>
      </c>
      <c r="Z363" s="33" t="n">
        <f aca="false">IF(CapV=2,Z362,Z361)</f>
        <v>27426</v>
      </c>
      <c r="AA363" s="33" t="n">
        <f aca="false">IF(CapV=2,AA362,AA361)</f>
        <v>27426</v>
      </c>
      <c r="AB363" s="33" t="n">
        <f aca="false">IF(CapV=2,AB362,AB361)</f>
        <v>27426</v>
      </c>
      <c r="AC363" s="33" t="n">
        <f aca="false">IF(CapV=2,AC362,AC361)</f>
        <v>27426</v>
      </c>
      <c r="AD363" s="33" t="n">
        <f aca="false">IF(CapV=2,AD362,AD361)</f>
        <v>27426</v>
      </c>
      <c r="AE363" s="33" t="n">
        <f aca="false">IF(CapV=2,AE362,AE361)</f>
        <v>27426</v>
      </c>
      <c r="AF363" s="33" t="n">
        <f aca="false">IF(CapV=2,AF362,AF361)</f>
        <v>27426</v>
      </c>
      <c r="AG363" s="33" t="n">
        <f aca="false">IF(CapV=2,AG362,AG361)</f>
        <v>27426</v>
      </c>
      <c r="AI363" s="33" t="n">
        <f aca="false">INDEX($F363:$AG363,1,MATCH(AI$7,$F$7:$AG$7,1))</f>
        <v>16456</v>
      </c>
      <c r="AJ363" s="33" t="n">
        <f aca="false">INDEX($F363:$AG363,1,MATCH(AJ$7,$F$7:$AG$7,1))</f>
        <v>27426</v>
      </c>
      <c r="AK363" s="33" t="n">
        <f aca="false">INDEX($F363:$AG363,1,MATCH(AK$7,$F$7:$AG$7,1))</f>
        <v>27426</v>
      </c>
      <c r="AL363" s="33" t="n">
        <f aca="false">INDEX($F363:$AG363,1,MATCH(AL$7,$F$7:$AG$7,1))</f>
        <v>27426</v>
      </c>
      <c r="AM363" s="33" t="n">
        <f aca="false">INDEX($F363:$AG363,1,MATCH(AM$7,$F$7:$AG$7,1))</f>
        <v>27426</v>
      </c>
      <c r="AN363" s="33" t="n">
        <f aca="false">INDEX($F363:$AG363,1,MATCH(AN$7,$F$7:$AG$7,1))</f>
        <v>27426</v>
      </c>
      <c r="AO363" s="33" t="n">
        <f aca="false">INDEX($F363:$AG363,1,MATCH(AO$7,$F$7:$AG$7,1))</f>
        <v>27426</v>
      </c>
    </row>
    <row r="364" customFormat="false" ht="15" hidden="false" customHeight="false" outlineLevel="0" collapsed="false">
      <c r="A364" s="107" t="s">
        <v>1731</v>
      </c>
      <c r="B364" s="22" t="s">
        <v>763</v>
      </c>
      <c r="C364" s="22" t="s">
        <v>558</v>
      </c>
      <c r="D364" s="22" t="s">
        <v>1727</v>
      </c>
      <c r="F364" s="74" t="n">
        <v>0</v>
      </c>
      <c r="G364" s="74" t="n">
        <v>0</v>
      </c>
      <c r="H364" s="74" t="n">
        <v>0</v>
      </c>
      <c r="I364" s="74" t="n">
        <v>0</v>
      </c>
      <c r="J364" s="74" t="n">
        <v>0</v>
      </c>
      <c r="K364" s="74" t="n">
        <v>0</v>
      </c>
      <c r="L364" s="74" t="n">
        <v>7072</v>
      </c>
      <c r="M364" s="74" t="n">
        <v>44327</v>
      </c>
      <c r="N364" s="74" t="n">
        <v>54995</v>
      </c>
      <c r="O364" s="74" t="n">
        <v>55732</v>
      </c>
      <c r="P364" s="74" t="n">
        <v>71888</v>
      </c>
      <c r="Q364" s="74" t="n">
        <v>112655</v>
      </c>
      <c r="R364" s="74" t="n">
        <v>167529</v>
      </c>
      <c r="S364" s="74" t="n">
        <v>219513</v>
      </c>
      <c r="T364" s="74" t="n">
        <v>244725</v>
      </c>
      <c r="U364" s="74" t="n">
        <v>290387</v>
      </c>
      <c r="V364" s="74" t="n">
        <v>290387</v>
      </c>
      <c r="W364" s="74" t="n">
        <v>290387</v>
      </c>
      <c r="X364" s="74" t="n">
        <v>290387</v>
      </c>
      <c r="Y364" s="74" t="n">
        <v>314945</v>
      </c>
      <c r="Z364" s="74" t="n">
        <v>314945</v>
      </c>
      <c r="AA364" s="74" t="n">
        <v>314945</v>
      </c>
      <c r="AB364" s="74" t="n">
        <v>314945</v>
      </c>
      <c r="AC364" s="74" t="n">
        <v>314945</v>
      </c>
      <c r="AD364" s="74" t="n">
        <v>314945</v>
      </c>
      <c r="AE364" s="74" t="n">
        <v>314945</v>
      </c>
      <c r="AF364" s="74" t="n">
        <v>314945</v>
      </c>
      <c r="AG364" s="74" t="n">
        <v>314945</v>
      </c>
      <c r="AI364" s="33" t="n">
        <f aca="false">INDEX($F364:$AG364,1,MATCH(AI$7,$F$7:$AG$7,1))</f>
        <v>0</v>
      </c>
      <c r="AJ364" s="33" t="n">
        <f aca="false">INDEX($F364:$AG364,1,MATCH(AJ$7,$F$7:$AG$7,1))</f>
        <v>44327</v>
      </c>
      <c r="AK364" s="33" t="n">
        <f aca="false">INDEX($F364:$AG364,1,MATCH(AK$7,$F$7:$AG$7,1))</f>
        <v>112655</v>
      </c>
      <c r="AL364" s="33" t="n">
        <f aca="false">INDEX($F364:$AG364,1,MATCH(AL$7,$F$7:$AG$7,1))</f>
        <v>290387</v>
      </c>
      <c r="AM364" s="33" t="n">
        <f aca="false">INDEX($F364:$AG364,1,MATCH(AM$7,$F$7:$AG$7,1))</f>
        <v>314945</v>
      </c>
      <c r="AN364" s="33" t="n">
        <f aca="false">INDEX($F364:$AG364,1,MATCH(AN$7,$F$7:$AG$7,1))</f>
        <v>314945</v>
      </c>
      <c r="AO364" s="33" t="n">
        <f aca="false">INDEX($F364:$AG364,1,MATCH(AO$7,$F$7:$AG$7,1))</f>
        <v>314945</v>
      </c>
    </row>
    <row r="365" customFormat="false" ht="15" hidden="false" customHeight="false" outlineLevel="0" collapsed="false">
      <c r="A365" s="107" t="s">
        <v>1732</v>
      </c>
      <c r="B365" s="22" t="s">
        <v>763</v>
      </c>
      <c r="C365" s="22" t="s">
        <v>558</v>
      </c>
      <c r="D365" s="22" t="s">
        <v>1729</v>
      </c>
      <c r="F365" s="74" t="n">
        <v>0</v>
      </c>
      <c r="G365" s="74" t="n">
        <v>0</v>
      </c>
      <c r="H365" s="74" t="n">
        <v>0</v>
      </c>
      <c r="I365" s="74" t="n">
        <v>0</v>
      </c>
      <c r="J365" s="74" t="n">
        <v>0</v>
      </c>
      <c r="K365" s="74" t="n">
        <v>0</v>
      </c>
      <c r="L365" s="74" t="n">
        <v>5116</v>
      </c>
      <c r="M365" s="74" t="n">
        <v>42371</v>
      </c>
      <c r="N365" s="74" t="n">
        <v>56897</v>
      </c>
      <c r="O365" s="74" t="n">
        <v>61727</v>
      </c>
      <c r="P365" s="74" t="n">
        <v>77883</v>
      </c>
      <c r="Q365" s="74" t="n">
        <v>116605</v>
      </c>
      <c r="R365" s="74" t="n">
        <v>181915</v>
      </c>
      <c r="S365" s="74" t="n">
        <v>252316</v>
      </c>
      <c r="T365" s="74" t="n">
        <v>295539</v>
      </c>
      <c r="U365" s="74" t="n">
        <v>346521</v>
      </c>
      <c r="V365" s="74" t="n">
        <v>346521</v>
      </c>
      <c r="W365" s="74" t="n">
        <v>346521</v>
      </c>
      <c r="X365" s="74" t="n">
        <v>346521</v>
      </c>
      <c r="Y365" s="74" t="n">
        <v>371079</v>
      </c>
      <c r="Z365" s="74" t="n">
        <v>371079</v>
      </c>
      <c r="AA365" s="74" t="n">
        <v>371079</v>
      </c>
      <c r="AB365" s="74" t="n">
        <v>371079</v>
      </c>
      <c r="AC365" s="74" t="n">
        <v>371079</v>
      </c>
      <c r="AD365" s="74" t="n">
        <v>371079</v>
      </c>
      <c r="AE365" s="74" t="n">
        <v>371079</v>
      </c>
      <c r="AF365" s="74" t="n">
        <v>371079</v>
      </c>
      <c r="AG365" s="74" t="n">
        <v>371079</v>
      </c>
      <c r="AI365" s="33" t="n">
        <f aca="false">INDEX($F365:$AG365,1,MATCH(AI$7,$F$7:$AG$7,1))</f>
        <v>0</v>
      </c>
      <c r="AJ365" s="33" t="n">
        <f aca="false">INDEX($F365:$AG365,1,MATCH(AJ$7,$F$7:$AG$7,1))</f>
        <v>42371</v>
      </c>
      <c r="AK365" s="33" t="n">
        <f aca="false">INDEX($F365:$AG365,1,MATCH(AK$7,$F$7:$AG$7,1))</f>
        <v>116605</v>
      </c>
      <c r="AL365" s="33" t="n">
        <f aca="false">INDEX($F365:$AG365,1,MATCH(AL$7,$F$7:$AG$7,1))</f>
        <v>346521</v>
      </c>
      <c r="AM365" s="33" t="n">
        <f aca="false">INDEX($F365:$AG365,1,MATCH(AM$7,$F$7:$AG$7,1))</f>
        <v>371079</v>
      </c>
      <c r="AN365" s="33" t="n">
        <f aca="false">INDEX($F365:$AG365,1,MATCH(AN$7,$F$7:$AG$7,1))</f>
        <v>371079</v>
      </c>
      <c r="AO365" s="33" t="n">
        <f aca="false">INDEX($F365:$AG365,1,MATCH(AO$7,$F$7:$AG$7,1))</f>
        <v>371079</v>
      </c>
    </row>
    <row r="366" customFormat="false" ht="15" hidden="false" customHeight="false" outlineLevel="0" collapsed="false">
      <c r="A366" s="107" t="s">
        <v>1733</v>
      </c>
      <c r="B366" s="22" t="s">
        <v>763</v>
      </c>
      <c r="C366" s="22" t="s">
        <v>540</v>
      </c>
      <c r="D366" s="22"/>
      <c r="F366" s="33" t="n">
        <f aca="false">IF(CapV=2,F365,F364)</f>
        <v>0</v>
      </c>
      <c r="G366" s="33" t="n">
        <f aca="false">IF(CapV=2,G365,G364)</f>
        <v>0</v>
      </c>
      <c r="H366" s="33" t="n">
        <f aca="false">IF(CapV=2,H365,H364)</f>
        <v>0</v>
      </c>
      <c r="I366" s="33" t="n">
        <f aca="false">IF(CapV=2,I365,I364)</f>
        <v>0</v>
      </c>
      <c r="J366" s="33" t="n">
        <f aca="false">IF(CapV=2,J365,J364)</f>
        <v>0</v>
      </c>
      <c r="K366" s="33" t="n">
        <f aca="false">IF(CapV=2,K365,K364)</f>
        <v>0</v>
      </c>
      <c r="L366" s="33" t="n">
        <f aca="false">IF(CapV=2,L365,L364)</f>
        <v>5116</v>
      </c>
      <c r="M366" s="33" t="n">
        <f aca="false">IF(CapV=2,M365,M364)</f>
        <v>42371</v>
      </c>
      <c r="N366" s="33" t="n">
        <f aca="false">IF(CapV=2,N365,N364)</f>
        <v>56897</v>
      </c>
      <c r="O366" s="33" t="n">
        <f aca="false">IF(CapV=2,O365,O364)</f>
        <v>61727</v>
      </c>
      <c r="P366" s="33" t="n">
        <f aca="false">IF(CapV=2,P365,P364)</f>
        <v>77883</v>
      </c>
      <c r="Q366" s="33" t="n">
        <f aca="false">IF(CapV=2,Q365,Q364)</f>
        <v>116605</v>
      </c>
      <c r="R366" s="33" t="n">
        <f aca="false">IF(CapV=2,R365,R364)</f>
        <v>181915</v>
      </c>
      <c r="S366" s="33" t="n">
        <f aca="false">IF(CapV=2,S365,S364)</f>
        <v>252316</v>
      </c>
      <c r="T366" s="33" t="n">
        <f aca="false">IF(CapV=2,T365,T364)</f>
        <v>295539</v>
      </c>
      <c r="U366" s="33" t="n">
        <f aca="false">IF(CapV=2,U365,U364)</f>
        <v>346521</v>
      </c>
      <c r="V366" s="33" t="n">
        <f aca="false">IF(CapV=2,V365,V364)</f>
        <v>346521</v>
      </c>
      <c r="W366" s="33" t="n">
        <f aca="false">IF(CapV=2,W365,W364)</f>
        <v>346521</v>
      </c>
      <c r="X366" s="33" t="n">
        <f aca="false">IF(CapV=2,X365,X364)</f>
        <v>346521</v>
      </c>
      <c r="Y366" s="33" t="n">
        <f aca="false">IF(CapV=2,Y365,Y364)</f>
        <v>371079</v>
      </c>
      <c r="Z366" s="33" t="n">
        <f aca="false">IF(CapV=2,Z365,Z364)</f>
        <v>371079</v>
      </c>
      <c r="AA366" s="33" t="n">
        <f aca="false">IF(CapV=2,AA365,AA364)</f>
        <v>371079</v>
      </c>
      <c r="AB366" s="33" t="n">
        <f aca="false">IF(CapV=2,AB365,AB364)</f>
        <v>371079</v>
      </c>
      <c r="AC366" s="33" t="n">
        <f aca="false">IF(CapV=2,AC365,AC364)</f>
        <v>371079</v>
      </c>
      <c r="AD366" s="33" t="n">
        <f aca="false">IF(CapV=2,AD365,AD364)</f>
        <v>371079</v>
      </c>
      <c r="AE366" s="33" t="n">
        <f aca="false">IF(CapV=2,AE365,AE364)</f>
        <v>371079</v>
      </c>
      <c r="AF366" s="33" t="n">
        <f aca="false">IF(CapV=2,AF365,AF364)</f>
        <v>371079</v>
      </c>
      <c r="AG366" s="33" t="n">
        <f aca="false">IF(CapV=2,AG365,AG364)</f>
        <v>371079</v>
      </c>
      <c r="AI366" s="33" t="n">
        <f aca="false">INDEX($F366:$AG366,1,MATCH(AI$7,$F$7:$AG$7,1))</f>
        <v>0</v>
      </c>
      <c r="AJ366" s="33" t="n">
        <f aca="false">INDEX($F366:$AG366,1,MATCH(AJ$7,$F$7:$AG$7,1))</f>
        <v>42371</v>
      </c>
      <c r="AK366" s="33" t="n">
        <f aca="false">INDEX($F366:$AG366,1,MATCH(AK$7,$F$7:$AG$7,1))</f>
        <v>116605</v>
      </c>
      <c r="AL366" s="33" t="n">
        <f aca="false">INDEX($F366:$AG366,1,MATCH(AL$7,$F$7:$AG$7,1))</f>
        <v>346521</v>
      </c>
      <c r="AM366" s="33" t="n">
        <f aca="false">INDEX($F366:$AG366,1,MATCH(AM$7,$F$7:$AG$7,1))</f>
        <v>371079</v>
      </c>
      <c r="AN366" s="33" t="n">
        <f aca="false">INDEX($F366:$AG366,1,MATCH(AN$7,$F$7:$AG$7,1))</f>
        <v>371079</v>
      </c>
      <c r="AO366" s="33" t="n">
        <f aca="false">INDEX($F366:$AG366,1,MATCH(AO$7,$F$7:$AG$7,1))</f>
        <v>371079</v>
      </c>
    </row>
    <row r="367" customFormat="false" ht="15" hidden="false" customHeight="false" outlineLevel="0" collapsed="false">
      <c r="A367" s="107" t="s">
        <v>1734</v>
      </c>
      <c r="B367" s="22" t="s">
        <v>763</v>
      </c>
      <c r="C367" s="22" t="s">
        <v>558</v>
      </c>
      <c r="D367" s="22" t="s">
        <v>1727</v>
      </c>
      <c r="F367" s="74" t="n">
        <v>0</v>
      </c>
      <c r="G367" s="74" t="n">
        <v>0</v>
      </c>
      <c r="H367" s="74" t="n">
        <v>0</v>
      </c>
      <c r="I367" s="74" t="n">
        <v>0</v>
      </c>
      <c r="J367" s="74" t="n">
        <v>0</v>
      </c>
      <c r="K367" s="74" t="n">
        <v>0</v>
      </c>
      <c r="L367" s="74" t="n">
        <v>0</v>
      </c>
      <c r="M367" s="74" t="n">
        <v>0</v>
      </c>
      <c r="N367" s="74" t="n">
        <v>0</v>
      </c>
      <c r="O367" s="74" t="n">
        <v>0</v>
      </c>
      <c r="P367" s="74" t="n">
        <v>0</v>
      </c>
      <c r="Q367" s="74" t="n">
        <v>0</v>
      </c>
      <c r="R367" s="74" t="n">
        <v>3338</v>
      </c>
      <c r="S367" s="74" t="n">
        <v>11348</v>
      </c>
      <c r="T367" s="74" t="n">
        <v>40045</v>
      </c>
      <c r="U367" s="74" t="n">
        <v>97446</v>
      </c>
      <c r="V367" s="74" t="n">
        <v>128146</v>
      </c>
      <c r="W367" s="74" t="n">
        <v>180210</v>
      </c>
      <c r="X367" s="74" t="n">
        <v>184210</v>
      </c>
      <c r="Y367" s="74" t="n">
        <v>277660</v>
      </c>
      <c r="Z367" s="74" t="n">
        <v>277660</v>
      </c>
      <c r="AA367" s="74" t="n">
        <v>389800</v>
      </c>
      <c r="AB367" s="74" t="n">
        <v>389800</v>
      </c>
      <c r="AC367" s="74" t="n">
        <v>545995</v>
      </c>
      <c r="AD367" s="74" t="n">
        <v>545995</v>
      </c>
      <c r="AE367" s="74" t="n">
        <v>545995</v>
      </c>
      <c r="AF367" s="74" t="n">
        <v>545995</v>
      </c>
      <c r="AG367" s="74" t="n">
        <v>699520</v>
      </c>
      <c r="AI367" s="33" t="n">
        <f aca="false">INDEX($F367:$AG367,1,MATCH(AI$7,$F$7:$AG$7,1))</f>
        <v>0</v>
      </c>
      <c r="AJ367" s="33" t="n">
        <f aca="false">INDEX($F367:$AG367,1,MATCH(AJ$7,$F$7:$AG$7,1))</f>
        <v>0</v>
      </c>
      <c r="AK367" s="33" t="n">
        <f aca="false">INDEX($F367:$AG367,1,MATCH(AK$7,$F$7:$AG$7,1))</f>
        <v>0</v>
      </c>
      <c r="AL367" s="33" t="n">
        <f aca="false">INDEX($F367:$AG367,1,MATCH(AL$7,$F$7:$AG$7,1))</f>
        <v>97446</v>
      </c>
      <c r="AM367" s="33" t="n">
        <f aca="false">INDEX($F367:$AG367,1,MATCH(AM$7,$F$7:$AG$7,1))</f>
        <v>277660</v>
      </c>
      <c r="AN367" s="33" t="n">
        <f aca="false">INDEX($F367:$AG367,1,MATCH(AN$7,$F$7:$AG$7,1))</f>
        <v>545995</v>
      </c>
      <c r="AO367" s="33" t="n">
        <f aca="false">INDEX($F367:$AG367,1,MATCH(AO$7,$F$7:$AG$7,1))</f>
        <v>699520</v>
      </c>
    </row>
    <row r="368" customFormat="false" ht="15" hidden="false" customHeight="false" outlineLevel="0" collapsed="false">
      <c r="A368" s="107" t="s">
        <v>1735</v>
      </c>
      <c r="B368" s="22" t="s">
        <v>763</v>
      </c>
      <c r="C368" s="22" t="s">
        <v>558</v>
      </c>
      <c r="D368" s="22" t="s">
        <v>1729</v>
      </c>
      <c r="F368" s="74" t="n">
        <v>0</v>
      </c>
      <c r="G368" s="74" t="n">
        <v>0</v>
      </c>
      <c r="H368" s="74" t="n">
        <v>0</v>
      </c>
      <c r="I368" s="74" t="n">
        <v>0</v>
      </c>
      <c r="J368" s="74" t="n">
        <v>0</v>
      </c>
      <c r="K368" s="74" t="n">
        <v>0</v>
      </c>
      <c r="L368" s="74" t="n">
        <v>0</v>
      </c>
      <c r="M368" s="74" t="n">
        <v>0</v>
      </c>
      <c r="N368" s="74" t="n">
        <v>0</v>
      </c>
      <c r="O368" s="74" t="n">
        <v>0</v>
      </c>
      <c r="P368" s="74" t="n">
        <v>0</v>
      </c>
      <c r="Q368" s="74" t="n">
        <v>0</v>
      </c>
      <c r="R368" s="74" t="n">
        <v>3338</v>
      </c>
      <c r="S368" s="74" t="n">
        <v>11348</v>
      </c>
      <c r="T368" s="74" t="n">
        <v>40045</v>
      </c>
      <c r="U368" s="74" t="n">
        <v>97446</v>
      </c>
      <c r="V368" s="74" t="n">
        <v>128146</v>
      </c>
      <c r="W368" s="74" t="n">
        <v>180210</v>
      </c>
      <c r="X368" s="74" t="n">
        <v>184210</v>
      </c>
      <c r="Y368" s="74" t="n">
        <v>277660</v>
      </c>
      <c r="Z368" s="74" t="n">
        <v>277660</v>
      </c>
      <c r="AA368" s="74" t="n">
        <v>389800</v>
      </c>
      <c r="AB368" s="74" t="n">
        <v>389800</v>
      </c>
      <c r="AC368" s="74" t="n">
        <v>545995</v>
      </c>
      <c r="AD368" s="74" t="n">
        <v>545995</v>
      </c>
      <c r="AE368" s="74" t="n">
        <v>545995</v>
      </c>
      <c r="AF368" s="74" t="n">
        <v>545995</v>
      </c>
      <c r="AG368" s="74" t="n">
        <v>699520</v>
      </c>
      <c r="AI368" s="33" t="n">
        <f aca="false">INDEX($F368:$AG368,1,MATCH(AI$7,$F$7:$AG$7,1))</f>
        <v>0</v>
      </c>
      <c r="AJ368" s="33" t="n">
        <f aca="false">INDEX($F368:$AG368,1,MATCH(AJ$7,$F$7:$AG$7,1))</f>
        <v>0</v>
      </c>
      <c r="AK368" s="33" t="n">
        <f aca="false">INDEX($F368:$AG368,1,MATCH(AK$7,$F$7:$AG$7,1))</f>
        <v>0</v>
      </c>
      <c r="AL368" s="33" t="n">
        <f aca="false">INDEX($F368:$AG368,1,MATCH(AL$7,$F$7:$AG$7,1))</f>
        <v>97446</v>
      </c>
      <c r="AM368" s="33" t="n">
        <f aca="false">INDEX($F368:$AG368,1,MATCH(AM$7,$F$7:$AG$7,1))</f>
        <v>277660</v>
      </c>
      <c r="AN368" s="33" t="n">
        <f aca="false">INDEX($F368:$AG368,1,MATCH(AN$7,$F$7:$AG$7,1))</f>
        <v>545995</v>
      </c>
      <c r="AO368" s="33" t="n">
        <f aca="false">INDEX($F368:$AG368,1,MATCH(AO$7,$F$7:$AG$7,1))</f>
        <v>699520</v>
      </c>
    </row>
    <row r="369" customFormat="false" ht="15" hidden="false" customHeight="false" outlineLevel="0" collapsed="false">
      <c r="A369" s="107" t="s">
        <v>1736</v>
      </c>
      <c r="B369" s="22" t="s">
        <v>763</v>
      </c>
      <c r="C369" s="22" t="s">
        <v>540</v>
      </c>
      <c r="D369" s="22"/>
      <c r="F369" s="33" t="n">
        <f aca="false">IF(CapV=2,F368,F367)</f>
        <v>0</v>
      </c>
      <c r="G369" s="33" t="n">
        <f aca="false">IF(CapV=2,G368,G367)</f>
        <v>0</v>
      </c>
      <c r="H369" s="33" t="n">
        <f aca="false">IF(CapV=2,H368,H367)</f>
        <v>0</v>
      </c>
      <c r="I369" s="33" t="n">
        <f aca="false">IF(CapV=2,I368,I367)</f>
        <v>0</v>
      </c>
      <c r="J369" s="33" t="n">
        <f aca="false">IF(CapV=2,J368,J367)</f>
        <v>0</v>
      </c>
      <c r="K369" s="33" t="n">
        <f aca="false">IF(CapV=2,K368,K367)</f>
        <v>0</v>
      </c>
      <c r="L369" s="33" t="n">
        <f aca="false">IF(CapV=2,L368,L367)</f>
        <v>0</v>
      </c>
      <c r="M369" s="33" t="n">
        <f aca="false">IF(CapV=2,M368,M367)</f>
        <v>0</v>
      </c>
      <c r="N369" s="33" t="n">
        <f aca="false">IF(CapV=2,N368,N367)</f>
        <v>0</v>
      </c>
      <c r="O369" s="33" t="n">
        <f aca="false">IF(CapV=2,O368,O367)</f>
        <v>0</v>
      </c>
      <c r="P369" s="33" t="n">
        <f aca="false">IF(CapV=2,P368,P367)</f>
        <v>0</v>
      </c>
      <c r="Q369" s="33" t="n">
        <f aca="false">IF(CapV=2,Q368,Q367)</f>
        <v>0</v>
      </c>
      <c r="R369" s="33" t="n">
        <f aca="false">IF(CapV=2,R368,R367)</f>
        <v>3338</v>
      </c>
      <c r="S369" s="33" t="n">
        <f aca="false">IF(CapV=2,S368,S367)</f>
        <v>11348</v>
      </c>
      <c r="T369" s="33" t="n">
        <f aca="false">IF(CapV=2,T368,T367)</f>
        <v>40045</v>
      </c>
      <c r="U369" s="33" t="n">
        <f aca="false">IF(CapV=2,U368,U367)</f>
        <v>97446</v>
      </c>
      <c r="V369" s="33" t="n">
        <f aca="false">IF(CapV=2,V368,V367)</f>
        <v>128146</v>
      </c>
      <c r="W369" s="33" t="n">
        <f aca="false">IF(CapV=2,W368,W367)</f>
        <v>180210</v>
      </c>
      <c r="X369" s="33" t="n">
        <f aca="false">IF(CapV=2,X368,X367)</f>
        <v>184210</v>
      </c>
      <c r="Y369" s="33" t="n">
        <f aca="false">IF(CapV=2,Y368,Y367)</f>
        <v>277660</v>
      </c>
      <c r="Z369" s="33" t="n">
        <f aca="false">IF(CapV=2,Z368,Z367)</f>
        <v>277660</v>
      </c>
      <c r="AA369" s="33" t="n">
        <f aca="false">IF(CapV=2,AA368,AA367)</f>
        <v>389800</v>
      </c>
      <c r="AB369" s="33" t="n">
        <f aca="false">IF(CapV=2,AB368,AB367)</f>
        <v>389800</v>
      </c>
      <c r="AC369" s="33" t="n">
        <f aca="false">IF(CapV=2,AC368,AC367)</f>
        <v>545995</v>
      </c>
      <c r="AD369" s="33" t="n">
        <f aca="false">IF(CapV=2,AD368,AD367)</f>
        <v>545995</v>
      </c>
      <c r="AE369" s="33" t="n">
        <f aca="false">IF(CapV=2,AE368,AE367)</f>
        <v>545995</v>
      </c>
      <c r="AF369" s="33" t="n">
        <f aca="false">IF(CapV=2,AF368,AF367)</f>
        <v>545995</v>
      </c>
      <c r="AG369" s="33" t="n">
        <f aca="false">IF(CapV=2,AG368,AG367)</f>
        <v>699520</v>
      </c>
      <c r="AI369" s="33" t="n">
        <f aca="false">INDEX($F369:$AG369,1,MATCH(AI$7,$F$7:$AG$7,1))</f>
        <v>0</v>
      </c>
      <c r="AJ369" s="33" t="n">
        <f aca="false">INDEX($F369:$AG369,1,MATCH(AJ$7,$F$7:$AG$7,1))</f>
        <v>0</v>
      </c>
      <c r="AK369" s="33" t="n">
        <f aca="false">INDEX($F369:$AG369,1,MATCH(AK$7,$F$7:$AG$7,1))</f>
        <v>0</v>
      </c>
      <c r="AL369" s="33" t="n">
        <f aca="false">INDEX($F369:$AG369,1,MATCH(AL$7,$F$7:$AG$7,1))</f>
        <v>97446</v>
      </c>
      <c r="AM369" s="33" t="n">
        <f aca="false">INDEX($F369:$AG369,1,MATCH(AM$7,$F$7:$AG$7,1))</f>
        <v>277660</v>
      </c>
      <c r="AN369" s="33" t="n">
        <f aca="false">INDEX($F369:$AG369,1,MATCH(AN$7,$F$7:$AG$7,1))</f>
        <v>545995</v>
      </c>
      <c r="AO369" s="33" t="n">
        <f aca="false">INDEX($F369:$AG369,1,MATCH(AO$7,$F$7:$AG$7,1))</f>
        <v>699520</v>
      </c>
    </row>
    <row r="370" customFormat="false" ht="15" hidden="false" customHeight="false" outlineLevel="0" collapsed="false">
      <c r="A370" s="107" t="s">
        <v>1737</v>
      </c>
      <c r="B370" s="22" t="s">
        <v>763</v>
      </c>
      <c r="C370" s="22" t="s">
        <v>1738</v>
      </c>
      <c r="D370" s="22" t="s">
        <v>1739</v>
      </c>
      <c r="F370" s="111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07" t="s">
        <v>1740</v>
      </c>
      <c r="B371" s="22" t="s">
        <v>664</v>
      </c>
      <c r="C371" s="22" t="s">
        <v>558</v>
      </c>
      <c r="D371" s="22" t="s">
        <v>1741</v>
      </c>
      <c r="F371" s="111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1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1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1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1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1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1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1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1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1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3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3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3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3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3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3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3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3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3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3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3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3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3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3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3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3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3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3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3" t="n">
        <f aca="false">INDEX($F371:$AG371,1,MATCH(AI$7,$F$7:$AG$7,1))</f>
        <v>27.7275</v>
      </c>
      <c r="AJ371" s="33" t="n">
        <f aca="false">INDEX($F371:$AG371,1,MATCH(AJ$7,$F$7:$AG$7,1))</f>
        <v>138.32595</v>
      </c>
      <c r="AK371" s="33" t="n">
        <f aca="false">INDEX($F371:$AG371,1,MATCH(AK$7,$F$7:$AG$7,1))</f>
        <v>301.7195</v>
      </c>
      <c r="AL371" s="33" t="n">
        <f aca="false">INDEX($F371:$AG371,1,MATCH(AL$7,$F$7:$AG$7,1))</f>
        <v>1081.9108</v>
      </c>
      <c r="AM371" s="33" t="n">
        <f aca="false">INDEX($F371:$AG371,1,MATCH(AM$7,$F$7:$AG$7,1))</f>
        <v>1652.7273</v>
      </c>
      <c r="AN371" s="33" t="n">
        <f aca="false">INDEX($F371:$AG371,1,MATCH(AN$7,$F$7:$AG$7,1))</f>
        <v>2409.3763</v>
      </c>
      <c r="AO371" s="33" t="n">
        <f aca="false">INDEX($F371:$AG371,1,MATCH(AO$7,$F$7:$AG$7,1))</f>
        <v>2841.0793</v>
      </c>
    </row>
    <row r="373" customFormat="false" ht="15" hidden="false" customHeight="false" outlineLevel="0" collapsed="false">
      <c r="A373" s="58" t="s">
        <v>1742</v>
      </c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</row>
    <row r="375" customFormat="false" ht="15" hidden="false" customHeight="false" outlineLevel="0" collapsed="false">
      <c r="A375" s="58" t="s">
        <v>1743</v>
      </c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</row>
    <row r="376" customFormat="false" ht="15" hidden="false" customHeight="false" outlineLevel="0" collapsed="false">
      <c r="A376" s="107" t="s">
        <v>1744</v>
      </c>
      <c r="B376" s="22" t="s">
        <v>664</v>
      </c>
      <c r="C376" s="22" t="s">
        <v>558</v>
      </c>
      <c r="D376" s="22" t="s">
        <v>1745</v>
      </c>
      <c r="F376" s="86" t="n">
        <v>0</v>
      </c>
      <c r="G376" s="86" t="n">
        <v>0</v>
      </c>
      <c r="H376" s="86" t="n">
        <v>0</v>
      </c>
      <c r="I376" s="86" t="n">
        <v>0</v>
      </c>
      <c r="J376" s="86" t="n">
        <v>0</v>
      </c>
      <c r="K376" s="86" t="n">
        <v>0</v>
      </c>
      <c r="L376" s="86" t="n">
        <v>0</v>
      </c>
      <c r="M376" s="86" t="n">
        <v>0</v>
      </c>
      <c r="N376" s="86" t="n">
        <v>0</v>
      </c>
      <c r="O376" s="86" t="n">
        <v>0</v>
      </c>
      <c r="P376" s="86" t="n">
        <v>10</v>
      </c>
      <c r="Q376" s="86" t="n">
        <v>-37.8</v>
      </c>
      <c r="R376" s="86" t="n">
        <v>4</v>
      </c>
      <c r="S376" s="86" t="n">
        <v>35</v>
      </c>
      <c r="T376" s="86" t="n">
        <v>81</v>
      </c>
      <c r="U376" s="86" t="n">
        <v>135</v>
      </c>
      <c r="V376" s="86" t="n">
        <v>135</v>
      </c>
      <c r="W376" s="86" t="n">
        <v>135</v>
      </c>
      <c r="X376" s="86" t="n">
        <v>135</v>
      </c>
      <c r="Y376" s="86" t="n">
        <v>135</v>
      </c>
      <c r="Z376" s="86" t="n">
        <v>135</v>
      </c>
      <c r="AA376" s="86" t="n">
        <v>135</v>
      </c>
      <c r="AB376" s="86" t="n">
        <v>135</v>
      </c>
      <c r="AC376" s="86" t="n">
        <v>135</v>
      </c>
      <c r="AD376" s="86" t="n">
        <v>135</v>
      </c>
      <c r="AE376" s="86" t="n">
        <v>135</v>
      </c>
      <c r="AF376" s="86" t="n">
        <v>135</v>
      </c>
      <c r="AG376" s="86" t="n">
        <v>135</v>
      </c>
      <c r="AI376" s="36" t="n">
        <f aca="false">INDEX($F376:$AG376,1,MATCH(AI$7,$F$7:$AG$7,1))</f>
        <v>0</v>
      </c>
      <c r="AJ376" s="36" t="n">
        <f aca="false">INDEX($F376:$AG376,1,MATCH(AJ$7,$F$7:$AG$7,1))</f>
        <v>0</v>
      </c>
      <c r="AK376" s="36" t="n">
        <f aca="false">INDEX($F376:$AG376,1,MATCH(AK$7,$F$7:$AG$7,1))</f>
        <v>-37.8</v>
      </c>
      <c r="AL376" s="36" t="n">
        <f aca="false">INDEX($F376:$AG376,1,MATCH(AL$7,$F$7:$AG$7,1))</f>
        <v>135</v>
      </c>
      <c r="AM376" s="36" t="n">
        <f aca="false">INDEX($F376:$AG376,1,MATCH(AM$7,$F$7:$AG$7,1))</f>
        <v>135</v>
      </c>
      <c r="AN376" s="36" t="n">
        <f aca="false">INDEX($F376:$AG376,1,MATCH(AN$7,$F$7:$AG$7,1))</f>
        <v>135</v>
      </c>
      <c r="AO376" s="36" t="n">
        <f aca="false">INDEX($F376:$AG376,1,MATCH(AO$7,$F$7:$AG$7,1))</f>
        <v>135</v>
      </c>
    </row>
    <row r="377" customFormat="false" ht="15" hidden="false" customHeight="false" outlineLevel="0" collapsed="false">
      <c r="A377" s="107" t="s">
        <v>1746</v>
      </c>
      <c r="B377" s="22" t="s">
        <v>664</v>
      </c>
      <c r="C377" s="22" t="s">
        <v>558</v>
      </c>
      <c r="D377" s="22" t="s">
        <v>1747</v>
      </c>
      <c r="F377" s="86" t="n">
        <v>0</v>
      </c>
      <c r="G377" s="86" t="n">
        <v>0</v>
      </c>
      <c r="H377" s="86" t="n">
        <v>0</v>
      </c>
      <c r="I377" s="86" t="n">
        <v>0</v>
      </c>
      <c r="J377" s="86" t="n">
        <v>0</v>
      </c>
      <c r="K377" s="86" t="n">
        <v>0</v>
      </c>
      <c r="L377" s="86" t="n">
        <v>0</v>
      </c>
      <c r="M377" s="86" t="n">
        <v>0</v>
      </c>
      <c r="N377" s="86" t="n">
        <v>0</v>
      </c>
      <c r="O377" s="86" t="n">
        <v>0</v>
      </c>
      <c r="P377" s="86" t="n">
        <v>20</v>
      </c>
      <c r="Q377" s="86" t="n">
        <v>15</v>
      </c>
      <c r="R377" s="86" t="n">
        <v>40.5</v>
      </c>
      <c r="S377" s="86" t="n">
        <v>90.5</v>
      </c>
      <c r="T377" s="86" t="n">
        <v>148</v>
      </c>
      <c r="U377" s="86" t="n">
        <v>153</v>
      </c>
      <c r="V377" s="86" t="n">
        <v>153</v>
      </c>
      <c r="W377" s="86" t="n">
        <v>153</v>
      </c>
      <c r="X377" s="86" t="n">
        <v>153</v>
      </c>
      <c r="Y377" s="86" t="n">
        <v>153</v>
      </c>
      <c r="Z377" s="86" t="n">
        <v>153</v>
      </c>
      <c r="AA377" s="86" t="n">
        <v>153</v>
      </c>
      <c r="AB377" s="86" t="n">
        <v>153</v>
      </c>
      <c r="AC377" s="86" t="n">
        <v>153</v>
      </c>
      <c r="AD377" s="86" t="n">
        <v>153</v>
      </c>
      <c r="AE377" s="86" t="n">
        <v>153</v>
      </c>
      <c r="AF377" s="86" t="n">
        <v>153</v>
      </c>
      <c r="AG377" s="86" t="n">
        <v>153</v>
      </c>
      <c r="AI377" s="36" t="n">
        <f aca="false">INDEX($F377:$AG377,1,MATCH(AI$7,$F$7:$AG$7,1))</f>
        <v>0</v>
      </c>
      <c r="AJ377" s="36" t="n">
        <f aca="false">INDEX($F377:$AG377,1,MATCH(AJ$7,$F$7:$AG$7,1))</f>
        <v>0</v>
      </c>
      <c r="AK377" s="36" t="n">
        <f aca="false">INDEX($F377:$AG377,1,MATCH(AK$7,$F$7:$AG$7,1))</f>
        <v>15</v>
      </c>
      <c r="AL377" s="36" t="n">
        <f aca="false">INDEX($F377:$AG377,1,MATCH(AL$7,$F$7:$AG$7,1))</f>
        <v>153</v>
      </c>
      <c r="AM377" s="36" t="n">
        <f aca="false">INDEX($F377:$AG377,1,MATCH(AM$7,$F$7:$AG$7,1))</f>
        <v>153</v>
      </c>
      <c r="AN377" s="36" t="n">
        <f aca="false">INDEX($F377:$AG377,1,MATCH(AN$7,$F$7:$AG$7,1))</f>
        <v>153</v>
      </c>
      <c r="AO377" s="36" t="n">
        <f aca="false">INDEX($F377:$AG377,1,MATCH(AO$7,$F$7:$AG$7,1))</f>
        <v>153</v>
      </c>
    </row>
    <row r="378" customFormat="false" ht="15" hidden="false" customHeight="false" outlineLevel="0" collapsed="false">
      <c r="A378" s="107" t="s">
        <v>1748</v>
      </c>
      <c r="B378" s="22" t="s">
        <v>664</v>
      </c>
      <c r="C378" s="22" t="s">
        <v>558</v>
      </c>
      <c r="D378" s="22" t="s">
        <v>1749</v>
      </c>
      <c r="F378" s="86" t="n">
        <v>0</v>
      </c>
      <c r="G378" s="86" t="n">
        <v>0</v>
      </c>
      <c r="H378" s="86" t="n">
        <v>0</v>
      </c>
      <c r="I378" s="86" t="n">
        <v>0</v>
      </c>
      <c r="J378" s="86" t="n">
        <v>0</v>
      </c>
      <c r="K378" s="86" t="n">
        <v>0</v>
      </c>
      <c r="L378" s="86" t="n">
        <v>0</v>
      </c>
      <c r="M378" s="86" t="n">
        <v>0</v>
      </c>
      <c r="N378" s="86" t="n">
        <v>0</v>
      </c>
      <c r="O378" s="86" t="n">
        <v>0</v>
      </c>
      <c r="P378" s="86" t="n">
        <v>45</v>
      </c>
      <c r="Q378" s="86" t="n">
        <v>80</v>
      </c>
      <c r="R378" s="86" t="n">
        <v>145</v>
      </c>
      <c r="S378" s="86" t="n">
        <v>178</v>
      </c>
      <c r="T378" s="86" t="n">
        <v>208</v>
      </c>
      <c r="U378" s="86" t="n">
        <v>208</v>
      </c>
      <c r="V378" s="86" t="n">
        <v>208</v>
      </c>
      <c r="W378" s="86" t="n">
        <v>208</v>
      </c>
      <c r="X378" s="86" t="n">
        <v>208</v>
      </c>
      <c r="Y378" s="86" t="n">
        <v>208</v>
      </c>
      <c r="Z378" s="86" t="n">
        <v>208</v>
      </c>
      <c r="AA378" s="86" t="n">
        <v>208</v>
      </c>
      <c r="AB378" s="86" t="n">
        <v>208</v>
      </c>
      <c r="AC378" s="86" t="n">
        <v>208</v>
      </c>
      <c r="AD378" s="86" t="n">
        <v>208</v>
      </c>
      <c r="AE378" s="86" t="n">
        <v>208</v>
      </c>
      <c r="AF378" s="86" t="n">
        <v>208</v>
      </c>
      <c r="AG378" s="86" t="n">
        <v>208</v>
      </c>
      <c r="AI378" s="36" t="n">
        <f aca="false">INDEX($F378:$AG378,1,MATCH(AI$7,$F$7:$AG$7,1))</f>
        <v>0</v>
      </c>
      <c r="AJ378" s="36" t="n">
        <f aca="false">INDEX($F378:$AG378,1,MATCH(AJ$7,$F$7:$AG$7,1))</f>
        <v>0</v>
      </c>
      <c r="AK378" s="36" t="n">
        <f aca="false">INDEX($F378:$AG378,1,MATCH(AK$7,$F$7:$AG$7,1))</f>
        <v>80</v>
      </c>
      <c r="AL378" s="36" t="n">
        <f aca="false">INDEX($F378:$AG378,1,MATCH(AL$7,$F$7:$AG$7,1))</f>
        <v>208</v>
      </c>
      <c r="AM378" s="36" t="n">
        <f aca="false">INDEX($F378:$AG378,1,MATCH(AM$7,$F$7:$AG$7,1))</f>
        <v>208</v>
      </c>
      <c r="AN378" s="36" t="n">
        <f aca="false">INDEX($F378:$AG378,1,MATCH(AN$7,$F$7:$AG$7,1))</f>
        <v>208</v>
      </c>
      <c r="AO378" s="36" t="n">
        <f aca="false">INDEX($F378:$AG378,1,MATCH(AO$7,$F$7:$AG$7,1))</f>
        <v>208</v>
      </c>
    </row>
    <row r="379" customFormat="false" ht="15" hidden="false" customHeight="false" outlineLevel="0" collapsed="false">
      <c r="A379" s="107" t="s">
        <v>1750</v>
      </c>
      <c r="B379" s="22" t="s">
        <v>664</v>
      </c>
      <c r="C379" s="22" t="s">
        <v>540</v>
      </c>
      <c r="D379" s="22" t="s">
        <v>1751</v>
      </c>
      <c r="F379" s="116" t="n">
        <f aca="false">CHOOSE(Scen,F378,F377,F376)</f>
        <v>0</v>
      </c>
      <c r="G379" s="116" t="n">
        <f aca="false">CHOOSE(Scen,G378,G377,G376)</f>
        <v>0</v>
      </c>
      <c r="H379" s="116" t="n">
        <f aca="false">CHOOSE(Scen,H378,H377,H376)</f>
        <v>0</v>
      </c>
      <c r="I379" s="116" t="n">
        <f aca="false">CHOOSE(Scen,I378,I377,I376)</f>
        <v>0</v>
      </c>
      <c r="J379" s="116" t="n">
        <f aca="false">CHOOSE(Scen,J378,J377,J376)</f>
        <v>0</v>
      </c>
      <c r="K379" s="116" t="n">
        <f aca="false">CHOOSE(Scen,K378,K377,K376)</f>
        <v>0</v>
      </c>
      <c r="L379" s="116" t="n">
        <f aca="false">CHOOSE(Scen,L378,L377,L376)</f>
        <v>0</v>
      </c>
      <c r="M379" s="116" t="n">
        <f aca="false">CHOOSE(Scen,M378,M377,M376)</f>
        <v>0</v>
      </c>
      <c r="N379" s="116" t="n">
        <f aca="false">CHOOSE(Scen,N378,N377,N376)</f>
        <v>0</v>
      </c>
      <c r="O379" s="116" t="n">
        <f aca="false">CHOOSE(Scen,O378,O377,O376)</f>
        <v>0</v>
      </c>
      <c r="P379" s="36" t="n">
        <f aca="false">CHOOSE(Scen,P378,P377,P376)</f>
        <v>20</v>
      </c>
      <c r="Q379" s="36" t="n">
        <f aca="false">CHOOSE(Scen,Q378,Q377,Q376)</f>
        <v>15</v>
      </c>
      <c r="R379" s="36" t="n">
        <f aca="false">CHOOSE(Scen,R378,R377,R376)</f>
        <v>40.5</v>
      </c>
      <c r="S379" s="36" t="n">
        <f aca="false">CHOOSE(Scen,S378,S377,S376)</f>
        <v>90.5</v>
      </c>
      <c r="T379" s="36" t="n">
        <f aca="false">CHOOSE(Scen,T378,T377,T376)</f>
        <v>148</v>
      </c>
      <c r="U379" s="36" t="n">
        <f aca="false">CHOOSE(Scen,U378,U377,U376)</f>
        <v>153</v>
      </c>
      <c r="V379" s="36" t="n">
        <f aca="false">CHOOSE(Scen,V378,V377,V376)</f>
        <v>153</v>
      </c>
      <c r="W379" s="36" t="n">
        <f aca="false">CHOOSE(Scen,W378,W377,W376)</f>
        <v>153</v>
      </c>
      <c r="X379" s="36" t="n">
        <f aca="false">CHOOSE(Scen,X378,X377,X376)</f>
        <v>153</v>
      </c>
      <c r="Y379" s="36" t="n">
        <f aca="false">CHOOSE(Scen,Y378,Y377,Y376)</f>
        <v>153</v>
      </c>
      <c r="Z379" s="36" t="n">
        <f aca="false">CHOOSE(Scen,Z378,Z377,Z376)</f>
        <v>153</v>
      </c>
      <c r="AA379" s="36" t="n">
        <f aca="false">CHOOSE(Scen,AA378,AA377,AA376)</f>
        <v>153</v>
      </c>
      <c r="AB379" s="36" t="n">
        <f aca="false">CHOOSE(Scen,AB378,AB377,AB376)</f>
        <v>153</v>
      </c>
      <c r="AC379" s="36" t="n">
        <f aca="false">CHOOSE(Scen,AC378,AC377,AC376)</f>
        <v>153</v>
      </c>
      <c r="AD379" s="36" t="n">
        <f aca="false">CHOOSE(Scen,AD378,AD377,AD376)</f>
        <v>153</v>
      </c>
      <c r="AE379" s="36" t="n">
        <f aca="false">CHOOSE(Scen,AE378,AE377,AE376)</f>
        <v>153</v>
      </c>
      <c r="AF379" s="36" t="n">
        <f aca="false">CHOOSE(Scen,AF378,AF377,AF376)</f>
        <v>153</v>
      </c>
      <c r="AG379" s="36" t="n">
        <f aca="false">CHOOSE(Scen,AG378,AG377,AG376)</f>
        <v>153</v>
      </c>
      <c r="AI379" s="36" t="n">
        <f aca="false">INDEX($F379:$AG379,1,MATCH(AI$7,$F$7:$AG$7,1))</f>
        <v>0</v>
      </c>
      <c r="AJ379" s="36" t="n">
        <f aca="false">INDEX($F379:$AG379,1,MATCH(AJ$7,$F$7:$AG$7,1))</f>
        <v>0</v>
      </c>
      <c r="AK379" s="36" t="n">
        <f aca="false">INDEX($F379:$AG379,1,MATCH(AK$7,$F$7:$AG$7,1))</f>
        <v>15</v>
      </c>
      <c r="AL379" s="36" t="n">
        <f aca="false">INDEX($F379:$AG379,1,MATCH(AL$7,$F$7:$AG$7,1))</f>
        <v>153</v>
      </c>
      <c r="AM379" s="36" t="n">
        <f aca="false">INDEX($F379:$AG379,1,MATCH(AM$7,$F$7:$AG$7,1))</f>
        <v>153</v>
      </c>
      <c r="AN379" s="36" t="n">
        <f aca="false">INDEX($F379:$AG379,1,MATCH(AN$7,$F$7:$AG$7,1))</f>
        <v>153</v>
      </c>
      <c r="AO379" s="36" t="n">
        <f aca="false">INDEX($F379:$AG379,1,MATCH(AO$7,$F$7:$AG$7,1))</f>
        <v>153</v>
      </c>
    </row>
    <row r="380" customFormat="false" ht="15" hidden="false" customHeight="false" outlineLevel="0" collapsed="false">
      <c r="A380" s="107" t="s">
        <v>1752</v>
      </c>
      <c r="B380" s="22" t="s">
        <v>664</v>
      </c>
      <c r="C380" s="22" t="s">
        <v>540</v>
      </c>
      <c r="D380" s="22" t="s">
        <v>1753</v>
      </c>
      <c r="F380" s="111" t="n">
        <f aca="false">CHOOSE(MWSel,F285,F316,F357,F316+F379)</f>
        <v>22.7275</v>
      </c>
      <c r="G380" s="111" t="n">
        <f aca="false">CHOOSE(MWSel,G285,G316,G357,G316+G379)</f>
        <v>22.7275</v>
      </c>
      <c r="H380" s="111" t="n">
        <f aca="false">CHOOSE(MWSel,H285,H316,H357,H316+H379)</f>
        <v>22.7275</v>
      </c>
      <c r="I380" s="111" t="n">
        <f aca="false">CHOOSE(MWSel,I285,I316,I357,I316+I379)</f>
        <v>27.7275</v>
      </c>
      <c r="J380" s="111" t="n">
        <f aca="false">CHOOSE(MWSel,J285,J316,J357,J316+J379)</f>
        <v>47.7275</v>
      </c>
      <c r="K380" s="111" t="n">
        <f aca="false">CHOOSE(MWSel,K285,K316,K357,K316+K379)</f>
        <v>47.7275</v>
      </c>
      <c r="L380" s="111" t="n">
        <f aca="false">CHOOSE(MWSel,L285,L316,L357,L316+L379)</f>
        <v>59.09125</v>
      </c>
      <c r="M380" s="111" t="n">
        <f aca="false">CHOOSE(MWSel,M285,M316,M357,M316+M379)</f>
        <v>138.32595</v>
      </c>
      <c r="N380" s="111" t="n">
        <f aca="false">CHOOSE(MWSel,N285,N316,N357,N316+N379)</f>
        <v>170.9897</v>
      </c>
      <c r="O380" s="111" t="n">
        <f aca="false">CHOOSE(MWSel,O285,O316,O357,O316+O379)</f>
        <v>182.4897</v>
      </c>
      <c r="P380" s="33" t="n">
        <f aca="false">CHOOSE(MWSel,P285,P316,P357,P316+P379)</f>
        <v>216.9897</v>
      </c>
      <c r="Q380" s="33" t="n">
        <f aca="false">CHOOSE(MWSel,Q285,Q316,Q357,Q316+Q379)</f>
        <v>301.7195</v>
      </c>
      <c r="R380" s="33" t="n">
        <f aca="false">CHOOSE(MWSel,R285,R316,R357,R316+R379)</f>
        <v>453.79225</v>
      </c>
      <c r="S380" s="33" t="n">
        <f aca="false">CHOOSE(MWSel,S285,S316,S357,S316+S379)</f>
        <v>629.5368</v>
      </c>
      <c r="T380" s="33" t="n">
        <f aca="false">CHOOSE(MWSel,T285,T316,T357,T316+T379)</f>
        <v>812.6073</v>
      </c>
      <c r="U380" s="33" t="n">
        <f aca="false">CHOOSE(MWSel,U285,U316,U357,U316+U379)</f>
        <v>1081.9108</v>
      </c>
      <c r="V380" s="33" t="n">
        <f aca="false">CHOOSE(MWSel,V285,V316,V357,V316+V379)</f>
        <v>1172.9923</v>
      </c>
      <c r="W380" s="33" t="n">
        <f aca="false">CHOOSE(MWSel,W285,W316,W357,W316+W379)</f>
        <v>1326.4518</v>
      </c>
      <c r="X380" s="33" t="n">
        <f aca="false">CHOOSE(MWSel,X285,X316,X357,X316+X379)</f>
        <v>1338.9518</v>
      </c>
      <c r="Y380" s="33" t="n">
        <f aca="false">CHOOSE(MWSel,Y285,Y316,Y357,Y316+Y379)</f>
        <v>1652.7273</v>
      </c>
      <c r="Z380" s="33" t="n">
        <f aca="false">CHOOSE(MWSel,Z285,Z316,Z357,Z316+Z379)</f>
        <v>1652.7273</v>
      </c>
      <c r="AA380" s="33" t="n">
        <f aca="false">CHOOSE(MWSel,AA285,AA316,AA357,AA316+AA379)</f>
        <v>1963.8213</v>
      </c>
      <c r="AB380" s="33" t="n">
        <f aca="false">CHOOSE(MWSel,AB285,AB316,AB357,AB316+AB379)</f>
        <v>1963.8213</v>
      </c>
      <c r="AC380" s="33" t="n">
        <f aca="false">CHOOSE(MWSel,AC285,AC316,AC357,AC316+AC379)</f>
        <v>2409.3763</v>
      </c>
      <c r="AD380" s="33" t="n">
        <f aca="false">CHOOSE(MWSel,AD285,AD316,AD357,AD316+AD379)</f>
        <v>2409.3763</v>
      </c>
      <c r="AE380" s="33" t="n">
        <f aca="false">CHOOSE(MWSel,AE285,AE316,AE357,AE316+AE379)</f>
        <v>2409.3763</v>
      </c>
      <c r="AF380" s="33" t="n">
        <f aca="false">CHOOSE(MWSel,AF285,AF316,AF357,AF316+AF379)</f>
        <v>2409.3763</v>
      </c>
      <c r="AG380" s="33" t="n">
        <f aca="false">CHOOSE(MWSel,AG285,AG316,AG357,AG316+AG379)</f>
        <v>2841.0793</v>
      </c>
      <c r="AI380" s="33" t="n">
        <f aca="false">INDEX($F380:$AG380,1,MATCH(AI$7,$F$7:$AG$7,1))</f>
        <v>27.7275</v>
      </c>
      <c r="AJ380" s="33" t="n">
        <f aca="false">INDEX($F380:$AG380,1,MATCH(AJ$7,$F$7:$AG$7,1))</f>
        <v>138.32595</v>
      </c>
      <c r="AK380" s="33" t="n">
        <f aca="false">INDEX($F380:$AG380,1,MATCH(AK$7,$F$7:$AG$7,1))</f>
        <v>301.7195</v>
      </c>
      <c r="AL380" s="33" t="n">
        <f aca="false">INDEX($F380:$AG380,1,MATCH(AL$7,$F$7:$AG$7,1))</f>
        <v>1081.9108</v>
      </c>
      <c r="AM380" s="33" t="n">
        <f aca="false">INDEX($F380:$AG380,1,MATCH(AM$7,$F$7:$AG$7,1))</f>
        <v>1652.7273</v>
      </c>
      <c r="AN380" s="33" t="n">
        <f aca="false">INDEX($F380:$AG380,1,MATCH(AN$7,$F$7:$AG$7,1))</f>
        <v>2409.3763</v>
      </c>
      <c r="AO380" s="33" t="n">
        <f aca="false">INDEX($F380:$AG380,1,MATCH(AO$7,$F$7:$AG$7,1))</f>
        <v>2841.0793</v>
      </c>
    </row>
    <row r="381" customFormat="false" ht="15" hidden="false" customHeight="false" outlineLevel="0" collapsed="false">
      <c r="A381" s="107" t="s">
        <v>1754</v>
      </c>
      <c r="B381" s="22" t="s">
        <v>664</v>
      </c>
      <c r="C381" s="22" t="s">
        <v>540</v>
      </c>
      <c r="D381" s="22"/>
      <c r="F381" s="111" t="n">
        <f aca="false">CHOOSE(MWSel,F286,F317,F358,F317)</f>
        <v>22.7275</v>
      </c>
      <c r="G381" s="111" t="n">
        <f aca="false">CHOOSE(MWSel,G286,G317,G358,G317)</f>
        <v>22.7275</v>
      </c>
      <c r="H381" s="111" t="n">
        <f aca="false">CHOOSE(MWSel,H286,H317,H358,H317)</f>
        <v>22.7275</v>
      </c>
      <c r="I381" s="111" t="n">
        <f aca="false">CHOOSE(MWSel,I286,I317,I358,I317)</f>
        <v>22.7275</v>
      </c>
      <c r="J381" s="111" t="n">
        <f aca="false">CHOOSE(MWSel,J286,J317,J358,J317)</f>
        <v>22.7275</v>
      </c>
      <c r="K381" s="111" t="n">
        <f aca="false">CHOOSE(MWSel,K286,K317,K358,K317)</f>
        <v>22.7275</v>
      </c>
      <c r="L381" s="111" t="n">
        <f aca="false">CHOOSE(MWSel,L286,L317,L358,L317)</f>
        <v>34.09125</v>
      </c>
      <c r="M381" s="111" t="n">
        <f aca="false">CHOOSE(MWSel,M286,M317,M358,M317)</f>
        <v>56.81875</v>
      </c>
      <c r="N381" s="111" t="n">
        <f aca="false">CHOOSE(MWSel,N286,N317,N358,N317)</f>
        <v>68.1825</v>
      </c>
      <c r="O381" s="111" t="n">
        <f aca="false">CHOOSE(MWSel,O286,O317,O358,O317)</f>
        <v>68.1825</v>
      </c>
      <c r="P381" s="33" t="n">
        <f aca="false">CHOOSE(MWSel,P286,P317,P358,P317)</f>
        <v>68.1825</v>
      </c>
      <c r="Q381" s="33" t="n">
        <f aca="false">CHOOSE(MWSel,Q286,Q317,Q358,Q317)</f>
        <v>68.1825</v>
      </c>
      <c r="R381" s="33" t="n">
        <f aca="false">CHOOSE(MWSel,R286,R317,R358,R317)</f>
        <v>77.44125</v>
      </c>
      <c r="S381" s="33" t="n">
        <f aca="false">CHOOSE(MWSel,S286,S317,S358,S317)</f>
        <v>101.918</v>
      </c>
      <c r="T381" s="33" t="n">
        <f aca="false">CHOOSE(MWSel,T286,T317,T358,T317)</f>
        <v>172.6885</v>
      </c>
      <c r="U381" s="33" t="n">
        <f aca="false">CHOOSE(MWSel,U286,U317,U358,U317)</f>
        <v>325.34</v>
      </c>
      <c r="V381" s="33" t="n">
        <f aca="false">CHOOSE(MWSel,V286,V317,V358,V317)</f>
        <v>403.9215</v>
      </c>
      <c r="W381" s="33" t="n">
        <f aca="false">CHOOSE(MWSel,W286,W317,W358,W317)</f>
        <v>557.381</v>
      </c>
      <c r="X381" s="33" t="n">
        <f aca="false">CHOOSE(MWSel,X286,X317,X358,X317)</f>
        <v>557.381</v>
      </c>
      <c r="Y381" s="33" t="n">
        <f aca="false">CHOOSE(MWSel,Y286,Y317,Y358,Y317)</f>
        <v>825.0045</v>
      </c>
      <c r="Z381" s="33" t="n">
        <f aca="false">CHOOSE(MWSel,Z286,Z317,Z358,Z317)</f>
        <v>825.0045</v>
      </c>
      <c r="AA381" s="33" t="n">
        <f aca="false">CHOOSE(MWSel,AA286,AA317,AA358,AA317)</f>
        <v>1136.0985</v>
      </c>
      <c r="AB381" s="33" t="n">
        <f aca="false">CHOOSE(MWSel,AB286,AB317,AB358,AB317)</f>
        <v>1136.0985</v>
      </c>
      <c r="AC381" s="33" t="n">
        <f aca="false">CHOOSE(MWSel,AC286,AC317,AC358,AC317)</f>
        <v>1581.6535</v>
      </c>
      <c r="AD381" s="33" t="n">
        <f aca="false">CHOOSE(MWSel,AD286,AD317,AD358,AD317)</f>
        <v>1581.6535</v>
      </c>
      <c r="AE381" s="33" t="n">
        <f aca="false">CHOOSE(MWSel,AE286,AE317,AE358,AE317)</f>
        <v>1581.6535</v>
      </c>
      <c r="AF381" s="33" t="n">
        <f aca="false">CHOOSE(MWSel,AF286,AF317,AF358,AF317)</f>
        <v>1581.6535</v>
      </c>
      <c r="AG381" s="33" t="n">
        <f aca="false">CHOOSE(MWSel,AG286,AG317,AG358,AG317)</f>
        <v>2013.3565</v>
      </c>
      <c r="AI381" s="33" t="n">
        <f aca="false">INDEX($F381:$AG381,1,MATCH(AI$7,$F$7:$AG$7,1))</f>
        <v>22.7275</v>
      </c>
      <c r="AJ381" s="33" t="n">
        <f aca="false">INDEX($F381:$AG381,1,MATCH(AJ$7,$F$7:$AG$7,1))</f>
        <v>56.81875</v>
      </c>
      <c r="AK381" s="33" t="n">
        <f aca="false">INDEX($F381:$AG381,1,MATCH(AK$7,$F$7:$AG$7,1))</f>
        <v>68.1825</v>
      </c>
      <c r="AL381" s="33" t="n">
        <f aca="false">INDEX($F381:$AG381,1,MATCH(AL$7,$F$7:$AG$7,1))</f>
        <v>325.34</v>
      </c>
      <c r="AM381" s="33" t="n">
        <f aca="false">INDEX($F381:$AG381,1,MATCH(AM$7,$F$7:$AG$7,1))</f>
        <v>825.0045</v>
      </c>
      <c r="AN381" s="33" t="n">
        <f aca="false">INDEX($F381:$AG381,1,MATCH(AN$7,$F$7:$AG$7,1))</f>
        <v>1581.6535</v>
      </c>
      <c r="AO381" s="33" t="n">
        <f aca="false">INDEX($F381:$AG381,1,MATCH(AO$7,$F$7:$AG$7,1))</f>
        <v>2013.3565</v>
      </c>
    </row>
    <row r="382" customFormat="false" ht="15" hidden="false" customHeight="false" outlineLevel="0" collapsed="false">
      <c r="A382" s="107" t="s">
        <v>1755</v>
      </c>
      <c r="B382" s="22" t="s">
        <v>664</v>
      </c>
      <c r="C382" s="22" t="s">
        <v>558</v>
      </c>
      <c r="D382" s="22" t="s">
        <v>1756</v>
      </c>
      <c r="F382" s="116" t="n">
        <f aca="false">N(IF(F$5&lt;=LastHist,F238,CHOOSE(Scen,F241,F238,F235)))*$F$34</f>
        <v>0</v>
      </c>
      <c r="G382" s="116" t="n">
        <f aca="false">N(IF(G$5&lt;=LastHist,G238,CHOOSE(Scen,G241,G238,G235)))*$F$34</f>
        <v>0</v>
      </c>
      <c r="H382" s="116" t="n">
        <f aca="false">N(IF(H$5&lt;=LastHist,H238,CHOOSE(Scen,H241,H238,H235)))*$F$34</f>
        <v>0</v>
      </c>
      <c r="I382" s="116" t="n">
        <f aca="false">N(IF(I$5&lt;=LastHist,I238,CHOOSE(Scen,I241,I238,I235)))*$F$34</f>
        <v>0</v>
      </c>
      <c r="J382" s="116" t="n">
        <f aca="false">N(IF(J$5&lt;=LastHist,J238,CHOOSE(Scen,J241,J238,J235)))*$F$34</f>
        <v>0</v>
      </c>
      <c r="K382" s="116" t="n">
        <f aca="false">N(IF(K$5&lt;=LastHist,K238,CHOOSE(Scen,K241,K238,K235)))*$F$34</f>
        <v>0</v>
      </c>
      <c r="L382" s="116" t="n">
        <f aca="false">N(IF(L$5&lt;=LastHist,L238,CHOOSE(Scen,L241,L238,L235)))*$F$34</f>
        <v>0</v>
      </c>
      <c r="M382" s="116" t="n">
        <f aca="false">N(IF(M$5&lt;=LastHist,M238,CHOOSE(Scen,M241,M238,M235)))*$F$34</f>
        <v>0</v>
      </c>
      <c r="N382" s="116" t="n">
        <f aca="false">N(IF(N$5&lt;=LastHist,N238,CHOOSE(Scen,N241,N238,N235)))*$F$34</f>
        <v>0</v>
      </c>
      <c r="O382" s="116" t="n">
        <f aca="false">N(IF(O$5&lt;=LastHist,O238,CHOOSE(Scen,O241,O238,O235)))*$F$34</f>
        <v>0</v>
      </c>
      <c r="P382" s="36" t="n">
        <f aca="false">N(IF(P$5&lt;=LastHist,P238,CHOOSE(Scen,P241,P238,P235)))*$F$34</f>
        <v>0</v>
      </c>
      <c r="Q382" s="36" t="n">
        <f aca="false">N(IF(Q$5&lt;=LastHist,Q238,CHOOSE(Scen,Q241,Q238,Q235)))*$F$34</f>
        <v>0</v>
      </c>
      <c r="R382" s="36" t="n">
        <f aca="false">N(IF(R$5&lt;=LastHist,R238,CHOOSE(Scen,R241,R238,R235)))*$F$34</f>
        <v>0</v>
      </c>
      <c r="S382" s="36" t="n">
        <f aca="false">N(IF(S$5&lt;=LastHist,S238,CHOOSE(Scen,S241,S238,S235)))*$F$34</f>
        <v>0</v>
      </c>
      <c r="T382" s="36" t="n">
        <f aca="false">N(IF(T$5&lt;=LastHist,T238,CHOOSE(Scen,T241,T238,T235)))*$F$34</f>
        <v>12.5</v>
      </c>
      <c r="U382" s="36" t="n">
        <f aca="false">N(IF(U$5&lt;=LastHist,U238,CHOOSE(Scen,U241,U238,U235)))*$F$34</f>
        <v>25</v>
      </c>
      <c r="V382" s="36" t="n">
        <f aca="false">N(IF(V$5&lt;=LastHist,V238,CHOOSE(Scen,V241,V238,V235)))*$F$34</f>
        <v>37.5</v>
      </c>
      <c r="W382" s="36" t="n">
        <f aca="false">N(IF(W$5&lt;=LastHist,W238,CHOOSE(Scen,W241,W238,W235)))*$F$34</f>
        <v>37.5</v>
      </c>
      <c r="X382" s="36" t="n">
        <f aca="false">N(IF(X$5&lt;=LastHist,X238,CHOOSE(Scen,X241,X238,X235)))*$F$34</f>
        <v>50</v>
      </c>
      <c r="Y382" s="36" t="n">
        <f aca="false">N(IF(Y$5&lt;=LastHist,Y238,CHOOSE(Scen,Y241,Y238,Y235)))*$F$34</f>
        <v>50</v>
      </c>
      <c r="Z382" s="36" t="n">
        <f aca="false">N(IF(Z$5&lt;=LastHist,Z238,CHOOSE(Scen,Z241,Z238,Z235)))*$F$34</f>
        <v>50</v>
      </c>
      <c r="AA382" s="36" t="n">
        <f aca="false">N(IF(AA$5&lt;=LastHist,AA238,CHOOSE(Scen,AA241,AA238,AA235)))*$F$34</f>
        <v>50</v>
      </c>
      <c r="AB382" s="36" t="n">
        <f aca="false">N(IF(AB$5&lt;=LastHist,AB238,CHOOSE(Scen,AB241,AB238,AB235)))*$F$34</f>
        <v>50</v>
      </c>
      <c r="AC382" s="36" t="n">
        <f aca="false">N(IF(AC$5&lt;=LastHist,AC238,CHOOSE(Scen,AC241,AC238,AC235)))*$F$34</f>
        <v>50</v>
      </c>
      <c r="AD382" s="36" t="n">
        <f aca="false">N(IF(AD$5&lt;=LastHist,AD238,CHOOSE(Scen,AD241,AD238,AD235)))*$F$34</f>
        <v>50</v>
      </c>
      <c r="AE382" s="36" t="n">
        <f aca="false">N(IF(AE$5&lt;=LastHist,AE238,CHOOSE(Scen,AE241,AE238,AE235)))*$F$34</f>
        <v>50</v>
      </c>
      <c r="AF382" s="36" t="n">
        <f aca="false">N(IF(AF$5&lt;=LastHist,AF238,CHOOSE(Scen,AF241,AF238,AF235)))*$F$34</f>
        <v>50</v>
      </c>
      <c r="AG382" s="36" t="n">
        <f aca="false">N(IF(AG$5&lt;=LastHist,AG238,CHOOSE(Scen,AG241,AG238,AG235)))*$F$34</f>
        <v>50</v>
      </c>
      <c r="AI382" s="36" t="n">
        <f aca="false">INDEX($F382:$AG382,1,MATCH(AI$7,$F$7:$AG$7,1))</f>
        <v>0</v>
      </c>
      <c r="AJ382" s="36" t="n">
        <f aca="false">INDEX($F382:$AG382,1,MATCH(AJ$7,$F$7:$AG$7,1))</f>
        <v>0</v>
      </c>
      <c r="AK382" s="36" t="n">
        <f aca="false">INDEX($F382:$AG382,1,MATCH(AK$7,$F$7:$AG$7,1))</f>
        <v>0</v>
      </c>
      <c r="AL382" s="36" t="n">
        <f aca="false">INDEX($F382:$AG382,1,MATCH(AL$7,$F$7:$AG$7,1))</f>
        <v>25</v>
      </c>
      <c r="AM382" s="36" t="n">
        <f aca="false">INDEX($F382:$AG382,1,MATCH(AM$7,$F$7:$AG$7,1))</f>
        <v>50</v>
      </c>
      <c r="AN382" s="36" t="n">
        <f aca="false">INDEX($F382:$AG382,1,MATCH(AN$7,$F$7:$AG$7,1))</f>
        <v>50</v>
      </c>
      <c r="AO382" s="36" t="n">
        <f aca="false">INDEX($F382:$AG382,1,MATCH(AO$7,$F$7:$AG$7,1))</f>
        <v>50</v>
      </c>
    </row>
    <row r="383" customFormat="false" ht="15" hidden="false" customHeight="false" outlineLevel="0" collapsed="false">
      <c r="A383" s="107" t="s">
        <v>1757</v>
      </c>
      <c r="B383" s="22" t="s">
        <v>664</v>
      </c>
      <c r="C383" s="22" t="s">
        <v>1738</v>
      </c>
      <c r="D383" s="22"/>
      <c r="F383" s="116" t="n">
        <f aca="false">CoMWQ2-INDEX(EnBaseIT,1,LastHist)</f>
        <v>7.5103</v>
      </c>
    </row>
    <row r="384" customFormat="false" ht="15" hidden="false" customHeight="false" outlineLevel="0" collapsed="false">
      <c r="A384" s="3" t="s">
        <v>1758</v>
      </c>
      <c r="B384" s="22" t="s">
        <v>664</v>
      </c>
      <c r="C384" s="22" t="s">
        <v>540</v>
      </c>
      <c r="D384" s="22" t="s">
        <v>1759</v>
      </c>
      <c r="F384" s="118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18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18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18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18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18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18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18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18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18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107" t="s">
        <v>1760</v>
      </c>
      <c r="B385" s="22" t="s">
        <v>619</v>
      </c>
      <c r="C385" s="22" t="s">
        <v>540</v>
      </c>
      <c r="D385" s="22"/>
      <c r="F385" s="119" t="n">
        <f aca="false">IF(F380&gt;0,F381/F380,0)</f>
        <v>1</v>
      </c>
      <c r="G385" s="119" t="n">
        <f aca="false">IF(G380&gt;0,G381/G380,0)</f>
        <v>1</v>
      </c>
      <c r="H385" s="119" t="n">
        <f aca="false">IF(H380&gt;0,H381/H380,0)</f>
        <v>1</v>
      </c>
      <c r="I385" s="119" t="n">
        <f aca="false">IF(I380&gt;0,I381/I380,0)</f>
        <v>0.819673609232711</v>
      </c>
      <c r="J385" s="119" t="n">
        <f aca="false">IF(J380&gt;0,J381/J380,0)</f>
        <v>0.476192970509664</v>
      </c>
      <c r="K385" s="119" t="n">
        <f aca="false">IF(K380&gt;0,K381/K380,0)</f>
        <v>0.476192970509664</v>
      </c>
      <c r="L385" s="119" t="n">
        <f aca="false">IF(L380&gt;0,L381/L380,0)</f>
        <v>0.576925517737398</v>
      </c>
      <c r="M385" s="119" t="n">
        <f aca="false">IF(M380&gt;0,M381/M380,0)</f>
        <v>0.410759875496969</v>
      </c>
      <c r="N385" s="119" t="n">
        <f aca="false">IF(N380&gt;0,N381/N380,0)</f>
        <v>0.398752088576096</v>
      </c>
      <c r="O385" s="119" t="n">
        <f aca="false">IF(O380&gt;0,O381/O380,0)</f>
        <v>0.373623826440616</v>
      </c>
      <c r="P385" s="25" t="n">
        <f aca="false">IF(P380&gt;0,P381/P380,0)</f>
        <v>0.314219983713513</v>
      </c>
      <c r="Q385" s="25" t="n">
        <f aca="false">IF(Q380&gt;0,Q381/Q380,0)</f>
        <v>0.225979759346015</v>
      </c>
      <c r="R385" s="25" t="n">
        <f aca="false">IF(R380&gt;0,R381/R380,0)</f>
        <v>0.170653531434263</v>
      </c>
      <c r="S385" s="25" t="n">
        <f aca="false">IF(S380&gt;0,S381/S380,0)</f>
        <v>0.161893633541359</v>
      </c>
      <c r="T385" s="25" t="n">
        <f aca="false">IF(T380&gt;0,T381/T380,0)</f>
        <v>0.212511627695198</v>
      </c>
      <c r="U385" s="25" t="n">
        <f aca="false">IF(U380&gt;0,U381/U380,0)</f>
        <v>0.300708709072874</v>
      </c>
      <c r="V385" s="25" t="n">
        <f aca="false">IF(V380&gt;0,V381/V380,0)</f>
        <v>0.344351365307343</v>
      </c>
      <c r="W385" s="25" t="n">
        <f aca="false">IF(W380&gt;0,W381/W380,0)</f>
        <v>0.420204488395281</v>
      </c>
      <c r="X385" s="25" t="n">
        <f aca="false">IF(X380&gt;0,X381/X380,0)</f>
        <v>0.416281601772371</v>
      </c>
      <c r="Y385" s="25" t="n">
        <f aca="false">IF(Y380&gt;0,Y381/Y380,0)</f>
        <v>0.499177632026772</v>
      </c>
      <c r="Z385" s="25" t="n">
        <f aca="false">IF(Z380&gt;0,Z381/Z380,0)</f>
        <v>0.499177632026772</v>
      </c>
      <c r="AA385" s="25" t="n">
        <f aca="false">IF(AA380&gt;0,AA381/AA380,0)</f>
        <v>0.578514195767201</v>
      </c>
      <c r="AB385" s="25" t="n">
        <f aca="false">IF(AB380&gt;0,AB381/AB380,0)</f>
        <v>0.578514195767201</v>
      </c>
      <c r="AC385" s="25" t="n">
        <f aca="false">IF(AC380&gt;0,AC381/AC380,0)</f>
        <v>0.656457648396392</v>
      </c>
      <c r="AD385" s="25" t="n">
        <f aca="false">IF(AD380&gt;0,AD381/AD380,0)</f>
        <v>0.656457648396392</v>
      </c>
      <c r="AE385" s="25" t="n">
        <f aca="false">IF(AE380&gt;0,AE381/AE380,0)</f>
        <v>0.656457648396392</v>
      </c>
      <c r="AF385" s="25" t="n">
        <f aca="false">IF(AF380&gt;0,AF381/AF380,0)</f>
        <v>0.656457648396392</v>
      </c>
      <c r="AG385" s="25" t="n">
        <f aca="false">IF(AG380&gt;0,AG381/AG380,0)</f>
        <v>0.708659029686359</v>
      </c>
      <c r="AI385" s="25" t="n">
        <f aca="false">AVERAGEIF($F$7:$AG$7,AI$7,$F385:$AG385)</f>
        <v>0.954918402308178</v>
      </c>
      <c r="AJ385" s="25" t="n">
        <f aca="false">AVERAGEIF($F$7:$AG$7,AJ$7,$F385:$AG385)</f>
        <v>0.485017833563424</v>
      </c>
      <c r="AK385" s="25" t="n">
        <f aca="false">AVERAGEIF($F$7:$AG$7,AK$7,$F385:$AG385)</f>
        <v>0.32814391451906</v>
      </c>
      <c r="AL385" s="25" t="n">
        <f aca="false">AVERAGEIF($F$7:$AG$7,AL$7,$F385:$AG385)</f>
        <v>0.211441875435924</v>
      </c>
      <c r="AM385" s="25" t="n">
        <f aca="false">AVERAGEIF($F$7:$AG$7,AM$7,$F385:$AG385)</f>
        <v>0.420003771875442</v>
      </c>
      <c r="AN385" s="25" t="n">
        <f aca="false">AVERAGEIF($F$7:$AG$7,AN$7,$F385:$AG385)</f>
        <v>0.578165917989392</v>
      </c>
      <c r="AO385" s="25" t="n">
        <f aca="false">AVERAGEIF($F$7:$AG$7,AO$7,$F385:$AG385)</f>
        <v>0.669507993718884</v>
      </c>
    </row>
    <row r="386" customFormat="false" ht="15" hidden="false" customHeight="false" outlineLevel="0" collapsed="false">
      <c r="A386" s="107" t="s">
        <v>1761</v>
      </c>
      <c r="B386" s="22" t="s">
        <v>664</v>
      </c>
      <c r="C386" s="22" t="s">
        <v>540</v>
      </c>
      <c r="D386" s="22"/>
      <c r="F386" s="111" t="n">
        <f aca="false">F384*PUE</f>
        <v>28.409375</v>
      </c>
      <c r="G386" s="111" t="n">
        <f aca="false">G384*PUE</f>
        <v>28.409375</v>
      </c>
      <c r="H386" s="111" t="n">
        <f aca="false">H384*PUE</f>
        <v>28.409375</v>
      </c>
      <c r="I386" s="111" t="n">
        <f aca="false">I384*PUE</f>
        <v>34.659375</v>
      </c>
      <c r="J386" s="111" t="n">
        <f aca="false">J384*PUE</f>
        <v>59.659375</v>
      </c>
      <c r="K386" s="111" t="n">
        <f aca="false">K384*PUE</f>
        <v>59.659375</v>
      </c>
      <c r="L386" s="111" t="n">
        <f aca="false">L384*PUE</f>
        <v>73.8640625</v>
      </c>
      <c r="M386" s="111" t="n">
        <f aca="false">M384*PUE</f>
        <v>172.9074375</v>
      </c>
      <c r="N386" s="111" t="n">
        <f aca="false">N384*PUE</f>
        <v>213.737125</v>
      </c>
      <c r="O386" s="111" t="n">
        <f aca="false">O384*PUE</f>
        <v>228.112125</v>
      </c>
      <c r="P386" s="33" t="n">
        <f aca="false">P384*PUE</f>
        <v>228.112125</v>
      </c>
      <c r="Q386" s="33" t="n">
        <f aca="false">Q384*PUE</f>
        <v>271.237125</v>
      </c>
      <c r="R386" s="33" t="n">
        <f aca="false">R384*PUE</f>
        <v>377.149375</v>
      </c>
      <c r="S386" s="33" t="n">
        <f aca="false">S384*PUE</f>
        <v>567.2403125</v>
      </c>
      <c r="T386" s="33" t="n">
        <f aca="false">T384*PUE</f>
        <v>786.921</v>
      </c>
      <c r="U386" s="33" t="n">
        <f aca="false">U384*PUE</f>
        <v>1015.759125</v>
      </c>
      <c r="V386" s="33" t="n">
        <f aca="false">V384*PUE</f>
        <v>1352.3885</v>
      </c>
      <c r="W386" s="33" t="n">
        <f aca="false">W384*PUE</f>
        <v>1466.240375</v>
      </c>
      <c r="X386" s="33" t="n">
        <f aca="false">X384*PUE</f>
        <v>1658.06475</v>
      </c>
      <c r="Y386" s="33" t="n">
        <f aca="false">Y384*PUE</f>
        <v>1673.68975</v>
      </c>
      <c r="Z386" s="33" t="n">
        <f aca="false">Z384*PUE</f>
        <v>2065.909125</v>
      </c>
      <c r="AA386" s="33" t="n">
        <f aca="false">AA384*PUE</f>
        <v>2065.909125</v>
      </c>
      <c r="AB386" s="33" t="n">
        <f aca="false">AB384*PUE</f>
        <v>2454.776625</v>
      </c>
      <c r="AC386" s="33" t="n">
        <f aca="false">AC384*PUE</f>
        <v>2454.776625</v>
      </c>
      <c r="AD386" s="33" t="n">
        <f aca="false">AD384*PUE</f>
        <v>3011.720375</v>
      </c>
      <c r="AE386" s="33" t="n">
        <f aca="false">AE384*PUE</f>
        <v>3011.720375</v>
      </c>
      <c r="AF386" s="33" t="n">
        <f aca="false">AF384*PUE</f>
        <v>3011.720375</v>
      </c>
      <c r="AG386" s="33" t="n">
        <f aca="false">AG384*PUE</f>
        <v>3011.720375</v>
      </c>
      <c r="AI386" s="33" t="n">
        <f aca="false">INDEX($F386:$AG386,1,MATCH(AI$7,$F$7:$AG$7,1))</f>
        <v>34.659375</v>
      </c>
      <c r="AJ386" s="33" t="n">
        <f aca="false">INDEX($F386:$AG386,1,MATCH(AJ$7,$F$7:$AG$7,1))</f>
        <v>172.9074375</v>
      </c>
      <c r="AK386" s="33" t="n">
        <f aca="false">INDEX($F386:$AG386,1,MATCH(AK$7,$F$7:$AG$7,1))</f>
        <v>271.237125</v>
      </c>
      <c r="AL386" s="33" t="n">
        <f aca="false">INDEX($F386:$AG386,1,MATCH(AL$7,$F$7:$AG$7,1))</f>
        <v>1015.759125</v>
      </c>
      <c r="AM386" s="33" t="n">
        <f aca="false">INDEX($F386:$AG386,1,MATCH(AM$7,$F$7:$AG$7,1))</f>
        <v>1673.68975</v>
      </c>
      <c r="AN386" s="33" t="n">
        <f aca="false">INDEX($F386:$AG386,1,MATCH(AN$7,$F$7:$AG$7,1))</f>
        <v>2454.776625</v>
      </c>
      <c r="AO386" s="33" t="n">
        <f aca="false">INDEX($F386:$AG386,1,MATCH(AO$7,$F$7:$AG$7,1))</f>
        <v>3011.720375</v>
      </c>
    </row>
    <row r="387" customFormat="false" ht="15" hidden="false" customHeight="false" outlineLevel="0" collapsed="false">
      <c r="A387" s="107" t="s">
        <v>1762</v>
      </c>
      <c r="B387" s="22" t="s">
        <v>664</v>
      </c>
      <c r="C387" s="22" t="s">
        <v>540</v>
      </c>
      <c r="D387" s="22"/>
      <c r="F387" s="111" t="n">
        <f aca="false">F285</f>
        <v>0</v>
      </c>
      <c r="G387" s="111" t="n">
        <f aca="false">G285</f>
        <v>0</v>
      </c>
      <c r="H387" s="111" t="n">
        <f aca="false">H285</f>
        <v>5</v>
      </c>
      <c r="I387" s="111" t="n">
        <f aca="false">I285</f>
        <v>123.1825</v>
      </c>
      <c r="J387" s="111" t="n">
        <f aca="false">J285</f>
        <v>423.1825</v>
      </c>
      <c r="K387" s="111" t="n">
        <f aca="false">K285</f>
        <v>443.4897</v>
      </c>
      <c r="L387" s="111" t="n">
        <f aca="false">L285</f>
        <v>665.6997</v>
      </c>
      <c r="M387" s="111" t="n">
        <f aca="false">M285</f>
        <v>1600</v>
      </c>
      <c r="N387" s="111" t="n">
        <f aca="false">N285</f>
        <v>2200</v>
      </c>
      <c r="O387" s="111" t="n">
        <f aca="false">O285</f>
        <v>3102.7433</v>
      </c>
      <c r="P387" s="33" t="n">
        <f aca="false">P285</f>
        <v>3400</v>
      </c>
      <c r="Q387" s="33" t="n">
        <f aca="false">Q285</f>
        <v>4000</v>
      </c>
      <c r="R387" s="33" t="n">
        <f aca="false">R285</f>
        <v>4000</v>
      </c>
      <c r="S387" s="33" t="n">
        <f aca="false">S285</f>
        <v>4000</v>
      </c>
      <c r="T387" s="33" t="n">
        <f aca="false">T285</f>
        <v>4000</v>
      </c>
      <c r="U387" s="33" t="n">
        <f aca="false">U285</f>
        <v>4000</v>
      </c>
      <c r="V387" s="33" t="n">
        <f aca="false">V285</f>
        <v>4000</v>
      </c>
      <c r="W387" s="33" t="n">
        <f aca="false">W285</f>
        <v>4000</v>
      </c>
      <c r="X387" s="33" t="n">
        <f aca="false">X285</f>
        <v>4000</v>
      </c>
      <c r="Y387" s="33" t="n">
        <f aca="false">Y285</f>
        <v>4000</v>
      </c>
      <c r="Z387" s="33" t="n">
        <f aca="false">Z285</f>
        <v>4000</v>
      </c>
      <c r="AA387" s="33" t="n">
        <f aca="false">AA285</f>
        <v>4000</v>
      </c>
      <c r="AB387" s="33" t="n">
        <f aca="false">AB285</f>
        <v>4000</v>
      </c>
      <c r="AC387" s="33" t="n">
        <f aca="false">AC285</f>
        <v>4000</v>
      </c>
      <c r="AD387" s="33" t="n">
        <f aca="false">AD285</f>
        <v>4000</v>
      </c>
      <c r="AE387" s="33" t="n">
        <f aca="false">AE285</f>
        <v>4000</v>
      </c>
      <c r="AF387" s="33" t="n">
        <f aca="false">AF285</f>
        <v>4000</v>
      </c>
      <c r="AG387" s="33" t="n">
        <f aca="false">AG285</f>
        <v>4000</v>
      </c>
      <c r="AI387" s="33" t="n">
        <f aca="false">INDEX($F387:$AG387,1,MATCH(AI$7,$F$7:$AG$7,1))</f>
        <v>123.1825</v>
      </c>
      <c r="AJ387" s="33" t="n">
        <f aca="false">INDEX($F387:$AG387,1,MATCH(AJ$7,$F$7:$AG$7,1))</f>
        <v>1600</v>
      </c>
      <c r="AK387" s="33" t="n">
        <f aca="false">INDEX($F387:$AG387,1,MATCH(AK$7,$F$7:$AG$7,1))</f>
        <v>4000</v>
      </c>
      <c r="AL387" s="33" t="n">
        <f aca="false">INDEX($F387:$AG387,1,MATCH(AL$7,$F$7:$AG$7,1))</f>
        <v>4000</v>
      </c>
      <c r="AM387" s="33" t="n">
        <f aca="false">INDEX($F387:$AG387,1,MATCH(AM$7,$F$7:$AG$7,1))</f>
        <v>4000</v>
      </c>
      <c r="AN387" s="33" t="n">
        <f aca="false">INDEX($F387:$AG387,1,MATCH(AN$7,$F$7:$AG$7,1))</f>
        <v>4000</v>
      </c>
      <c r="AO387" s="33" t="n">
        <f aca="false">INDEX($F387:$AG387,1,MATCH(AO$7,$F$7:$AG$7,1))</f>
        <v>4000</v>
      </c>
    </row>
    <row r="388" customFormat="false" ht="15" hidden="false" customHeight="false" outlineLevel="0" collapsed="false">
      <c r="A388" s="107" t="s">
        <v>1763</v>
      </c>
      <c r="B388" s="22" t="s">
        <v>544</v>
      </c>
      <c r="C388" s="22" t="s">
        <v>540</v>
      </c>
      <c r="D388" s="22"/>
      <c r="F388" s="120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1764</v>
      </c>
    </row>
    <row r="2" customFormat="false" ht="15" hidden="false" customHeight="false" outlineLevel="0" collapsed="false">
      <c r="A2" s="22" t="s">
        <v>1765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1766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3" t="s">
        <v>1767</v>
      </c>
      <c r="B11" s="3" t="s">
        <v>1768</v>
      </c>
      <c r="C11" s="3" t="s">
        <v>1769</v>
      </c>
      <c r="D11" s="3" t="s">
        <v>1770</v>
      </c>
      <c r="E11" s="3" t="s">
        <v>1771</v>
      </c>
      <c r="F11" s="3" t="s">
        <v>1772</v>
      </c>
      <c r="G11" s="3" t="s">
        <v>1773</v>
      </c>
      <c r="H11" s="3" t="s">
        <v>1774</v>
      </c>
      <c r="I11" s="3" t="s">
        <v>535</v>
      </c>
      <c r="J11" s="3" t="s">
        <v>1775</v>
      </c>
    </row>
    <row r="12" customFormat="false" ht="15" hidden="false" customHeight="false" outlineLevel="0" collapsed="false">
      <c r="A12" s="0" t="s">
        <v>1776</v>
      </c>
      <c r="B12" s="0" t="s">
        <v>1777</v>
      </c>
      <c r="C12" s="66" t="n">
        <v>3.85</v>
      </c>
      <c r="D12" s="66" t="n">
        <v>4.5</v>
      </c>
      <c r="E12" s="66" t="n">
        <v>0.79</v>
      </c>
      <c r="F12" s="23" t="n">
        <f aca="false">D12*(1-ResDisc)</f>
        <v>2.925</v>
      </c>
      <c r="G12" s="69" t="n">
        <v>0.5</v>
      </c>
      <c r="H12" s="0" t="s">
        <v>552</v>
      </c>
      <c r="I12" s="22" t="s">
        <v>1778</v>
      </c>
      <c r="J12" s="23" t="n">
        <f aca="false">ODq_H100</f>
        <v>3.25</v>
      </c>
    </row>
    <row r="13" customFormat="false" ht="15" hidden="false" customHeight="false" outlineLevel="0" collapsed="false">
      <c r="A13" s="0" t="s">
        <v>1779</v>
      </c>
      <c r="B13" s="0" t="s">
        <v>1777</v>
      </c>
      <c r="C13" s="66" t="n">
        <v>4.5</v>
      </c>
      <c r="D13" s="66" t="n">
        <v>5.4</v>
      </c>
      <c r="E13" s="66" t="n">
        <v>0.79</v>
      </c>
      <c r="F13" s="23" t="n">
        <f aca="false">D13*(1-ResDisc)</f>
        <v>3.51</v>
      </c>
      <c r="G13" s="69" t="n">
        <v>0.5</v>
      </c>
      <c r="H13" s="0" t="s">
        <v>552</v>
      </c>
      <c r="I13" s="22" t="s">
        <v>1780</v>
      </c>
      <c r="J13" s="23" t="n">
        <f aca="false">C13</f>
        <v>4.5</v>
      </c>
    </row>
    <row r="14" customFormat="false" ht="15" hidden="false" customHeight="false" outlineLevel="0" collapsed="false">
      <c r="A14" s="0" t="s">
        <v>1781</v>
      </c>
      <c r="B14" s="0" t="s">
        <v>1782</v>
      </c>
      <c r="C14" s="66" t="n">
        <v>7.15</v>
      </c>
      <c r="D14" s="66" t="n">
        <v>8.5</v>
      </c>
      <c r="E14" s="66" t="n">
        <v>0.99</v>
      </c>
      <c r="F14" s="23" t="n">
        <f aca="false">D14*(1-ResDisc)</f>
        <v>5.525</v>
      </c>
      <c r="G14" s="69" t="n">
        <v>0.25</v>
      </c>
      <c r="H14" s="0" t="s">
        <v>552</v>
      </c>
      <c r="I14" s="22" t="s">
        <v>1780</v>
      </c>
      <c r="J14" s="23" t="n">
        <f aca="false">C14</f>
        <v>7.15</v>
      </c>
    </row>
    <row r="15" customFormat="false" ht="15" hidden="false" customHeight="false" outlineLevel="0" collapsed="false">
      <c r="A15" s="0" t="s">
        <v>1783</v>
      </c>
      <c r="B15" s="0" t="s">
        <v>1782</v>
      </c>
      <c r="C15" s="66" t="n">
        <v>7.85</v>
      </c>
      <c r="D15" s="66" t="n">
        <v>9.5</v>
      </c>
      <c r="E15" s="66" t="n">
        <v>0.99</v>
      </c>
      <c r="F15" s="23" t="n">
        <f aca="false">D15*(1-ResDisc)</f>
        <v>6.175</v>
      </c>
      <c r="G15" s="69" t="n">
        <v>0.25</v>
      </c>
      <c r="H15" s="0" t="s">
        <v>552</v>
      </c>
      <c r="I15" s="22" t="s">
        <v>1780</v>
      </c>
      <c r="J15" s="23" t="n">
        <f aca="false">C15</f>
        <v>7.85</v>
      </c>
    </row>
    <row r="16" customFormat="false" ht="15" hidden="false" customHeight="false" outlineLevel="0" collapsed="false">
      <c r="A16" s="0" t="s">
        <v>1784</v>
      </c>
      <c r="B16" s="0" t="s">
        <v>1782</v>
      </c>
      <c r="C16" s="92" t="n">
        <f aca="false">C15*GB_Prem</f>
        <v>9.577</v>
      </c>
      <c r="D16" s="92" t="n">
        <f aca="false">D15*GB_Prem</f>
        <v>11.59</v>
      </c>
      <c r="E16" s="92" t="n">
        <f aca="false">E15</f>
        <v>0.99</v>
      </c>
      <c r="F16" s="23" t="n">
        <f aca="false">D16*(1-ResDisc)</f>
        <v>7.5335</v>
      </c>
      <c r="G16" s="69" t="n">
        <v>0.25</v>
      </c>
      <c r="H16" s="0" t="s">
        <v>1085</v>
      </c>
      <c r="I16" s="22" t="s">
        <v>1785</v>
      </c>
      <c r="J16" s="23" t="n">
        <f aca="false">C16</f>
        <v>9.577</v>
      </c>
    </row>
    <row r="17" customFormat="false" ht="15" hidden="false" customHeight="false" outlineLevel="0" collapsed="false">
      <c r="A17" s="0" t="s">
        <v>1430</v>
      </c>
      <c r="B17" s="0" t="s">
        <v>1782</v>
      </c>
      <c r="C17" s="92" t="n">
        <f aca="false">C15*GB_Prem</f>
        <v>9.577</v>
      </c>
      <c r="D17" s="92" t="n">
        <f aca="false">D15*GB_Prem</f>
        <v>11.59</v>
      </c>
      <c r="E17" s="92" t="n">
        <f aca="false">E15</f>
        <v>0.99</v>
      </c>
      <c r="F17" s="23" t="n">
        <f aca="false">D17*(1-ResDisc)</f>
        <v>7.5335</v>
      </c>
      <c r="G17" s="69" t="n">
        <v>0.25</v>
      </c>
      <c r="H17" s="0" t="s">
        <v>1085</v>
      </c>
      <c r="I17" s="22" t="s">
        <v>1786</v>
      </c>
      <c r="J17" s="23" t="n">
        <f aca="false">C17</f>
        <v>9.577</v>
      </c>
    </row>
    <row r="18" customFormat="false" ht="15" hidden="false" customHeight="false" outlineLevel="0" collapsed="false">
      <c r="A18" s="0" t="s">
        <v>1787</v>
      </c>
      <c r="B18" s="0" t="s">
        <v>1788</v>
      </c>
      <c r="C18" s="92" t="n">
        <f aca="false">C15*Rubin_Prem*GB_Prem</f>
        <v>11.4924</v>
      </c>
      <c r="D18" s="92" t="n">
        <f aca="false">D15*Rubin_Prem*GB_Prem</f>
        <v>13.908</v>
      </c>
      <c r="E18" s="92" t="n">
        <f aca="false">E15</f>
        <v>0.99</v>
      </c>
      <c r="F18" s="23" t="n">
        <f aca="false">D18*(1-ResDisc)</f>
        <v>9.0402</v>
      </c>
      <c r="G18" s="69" t="n">
        <v>1</v>
      </c>
      <c r="H18" s="0" t="s">
        <v>1085</v>
      </c>
      <c r="I18" s="22" t="s">
        <v>1789</v>
      </c>
      <c r="J18" s="23" t="n">
        <f aca="false">C18</f>
        <v>11.4924</v>
      </c>
    </row>
    <row r="20" customFormat="false" ht="15" hidden="false" customHeight="false" outlineLevel="0" collapsed="false">
      <c r="A20" s="3" t="s">
        <v>1790</v>
      </c>
      <c r="B20" s="3" t="s">
        <v>1768</v>
      </c>
      <c r="C20" s="3" t="s">
        <v>1791</v>
      </c>
      <c r="D20" s="3" t="s">
        <v>1792</v>
      </c>
      <c r="E20" s="3" t="s">
        <v>1793</v>
      </c>
      <c r="F20" s="3" t="s">
        <v>1794</v>
      </c>
    </row>
    <row r="21" customFormat="false" ht="15" hidden="false" customHeight="false" outlineLevel="0" collapsed="false">
      <c r="A21" s="0" t="s">
        <v>1795</v>
      </c>
      <c r="B21" s="0" t="s">
        <v>1777</v>
      </c>
      <c r="C21" s="23" t="n">
        <f aca="false">SUMPRODUCT(($B$12:$B$18=$B21)*C$12:C$18*$G$12:$G$18)/SUMIF($B$12:$B$18,$B21,$G$12:$G$18)</f>
        <v>4.175</v>
      </c>
      <c r="D21" s="23" t="n">
        <f aca="false">SUMPRODUCT(($B$12:$B$18=$B21)*D$12:D$18*$G$12:$G$18)/SUMIF($B$12:$B$18,$B21,$G$12:$G$18)</f>
        <v>4.95</v>
      </c>
      <c r="E21" s="23" t="n">
        <f aca="false">SUMPRODUCT(($B$12:$B$18=$B21)*E$12:E$18*$G$12:$G$18)/SUMIF($B$12:$B$18,$B21,$G$12:$G$18)</f>
        <v>0.79</v>
      </c>
      <c r="F21" s="23" t="n">
        <f aca="false">SUMPRODUCT(($B$12:$B$18=$B21)*F$12:F$18*$G$12:$G$18)/SUMIF($B$12:$B$18,$B21,$G$12:$G$18)</f>
        <v>3.2175</v>
      </c>
      <c r="J21" s="23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1796</v>
      </c>
      <c r="B22" s="0" t="s">
        <v>1782</v>
      </c>
      <c r="C22" s="23" t="n">
        <f aca="false">SUMPRODUCT(($B$12:$B$18=$B22)*C$12:C$18*$G$12:$G$18)/SUMIF($B$12:$B$18,$B22,$G$12:$G$18)</f>
        <v>8.5385</v>
      </c>
      <c r="D22" s="23" t="n">
        <f aca="false">SUMPRODUCT(($B$12:$B$18=$B22)*D$12:D$18*$G$12:$G$18)/SUMIF($B$12:$B$18,$B22,$G$12:$G$18)</f>
        <v>10.295</v>
      </c>
      <c r="E22" s="23" t="n">
        <f aca="false">SUMPRODUCT(($B$12:$B$18=$B22)*E$12:E$18*$G$12:$G$18)/SUMIF($B$12:$B$18,$B22,$G$12:$G$18)</f>
        <v>0.99</v>
      </c>
      <c r="F22" s="23" t="n">
        <f aca="false">SUMPRODUCT(($B$12:$B$18=$B22)*F$12:F$18*$G$12:$G$18)/SUMIF($B$12:$B$18,$B22,$G$12:$G$18)</f>
        <v>6.69175</v>
      </c>
      <c r="J22" s="23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1797</v>
      </c>
      <c r="B23" s="0" t="s">
        <v>1788</v>
      </c>
      <c r="C23" s="23" t="n">
        <f aca="false">SUMPRODUCT(($B$12:$B$18=$B23)*C$12:C$18*$G$12:$G$18)/SUMIF($B$12:$B$18,$B23,$G$12:$G$18)</f>
        <v>11.4924</v>
      </c>
      <c r="D23" s="23" t="n">
        <f aca="false">SUMPRODUCT(($B$12:$B$18=$B23)*D$12:D$18*$G$12:$G$18)/SUMIF($B$12:$B$18,$B23,$G$12:$G$18)</f>
        <v>13.908</v>
      </c>
      <c r="E23" s="23" t="n">
        <f aca="false">SUMPRODUCT(($B$12:$B$18=$B23)*E$12:E$18*$G$12:$G$18)/SUMIF($B$12:$B$18,$B23,$G$12:$G$18)</f>
        <v>0.99</v>
      </c>
      <c r="F23" s="23" t="n">
        <f aca="false">SUMPRODUCT(($B$12:$B$18=$B23)*F$12:F$18*$G$12:$G$18)/SUMIF($B$12:$B$18,$B23,$G$12:$G$18)</f>
        <v>9.0402</v>
      </c>
      <c r="J23" s="23" t="n">
        <f aca="false">SUMPRODUCT(($B$12:$B$18=$B23)*J$12:J$18*$G$12:$G$18)/SUMIF($B$12:$B$18,$B23,$G$12:$G$18)</f>
        <v>11.4924</v>
      </c>
    </row>
    <row r="25" customFormat="false" ht="15" hidden="false" customHeight="false" outlineLevel="0" collapsed="false">
      <c r="A25" s="58" t="s">
        <v>1798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</row>
    <row r="26" customFormat="false" ht="15" hidden="false" customHeight="false" outlineLevel="0" collapsed="false">
      <c r="A26" s="107" t="s">
        <v>1799</v>
      </c>
      <c r="B26" s="22" t="s">
        <v>644</v>
      </c>
      <c r="C26" s="22" t="s">
        <v>626</v>
      </c>
      <c r="D26" s="22"/>
      <c r="F26" s="121" t="n">
        <f aca="false">IF(AND(RepriceOn=1,F$5&lt;=LastHist),ODq_H,IF(F$5&lt;PxBaseIdx,ODp_H,ODc_H))*IF(F$5&gt;LastHist,PxMult,1)*(1+PxChg_H)^(MAX(0,F$5-PxBaseIdx)/4)</f>
        <v>3.875</v>
      </c>
      <c r="G26" s="121" t="n">
        <f aca="false">IF(AND(RepriceOn=1,G$5&lt;=LastHist),ODq_H,IF(G$5&lt;PxBaseIdx,ODp_H,ODc_H))*IF(G$5&gt;LastHist,PxMult,1)*(1+PxChg_H)^(MAX(0,G$5-PxBaseIdx)/4)</f>
        <v>3.875</v>
      </c>
      <c r="H26" s="121" t="n">
        <f aca="false">IF(AND(RepriceOn=1,H$5&lt;=LastHist),ODq_H,IF(H$5&lt;PxBaseIdx,ODp_H,ODc_H))*IF(H$5&gt;LastHist,PxMult,1)*(1+PxChg_H)^(MAX(0,H$5-PxBaseIdx)/4)</f>
        <v>3.875</v>
      </c>
      <c r="I26" s="121" t="n">
        <f aca="false">IF(AND(RepriceOn=1,I$5&lt;=LastHist),ODq_H,IF(I$5&lt;PxBaseIdx,ODp_H,ODc_H))*IF(I$5&gt;LastHist,PxMult,1)*(1+PxChg_H)^(MAX(0,I$5-PxBaseIdx)/4)</f>
        <v>3.875</v>
      </c>
      <c r="J26" s="121" t="n">
        <f aca="false">IF(AND(RepriceOn=1,J$5&lt;=LastHist),ODq_H,IF(J$5&lt;PxBaseIdx,ODp_H,ODc_H))*IF(J$5&gt;LastHist,PxMult,1)*(1+PxChg_H)^(MAX(0,J$5-PxBaseIdx)/4)</f>
        <v>3.875</v>
      </c>
      <c r="K26" s="121" t="n">
        <f aca="false">IF(AND(RepriceOn=1,K$5&lt;=LastHist),ODq_H,IF(K$5&lt;PxBaseIdx,ODp_H,ODc_H))*IF(K$5&gt;LastHist,PxMult,1)*(1+PxChg_H)^(MAX(0,K$5-PxBaseIdx)/4)</f>
        <v>3.875</v>
      </c>
      <c r="L26" s="121" t="n">
        <f aca="false">IF(AND(RepriceOn=1,L$5&lt;=LastHist),ODq_H,IF(L$5&lt;PxBaseIdx,ODp_H,ODc_H))*IF(L$5&gt;LastHist,PxMult,1)*(1+PxChg_H)^(MAX(0,L$5-PxBaseIdx)/4)</f>
        <v>3.875</v>
      </c>
      <c r="M26" s="121" t="n">
        <f aca="false">IF(AND(RepriceOn=1,M$5&lt;=LastHist),ODq_H,IF(M$5&lt;PxBaseIdx,ODp_H,ODc_H))*IF(M$5&gt;LastHist,PxMult,1)*(1+PxChg_H)^(MAX(0,M$5-PxBaseIdx)/4)</f>
        <v>3.875</v>
      </c>
      <c r="N26" s="121" t="n">
        <f aca="false">IF(AND(RepriceOn=1,N$5&lt;=LastHist),ODq_H,IF(N$5&lt;PxBaseIdx,ODp_H,ODc_H))*IF(N$5&gt;LastHist,PxMult,1)*(1+PxChg_H)^(MAX(0,N$5-PxBaseIdx)/4)</f>
        <v>3.875</v>
      </c>
      <c r="O26" s="121" t="n">
        <f aca="false">IF(AND(RepriceOn=1,O$5&lt;=LastHist),ODq_H,IF(O$5&lt;PxBaseIdx,ODp_H,ODc_H))*IF(O$5&gt;LastHist,PxMult,1)*(1+PxChg_H)^(MAX(0,O$5-PxBaseIdx)/4)</f>
        <v>3.875</v>
      </c>
      <c r="P26" s="23" t="n">
        <f aca="false">IF(AND(RepriceOn=1,P$5&lt;=LastHist),ODq_H,IF(P$5&lt;PxBaseIdx,ODp_H,ODc_H))*IF(P$5&gt;LastHist,PxMult,1)*(1+PxChg_H)^(MAX(0,P$5-PxBaseIdx)/4)</f>
        <v>4.175</v>
      </c>
      <c r="Q26" s="23" t="n">
        <f aca="false">IF(AND(RepriceOn=1,Q$5&lt;=LastHist),ODq_H,IF(Q$5&lt;PxBaseIdx,ODp_H,ODc_H))*IF(Q$5&gt;LastHist,PxMult,1)*(1+PxChg_H)^(MAX(0,Q$5-PxBaseIdx)/4)</f>
        <v>4.95</v>
      </c>
      <c r="R26" s="23" t="n">
        <f aca="false">IF(AND(RepriceOn=1,R$5&lt;=LastHist),ODq_H,IF(R$5&lt;PxBaseIdx,ODp_H,ODc_H))*IF(R$5&gt;LastHist,PxMult,1)*(1+PxChg_H)^(MAX(0,R$5-PxBaseIdx)/4)</f>
        <v>4.75291371755073</v>
      </c>
      <c r="S26" s="23" t="n">
        <f aca="false">IF(AND(RepriceOn=1,S$5&lt;=LastHist),ODq_H,IF(S$5&lt;PxBaseIdx,ODp_H,ODc_H))*IF(S$5&gt;LastHist,PxMult,1)*(1+PxChg_H)^(MAX(0,S$5-PxBaseIdx)/4)</f>
        <v>4.56367450635998</v>
      </c>
      <c r="T26" s="23" t="n">
        <f aca="false">IF(AND(RepriceOn=1,T$5&lt;=LastHist),ODq_H,IF(T$5&lt;PxBaseIdx,ODp_H,ODc_H))*IF(T$5&gt;LastHist,PxMult,1)*(1+PxChg_H)^(MAX(0,T$5-PxBaseIdx)/4)</f>
        <v>4.38196993206362</v>
      </c>
      <c r="U26" s="23" t="n">
        <f aca="false">IF(AND(RepriceOn=1,U$5&lt;=LastHist),ODq_H,IF(U$5&lt;PxBaseIdx,ODp_H,ODc_H))*IF(U$5&gt;LastHist,PxMult,1)*(1+PxChg_H)^(MAX(0,U$5-PxBaseIdx)/4)</f>
        <v>4.2075</v>
      </c>
      <c r="V26" s="23" t="n">
        <f aca="false">IF(AND(RepriceOn=1,V$5&lt;=LastHist),ODq_H,IF(V$5&lt;PxBaseIdx,ODp_H,ODc_H))*IF(V$5&gt;LastHist,PxMult,1)*(1+PxChg_H)^(MAX(0,V$5-PxBaseIdx)/4)</f>
        <v>4.03997665991812</v>
      </c>
      <c r="W26" s="23" t="n">
        <f aca="false">IF(AND(RepriceOn=1,W$5&lt;=LastHist),ODq_H,IF(W$5&lt;PxBaseIdx,ODp_H,ODc_H))*IF(W$5&gt;LastHist,PxMult,1)*(1+PxChg_H)^(MAX(0,W$5-PxBaseIdx)/4)</f>
        <v>3.87912333040598</v>
      </c>
      <c r="X26" s="23" t="n">
        <f aca="false">IF(AND(RepriceOn=1,X$5&lt;=LastHist),ODq_H,IF(X$5&lt;PxBaseIdx,ODp_H,ODc_H))*IF(X$5&gt;LastHist,PxMult,1)*(1+PxChg_H)^(MAX(0,X$5-PxBaseIdx)/4)</f>
        <v>3.72467444225407</v>
      </c>
      <c r="Y26" s="23" t="n">
        <f aca="false">IF(AND(RepriceOn=1,Y$5&lt;=LastHist),ODq_H,IF(Y$5&lt;PxBaseIdx,ODp_H,ODc_H))*IF(Y$5&gt;LastHist,PxMult,1)*(1+PxChg_H)^(MAX(0,Y$5-PxBaseIdx)/4)</f>
        <v>3.576375</v>
      </c>
      <c r="Z26" s="23" t="n">
        <f aca="false">IF(AND(RepriceOn=1,Z$5&lt;=LastHist),ODq_H,IF(Z$5&lt;PxBaseIdx,ODp_H,ODc_H))*IF(Z$5&gt;LastHist,PxMult,1)*(1+PxChg_H)^(MAX(0,Z$5-PxBaseIdx)/4)</f>
        <v>3.4339801609304</v>
      </c>
      <c r="AA26" s="23" t="n">
        <f aca="false">IF(AND(RepriceOn=1,AA$5&lt;=LastHist),ODq_H,IF(AA$5&lt;PxBaseIdx,ODp_H,ODc_H))*IF(AA$5&gt;LastHist,PxMult,1)*(1+PxChg_H)^(MAX(0,AA$5-PxBaseIdx)/4)</f>
        <v>3.29725483084509</v>
      </c>
      <c r="AB26" s="23" t="n">
        <f aca="false">IF(AND(RepriceOn=1,AB$5&lt;=LastHist),ODq_H,IF(AB$5&lt;PxBaseIdx,ODp_H,ODc_H))*IF(AB$5&gt;LastHist,PxMult,1)*(1+PxChg_H)^(MAX(0,AB$5-PxBaseIdx)/4)</f>
        <v>3.16597327591596</v>
      </c>
      <c r="AC26" s="23" t="n">
        <f aca="false">IF(AND(RepriceOn=1,AC$5&lt;=LastHist),ODq_H,IF(AC$5&lt;PxBaseIdx,ODp_H,ODc_H))*IF(AC$5&gt;LastHist,PxMult,1)*(1+PxChg_H)^(MAX(0,AC$5-PxBaseIdx)/4)</f>
        <v>3.03991875</v>
      </c>
      <c r="AD26" s="23" t="n">
        <f aca="false">IF(AND(RepriceOn=1,AD$5&lt;=LastHist),ODq_H,IF(AD$5&lt;PxBaseIdx,ODp_H,ODc_H))*IF(AD$5&gt;LastHist,PxMult,1)*(1+PxChg_H)^(MAX(0,AD$5-PxBaseIdx)/4)</f>
        <v>2.91888313679084</v>
      </c>
      <c r="AE26" s="23" t="n">
        <f aca="false">IF(AND(RepriceOn=1,AE$5&lt;=LastHist),ODq_H,IF(AE$5&lt;PxBaseIdx,ODp_H,ODc_H))*IF(AE$5&gt;LastHist,PxMult,1)*(1+PxChg_H)^(MAX(0,AE$5-PxBaseIdx)/4)</f>
        <v>2.80266660621832</v>
      </c>
      <c r="AF26" s="23" t="n">
        <f aca="false">IF(AND(RepriceOn=1,AF$5&lt;=LastHist),ODq_H,IF(AF$5&lt;PxBaseIdx,ODp_H,ODc_H))*IF(AF$5&gt;LastHist,PxMult,1)*(1+PxChg_H)^(MAX(0,AF$5-PxBaseIdx)/4)</f>
        <v>2.69107728452857</v>
      </c>
      <c r="AG26" s="23" t="n">
        <f aca="false">IF(AND(RepriceOn=1,AG$5&lt;=LastHist),ODq_H,IF(AG$5&lt;PxBaseIdx,ODp_H,ODc_H))*IF(AG$5&gt;LastHist,PxMult,1)*(1+PxChg_H)^(MAX(0,AG$5-PxBaseIdx)/4)</f>
        <v>2.5839309375</v>
      </c>
      <c r="AI26" s="23" t="n">
        <f aca="false">AVERAGEIF($F$7:$AG$7,AI$7,$F26:$AG26)</f>
        <v>3.875</v>
      </c>
      <c r="AJ26" s="23" t="n">
        <f aca="false">AVERAGEIF($F$7:$AG$7,AJ$7,$F26:$AG26)</f>
        <v>3.875</v>
      </c>
      <c r="AK26" s="23" t="n">
        <f aca="false">AVERAGEIF($F$7:$AG$7,AK$7,$F26:$AG26)</f>
        <v>4.21875</v>
      </c>
      <c r="AL26" s="23" t="n">
        <f aca="false">AVERAGEIF($F$7:$AG$7,AL$7,$F26:$AG26)</f>
        <v>4.47651453899358</v>
      </c>
      <c r="AM26" s="23" t="n">
        <f aca="false">AVERAGEIF($F$7:$AG$7,AM$7,$F26:$AG26)</f>
        <v>3.80503735814454</v>
      </c>
      <c r="AN26" s="23" t="n">
        <f aca="false">AVERAGEIF($F$7:$AG$7,AN$7,$F26:$AG26)</f>
        <v>3.23428175442286</v>
      </c>
      <c r="AO26" s="23" t="n">
        <f aca="false">AVERAGEIF($F$7:$AG$7,AO$7,$F26:$AG26)</f>
        <v>2.74913949125943</v>
      </c>
    </row>
    <row r="27" customFormat="false" ht="15" hidden="false" customHeight="false" outlineLevel="0" collapsed="false">
      <c r="A27" s="107" t="s">
        <v>1800</v>
      </c>
      <c r="B27" s="22" t="s">
        <v>644</v>
      </c>
      <c r="C27" s="22" t="s">
        <v>626</v>
      </c>
      <c r="D27" s="22" t="s">
        <v>1801</v>
      </c>
      <c r="F27" s="121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1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1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1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1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1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1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1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1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1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3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3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3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3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3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3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3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3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3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3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3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3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3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3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3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3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3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3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3" t="n">
        <f aca="false">AVERAGEIF($F$7:$AG$7,AI$7,$F27:$AG27)</f>
        <v>2.79</v>
      </c>
      <c r="AJ27" s="23" t="n">
        <f aca="false">AVERAGEIF($F$7:$AG$7,AJ$7,$F27:$AG27)</f>
        <v>2.79</v>
      </c>
      <c r="AK27" s="23" t="n">
        <f aca="false">AVERAGEIF($F$7:$AG$7,AK$7,$F27:$AG27)</f>
        <v>2.845125</v>
      </c>
      <c r="AL27" s="23" t="n">
        <f aca="false">AVERAGEIF($F$7:$AG$7,AL$7,$F27:$AG27)</f>
        <v>3.01316149886423</v>
      </c>
      <c r="AM27" s="23" t="n">
        <f aca="false">AVERAGEIF($F$7:$AG$7,AM$7,$F27:$AG27)</f>
        <v>2.73591492301591</v>
      </c>
      <c r="AN27" s="23" t="n">
        <f aca="false">AVERAGEIF($F$7:$AG$7,AN$7,$F27:$AG27)</f>
        <v>2.32868286318446</v>
      </c>
      <c r="AO27" s="23" t="n">
        <f aca="false">AVERAGEIF($F$7:$AG$7,AO$7,$F27:$AG27)</f>
        <v>1.97938043370679</v>
      </c>
    </row>
    <row r="28" customFormat="false" ht="15" hidden="false" customHeight="false" outlineLevel="0" collapsed="false">
      <c r="A28" s="107" t="s">
        <v>1802</v>
      </c>
      <c r="B28" s="22" t="s">
        <v>644</v>
      </c>
      <c r="C28" s="22" t="s">
        <v>626</v>
      </c>
      <c r="D28" s="22" t="s">
        <v>1803</v>
      </c>
      <c r="F28" s="121" t="n">
        <f aca="false">Spot_H*IF(F$5&gt;LastHist,PxMult,1)*(1+PxChg_H)^(MAX(0,F$5-PxBaseIdx)/4)</f>
        <v>0.79</v>
      </c>
      <c r="G28" s="121" t="n">
        <f aca="false">Spot_H*IF(G$5&gt;LastHist,PxMult,1)*(1+PxChg_H)^(MAX(0,G$5-PxBaseIdx)/4)</f>
        <v>0.79</v>
      </c>
      <c r="H28" s="121" t="n">
        <f aca="false">Spot_H*IF(H$5&gt;LastHist,PxMult,1)*(1+PxChg_H)^(MAX(0,H$5-PxBaseIdx)/4)</f>
        <v>0.79</v>
      </c>
      <c r="I28" s="121" t="n">
        <f aca="false">Spot_H*IF(I$5&gt;LastHist,PxMult,1)*(1+PxChg_H)^(MAX(0,I$5-PxBaseIdx)/4)</f>
        <v>0.79</v>
      </c>
      <c r="J28" s="121" t="n">
        <f aca="false">Spot_H*IF(J$5&gt;LastHist,PxMult,1)*(1+PxChg_H)^(MAX(0,J$5-PxBaseIdx)/4)</f>
        <v>0.79</v>
      </c>
      <c r="K28" s="121" t="n">
        <f aca="false">Spot_H*IF(K$5&gt;LastHist,PxMult,1)*(1+PxChg_H)^(MAX(0,K$5-PxBaseIdx)/4)</f>
        <v>0.79</v>
      </c>
      <c r="L28" s="121" t="n">
        <f aca="false">Spot_H*IF(L$5&gt;LastHist,PxMult,1)*(1+PxChg_H)^(MAX(0,L$5-PxBaseIdx)/4)</f>
        <v>0.79</v>
      </c>
      <c r="M28" s="121" t="n">
        <f aca="false">Spot_H*IF(M$5&gt;LastHist,PxMult,1)*(1+PxChg_H)^(MAX(0,M$5-PxBaseIdx)/4)</f>
        <v>0.79</v>
      </c>
      <c r="N28" s="121" t="n">
        <f aca="false">Spot_H*IF(N$5&gt;LastHist,PxMult,1)*(1+PxChg_H)^(MAX(0,N$5-PxBaseIdx)/4)</f>
        <v>0.79</v>
      </c>
      <c r="O28" s="121" t="n">
        <f aca="false">Spot_H*IF(O$5&gt;LastHist,PxMult,1)*(1+PxChg_H)^(MAX(0,O$5-PxBaseIdx)/4)</f>
        <v>0.79</v>
      </c>
      <c r="P28" s="23" t="n">
        <f aca="false">Spot_H*IF(P$5&gt;LastHist,PxMult,1)*(1+PxChg_H)^(MAX(0,P$5-PxBaseIdx)/4)</f>
        <v>0.79</v>
      </c>
      <c r="Q28" s="23" t="n">
        <f aca="false">Spot_H*IF(Q$5&gt;LastHist,PxMult,1)*(1+PxChg_H)^(MAX(0,Q$5-PxBaseIdx)/4)</f>
        <v>0.79</v>
      </c>
      <c r="R28" s="23" t="n">
        <f aca="false">Spot_H*IF(R$5&gt;LastHist,PxMult,1)*(1+PxChg_H)^(MAX(0,R$5-PxBaseIdx)/4)</f>
        <v>0.758545825629308</v>
      </c>
      <c r="S28" s="23" t="n">
        <f aca="false">Spot_H*IF(S$5&gt;LastHist,PxMult,1)*(1+PxChg_H)^(MAX(0,S$5-PxBaseIdx)/4)</f>
        <v>0.728344012126138</v>
      </c>
      <c r="T28" s="23" t="n">
        <f aca="false">Spot_H*IF(T$5&gt;LastHist,PxMult,1)*(1+PxChg_H)^(MAX(0,T$5-PxBaseIdx)/4)</f>
        <v>0.699344696228335</v>
      </c>
      <c r="U28" s="23" t="n">
        <f aca="false">Spot_H*IF(U$5&gt;LastHist,PxMult,1)*(1+PxChg_H)^(MAX(0,U$5-PxBaseIdx)/4)</f>
        <v>0.6715</v>
      </c>
      <c r="V28" s="23" t="n">
        <f aca="false">Spot_H*IF(V$5&gt;LastHist,PxMult,1)*(1+PxChg_H)^(MAX(0,V$5-PxBaseIdx)/4)</f>
        <v>0.644763951784912</v>
      </c>
      <c r="W28" s="23" t="n">
        <f aca="false">Spot_H*IF(W$5&gt;LastHist,PxMult,1)*(1+PxChg_H)^(MAX(0,W$5-PxBaseIdx)/4)</f>
        <v>0.619092410307217</v>
      </c>
      <c r="X28" s="23" t="n">
        <f aca="false">Spot_H*IF(X$5&gt;LastHist,PxMult,1)*(1+PxChg_H)^(MAX(0,X$5-PxBaseIdx)/4)</f>
        <v>0.594442991794084</v>
      </c>
      <c r="Y28" s="23" t="n">
        <f aca="false">Spot_H*IF(Y$5&gt;LastHist,PxMult,1)*(1+PxChg_H)^(MAX(0,Y$5-PxBaseIdx)/4)</f>
        <v>0.570775</v>
      </c>
      <c r="Z28" s="23" t="n">
        <f aca="false">Spot_H*IF(Z$5&gt;LastHist,PxMult,1)*(1+PxChg_H)^(MAX(0,Z$5-PxBaseIdx)/4)</f>
        <v>0.548049359017175</v>
      </c>
      <c r="AA28" s="23" t="n">
        <f aca="false">Spot_H*IF(AA$5&gt;LastHist,PxMult,1)*(1+PxChg_H)^(MAX(0,AA$5-PxBaseIdx)/4)</f>
        <v>0.526228548761135</v>
      </c>
      <c r="AB28" s="23" t="n">
        <f aca="false">Spot_H*IF(AB$5&gt;LastHist,PxMult,1)*(1+PxChg_H)^(MAX(0,AB$5-PxBaseIdx)/4)</f>
        <v>0.505276543024972</v>
      </c>
      <c r="AC28" s="23" t="n">
        <f aca="false">Spot_H*IF(AC$5&gt;LastHist,PxMult,1)*(1+PxChg_H)^(MAX(0,AC$5-PxBaseIdx)/4)</f>
        <v>0.48515875</v>
      </c>
      <c r="AD28" s="23" t="n">
        <f aca="false">Spot_H*IF(AD$5&gt;LastHist,PxMult,1)*(1+PxChg_H)^(MAX(0,AD$5-PxBaseIdx)/4)</f>
        <v>0.465841955164599</v>
      </c>
      <c r="AE28" s="23" t="n">
        <f aca="false">Spot_H*IF(AE$5&gt;LastHist,PxMult,1)*(1+PxChg_H)^(MAX(0,AE$5-PxBaseIdx)/4)</f>
        <v>0.447294266446965</v>
      </c>
      <c r="AF28" s="23" t="n">
        <f aca="false">Spot_H*IF(AF$5&gt;LastHist,PxMult,1)*(1+PxChg_H)^(MAX(0,AF$5-PxBaseIdx)/4)</f>
        <v>0.429485061571226</v>
      </c>
      <c r="AG28" s="23" t="n">
        <f aca="false">Spot_H*IF(AG$5&gt;LastHist,PxMult,1)*(1+PxChg_H)^(MAX(0,AG$5-PxBaseIdx)/4)</f>
        <v>0.4123849375</v>
      </c>
      <c r="AI28" s="23" t="n">
        <f aca="false">AVERAGEIF($F$7:$AG$7,AI$7,$F28:$AG28)</f>
        <v>0.79</v>
      </c>
      <c r="AJ28" s="23" t="n">
        <f aca="false">AVERAGEIF($F$7:$AG$7,AJ$7,$F28:$AG28)</f>
        <v>0.79</v>
      </c>
      <c r="AK28" s="23" t="n">
        <f aca="false">AVERAGEIF($F$7:$AG$7,AK$7,$F28:$AG28)</f>
        <v>0.79</v>
      </c>
      <c r="AL28" s="23" t="n">
        <f aca="false">AVERAGEIF($F$7:$AG$7,AL$7,$F28:$AG28)</f>
        <v>0.714433633495945</v>
      </c>
      <c r="AM28" s="23" t="n">
        <f aca="false">AVERAGEIF($F$7:$AG$7,AM$7,$F28:$AG28)</f>
        <v>0.607268588471554</v>
      </c>
      <c r="AN28" s="23" t="n">
        <f aca="false">AVERAGEIF($F$7:$AG$7,AN$7,$F28:$AG28)</f>
        <v>0.516178300200821</v>
      </c>
      <c r="AO28" s="23" t="n">
        <f aca="false">AVERAGEIF($F$7:$AG$7,AO$7,$F28:$AG28)</f>
        <v>0.438751555170697</v>
      </c>
    </row>
    <row r="29" customFormat="false" ht="15" hidden="false" customHeight="false" outlineLevel="0" collapsed="false">
      <c r="A29" s="107" t="s">
        <v>1804</v>
      </c>
      <c r="B29" s="22" t="s">
        <v>644</v>
      </c>
      <c r="C29" s="22" t="s">
        <v>626</v>
      </c>
      <c r="D29" s="22"/>
      <c r="F29" s="121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1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1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1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1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1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1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1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1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1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3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3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3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3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3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3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3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3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3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3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3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3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3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3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3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3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3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3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3" t="n">
        <f aca="false">AVERAGEIF($F$7:$AG$7,AI$7,$F29:$AG29)</f>
        <v>8.5385</v>
      </c>
      <c r="AJ29" s="23" t="n">
        <f aca="false">AVERAGEIF($F$7:$AG$7,AJ$7,$F29:$AG29)</f>
        <v>8.5385</v>
      </c>
      <c r="AK29" s="23" t="n">
        <f aca="false">AVERAGEIF($F$7:$AG$7,AK$7,$F29:$AG29)</f>
        <v>8.977625</v>
      </c>
      <c r="AL29" s="23" t="n">
        <f aca="false">AVERAGEIF($F$7:$AG$7,AL$7,$F29:$AG29)</f>
        <v>8.8794375</v>
      </c>
      <c r="AM29" s="23" t="n">
        <f aca="false">AVERAGEIF($F$7:$AG$7,AM$7,$F29:$AG29)</f>
        <v>7.84709385001772</v>
      </c>
      <c r="AN29" s="23" t="n">
        <f aca="false">AVERAGEIF($F$7:$AG$7,AN$7,$F29:$AG29)</f>
        <v>7.37626821901666</v>
      </c>
      <c r="AO29" s="23" t="n">
        <f aca="false">AVERAGEIF($F$7:$AG$7,AO$7,$F29:$AG29)</f>
        <v>6.93369212587566</v>
      </c>
    </row>
    <row r="30" customFormat="false" ht="15" hidden="false" customHeight="false" outlineLevel="0" collapsed="false">
      <c r="A30" s="107" t="s">
        <v>1805</v>
      </c>
      <c r="B30" s="22" t="s">
        <v>644</v>
      </c>
      <c r="C30" s="22" t="s">
        <v>626</v>
      </c>
      <c r="D30" s="22" t="s">
        <v>1801</v>
      </c>
      <c r="F30" s="121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1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1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1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1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1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1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1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1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1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3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3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3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3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3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3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3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3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3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3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3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3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3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3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3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3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3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3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3" t="n">
        <f aca="false">AVERAGEIF($F$7:$AG$7,AI$7,$F30:$AG30)</f>
        <v>6.14772</v>
      </c>
      <c r="AJ30" s="23" t="n">
        <f aca="false">AVERAGEIF($F$7:$AG$7,AJ$7,$F30:$AG30)</f>
        <v>6.14772</v>
      </c>
      <c r="AK30" s="23" t="n">
        <f aca="false">AVERAGEIF($F$7:$AG$7,AK$7,$F30:$AG30)</f>
        <v>6.24287087563408</v>
      </c>
      <c r="AL30" s="23" t="n">
        <f aca="false">AVERAGEIF($F$7:$AG$7,AL$7,$F30:$AG30)</f>
        <v>6.31440075101329</v>
      </c>
      <c r="AM30" s="23" t="n">
        <f aca="false">AVERAGEIF($F$7:$AG$7,AM$7,$F30:$AG30)</f>
        <v>5.65101463799632</v>
      </c>
      <c r="AN30" s="23" t="n">
        <f aca="false">AVERAGEIF($F$7:$AG$7,AN$7,$F30:$AG30)</f>
        <v>5.31091311769199</v>
      </c>
      <c r="AO30" s="23" t="n">
        <f aca="false">AVERAGEIF($F$7:$AG$7,AO$7,$F30:$AG30)</f>
        <v>4.99225833063047</v>
      </c>
    </row>
    <row r="31" customFormat="false" ht="15" hidden="false" customHeight="false" outlineLevel="0" collapsed="false">
      <c r="A31" s="107" t="s">
        <v>1806</v>
      </c>
      <c r="B31" s="22" t="s">
        <v>644</v>
      </c>
      <c r="C31" s="22" t="s">
        <v>626</v>
      </c>
      <c r="D31" s="22" t="s">
        <v>1803</v>
      </c>
      <c r="F31" s="121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1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1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1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1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1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1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1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1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1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3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3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3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3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3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3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3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3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3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3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3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3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3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3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3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3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3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3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3" t="n">
        <f aca="false">AVERAGEIF($F$7:$AG$7,AI$7,$F31:$AG31)</f>
        <v>0.99</v>
      </c>
      <c r="AJ31" s="23" t="n">
        <f aca="false">AVERAGEIF($F$7:$AG$7,AJ$7,$F31:$AG31)</f>
        <v>0.99</v>
      </c>
      <c r="AK31" s="23" t="n">
        <f aca="false">AVERAGEIF($F$7:$AG$7,AK$7,$F31:$AG31)</f>
        <v>0.99</v>
      </c>
      <c r="AL31" s="23" t="n">
        <f aca="false">AVERAGEIF($F$7:$AG$7,AL$7,$F31:$AG31)</f>
        <v>0.99</v>
      </c>
      <c r="AM31" s="23" t="n">
        <f aca="false">AVERAGEIF($F$7:$AG$7,AM$7,$F31:$AG31)</f>
        <v>0.967437878920255</v>
      </c>
      <c r="AN31" s="23" t="n">
        <f aca="false">AVERAGEIF($F$7:$AG$7,AN$7,$F31:$AG31)</f>
        <v>0.90939160618504</v>
      </c>
      <c r="AO31" s="23" t="n">
        <f aca="false">AVERAGEIF($F$7:$AG$7,AO$7,$F31:$AG31)</f>
        <v>0.854828109813938</v>
      </c>
    </row>
    <row r="32" customFormat="false" ht="15" hidden="false" customHeight="false" outlineLevel="0" collapsed="false">
      <c r="A32" s="107" t="s">
        <v>1807</v>
      </c>
      <c r="B32" s="22" t="s">
        <v>644</v>
      </c>
      <c r="C32" s="22" t="s">
        <v>626</v>
      </c>
      <c r="D32" s="22"/>
      <c r="F32" s="121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11.4924</v>
      </c>
      <c r="G32" s="121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11.4924</v>
      </c>
      <c r="H32" s="121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11.4924</v>
      </c>
      <c r="I32" s="121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11.4924</v>
      </c>
      <c r="J32" s="121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11.4924</v>
      </c>
      <c r="K32" s="121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11.4924</v>
      </c>
      <c r="L32" s="121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11.4924</v>
      </c>
      <c r="M32" s="121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11.4924</v>
      </c>
      <c r="N32" s="121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11.4924</v>
      </c>
      <c r="O32" s="121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11.4924</v>
      </c>
      <c r="P32" s="23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11.4924</v>
      </c>
      <c r="Q32" s="23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13.908</v>
      </c>
      <c r="R32" s="23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13.908</v>
      </c>
      <c r="S32" s="23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13.908</v>
      </c>
      <c r="T32" s="23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13.908</v>
      </c>
      <c r="U32" s="23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13.908</v>
      </c>
      <c r="V32" s="23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13.908</v>
      </c>
      <c r="W32" s="23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13.694514664662</v>
      </c>
      <c r="X32" s="23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13.4843062913893</v>
      </c>
      <c r="Y32" s="23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13.2773245793949</v>
      </c>
      <c r="Z32" s="23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13.07352</v>
      </c>
      <c r="AA32" s="23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12.8728437847823</v>
      </c>
      <c r="AB32" s="23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12.6752479139059</v>
      </c>
      <c r="AC32" s="23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12.4806851046312</v>
      </c>
      <c r="AD32" s="23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12.2891088</v>
      </c>
      <c r="AE32" s="23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12.1004731576953</v>
      </c>
      <c r="AF32" s="23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11.9147330390716</v>
      </c>
      <c r="AG32" s="23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11.7318439983533</v>
      </c>
      <c r="AI32" s="23" t="n">
        <f aca="false">AVERAGEIF($F$7:$AG$7,AI$7,$F32:$AG32)</f>
        <v>11.4924</v>
      </c>
      <c r="AJ32" s="23" t="n">
        <f aca="false">AVERAGEIF($F$7:$AG$7,AJ$7,$F32:$AG32)</f>
        <v>11.4924</v>
      </c>
      <c r="AK32" s="23" t="n">
        <f aca="false">AVERAGEIF($F$7:$AG$7,AK$7,$F32:$AG32)</f>
        <v>12.0963</v>
      </c>
      <c r="AL32" s="23" t="n">
        <f aca="false">AVERAGEIF($F$7:$AG$7,AL$7,$F32:$AG32)</f>
        <v>13.908</v>
      </c>
      <c r="AM32" s="23" t="n">
        <f aca="false">AVERAGEIF($F$7:$AG$7,AM$7,$F32:$AG32)</f>
        <v>13.5910363838615</v>
      </c>
      <c r="AN32" s="23" t="n">
        <f aca="false">AVERAGEIF($F$7:$AG$7,AN$7,$F32:$AG32)</f>
        <v>12.7755742008298</v>
      </c>
      <c r="AO32" s="23" t="n">
        <f aca="false">AVERAGEIF($F$7:$AG$7,AO$7,$F32:$AG32)</f>
        <v>12.00903974878</v>
      </c>
    </row>
    <row r="33" customFormat="false" ht="15" hidden="false" customHeight="false" outlineLevel="0" collapsed="false">
      <c r="A33" s="107" t="s">
        <v>1808</v>
      </c>
      <c r="B33" s="22" t="s">
        <v>644</v>
      </c>
      <c r="C33" s="22" t="s">
        <v>626</v>
      </c>
      <c r="D33" s="22" t="s">
        <v>1801</v>
      </c>
      <c r="F33" s="121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8.274528</v>
      </c>
      <c r="G33" s="121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8.274528</v>
      </c>
      <c r="H33" s="121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8.274528</v>
      </c>
      <c r="I33" s="121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8.274528</v>
      </c>
      <c r="J33" s="121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8.274528</v>
      </c>
      <c r="K33" s="121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8.274528</v>
      </c>
      <c r="L33" s="121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8.274528</v>
      </c>
      <c r="M33" s="121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8.274528</v>
      </c>
      <c r="N33" s="121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8.274528</v>
      </c>
      <c r="O33" s="121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8.274528</v>
      </c>
      <c r="P33" s="23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8.274528</v>
      </c>
      <c r="Q33" s="23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10.01376</v>
      </c>
      <c r="R33" s="23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10.01376</v>
      </c>
      <c r="S33" s="23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10.01376</v>
      </c>
      <c r="T33" s="23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10.01376</v>
      </c>
      <c r="U33" s="23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10.01376</v>
      </c>
      <c r="V33" s="23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10.01376</v>
      </c>
      <c r="W33" s="23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9.86005055855662</v>
      </c>
      <c r="X33" s="23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9.70870052980027</v>
      </c>
      <c r="Y33" s="23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9.55967369716431</v>
      </c>
      <c r="Z33" s="23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9.4129344</v>
      </c>
      <c r="AA33" s="23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9.26844752504322</v>
      </c>
      <c r="AB33" s="23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9.12617849801225</v>
      </c>
      <c r="AC33" s="23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8.98609327533445</v>
      </c>
      <c r="AD33" s="23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8.848158336</v>
      </c>
      <c r="AE33" s="23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8.71234067354063</v>
      </c>
      <c r="AF33" s="23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8.57860778813151</v>
      </c>
      <c r="AG33" s="23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8.44692767881438</v>
      </c>
      <c r="AI33" s="23" t="n">
        <f aca="false">AVERAGEIF($F$7:$AG$7,AI$7,$F33:$AG33)</f>
        <v>8.274528</v>
      </c>
      <c r="AJ33" s="23" t="n">
        <f aca="false">AVERAGEIF($F$7:$AG$7,AJ$7,$F33:$AG33)</f>
        <v>8.274528</v>
      </c>
      <c r="AK33" s="23" t="n">
        <f aca="false">AVERAGEIF($F$7:$AG$7,AK$7,$F33:$AG33)</f>
        <v>8.709336</v>
      </c>
      <c r="AL33" s="23" t="n">
        <f aca="false">AVERAGEIF($F$7:$AG$7,AL$7,$F33:$AG33)</f>
        <v>10.01376</v>
      </c>
      <c r="AM33" s="23" t="n">
        <f aca="false">AVERAGEIF($F$7:$AG$7,AM$7,$F33:$AG33)</f>
        <v>9.7855461963803</v>
      </c>
      <c r="AN33" s="23" t="n">
        <f aca="false">AVERAGEIF($F$7:$AG$7,AN$7,$F33:$AG33)</f>
        <v>9.19841342459748</v>
      </c>
      <c r="AO33" s="23" t="n">
        <f aca="false">AVERAGEIF($F$7:$AG$7,AO$7,$F33:$AG33)</f>
        <v>8.64650861912163</v>
      </c>
    </row>
    <row r="34" customFormat="false" ht="15" hidden="false" customHeight="false" outlineLevel="0" collapsed="false">
      <c r="A34" s="107" t="s">
        <v>1809</v>
      </c>
      <c r="B34" s="22" t="s">
        <v>644</v>
      </c>
      <c r="C34" s="22" t="s">
        <v>626</v>
      </c>
      <c r="D34" s="22" t="s">
        <v>1803</v>
      </c>
      <c r="F34" s="121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1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1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1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1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1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1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1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1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1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3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3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3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3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3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3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3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3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3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3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3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3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3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3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3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3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3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3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3" t="n">
        <f aca="false">AVERAGEIF($F$7:$AG$7,AI$7,$F34:$AG34)</f>
        <v>0.99</v>
      </c>
      <c r="AJ34" s="23" t="n">
        <f aca="false">AVERAGEIF($F$7:$AG$7,AJ$7,$F34:$AG34)</f>
        <v>0.99</v>
      </c>
      <c r="AK34" s="23" t="n">
        <f aca="false">AVERAGEIF($F$7:$AG$7,AK$7,$F34:$AG34)</f>
        <v>0.99</v>
      </c>
      <c r="AL34" s="23" t="n">
        <f aca="false">AVERAGEIF($F$7:$AG$7,AL$7,$F34:$AG34)</f>
        <v>0.99</v>
      </c>
      <c r="AM34" s="23" t="n">
        <f aca="false">AVERAGEIF($F$7:$AG$7,AM$7,$F34:$AG34)</f>
        <v>0.967437878920255</v>
      </c>
      <c r="AN34" s="23" t="n">
        <f aca="false">AVERAGEIF($F$7:$AG$7,AN$7,$F34:$AG34)</f>
        <v>0.90939160618504</v>
      </c>
      <c r="AO34" s="23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1810</v>
      </c>
    </row>
    <row r="37" customFormat="false" ht="15" hidden="false" customHeight="false" outlineLevel="0" collapsed="false">
      <c r="B37" s="3" t="s">
        <v>1784</v>
      </c>
      <c r="C37" s="3" t="s">
        <v>1430</v>
      </c>
      <c r="D37" s="3" t="s">
        <v>1787</v>
      </c>
      <c r="E37" s="3" t="s">
        <v>1811</v>
      </c>
    </row>
    <row r="38" customFormat="false" ht="15" hidden="false" customHeight="false" outlineLevel="0" collapsed="false">
      <c r="A38" s="0" t="s">
        <v>1812</v>
      </c>
      <c r="B38" s="33" t="n">
        <f aca="false">GPUMW_B</f>
        <v>500</v>
      </c>
      <c r="C38" s="33" t="n">
        <f aca="false">GPUMW_B</f>
        <v>500</v>
      </c>
      <c r="D38" s="33" t="n">
        <f aca="false">GPUMW_N</f>
        <v>320</v>
      </c>
      <c r="E38" s="34" t="n">
        <f aca="false">IFERROR(D38/C38,0)</f>
        <v>0.64</v>
      </c>
    </row>
    <row r="39" customFormat="false" ht="15" hidden="false" customHeight="false" outlineLevel="0" collapsed="false">
      <c r="A39" s="0" t="s">
        <v>1813</v>
      </c>
      <c r="B39" s="23" t="n">
        <f aca="false">D16*PxMult</f>
        <v>11.59</v>
      </c>
      <c r="C39" s="23" t="n">
        <f aca="false">D17*PxMult</f>
        <v>11.59</v>
      </c>
      <c r="D39" s="23" t="n">
        <f aca="false">D18*PxMult</f>
        <v>13.908</v>
      </c>
      <c r="E39" s="34" t="n">
        <f aca="false">IFERROR(D39/C39,0)</f>
        <v>1.2</v>
      </c>
    </row>
    <row r="40" customFormat="false" ht="15" hidden="false" customHeight="false" outlineLevel="0" collapsed="false">
      <c r="A40" s="0" t="s">
        <v>1814</v>
      </c>
      <c r="B40" s="23" t="n">
        <f aca="false">D16*PxMult*RealRes</f>
        <v>8.3448</v>
      </c>
      <c r="C40" s="23" t="n">
        <f aca="false">D17*PxMult*RealRes</f>
        <v>8.3448</v>
      </c>
      <c r="D40" s="23" t="n">
        <f aca="false">D18*PxMult*RealRes</f>
        <v>10.01376</v>
      </c>
      <c r="E40" s="34" t="n">
        <f aca="false">IFERROR(D40/C40,0)</f>
        <v>1.2</v>
      </c>
    </row>
    <row r="41" customFormat="false" ht="15" hidden="false" customHeight="false" outlineLevel="0" collapsed="false">
      <c r="A41" s="0" t="s">
        <v>1815</v>
      </c>
      <c r="B41" s="30" t="n">
        <f aca="false">B38*B40*8760*Util_Res/1000000</f>
        <v>27.424347870838</v>
      </c>
      <c r="C41" s="30" t="n">
        <f aca="false">C38*C40*8760*Util_Res/1000000</f>
        <v>27.424347870838</v>
      </c>
      <c r="D41" s="30" t="n">
        <f aca="false">D38*D40*8760*Util_Res/1000000</f>
        <v>21.0618991648036</v>
      </c>
      <c r="E41" s="34" t="n">
        <f aca="false">IFERROR(D41/C41,0)</f>
        <v>0.768</v>
      </c>
    </row>
    <row r="42" customFormat="false" ht="15" hidden="false" customHeight="false" outlineLevel="0" collapsed="false">
      <c r="A42" s="0" t="s">
        <v>1816</v>
      </c>
      <c r="B42" s="30" t="n">
        <f aca="false">B41-CLT1Rent</f>
        <v>25.224347870838</v>
      </c>
      <c r="C42" s="30" t="n">
        <f aca="false">C41-CLT1Rent</f>
        <v>25.224347870838</v>
      </c>
      <c r="D42" s="30" t="n">
        <f aca="false">D41-CLT1Rent</f>
        <v>18.8618991648036</v>
      </c>
      <c r="E42" s="34" t="n">
        <f aca="false">IFERROR(D42/C42,0)</f>
        <v>0.747765581944337</v>
      </c>
    </row>
    <row r="43" customFormat="false" ht="15" hidden="false" customHeight="false" outlineLevel="0" collapsed="false">
      <c r="A43" s="0" t="s">
        <v>1817</v>
      </c>
      <c r="B43" s="30" t="n">
        <f aca="false">B41-OM_MW</f>
        <v>26.674347870838</v>
      </c>
      <c r="C43" s="30" t="n">
        <f aca="false">C41-OM_MW</f>
        <v>26.674347870838</v>
      </c>
      <c r="D43" s="30" t="n">
        <f aca="false">D41-OM_MW</f>
        <v>20.3118991648036</v>
      </c>
      <c r="E43" s="34" t="n">
        <f aca="false">IFERROR(D43/C43,0)</f>
        <v>0.761476878953422</v>
      </c>
    </row>
    <row r="44" customFormat="false" ht="15" hidden="false" customHeight="false" outlineLevel="0" collapsed="false">
      <c r="A44" s="0" t="s">
        <v>1818</v>
      </c>
      <c r="B44" s="30" t="n">
        <f aca="false">20</f>
        <v>20</v>
      </c>
      <c r="C44" s="30" t="n">
        <f aca="false">20-CLT1Rent</f>
        <v>17.8</v>
      </c>
      <c r="D44" s="30" t="n">
        <f aca="false">20-OM_MW</f>
        <v>19.25</v>
      </c>
    </row>
    <row r="45" customFormat="false" ht="15" hidden="false" customHeight="false" outlineLevel="0" collapsed="false">
      <c r="A45" s="0" t="s">
        <v>1819</v>
      </c>
      <c r="B45" s="34" t="n">
        <f aca="false">GPUMW_B/GPUMW_N</f>
        <v>1.5625</v>
      </c>
      <c r="C45" s="34" t="n">
        <f aca="false">Rubin_Prem</f>
        <v>1.2</v>
      </c>
    </row>
    <row r="46" customFormat="false" ht="15" hidden="false" customHeight="false" outlineLevel="0" collapsed="false">
      <c r="A46" s="0" t="s">
        <v>1820</v>
      </c>
      <c r="B46" s="30" t="n">
        <f aca="false">INDEX(ND_MYRate,1,NewDealIdx)</f>
        <v>16</v>
      </c>
      <c r="C46" s="30" t="n">
        <f aca="false">INDEX(ND_STRate,1,NewDealIdx)*IF(STMode=1,STOcc,1)</f>
        <v>29.835</v>
      </c>
      <c r="D46" s="30" t="n">
        <f aca="false">(1-STShare)*B46+STShare*C46</f>
        <v>16.69175</v>
      </c>
      <c r="E46" s="30" t="n">
        <f aca="false">D46-CLT1Rent</f>
        <v>14.49175</v>
      </c>
      <c r="F46" s="30" t="n">
        <f aca="false">D46-OM_MW</f>
        <v>15.94175</v>
      </c>
    </row>
    <row r="47" customFormat="false" ht="15" hidden="false" customHeight="false" outlineLevel="0" collapsed="false">
      <c r="A47" s="0" t="s">
        <v>1821</v>
      </c>
      <c r="B47" s="30" t="n">
        <f aca="false">B46</f>
        <v>16</v>
      </c>
      <c r="C47" s="30" t="n">
        <f aca="false">B46-CLT1Rent</f>
        <v>13.8</v>
      </c>
      <c r="D47" s="30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1822</v>
      </c>
    </row>
    <row r="2" customFormat="false" ht="15" hidden="false" customHeight="false" outlineLevel="0" collapsed="false">
      <c r="A2" s="22" t="s">
        <v>1823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1824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3" t="s">
        <v>1825</v>
      </c>
      <c r="B11" s="3" t="s">
        <v>1826</v>
      </c>
      <c r="C11" s="3" t="s">
        <v>1768</v>
      </c>
      <c r="D11" s="3" t="s">
        <v>1827</v>
      </c>
      <c r="E11" s="3" t="s">
        <v>1828</v>
      </c>
      <c r="F11" s="3" t="s">
        <v>1829</v>
      </c>
      <c r="G11" s="3" t="s">
        <v>1830</v>
      </c>
      <c r="H11" s="3" t="s">
        <v>1831</v>
      </c>
      <c r="I11" s="3" t="s">
        <v>1832</v>
      </c>
      <c r="J11" s="3" t="s">
        <v>1833</v>
      </c>
      <c r="K11" s="3" t="s">
        <v>1834</v>
      </c>
      <c r="L11" s="3" t="s">
        <v>1835</v>
      </c>
      <c r="M11" s="3" t="s">
        <v>1836</v>
      </c>
      <c r="N11" s="3" t="s">
        <v>1774</v>
      </c>
      <c r="O11" s="3" t="s">
        <v>534</v>
      </c>
      <c r="P11" s="3" t="s">
        <v>535</v>
      </c>
      <c r="Q11" s="3" t="s">
        <v>1837</v>
      </c>
      <c r="R11" s="3" t="s">
        <v>1838</v>
      </c>
      <c r="S11" s="3" t="s">
        <v>1839</v>
      </c>
      <c r="T11" s="3" t="s">
        <v>1840</v>
      </c>
    </row>
    <row r="12" customFormat="false" ht="15" hidden="false" customHeight="false" outlineLevel="0" collapsed="false">
      <c r="A12" s="0" t="s">
        <v>1841</v>
      </c>
      <c r="B12" s="0" t="s">
        <v>1842</v>
      </c>
      <c r="C12" s="106" t="s">
        <v>1782</v>
      </c>
      <c r="D12" s="122" t="n">
        <f aca="false">MSFT_MW/MSFT_N</f>
        <v>26.6666666666667</v>
      </c>
      <c r="E12" s="23" t="n">
        <f aca="false">MSFT_TCV/(5*MSFT_MW)</f>
        <v>14.4940833333333</v>
      </c>
      <c r="F12" s="28" t="n">
        <v>20</v>
      </c>
      <c r="G12" s="28" t="n">
        <v>8</v>
      </c>
      <c r="H12" s="62" t="n">
        <f aca="false">IF(R12&lt;=LastHist,R12,CHOOSE(Scen,Q12,R12,S12)+IF(R12&gt;=13,2*BloomSlipOn,0))</f>
        <v>8</v>
      </c>
      <c r="I12" s="78" t="n">
        <v>0</v>
      </c>
      <c r="J12" s="69" t="n">
        <v>0</v>
      </c>
      <c r="K12" s="33" t="n">
        <f aca="false">D12*E12*F12/4</f>
        <v>1932.54444444444</v>
      </c>
      <c r="L12" s="23" t="n">
        <f aca="false">E12*1000000/(CHOOSE(MATCH(C12,{"H";"B";"N"},0),GPUMW_H,GPUMW_B,GPUMW_N)*8760)</f>
        <v>3.30915144596652</v>
      </c>
      <c r="N12" s="22" t="s">
        <v>552</v>
      </c>
      <c r="O12" s="22" t="s">
        <v>1843</v>
      </c>
      <c r="P12" s="22" t="s">
        <v>1844</v>
      </c>
      <c r="Q12" s="29" t="n">
        <v>8</v>
      </c>
      <c r="R12" s="29" t="n">
        <v>8</v>
      </c>
      <c r="S12" s="29" t="n">
        <v>8</v>
      </c>
      <c r="T12" s="62" t="n">
        <f aca="false">IF(R12&lt;=LastHist,RampMS_B,RampMS)</f>
        <v>4</v>
      </c>
    </row>
    <row r="13" customFormat="false" ht="15" hidden="false" customHeight="false" outlineLevel="0" collapsed="false">
      <c r="A13" s="0" t="s">
        <v>1845</v>
      </c>
      <c r="B13" s="0" t="s">
        <v>1842</v>
      </c>
      <c r="C13" s="106" t="s">
        <v>1782</v>
      </c>
      <c r="D13" s="122" t="n">
        <f aca="false">MSFT_MW/MSFT_N</f>
        <v>26.6666666666667</v>
      </c>
      <c r="E13" s="23" t="n">
        <f aca="false">MSFT_TCV/(5*MSFT_MW)</f>
        <v>14.4940833333333</v>
      </c>
      <c r="F13" s="28" t="n">
        <v>20</v>
      </c>
      <c r="G13" s="28" t="n">
        <v>9</v>
      </c>
      <c r="H13" s="62" t="n">
        <f aca="false">IF(R13&lt;=LastHist,R13,CHOOSE(Scen,Q13,R13,S13)+IF(R13&gt;=13,2*BloomSlipOn,0))</f>
        <v>9</v>
      </c>
      <c r="I13" s="78" t="n">
        <v>0</v>
      </c>
      <c r="J13" s="69" t="n">
        <v>0</v>
      </c>
      <c r="K13" s="33" t="n">
        <f aca="false">D13*E13*F13/4</f>
        <v>1932.54444444444</v>
      </c>
      <c r="L13" s="23" t="n">
        <f aca="false">E13*1000000/(CHOOSE(MATCH(C13,{"H";"B";"N"},0),GPUMW_H,GPUMW_B,GPUMW_N)*8760)</f>
        <v>3.30915144596652</v>
      </c>
      <c r="N13" s="22" t="s">
        <v>552</v>
      </c>
      <c r="O13" s="22" t="s">
        <v>1843</v>
      </c>
      <c r="P13" s="22" t="s">
        <v>1844</v>
      </c>
      <c r="Q13" s="29" t="n">
        <v>9</v>
      </c>
      <c r="R13" s="29" t="n">
        <v>9</v>
      </c>
      <c r="S13" s="29" t="n">
        <v>9</v>
      </c>
      <c r="T13" s="62" t="n">
        <f aca="false">IF(R13&lt;=LastHist,RampMS_B,RampMS)</f>
        <v>4</v>
      </c>
    </row>
    <row r="14" customFormat="false" ht="15" hidden="false" customHeight="false" outlineLevel="0" collapsed="false">
      <c r="A14" s="0" t="s">
        <v>1846</v>
      </c>
      <c r="B14" s="0" t="s">
        <v>1842</v>
      </c>
      <c r="C14" s="106" t="s">
        <v>1782</v>
      </c>
      <c r="D14" s="122" t="n">
        <f aca="false">MSFT_MW/MSFT_N</f>
        <v>26.6666666666667</v>
      </c>
      <c r="E14" s="23" t="n">
        <f aca="false">MSFT_TCV/(5*MSFT_MW)</f>
        <v>14.4940833333333</v>
      </c>
      <c r="F14" s="28" t="n">
        <v>20</v>
      </c>
      <c r="G14" s="28" t="n">
        <v>11</v>
      </c>
      <c r="H14" s="62" t="n">
        <f aca="false">IF(R14&lt;=LastHist,R14,CHOOSE(Scen,Q14,R14,S14)+IF(R14&gt;=13,2*BloomSlipOn,0))</f>
        <v>11</v>
      </c>
      <c r="I14" s="78" t="n">
        <v>0</v>
      </c>
      <c r="J14" s="69" t="n">
        <v>0</v>
      </c>
      <c r="K14" s="33" t="n">
        <f aca="false">D14*E14*F14/4</f>
        <v>1932.54444444444</v>
      </c>
      <c r="L14" s="23" t="n">
        <f aca="false">E14*1000000/(CHOOSE(MATCH(C14,{"H";"B";"N"},0),GPUMW_H,GPUMW_B,GPUMW_N)*8760)</f>
        <v>3.30915144596652</v>
      </c>
      <c r="N14" s="22" t="s">
        <v>552</v>
      </c>
      <c r="O14" s="22" t="s">
        <v>1843</v>
      </c>
      <c r="P14" s="22" t="s">
        <v>1844</v>
      </c>
      <c r="Q14" s="29" t="n">
        <v>11</v>
      </c>
      <c r="R14" s="29" t="n">
        <v>11</v>
      </c>
      <c r="S14" s="29" t="n">
        <v>11</v>
      </c>
      <c r="T14" s="62" t="n">
        <f aca="false">IF(R14&lt;=LastHist,RampMS_B,RampMS)</f>
        <v>4</v>
      </c>
    </row>
    <row r="15" customFormat="false" ht="15" hidden="false" customHeight="false" outlineLevel="0" collapsed="false">
      <c r="A15" s="0" t="s">
        <v>1847</v>
      </c>
      <c r="B15" s="0" t="s">
        <v>1842</v>
      </c>
      <c r="C15" s="106" t="s">
        <v>1782</v>
      </c>
      <c r="D15" s="122" t="n">
        <f aca="false">MSFT_MW/MSFT_N</f>
        <v>26.6666666666667</v>
      </c>
      <c r="E15" s="23" t="n">
        <f aca="false">MSFT_TCV/(5*MSFT_MW)</f>
        <v>14.4940833333333</v>
      </c>
      <c r="F15" s="28" t="n">
        <v>20</v>
      </c>
      <c r="G15" s="28" t="n">
        <v>11</v>
      </c>
      <c r="H15" s="62" t="n">
        <f aca="false">IF(R15&lt;=LastHist,R15,CHOOSE(Scen,Q15,R15,S15)+IF(R15&gt;=13,2*BloomSlipOn,0))</f>
        <v>11</v>
      </c>
      <c r="I15" s="78" t="n">
        <v>0</v>
      </c>
      <c r="J15" s="69" t="n">
        <v>0</v>
      </c>
      <c r="K15" s="33" t="n">
        <f aca="false">D15*E15*F15/4</f>
        <v>1932.54444444444</v>
      </c>
      <c r="L15" s="23" t="n">
        <f aca="false">E15*1000000/(CHOOSE(MATCH(C15,{"H";"B";"N"},0),GPUMW_H,GPUMW_B,GPUMW_N)*8760)</f>
        <v>3.30915144596652</v>
      </c>
      <c r="N15" s="22" t="s">
        <v>552</v>
      </c>
      <c r="O15" s="22" t="s">
        <v>1843</v>
      </c>
      <c r="P15" s="22" t="s">
        <v>1844</v>
      </c>
      <c r="Q15" s="29" t="n">
        <v>11</v>
      </c>
      <c r="R15" s="29" t="n">
        <v>11</v>
      </c>
      <c r="S15" s="29" t="n">
        <v>11</v>
      </c>
      <c r="T15" s="62" t="n">
        <f aca="false">IF(R15&lt;=LastHist,RampMS_B,RampMS)</f>
        <v>4</v>
      </c>
    </row>
    <row r="16" customFormat="false" ht="15" hidden="false" customHeight="false" outlineLevel="0" collapsed="false">
      <c r="A16" s="0" t="s">
        <v>1848</v>
      </c>
      <c r="B16" s="0" t="s">
        <v>1842</v>
      </c>
      <c r="C16" s="106" t="s">
        <v>1782</v>
      </c>
      <c r="D16" s="122" t="n">
        <f aca="false">MSFT_MW/MSFT_N</f>
        <v>26.6666666666667</v>
      </c>
      <c r="E16" s="23" t="n">
        <f aca="false">MSFT_TCV/(5*MSFT_MW)</f>
        <v>14.4940833333333</v>
      </c>
      <c r="F16" s="28" t="n">
        <v>20</v>
      </c>
      <c r="G16" s="29" t="n">
        <v>14</v>
      </c>
      <c r="H16" s="62" t="n">
        <f aca="false">IF(R16&lt;=LastHist,R16,CHOOSE(Scen,Q16,R16,S16)+IF(R16&gt;=13,2*BloomSlipOn,0))</f>
        <v>14</v>
      </c>
      <c r="I16" s="78" t="n">
        <v>0</v>
      </c>
      <c r="J16" s="69" t="n">
        <v>0</v>
      </c>
      <c r="K16" s="33" t="n">
        <f aca="false">D16*E16*F16/4</f>
        <v>1932.54444444444</v>
      </c>
      <c r="L16" s="23" t="n">
        <f aca="false">E16*1000000/(CHOOSE(MATCH(C16,{"H";"B";"N"},0),GPUMW_H,GPUMW_B,GPUMW_N)*8760)</f>
        <v>3.30915144596652</v>
      </c>
      <c r="N16" s="22" t="s">
        <v>559</v>
      </c>
      <c r="O16" s="22" t="s">
        <v>1843</v>
      </c>
      <c r="P16" s="22" t="s">
        <v>1849</v>
      </c>
      <c r="Q16" s="29" t="n">
        <v>13</v>
      </c>
      <c r="R16" s="29" t="n">
        <v>14</v>
      </c>
      <c r="S16" s="29" t="n">
        <v>15</v>
      </c>
      <c r="T16" s="62" t="n">
        <f aca="false">IF(R16&lt;=LastHist,RampMS_B,RampMS)</f>
        <v>4</v>
      </c>
    </row>
    <row r="17" customFormat="false" ht="15" hidden="false" customHeight="false" outlineLevel="0" collapsed="false">
      <c r="A17" s="0" t="s">
        <v>1850</v>
      </c>
      <c r="B17" s="0" t="s">
        <v>1842</v>
      </c>
      <c r="C17" s="106" t="s">
        <v>1782</v>
      </c>
      <c r="D17" s="122" t="n">
        <f aca="false">MSFT_MW/MSFT_N</f>
        <v>26.6666666666667</v>
      </c>
      <c r="E17" s="23" t="n">
        <f aca="false">MSFT_TCV/(5*MSFT_MW)</f>
        <v>14.4940833333333</v>
      </c>
      <c r="F17" s="28" t="n">
        <v>20</v>
      </c>
      <c r="G17" s="29" t="n">
        <v>14</v>
      </c>
      <c r="H17" s="62" t="n">
        <f aca="false">IF(R17&lt;=LastHist,R17,CHOOSE(Scen,Q17,R17,S17)+IF(R17&gt;=13,2*BloomSlipOn,0))</f>
        <v>14</v>
      </c>
      <c r="I17" s="78" t="n">
        <v>0</v>
      </c>
      <c r="J17" s="69" t="n">
        <v>0</v>
      </c>
      <c r="K17" s="33" t="n">
        <f aca="false">D17*E17*F17/4</f>
        <v>1932.54444444444</v>
      </c>
      <c r="L17" s="23" t="n">
        <f aca="false">E17*1000000/(CHOOSE(MATCH(C17,{"H";"B";"N"},0),GPUMW_H,GPUMW_B,GPUMW_N)*8760)</f>
        <v>3.30915144596652</v>
      </c>
      <c r="N17" s="22" t="s">
        <v>559</v>
      </c>
      <c r="O17" s="22" t="s">
        <v>1843</v>
      </c>
      <c r="P17" s="22" t="s">
        <v>1849</v>
      </c>
      <c r="Q17" s="29" t="n">
        <v>13</v>
      </c>
      <c r="R17" s="29" t="n">
        <v>14</v>
      </c>
      <c r="S17" s="29" t="n">
        <v>15</v>
      </c>
      <c r="T17" s="62" t="n">
        <f aca="false">IF(R17&lt;=LastHist,RampMS_B,RampMS)</f>
        <v>4</v>
      </c>
    </row>
    <row r="18" customFormat="false" ht="15" hidden="false" customHeight="false" outlineLevel="0" collapsed="false">
      <c r="A18" s="0" t="s">
        <v>1851</v>
      </c>
      <c r="B18" s="0" t="s">
        <v>1842</v>
      </c>
      <c r="C18" s="106" t="s">
        <v>1782</v>
      </c>
      <c r="D18" s="122" t="n">
        <f aca="false">MSFT_MW/MSFT_N</f>
        <v>26.6666666666667</v>
      </c>
      <c r="E18" s="23" t="n">
        <f aca="false">MSFT_TCV/(5*MSFT_MW)</f>
        <v>14.4940833333333</v>
      </c>
      <c r="F18" s="28" t="n">
        <v>20</v>
      </c>
      <c r="G18" s="29" t="n">
        <v>15</v>
      </c>
      <c r="H18" s="62" t="n">
        <f aca="false">IF(R18&lt;=LastHist,R18,CHOOSE(Scen,Q18,R18,S18)+IF(R18&gt;=13,2*BloomSlipOn,0))</f>
        <v>15</v>
      </c>
      <c r="I18" s="78" t="n">
        <v>0</v>
      </c>
      <c r="J18" s="69" t="n">
        <v>0</v>
      </c>
      <c r="K18" s="33" t="n">
        <f aca="false">D18*E18*F18/4</f>
        <v>1932.54444444444</v>
      </c>
      <c r="L18" s="23" t="n">
        <f aca="false">E18*1000000/(CHOOSE(MATCH(C18,{"H";"B";"N"},0),GPUMW_H,GPUMW_B,GPUMW_N)*8760)</f>
        <v>3.30915144596652</v>
      </c>
      <c r="N18" s="22" t="s">
        <v>559</v>
      </c>
      <c r="O18" s="22" t="s">
        <v>1843</v>
      </c>
      <c r="P18" s="22" t="s">
        <v>1849</v>
      </c>
      <c r="Q18" s="29" t="n">
        <v>14</v>
      </c>
      <c r="R18" s="29" t="n">
        <v>15</v>
      </c>
      <c r="S18" s="29" t="n">
        <v>16</v>
      </c>
      <c r="T18" s="62" t="n">
        <f aca="false">IF(R18&lt;=LastHist,RampMS_B,RampMS)</f>
        <v>4</v>
      </c>
    </row>
    <row r="19" customFormat="false" ht="15" hidden="false" customHeight="false" outlineLevel="0" collapsed="false">
      <c r="A19" s="0" t="s">
        <v>1852</v>
      </c>
      <c r="B19" s="0" t="s">
        <v>1842</v>
      </c>
      <c r="C19" s="106" t="s">
        <v>1782</v>
      </c>
      <c r="D19" s="122" t="n">
        <f aca="false">MSFT_MW/MSFT_N</f>
        <v>26.6666666666667</v>
      </c>
      <c r="E19" s="23" t="n">
        <f aca="false">MSFT_TCV/(5*MSFT_MW)</f>
        <v>14.4940833333333</v>
      </c>
      <c r="F19" s="28" t="n">
        <v>20</v>
      </c>
      <c r="G19" s="29" t="n">
        <v>15</v>
      </c>
      <c r="H19" s="62" t="n">
        <f aca="false">IF(R19&lt;=LastHist,R19,CHOOSE(Scen,Q19,R19,S19)+IF(R19&gt;=13,2*BloomSlipOn,0))</f>
        <v>15</v>
      </c>
      <c r="I19" s="78" t="n">
        <v>0</v>
      </c>
      <c r="J19" s="69" t="n">
        <v>0</v>
      </c>
      <c r="K19" s="33" t="n">
        <f aca="false">D19*E19*F19/4</f>
        <v>1932.54444444444</v>
      </c>
      <c r="L19" s="23" t="n">
        <f aca="false">E19*1000000/(CHOOSE(MATCH(C19,{"H";"B";"N"},0),GPUMW_H,GPUMW_B,GPUMW_N)*8760)</f>
        <v>3.30915144596652</v>
      </c>
      <c r="N19" s="22" t="s">
        <v>559</v>
      </c>
      <c r="O19" s="22" t="s">
        <v>1843</v>
      </c>
      <c r="P19" s="22" t="s">
        <v>1849</v>
      </c>
      <c r="Q19" s="29" t="n">
        <v>14</v>
      </c>
      <c r="R19" s="29" t="n">
        <v>15</v>
      </c>
      <c r="S19" s="29" t="n">
        <v>16</v>
      </c>
      <c r="T19" s="62" t="n">
        <f aca="false">IF(R19&lt;=LastHist,RampMS_B,RampMS)</f>
        <v>4</v>
      </c>
    </row>
    <row r="20" customFormat="false" ht="15" hidden="false" customHeight="false" outlineLevel="0" collapsed="false">
      <c r="A20" s="0" t="s">
        <v>1853</v>
      </c>
      <c r="B20" s="0" t="s">
        <v>1842</v>
      </c>
      <c r="C20" s="106" t="s">
        <v>1782</v>
      </c>
      <c r="D20" s="122" t="n">
        <f aca="false">MSFT_MW/MSFT_N</f>
        <v>26.6666666666667</v>
      </c>
      <c r="E20" s="23" t="n">
        <f aca="false">MSFT_TCV/(5*MSFT_MW)</f>
        <v>14.4940833333333</v>
      </c>
      <c r="F20" s="28" t="n">
        <v>20</v>
      </c>
      <c r="G20" s="29" t="n">
        <v>15</v>
      </c>
      <c r="H20" s="62" t="n">
        <f aca="false">IF(R20&lt;=LastHist,R20,CHOOSE(Scen,Q20,R20,S20)+IF(R20&gt;=13,2*BloomSlipOn,0))</f>
        <v>15</v>
      </c>
      <c r="I20" s="78" t="n">
        <v>0</v>
      </c>
      <c r="J20" s="69" t="n">
        <v>0</v>
      </c>
      <c r="K20" s="33" t="n">
        <f aca="false">D20*E20*F20/4</f>
        <v>1932.54444444444</v>
      </c>
      <c r="L20" s="23" t="n">
        <f aca="false">E20*1000000/(CHOOSE(MATCH(C20,{"H";"B";"N"},0),GPUMW_H,GPUMW_B,GPUMW_N)*8760)</f>
        <v>3.30915144596652</v>
      </c>
      <c r="N20" s="22" t="s">
        <v>559</v>
      </c>
      <c r="O20" s="22" t="s">
        <v>1843</v>
      </c>
      <c r="P20" s="22" t="s">
        <v>1849</v>
      </c>
      <c r="Q20" s="29" t="n">
        <v>14</v>
      </c>
      <c r="R20" s="29" t="n">
        <v>15</v>
      </c>
      <c r="S20" s="29" t="n">
        <v>17</v>
      </c>
      <c r="T20" s="62" t="n">
        <f aca="false">IF(R20&lt;=LastHist,RampMS_B,RampMS)</f>
        <v>4</v>
      </c>
    </row>
    <row r="21" customFormat="false" ht="15" hidden="false" customHeight="false" outlineLevel="0" collapsed="false">
      <c r="A21" s="0" t="s">
        <v>1854</v>
      </c>
      <c r="B21" s="0" t="s">
        <v>1842</v>
      </c>
      <c r="C21" s="106" t="s">
        <v>1782</v>
      </c>
      <c r="D21" s="123" t="n">
        <v>0</v>
      </c>
      <c r="E21" s="23" t="n">
        <f aca="false">MSFT_TCV/(5*MSFT_MW)</f>
        <v>14.4940833333333</v>
      </c>
      <c r="F21" s="28" t="n">
        <v>20</v>
      </c>
      <c r="G21" s="78" t="n">
        <v>12</v>
      </c>
      <c r="H21" s="62" t="n">
        <f aca="false">IF(R21&lt;=LastHist,R21,CHOOSE(Scen,Q21,R21,S21)+IF(R21&gt;=13,2*BloomSlipOn,0))</f>
        <v>12</v>
      </c>
      <c r="I21" s="78" t="n">
        <v>0</v>
      </c>
      <c r="J21" s="69" t="n">
        <v>0</v>
      </c>
      <c r="K21" s="33" t="n">
        <f aca="false">D21*E21*F21/4</f>
        <v>0</v>
      </c>
      <c r="L21" s="23" t="n">
        <f aca="false">E21*1000000/(CHOOSE(MATCH(C21,{"H";"B";"N"},0),GPUMW_H,GPUMW_B,GPUMW_N)*8760)</f>
        <v>3.30915144596652</v>
      </c>
      <c r="N21" s="22" t="s">
        <v>601</v>
      </c>
      <c r="O21" s="22" t="s">
        <v>1843</v>
      </c>
      <c r="P21" s="22" t="s">
        <v>1855</v>
      </c>
      <c r="Q21" s="78" t="n">
        <v>12</v>
      </c>
      <c r="R21" s="78" t="n">
        <v>12</v>
      </c>
      <c r="S21" s="78" t="n">
        <v>12</v>
      </c>
      <c r="T21" s="62" t="n">
        <f aca="false">IF(R21&lt;=LastHist,RampMS_B,RampMS)</f>
        <v>4</v>
      </c>
    </row>
    <row r="22" customFormat="false" ht="15" hidden="false" customHeight="false" outlineLevel="0" collapsed="false">
      <c r="A22" s="0" t="s">
        <v>1856</v>
      </c>
      <c r="B22" s="0" t="s">
        <v>1842</v>
      </c>
      <c r="C22" s="106" t="s">
        <v>1782</v>
      </c>
      <c r="D22" s="123" t="n">
        <v>0</v>
      </c>
      <c r="E22" s="23" t="n">
        <f aca="false">MSFT_TCV/(5*MSFT_MW)</f>
        <v>14.4940833333333</v>
      </c>
      <c r="F22" s="28" t="n">
        <v>20</v>
      </c>
      <c r="G22" s="78" t="n">
        <v>12</v>
      </c>
      <c r="H22" s="62" t="n">
        <f aca="false">IF(R22&lt;=LastHist,R22,CHOOSE(Scen,Q22,R22,S22)+IF(R22&gt;=13,2*BloomSlipOn,0))</f>
        <v>12</v>
      </c>
      <c r="I22" s="78" t="n">
        <v>0</v>
      </c>
      <c r="J22" s="69" t="n">
        <v>0</v>
      </c>
      <c r="K22" s="33" t="n">
        <f aca="false">D22*E22*F22/4</f>
        <v>0</v>
      </c>
      <c r="L22" s="23" t="n">
        <f aca="false">E22*1000000/(CHOOSE(MATCH(C22,{"H";"B";"N"},0),GPUMW_H,GPUMW_B,GPUMW_N)*8760)</f>
        <v>3.30915144596652</v>
      </c>
      <c r="N22" s="22" t="s">
        <v>601</v>
      </c>
      <c r="O22" s="22" t="s">
        <v>1843</v>
      </c>
      <c r="P22" s="22" t="s">
        <v>1857</v>
      </c>
      <c r="Q22" s="78" t="n">
        <v>12</v>
      </c>
      <c r="R22" s="78" t="n">
        <v>12</v>
      </c>
      <c r="S22" s="78" t="n">
        <v>12</v>
      </c>
      <c r="T22" s="62" t="n">
        <f aca="false">IF(R22&lt;=LastHist,RampMS_B,RampMS)</f>
        <v>4</v>
      </c>
    </row>
    <row r="23" customFormat="false" ht="15" hidden="false" customHeight="false" outlineLevel="0" collapsed="false">
      <c r="A23" s="0" t="s">
        <v>1858</v>
      </c>
      <c r="B23" s="0" t="s">
        <v>1859</v>
      </c>
      <c r="C23" s="106" t="s">
        <v>1782</v>
      </c>
      <c r="D23" s="36" t="n">
        <f aca="false">M23/(E23*F23/4)</f>
        <v>24.0058333333333</v>
      </c>
      <c r="E23" s="23" t="n">
        <f aca="false">ACV_2026</f>
        <v>12</v>
      </c>
      <c r="F23" s="28" t="n">
        <v>20</v>
      </c>
      <c r="G23" s="28" t="n">
        <v>8</v>
      </c>
      <c r="H23" s="62" t="n">
        <f aca="false">IF(R23&lt;=LastHist,R23,CHOOSE(Scen,Q23,R23,S23))</f>
        <v>8</v>
      </c>
      <c r="I23" s="78" t="n">
        <v>0</v>
      </c>
      <c r="J23" s="69" t="n">
        <v>0</v>
      </c>
      <c r="K23" s="33" t="n">
        <f aca="false">D23*E23*F23/4</f>
        <v>1440.35</v>
      </c>
      <c r="L23" s="23" t="n">
        <f aca="false">E23*1000000/(CHOOSE(MATCH(C23,{"H";"B";"N"},0),GPUMW_H,GPUMW_B,GPUMW_N)*8760)</f>
        <v>2.73972602739726</v>
      </c>
      <c r="M23" s="71" t="n">
        <v>1440.35</v>
      </c>
      <c r="N23" s="22" t="s">
        <v>574</v>
      </c>
      <c r="O23" s="22" t="s">
        <v>1843</v>
      </c>
      <c r="P23" s="22" t="s">
        <v>1860</v>
      </c>
      <c r="Q23" s="78" t="n">
        <v>8</v>
      </c>
      <c r="R23" s="78" t="n">
        <v>8</v>
      </c>
      <c r="S23" s="78" t="n">
        <v>8</v>
      </c>
      <c r="T23" s="62" t="n">
        <f aca="false">1</f>
        <v>1</v>
      </c>
    </row>
    <row r="24" customFormat="false" ht="15" hidden="false" customHeight="false" outlineLevel="0" collapsed="false">
      <c r="A24" s="0" t="s">
        <v>1861</v>
      </c>
      <c r="B24" s="0" t="s">
        <v>1859</v>
      </c>
      <c r="C24" s="106" t="s">
        <v>1782</v>
      </c>
      <c r="D24" s="36" t="n">
        <f aca="false">M24/(E24*F24/4)</f>
        <v>24.0058333333333</v>
      </c>
      <c r="E24" s="23" t="n">
        <f aca="false">ACV_2026</f>
        <v>12</v>
      </c>
      <c r="F24" s="28" t="n">
        <v>20</v>
      </c>
      <c r="G24" s="28" t="n">
        <v>9</v>
      </c>
      <c r="H24" s="62" t="n">
        <f aca="false">IF(R24&lt;=LastHist,R24,CHOOSE(Scen,Q24,R24,S24))</f>
        <v>9</v>
      </c>
      <c r="I24" s="78" t="n">
        <v>0</v>
      </c>
      <c r="J24" s="69" t="n">
        <v>0</v>
      </c>
      <c r="K24" s="33" t="n">
        <f aca="false">D24*E24*F24/4</f>
        <v>1440.35</v>
      </c>
      <c r="L24" s="23" t="n">
        <f aca="false">E24*1000000/(CHOOSE(MATCH(C24,{"H";"B";"N"},0),GPUMW_H,GPUMW_B,GPUMW_N)*8760)</f>
        <v>2.73972602739726</v>
      </c>
      <c r="M24" s="71" t="n">
        <v>1440.35</v>
      </c>
      <c r="N24" s="22" t="s">
        <v>574</v>
      </c>
      <c r="O24" s="22" t="s">
        <v>1843</v>
      </c>
      <c r="P24" s="22" t="s">
        <v>1857</v>
      </c>
      <c r="Q24" s="78" t="n">
        <v>9</v>
      </c>
      <c r="R24" s="78" t="n">
        <v>9</v>
      </c>
      <c r="S24" s="78" t="n">
        <v>9</v>
      </c>
      <c r="T24" s="62" t="n">
        <f aca="false">1</f>
        <v>1</v>
      </c>
    </row>
    <row r="25" customFormat="false" ht="15" hidden="false" customHeight="false" outlineLevel="0" collapsed="false">
      <c r="A25" s="0" t="s">
        <v>1862</v>
      </c>
      <c r="B25" s="0" t="s">
        <v>1859</v>
      </c>
      <c r="C25" s="106" t="s">
        <v>1788</v>
      </c>
      <c r="D25" s="36" t="n">
        <f aca="false">M25/(E25*F25/4)</f>
        <v>53.3333333333333</v>
      </c>
      <c r="E25" s="23" t="n">
        <f aca="false">ACV_Q2</f>
        <v>22.5</v>
      </c>
      <c r="F25" s="28" t="n">
        <v>20</v>
      </c>
      <c r="G25" s="29" t="n">
        <v>15</v>
      </c>
      <c r="H25" s="62" t="n">
        <f aca="false">IF(R25&lt;=LastHist,R25,CHOOSE(Scen,Q25,R25,S25))</f>
        <v>15</v>
      </c>
      <c r="I25" s="78" t="n">
        <v>0</v>
      </c>
      <c r="J25" s="69" t="n">
        <v>0</v>
      </c>
      <c r="K25" s="33" t="n">
        <f aca="false">D25*E25*F25/4</f>
        <v>6000</v>
      </c>
      <c r="L25" s="23" t="n">
        <f aca="false">E25*1000000/(CHOOSE(MATCH(C25,{"H";"B";"N"},0),GPUMW_H,GPUMW_B,GPUMW_N)*8760)</f>
        <v>8.02654109589041</v>
      </c>
      <c r="M25" s="86" t="n">
        <v>6000</v>
      </c>
      <c r="N25" s="22" t="s">
        <v>559</v>
      </c>
      <c r="O25" s="22" t="s">
        <v>1843</v>
      </c>
      <c r="P25" s="22" t="s">
        <v>1863</v>
      </c>
      <c r="Q25" s="29" t="n">
        <v>13</v>
      </c>
      <c r="R25" s="29" t="n">
        <v>15</v>
      </c>
      <c r="S25" s="29" t="n">
        <v>16</v>
      </c>
      <c r="T25" s="62" t="n">
        <f aca="false">1</f>
        <v>1</v>
      </c>
    </row>
    <row r="26" customFormat="false" ht="15" hidden="false" customHeight="false" outlineLevel="0" collapsed="false">
      <c r="A26" s="0" t="s">
        <v>1864</v>
      </c>
      <c r="B26" s="0" t="s">
        <v>1859</v>
      </c>
      <c r="C26" s="106" t="s">
        <v>1788</v>
      </c>
      <c r="D26" s="36" t="n">
        <f aca="false">M26/(E26*F26/4)</f>
        <v>53.3333333333333</v>
      </c>
      <c r="E26" s="23" t="n">
        <f aca="false">ACV_Q2</f>
        <v>22.5</v>
      </c>
      <c r="F26" s="28" t="n">
        <v>20</v>
      </c>
      <c r="G26" s="29" t="n">
        <v>16</v>
      </c>
      <c r="H26" s="62" t="n">
        <f aca="false">IF(R26&lt;=LastHist,R26,CHOOSE(Scen,Q26,R26,S26))</f>
        <v>16</v>
      </c>
      <c r="I26" s="78" t="n">
        <v>0</v>
      </c>
      <c r="J26" s="69" t="n">
        <v>0</v>
      </c>
      <c r="K26" s="33" t="n">
        <f aca="false">D26*E26*F26/4</f>
        <v>6000</v>
      </c>
      <c r="L26" s="23" t="n">
        <f aca="false">E26*1000000/(CHOOSE(MATCH(C26,{"H";"B";"N"},0),GPUMW_H,GPUMW_B,GPUMW_N)*8760)</f>
        <v>8.02654109589041</v>
      </c>
      <c r="M26" s="86" t="n">
        <v>6000</v>
      </c>
      <c r="N26" s="22" t="s">
        <v>559</v>
      </c>
      <c r="O26" s="22" t="s">
        <v>1843</v>
      </c>
      <c r="P26" s="22" t="s">
        <v>1857</v>
      </c>
      <c r="Q26" s="29" t="n">
        <v>14</v>
      </c>
      <c r="R26" s="29" t="n">
        <v>16</v>
      </c>
      <c r="S26" s="29" t="n">
        <v>18</v>
      </c>
      <c r="T26" s="62" t="n">
        <f aca="false">1</f>
        <v>1</v>
      </c>
    </row>
    <row r="27" customFormat="false" ht="15" hidden="false" customHeight="false" outlineLevel="0" collapsed="false">
      <c r="A27" s="0" t="s">
        <v>1865</v>
      </c>
      <c r="B27" s="0" t="s">
        <v>1859</v>
      </c>
      <c r="C27" s="106" t="s">
        <v>1788</v>
      </c>
      <c r="D27" s="36" t="n">
        <f aca="false">M27/(E27*F27/4)</f>
        <v>133.333333333333</v>
      </c>
      <c r="E27" s="23" t="n">
        <f aca="false">ACV_Q2</f>
        <v>22.5</v>
      </c>
      <c r="F27" s="28" t="n">
        <v>20</v>
      </c>
      <c r="G27" s="78" t="n">
        <v>14</v>
      </c>
      <c r="H27" s="62" t="n">
        <f aca="false">IF(R27&lt;=LastHist,R27,CHOOSE(Scen,Q27,R27,S27))</f>
        <v>14</v>
      </c>
      <c r="I27" s="78" t="n">
        <v>1</v>
      </c>
      <c r="J27" s="69" t="n">
        <v>0</v>
      </c>
      <c r="K27" s="33" t="n">
        <f aca="false">D27*E27*F27/4</f>
        <v>15000</v>
      </c>
      <c r="L27" s="23" t="n">
        <f aca="false">E27*1000000/(CHOOSE(MATCH(C27,{"H";"B";"N"},0),GPUMW_H,GPUMW_B,GPUMW_N)*8760)</f>
        <v>8.02654109589041</v>
      </c>
      <c r="M27" s="71" t="n">
        <v>15000</v>
      </c>
      <c r="N27" s="22" t="s">
        <v>601</v>
      </c>
      <c r="O27" s="22" t="s">
        <v>1843</v>
      </c>
      <c r="P27" s="22" t="s">
        <v>1866</v>
      </c>
      <c r="Q27" s="78" t="n">
        <v>14</v>
      </c>
      <c r="R27" s="78" t="n">
        <v>14</v>
      </c>
      <c r="S27" s="78" t="n">
        <v>14</v>
      </c>
      <c r="T27" s="62" t="n">
        <f aca="false">1</f>
        <v>1</v>
      </c>
    </row>
    <row r="28" customFormat="false" ht="15" hidden="false" customHeight="false" outlineLevel="0" collapsed="false">
      <c r="A28" s="0" t="s">
        <v>1867</v>
      </c>
      <c r="B28" s="0" t="s">
        <v>1868</v>
      </c>
      <c r="C28" s="106" t="s">
        <v>1788</v>
      </c>
      <c r="D28" s="123" t="n">
        <v>0</v>
      </c>
      <c r="E28" s="23" t="n">
        <f aca="false">ACV_Q2</f>
        <v>22.5</v>
      </c>
      <c r="F28" s="78" t="n">
        <v>20</v>
      </c>
      <c r="G28" s="78" t="n">
        <v>16</v>
      </c>
      <c r="H28" s="62" t="n">
        <f aca="false">IF(R28&lt;=LastHist,R28,CHOOSE(Scen,Q28,R28,S28))</f>
        <v>16</v>
      </c>
      <c r="I28" s="78" t="n">
        <v>0</v>
      </c>
      <c r="J28" s="69" t="n">
        <v>0</v>
      </c>
      <c r="K28" s="33" t="n">
        <f aca="false">D28*E28*F28/4</f>
        <v>0</v>
      </c>
      <c r="L28" s="23" t="n">
        <f aca="false">E28*1000000/(CHOOSE(MATCH(C28,{"H";"B";"N"},0),GPUMW_H,GPUMW_B,GPUMW_N)*8760)</f>
        <v>8.02654109589041</v>
      </c>
      <c r="N28" s="22" t="s">
        <v>601</v>
      </c>
      <c r="O28" s="22" t="s">
        <v>1843</v>
      </c>
      <c r="P28" s="22" t="s">
        <v>1869</v>
      </c>
      <c r="Q28" s="78" t="n">
        <v>16</v>
      </c>
      <c r="R28" s="78" t="n">
        <v>16</v>
      </c>
      <c r="S28" s="78" t="n">
        <v>16</v>
      </c>
      <c r="T28" s="62" t="n">
        <f aca="false">1</f>
        <v>1</v>
      </c>
    </row>
    <row r="29" customFormat="false" ht="15" hidden="false" customHeight="false" outlineLevel="0" collapsed="false">
      <c r="A29" s="0" t="s">
        <v>1870</v>
      </c>
      <c r="B29" s="0" t="s">
        <v>1868</v>
      </c>
      <c r="C29" s="106" t="s">
        <v>1788</v>
      </c>
      <c r="D29" s="123" t="n">
        <v>0</v>
      </c>
      <c r="E29" s="23" t="n">
        <f aca="false">ACV_Q2</f>
        <v>22.5</v>
      </c>
      <c r="F29" s="78" t="n">
        <v>20</v>
      </c>
      <c r="G29" s="78" t="n">
        <v>20</v>
      </c>
      <c r="H29" s="62" t="n">
        <f aca="false">IF(R29&lt;=LastHist,R29,CHOOSE(Scen,Q29,R29,S29))</f>
        <v>20</v>
      </c>
      <c r="I29" s="78" t="n">
        <v>0</v>
      </c>
      <c r="J29" s="69" t="n">
        <v>0</v>
      </c>
      <c r="K29" s="33" t="n">
        <f aca="false">D29*E29*F29/4</f>
        <v>0</v>
      </c>
      <c r="L29" s="23" t="n">
        <f aca="false">E29*1000000/(CHOOSE(MATCH(C29,{"H";"B";"N"},0),GPUMW_H,GPUMW_B,GPUMW_N)*8760)</f>
        <v>8.02654109589041</v>
      </c>
      <c r="N29" s="22" t="s">
        <v>601</v>
      </c>
      <c r="O29" s="22" t="s">
        <v>1843</v>
      </c>
      <c r="P29" s="22"/>
      <c r="Q29" s="78" t="n">
        <v>20</v>
      </c>
      <c r="R29" s="78" t="n">
        <v>20</v>
      </c>
      <c r="S29" s="78" t="n">
        <v>20</v>
      </c>
      <c r="T29" s="62" t="n">
        <f aca="false">1</f>
        <v>1</v>
      </c>
    </row>
    <row r="30" customFormat="false" ht="15" hidden="false" customHeight="false" outlineLevel="0" collapsed="false">
      <c r="A30" s="3" t="s">
        <v>1871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1872</v>
      </c>
      <c r="K31" s="5" t="n">
        <f aca="false">SUM(K12:K20)-MSFT_TCV</f>
        <v>0</v>
      </c>
    </row>
    <row r="34" customFormat="false" ht="15" hidden="false" customHeight="false" outlineLevel="0" collapsed="false">
      <c r="A34" s="58" t="s">
        <v>1873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</row>
    <row r="35" customFormat="false" ht="15" hidden="false" customHeight="false" outlineLevel="0" collapsed="false">
      <c r="A35" s="107" t="s">
        <v>1874</v>
      </c>
      <c r="B35" s="22" t="s">
        <v>613</v>
      </c>
      <c r="C35" s="22"/>
      <c r="D35" s="22"/>
      <c r="F35" s="124" t="n">
        <f aca="false">(1-$I$12)*(1-$J$12)*$D$12*$E$12/4*MIN(1,MAX(0,(F$5-$H$12+1)/$T$12))*IF(F$5=$H$12,DelivFactor,IF(AND(F$5&gt;$H$12,F$5&lt;$H$12+$F$12),1,IF(F$5=$H$12+$F$12,1-DelivFactor,0)))</f>
        <v>0</v>
      </c>
      <c r="G35" s="124" t="n">
        <f aca="false">(1-$I$12)*(1-$J$12)*$D$12*$E$12/4*MIN(1,MAX(0,(G$5-$H$12+1)/$T$12))*IF(G$5=$H$12,DelivFactor,IF(AND(G$5&gt;$H$12,G$5&lt;$H$12+$F$12),1,IF(G$5=$H$12+$F$12,1-DelivFactor,0)))</f>
        <v>0</v>
      </c>
      <c r="H35" s="124" t="n">
        <f aca="false">(1-$I$12)*(1-$J$12)*$D$12*$E$12/4*MIN(1,MAX(0,(H$5-$H$12+1)/$T$12))*IF(H$5=$H$12,DelivFactor,IF(AND(H$5&gt;$H$12,H$5&lt;$H$12+$F$12),1,IF(H$5=$H$12+$F$12,1-DelivFactor,0)))</f>
        <v>0</v>
      </c>
      <c r="I35" s="124" t="n">
        <f aca="false">(1-$I$12)*(1-$J$12)*$D$12*$E$12/4*MIN(1,MAX(0,(I$5-$H$12+1)/$T$12))*IF(I$5=$H$12,DelivFactor,IF(AND(I$5&gt;$H$12,I$5&lt;$H$12+$F$12),1,IF(I$5=$H$12+$F$12,1-DelivFactor,0)))</f>
        <v>0</v>
      </c>
      <c r="J35" s="124" t="n">
        <f aca="false">(1-$I$12)*(1-$J$12)*$D$12*$E$12/4*MIN(1,MAX(0,(J$5-$H$12+1)/$T$12))*IF(J$5=$H$12,DelivFactor,IF(AND(J$5&gt;$H$12,J$5&lt;$H$12+$F$12),1,IF(J$5=$H$12+$F$12,1-DelivFactor,0)))</f>
        <v>0</v>
      </c>
      <c r="K35" s="124" t="n">
        <f aca="false">(1-$I$12)*(1-$J$12)*$D$12*$E$12/4*MIN(1,MAX(0,(K$5-$H$12+1)/$T$12))*IF(K$5=$H$12,DelivFactor,IF(AND(K$5&gt;$H$12,K$5&lt;$H$12+$F$12),1,IF(K$5=$H$12+$F$12,1-DelivFactor,0)))</f>
        <v>0</v>
      </c>
      <c r="L35" s="124" t="n">
        <f aca="false">(1-$I$12)*(1-$J$12)*$D$12*$E$12/4*MIN(1,MAX(0,(L$5-$H$12+1)/$T$12))*IF(L$5=$H$12,DelivFactor,IF(AND(L$5&gt;$H$12,L$5&lt;$H$12+$F$12),1,IF(L$5=$H$12+$F$12,1-DelivFactor,0)))</f>
        <v>0</v>
      </c>
      <c r="M35" s="124" t="n">
        <f aca="false">(1-$I$12)*(1-$J$12)*$D$12*$E$12/4*MIN(1,MAX(0,(M$5-$H$12+1)/$T$12))*IF(M$5=$H$12,DelivFactor,IF(AND(M$5&gt;$H$12,M$5&lt;$H$12+$F$12),1,IF(M$5=$H$12+$F$12,1-DelivFactor,0)))</f>
        <v>12.0784027777778</v>
      </c>
      <c r="N35" s="124" t="n">
        <f aca="false">(1-$I$12)*(1-$J$12)*$D$12*$E$12/4*MIN(1,MAX(0,(N$5-$H$12+1)/$T$12))*IF(N$5=$H$12,DelivFactor,IF(AND(N$5&gt;$H$12,N$5&lt;$H$12+$F$12),1,IF(N$5=$H$12+$F$12,1-DelivFactor,0)))</f>
        <v>48.3136111111111</v>
      </c>
      <c r="O35" s="124" t="n">
        <f aca="false">(1-$I$12)*(1-$J$12)*$D$12*$E$12/4*MIN(1,MAX(0,(O$5-$H$12+1)/$T$12))*IF(O$5=$H$12,DelivFactor,IF(AND(O$5&gt;$H$12,O$5&lt;$H$12+$F$12),1,IF(O$5=$H$12+$F$12,1-DelivFactor,0)))</f>
        <v>72.4704166666667</v>
      </c>
      <c r="P35" s="125" t="n">
        <f aca="false">(1-$I$12)*(1-$J$12)*$D$12*$E$12/4*MIN(1,MAX(0,(P$5-$H$12+1)/$T$12))*IF(P$5=$H$12,DelivFactor,IF(AND(P$5&gt;$H$12,P$5&lt;$H$12+$F$12),1,IF(P$5=$H$12+$F$12,1-DelivFactor,0)))</f>
        <v>96.6272222222222</v>
      </c>
      <c r="Q35" s="125" t="n">
        <f aca="false">(1-$I$12)*(1-$J$12)*$D$12*$E$12/4*MIN(1,MAX(0,(Q$5-$H$12+1)/$T$12))*IF(Q$5=$H$12,DelivFactor,IF(AND(Q$5&gt;$H$12,Q$5&lt;$H$12+$F$12),1,IF(Q$5=$H$12+$F$12,1-DelivFactor,0)))</f>
        <v>96.6272222222222</v>
      </c>
      <c r="R35" s="125" t="n">
        <f aca="false">(1-$I$12)*(1-$J$12)*$D$12*$E$12/4*MIN(1,MAX(0,(R$5-$H$12+1)/$T$12))*IF(R$5=$H$12,DelivFactor,IF(AND(R$5&gt;$H$12,R$5&lt;$H$12+$F$12),1,IF(R$5=$H$12+$F$12,1-DelivFactor,0)))</f>
        <v>96.6272222222222</v>
      </c>
      <c r="S35" s="125" t="n">
        <f aca="false">(1-$I$12)*(1-$J$12)*$D$12*$E$12/4*MIN(1,MAX(0,(S$5-$H$12+1)/$T$12))*IF(S$5=$H$12,DelivFactor,IF(AND(S$5&gt;$H$12,S$5&lt;$H$12+$F$12),1,IF(S$5=$H$12+$F$12,1-DelivFactor,0)))</f>
        <v>96.6272222222222</v>
      </c>
      <c r="T35" s="125" t="n">
        <f aca="false">(1-$I$12)*(1-$J$12)*$D$12*$E$12/4*MIN(1,MAX(0,(T$5-$H$12+1)/$T$12))*IF(T$5=$H$12,DelivFactor,IF(AND(T$5&gt;$H$12,T$5&lt;$H$12+$F$12),1,IF(T$5=$H$12+$F$12,1-DelivFactor,0)))</f>
        <v>96.6272222222222</v>
      </c>
      <c r="U35" s="125" t="n">
        <f aca="false">(1-$I$12)*(1-$J$12)*$D$12*$E$12/4*MIN(1,MAX(0,(U$5-$H$12+1)/$T$12))*IF(U$5=$H$12,DelivFactor,IF(AND(U$5&gt;$H$12,U$5&lt;$H$12+$F$12),1,IF(U$5=$H$12+$F$12,1-DelivFactor,0)))</f>
        <v>96.6272222222222</v>
      </c>
      <c r="V35" s="125" t="n">
        <f aca="false">(1-$I$12)*(1-$J$12)*$D$12*$E$12/4*MIN(1,MAX(0,(V$5-$H$12+1)/$T$12))*IF(V$5=$H$12,DelivFactor,IF(AND(V$5&gt;$H$12,V$5&lt;$H$12+$F$12),1,IF(V$5=$H$12+$F$12,1-DelivFactor,0)))</f>
        <v>96.6272222222222</v>
      </c>
      <c r="W35" s="125" t="n">
        <f aca="false">(1-$I$12)*(1-$J$12)*$D$12*$E$12/4*MIN(1,MAX(0,(W$5-$H$12+1)/$T$12))*IF(W$5=$H$12,DelivFactor,IF(AND(W$5&gt;$H$12,W$5&lt;$H$12+$F$12),1,IF(W$5=$H$12+$F$12,1-DelivFactor,0)))</f>
        <v>96.6272222222222</v>
      </c>
      <c r="X35" s="125" t="n">
        <f aca="false">(1-$I$12)*(1-$J$12)*$D$12*$E$12/4*MIN(1,MAX(0,(X$5-$H$12+1)/$T$12))*IF(X$5=$H$12,DelivFactor,IF(AND(X$5&gt;$H$12,X$5&lt;$H$12+$F$12),1,IF(X$5=$H$12+$F$12,1-DelivFactor,0)))</f>
        <v>96.6272222222222</v>
      </c>
      <c r="Y35" s="125" t="n">
        <f aca="false">(1-$I$12)*(1-$J$12)*$D$12*$E$12/4*MIN(1,MAX(0,(Y$5-$H$12+1)/$T$12))*IF(Y$5=$H$12,DelivFactor,IF(AND(Y$5&gt;$H$12,Y$5&lt;$H$12+$F$12),1,IF(Y$5=$H$12+$F$12,1-DelivFactor,0)))</f>
        <v>96.6272222222222</v>
      </c>
      <c r="Z35" s="125" t="n">
        <f aca="false">(1-$I$12)*(1-$J$12)*$D$12*$E$12/4*MIN(1,MAX(0,(Z$5-$H$12+1)/$T$12))*IF(Z$5=$H$12,DelivFactor,IF(AND(Z$5&gt;$H$12,Z$5&lt;$H$12+$F$12),1,IF(Z$5=$H$12+$F$12,1-DelivFactor,0)))</f>
        <v>96.6272222222222</v>
      </c>
      <c r="AA35" s="125" t="n">
        <f aca="false">(1-$I$12)*(1-$J$12)*$D$12*$E$12/4*MIN(1,MAX(0,(AA$5-$H$12+1)/$T$12))*IF(AA$5=$H$12,DelivFactor,IF(AND(AA$5&gt;$H$12,AA$5&lt;$H$12+$F$12),1,IF(AA$5=$H$12+$F$12,1-DelivFactor,0)))</f>
        <v>96.6272222222222</v>
      </c>
      <c r="AB35" s="125" t="n">
        <f aca="false">(1-$I$12)*(1-$J$12)*$D$12*$E$12/4*MIN(1,MAX(0,(AB$5-$H$12+1)/$T$12))*IF(AB$5=$H$12,DelivFactor,IF(AND(AB$5&gt;$H$12,AB$5&lt;$H$12+$F$12),1,IF(AB$5=$H$12+$F$12,1-DelivFactor,0)))</f>
        <v>96.6272222222222</v>
      </c>
      <c r="AC35" s="125" t="n">
        <f aca="false">(1-$I$12)*(1-$J$12)*$D$12*$E$12/4*MIN(1,MAX(0,(AC$5-$H$12+1)/$T$12))*IF(AC$5=$H$12,DelivFactor,IF(AND(AC$5&gt;$H$12,AC$5&lt;$H$12+$F$12),1,IF(AC$5=$H$12+$F$12,1-DelivFactor,0)))</f>
        <v>96.6272222222222</v>
      </c>
      <c r="AD35" s="125" t="n">
        <f aca="false">(1-$I$12)*(1-$J$12)*$D$12*$E$12/4*MIN(1,MAX(0,(AD$5-$H$12+1)/$T$12))*IF(AD$5=$H$12,DelivFactor,IF(AND(AD$5&gt;$H$12,AD$5&lt;$H$12+$F$12),1,IF(AD$5=$H$12+$F$12,1-DelivFactor,0)))</f>
        <v>96.6272222222222</v>
      </c>
      <c r="AE35" s="125" t="n">
        <f aca="false">(1-$I$12)*(1-$J$12)*$D$12*$E$12/4*MIN(1,MAX(0,(AE$5-$H$12+1)/$T$12))*IF(AE$5=$H$12,DelivFactor,IF(AND(AE$5&gt;$H$12,AE$5&lt;$H$12+$F$12),1,IF(AE$5=$H$12+$F$12,1-DelivFactor,0)))</f>
        <v>96.6272222222222</v>
      </c>
      <c r="AF35" s="125" t="n">
        <f aca="false">(1-$I$12)*(1-$J$12)*$D$12*$E$12/4*MIN(1,MAX(0,(AF$5-$H$12+1)/$T$12))*IF(AF$5=$H$12,DelivFactor,IF(AND(AF$5&gt;$H$12,AF$5&lt;$H$12+$F$12),1,IF(AF$5=$H$12+$F$12,1-DelivFactor,0)))</f>
        <v>96.6272222222222</v>
      </c>
      <c r="AG35" s="125" t="n">
        <f aca="false">(1-$I$12)*(1-$J$12)*$D$12*$E$12/4*MIN(1,MAX(0,(AG$5-$H$12+1)/$T$12))*IF(AG$5=$H$12,DelivFactor,IF(AND(AG$5&gt;$H$12,AG$5&lt;$H$12+$F$12),1,IF(AG$5=$H$12+$F$12,1-DelivFactor,0)))</f>
        <v>48.3136111111111</v>
      </c>
      <c r="AI35" s="125" t="n">
        <f aca="false">SUMIF($F$7:$AG$7,AI$7,$F35:$AG35)</f>
        <v>0</v>
      </c>
      <c r="AJ35" s="125" t="n">
        <f aca="false">SUMIF($F$7:$AG$7,AJ$7,$F35:$AG35)</f>
        <v>12.0784027777778</v>
      </c>
      <c r="AK35" s="125" t="n">
        <f aca="false">SUMIF($F$7:$AG$7,AK$7,$F35:$AG35)</f>
        <v>314.038472222222</v>
      </c>
      <c r="AL35" s="125" t="n">
        <f aca="false">SUMIF($F$7:$AG$7,AL$7,$F35:$AG35)</f>
        <v>386.508888888889</v>
      </c>
      <c r="AM35" s="125" t="n">
        <f aca="false">SUMIF($F$7:$AG$7,AM$7,$F35:$AG35)</f>
        <v>386.508888888889</v>
      </c>
      <c r="AN35" s="125" t="n">
        <f aca="false">SUMIF($F$7:$AG$7,AN$7,$F35:$AG35)</f>
        <v>386.508888888889</v>
      </c>
      <c r="AO35" s="125" t="n">
        <f aca="false">SUMIF($F$7:$AG$7,AO$7,$F35:$AG35)</f>
        <v>338.195277777778</v>
      </c>
    </row>
    <row r="36" customFormat="false" ht="15" hidden="false" customHeight="false" outlineLevel="0" collapsed="false">
      <c r="A36" s="107" t="s">
        <v>1875</v>
      </c>
      <c r="B36" s="22" t="s">
        <v>664</v>
      </c>
      <c r="C36" s="22"/>
      <c r="D36" s="22"/>
      <c r="F36" s="116" t="n">
        <f aca="false">(1-$I$12)*(1-$J$12)*$D$12*AND(F$5&gt;=$H$12,F$5&lt;$H$12+$F$12)</f>
        <v>0</v>
      </c>
      <c r="G36" s="116" t="n">
        <f aca="false">(1-$I$12)*(1-$J$12)*$D$12*AND(G$5&gt;=$H$12,G$5&lt;$H$12+$F$12)</f>
        <v>0</v>
      </c>
      <c r="H36" s="116" t="n">
        <f aca="false">(1-$I$12)*(1-$J$12)*$D$12*AND(H$5&gt;=$H$12,H$5&lt;$H$12+$F$12)</f>
        <v>0</v>
      </c>
      <c r="I36" s="116" t="n">
        <f aca="false">(1-$I$12)*(1-$J$12)*$D$12*AND(I$5&gt;=$H$12,I$5&lt;$H$12+$F$12)</f>
        <v>0</v>
      </c>
      <c r="J36" s="116" t="n">
        <f aca="false">(1-$I$12)*(1-$J$12)*$D$12*AND(J$5&gt;=$H$12,J$5&lt;$H$12+$F$12)</f>
        <v>0</v>
      </c>
      <c r="K36" s="116" t="n">
        <f aca="false">(1-$I$12)*(1-$J$12)*$D$12*AND(K$5&gt;=$H$12,K$5&lt;$H$12+$F$12)</f>
        <v>0</v>
      </c>
      <c r="L36" s="116" t="n">
        <f aca="false">(1-$I$12)*(1-$J$12)*$D$12*AND(L$5&gt;=$H$12,L$5&lt;$H$12+$F$12)</f>
        <v>0</v>
      </c>
      <c r="M36" s="116" t="n">
        <f aca="false">(1-$I$12)*(1-$J$12)*$D$12*AND(M$5&gt;=$H$12,M$5&lt;$H$12+$F$12)</f>
        <v>26.6666666666667</v>
      </c>
      <c r="N36" s="116" t="n">
        <f aca="false">(1-$I$12)*(1-$J$12)*$D$12*AND(N$5&gt;=$H$12,N$5&lt;$H$12+$F$12)</f>
        <v>26.6666666666667</v>
      </c>
      <c r="O36" s="116" t="n">
        <f aca="false">(1-$I$12)*(1-$J$12)*$D$12*AND(O$5&gt;=$H$12,O$5&lt;$H$12+$F$12)</f>
        <v>26.6666666666667</v>
      </c>
      <c r="P36" s="36" t="n">
        <f aca="false">(1-$I$12)*(1-$J$12)*$D$12*AND(P$5&gt;=$H$12,P$5&lt;$H$12+$F$12)</f>
        <v>26.6666666666667</v>
      </c>
      <c r="Q36" s="36" t="n">
        <f aca="false">(1-$I$12)*(1-$J$12)*$D$12*AND(Q$5&gt;=$H$12,Q$5&lt;$H$12+$F$12)</f>
        <v>26.6666666666667</v>
      </c>
      <c r="R36" s="36" t="n">
        <f aca="false">(1-$I$12)*(1-$J$12)*$D$12*AND(R$5&gt;=$H$12,R$5&lt;$H$12+$F$12)</f>
        <v>26.6666666666667</v>
      </c>
      <c r="S36" s="36" t="n">
        <f aca="false">(1-$I$12)*(1-$J$12)*$D$12*AND(S$5&gt;=$H$12,S$5&lt;$H$12+$F$12)</f>
        <v>26.6666666666667</v>
      </c>
      <c r="T36" s="36" t="n">
        <f aca="false">(1-$I$12)*(1-$J$12)*$D$12*AND(T$5&gt;=$H$12,T$5&lt;$H$12+$F$12)</f>
        <v>26.6666666666667</v>
      </c>
      <c r="U36" s="36" t="n">
        <f aca="false">(1-$I$12)*(1-$J$12)*$D$12*AND(U$5&gt;=$H$12,U$5&lt;$H$12+$F$12)</f>
        <v>26.6666666666667</v>
      </c>
      <c r="V36" s="36" t="n">
        <f aca="false">(1-$I$12)*(1-$J$12)*$D$12*AND(V$5&gt;=$H$12,V$5&lt;$H$12+$F$12)</f>
        <v>26.6666666666667</v>
      </c>
      <c r="W36" s="36" t="n">
        <f aca="false">(1-$I$12)*(1-$J$12)*$D$12*AND(W$5&gt;=$H$12,W$5&lt;$H$12+$F$12)</f>
        <v>26.6666666666667</v>
      </c>
      <c r="X36" s="36" t="n">
        <f aca="false">(1-$I$12)*(1-$J$12)*$D$12*AND(X$5&gt;=$H$12,X$5&lt;$H$12+$F$12)</f>
        <v>26.6666666666667</v>
      </c>
      <c r="Y36" s="36" t="n">
        <f aca="false">(1-$I$12)*(1-$J$12)*$D$12*AND(Y$5&gt;=$H$12,Y$5&lt;$H$12+$F$12)</f>
        <v>26.6666666666667</v>
      </c>
      <c r="Z36" s="36" t="n">
        <f aca="false">(1-$I$12)*(1-$J$12)*$D$12*AND(Z$5&gt;=$H$12,Z$5&lt;$H$12+$F$12)</f>
        <v>26.6666666666667</v>
      </c>
      <c r="AA36" s="36" t="n">
        <f aca="false">(1-$I$12)*(1-$J$12)*$D$12*AND(AA$5&gt;=$H$12,AA$5&lt;$H$12+$F$12)</f>
        <v>26.6666666666667</v>
      </c>
      <c r="AB36" s="36" t="n">
        <f aca="false">(1-$I$12)*(1-$J$12)*$D$12*AND(AB$5&gt;=$H$12,AB$5&lt;$H$12+$F$12)</f>
        <v>26.6666666666667</v>
      </c>
      <c r="AC36" s="36" t="n">
        <f aca="false">(1-$I$12)*(1-$J$12)*$D$12*AND(AC$5&gt;=$H$12,AC$5&lt;$H$12+$F$12)</f>
        <v>26.6666666666667</v>
      </c>
      <c r="AD36" s="36" t="n">
        <f aca="false">(1-$I$12)*(1-$J$12)*$D$12*AND(AD$5&gt;=$H$12,AD$5&lt;$H$12+$F$12)</f>
        <v>26.6666666666667</v>
      </c>
      <c r="AE36" s="36" t="n">
        <f aca="false">(1-$I$12)*(1-$J$12)*$D$12*AND(AE$5&gt;=$H$12,AE$5&lt;$H$12+$F$12)</f>
        <v>26.6666666666667</v>
      </c>
      <c r="AF36" s="36" t="n">
        <f aca="false">(1-$I$12)*(1-$J$12)*$D$12*AND(AF$5&gt;=$H$12,AF$5&lt;$H$12+$F$12)</f>
        <v>26.6666666666667</v>
      </c>
      <c r="AG36" s="36" t="n">
        <f aca="false">(1-$I$12)*(1-$J$12)*$D$12*AND(AG$5&gt;=$H$12,AG$5&lt;$H$12+$F$12)</f>
        <v>0</v>
      </c>
      <c r="AI36" s="36" t="n">
        <f aca="false">INDEX($F36:$AG36,1,MATCH(AI$7,$F$7:$AG$7,1))</f>
        <v>0</v>
      </c>
      <c r="AJ36" s="36" t="n">
        <f aca="false">INDEX($F36:$AG36,1,MATCH(AJ$7,$F$7:$AG$7,1))</f>
        <v>26.6666666666667</v>
      </c>
      <c r="AK36" s="36" t="n">
        <f aca="false">INDEX($F36:$AG36,1,MATCH(AK$7,$F$7:$AG$7,1))</f>
        <v>26.6666666666667</v>
      </c>
      <c r="AL36" s="36" t="n">
        <f aca="false">INDEX($F36:$AG36,1,MATCH(AL$7,$F$7:$AG$7,1))</f>
        <v>26.6666666666667</v>
      </c>
      <c r="AM36" s="36" t="n">
        <f aca="false">INDEX($F36:$AG36,1,MATCH(AM$7,$F$7:$AG$7,1))</f>
        <v>26.6666666666667</v>
      </c>
      <c r="AN36" s="36" t="n">
        <f aca="false">INDEX($F36:$AG36,1,MATCH(AN$7,$F$7:$AG$7,1))</f>
        <v>26.6666666666667</v>
      </c>
      <c r="AO36" s="36" t="n">
        <f aca="false">INDEX($F36:$AG36,1,MATCH(AO$7,$F$7:$AG$7,1))</f>
        <v>0</v>
      </c>
    </row>
    <row r="37" customFormat="false" ht="15" hidden="false" customHeight="false" outlineLevel="0" collapsed="false">
      <c r="A37" s="107" t="s">
        <v>1876</v>
      </c>
      <c r="B37" s="22" t="s">
        <v>613</v>
      </c>
      <c r="C37" s="22"/>
      <c r="D37" s="22"/>
      <c r="F37" s="124" t="n">
        <f aca="false">-(1-$I$12)*LD_Pct*$D$12*$E$12/4*AND(F$5&gt;=$G$12,F$5&lt;$H$12)</f>
        <v>-0</v>
      </c>
      <c r="G37" s="124" t="n">
        <f aca="false">-(1-$I$12)*LD_Pct*$D$12*$E$12/4*AND(G$5&gt;=$G$12,G$5&lt;$H$12)</f>
        <v>-0</v>
      </c>
      <c r="H37" s="124" t="n">
        <f aca="false">-(1-$I$12)*LD_Pct*$D$12*$E$12/4*AND(H$5&gt;=$G$12,H$5&lt;$H$12)</f>
        <v>-0</v>
      </c>
      <c r="I37" s="124" t="n">
        <f aca="false">-(1-$I$12)*LD_Pct*$D$12*$E$12/4*AND(I$5&gt;=$G$12,I$5&lt;$H$12)</f>
        <v>-0</v>
      </c>
      <c r="J37" s="124" t="n">
        <f aca="false">-(1-$I$12)*LD_Pct*$D$12*$E$12/4*AND(J$5&gt;=$G$12,J$5&lt;$H$12)</f>
        <v>-0</v>
      </c>
      <c r="K37" s="124" t="n">
        <f aca="false">-(1-$I$12)*LD_Pct*$D$12*$E$12/4*AND(K$5&gt;=$G$12,K$5&lt;$H$12)</f>
        <v>-0</v>
      </c>
      <c r="L37" s="124" t="n">
        <f aca="false">-(1-$I$12)*LD_Pct*$D$12*$E$12/4*AND(L$5&gt;=$G$12,L$5&lt;$H$12)</f>
        <v>-0</v>
      </c>
      <c r="M37" s="124" t="n">
        <f aca="false">-(1-$I$12)*LD_Pct*$D$12*$E$12/4*AND(M$5&gt;=$G$12,M$5&lt;$H$12)</f>
        <v>-0</v>
      </c>
      <c r="N37" s="124" t="n">
        <f aca="false">-(1-$I$12)*LD_Pct*$D$12*$E$12/4*AND(N$5&gt;=$G$12,N$5&lt;$H$12)</f>
        <v>-0</v>
      </c>
      <c r="O37" s="124" t="n">
        <f aca="false">-(1-$I$12)*LD_Pct*$D$12*$E$12/4*AND(O$5&gt;=$G$12,O$5&lt;$H$12)</f>
        <v>-0</v>
      </c>
      <c r="P37" s="125" t="n">
        <f aca="false">-(1-$I$12)*LD_Pct*$D$12*$E$12/4*AND(P$5&gt;=$G$12,P$5&lt;$H$12)</f>
        <v>-0</v>
      </c>
      <c r="Q37" s="125" t="n">
        <f aca="false">-(1-$I$12)*LD_Pct*$D$12*$E$12/4*AND(Q$5&gt;=$G$12,Q$5&lt;$H$12)</f>
        <v>-0</v>
      </c>
      <c r="R37" s="125" t="n">
        <f aca="false">-(1-$I$12)*LD_Pct*$D$12*$E$12/4*AND(R$5&gt;=$G$12,R$5&lt;$H$12)</f>
        <v>-0</v>
      </c>
      <c r="S37" s="125" t="n">
        <f aca="false">-(1-$I$12)*LD_Pct*$D$12*$E$12/4*AND(S$5&gt;=$G$12,S$5&lt;$H$12)</f>
        <v>-0</v>
      </c>
      <c r="T37" s="125" t="n">
        <f aca="false">-(1-$I$12)*LD_Pct*$D$12*$E$12/4*AND(T$5&gt;=$G$12,T$5&lt;$H$12)</f>
        <v>-0</v>
      </c>
      <c r="U37" s="125" t="n">
        <f aca="false">-(1-$I$12)*LD_Pct*$D$12*$E$12/4*AND(U$5&gt;=$G$12,U$5&lt;$H$12)</f>
        <v>-0</v>
      </c>
      <c r="V37" s="125" t="n">
        <f aca="false">-(1-$I$12)*LD_Pct*$D$12*$E$12/4*AND(V$5&gt;=$G$12,V$5&lt;$H$12)</f>
        <v>-0</v>
      </c>
      <c r="W37" s="125" t="n">
        <f aca="false">-(1-$I$12)*LD_Pct*$D$12*$E$12/4*AND(W$5&gt;=$G$12,W$5&lt;$H$12)</f>
        <v>-0</v>
      </c>
      <c r="X37" s="125" t="n">
        <f aca="false">-(1-$I$12)*LD_Pct*$D$12*$E$12/4*AND(X$5&gt;=$G$12,X$5&lt;$H$12)</f>
        <v>-0</v>
      </c>
      <c r="Y37" s="125" t="n">
        <f aca="false">-(1-$I$12)*LD_Pct*$D$12*$E$12/4*AND(Y$5&gt;=$G$12,Y$5&lt;$H$12)</f>
        <v>-0</v>
      </c>
      <c r="Z37" s="125" t="n">
        <f aca="false">-(1-$I$12)*LD_Pct*$D$12*$E$12/4*AND(Z$5&gt;=$G$12,Z$5&lt;$H$12)</f>
        <v>-0</v>
      </c>
      <c r="AA37" s="125" t="n">
        <f aca="false">-(1-$I$12)*LD_Pct*$D$12*$E$12/4*AND(AA$5&gt;=$G$12,AA$5&lt;$H$12)</f>
        <v>-0</v>
      </c>
      <c r="AB37" s="125" t="n">
        <f aca="false">-(1-$I$12)*LD_Pct*$D$12*$E$12/4*AND(AB$5&gt;=$G$12,AB$5&lt;$H$12)</f>
        <v>-0</v>
      </c>
      <c r="AC37" s="125" t="n">
        <f aca="false">-(1-$I$12)*LD_Pct*$D$12*$E$12/4*AND(AC$5&gt;=$G$12,AC$5&lt;$H$12)</f>
        <v>-0</v>
      </c>
      <c r="AD37" s="125" t="n">
        <f aca="false">-(1-$I$12)*LD_Pct*$D$12*$E$12/4*AND(AD$5&gt;=$G$12,AD$5&lt;$H$12)</f>
        <v>-0</v>
      </c>
      <c r="AE37" s="125" t="n">
        <f aca="false">-(1-$I$12)*LD_Pct*$D$12*$E$12/4*AND(AE$5&gt;=$G$12,AE$5&lt;$H$12)</f>
        <v>-0</v>
      </c>
      <c r="AF37" s="125" t="n">
        <f aca="false">-(1-$I$12)*LD_Pct*$D$12*$E$12/4*AND(AF$5&gt;=$G$12,AF$5&lt;$H$12)</f>
        <v>-0</v>
      </c>
      <c r="AG37" s="125" t="n">
        <f aca="false">-(1-$I$12)*LD_Pct*$D$12*$E$12/4*AND(AG$5&gt;=$G$12,AG$5&lt;$H$12)</f>
        <v>-0</v>
      </c>
      <c r="AI37" s="125" t="n">
        <f aca="false">SUMIF($F$7:$AG$7,AI$7,$F37:$AG37)</f>
        <v>0</v>
      </c>
      <c r="AJ37" s="125" t="n">
        <f aca="false">SUMIF($F$7:$AG$7,AJ$7,$F37:$AG37)</f>
        <v>0</v>
      </c>
      <c r="AK37" s="125" t="n">
        <f aca="false">SUMIF($F$7:$AG$7,AK$7,$F37:$AG37)</f>
        <v>0</v>
      </c>
      <c r="AL37" s="125" t="n">
        <f aca="false">SUMIF($F$7:$AG$7,AL$7,$F37:$AG37)</f>
        <v>0</v>
      </c>
      <c r="AM37" s="125" t="n">
        <f aca="false">SUMIF($F$7:$AG$7,AM$7,$F37:$AG37)</f>
        <v>0</v>
      </c>
      <c r="AN37" s="125" t="n">
        <f aca="false">SUMIF($F$7:$AG$7,AN$7,$F37:$AG37)</f>
        <v>0</v>
      </c>
      <c r="AO37" s="125" t="n">
        <f aca="false">SUMIF($F$7:$AG$7,AO$7,$F37:$AG37)</f>
        <v>0</v>
      </c>
    </row>
    <row r="38" customFormat="false" ht="15" hidden="false" customHeight="false" outlineLevel="0" collapsed="false">
      <c r="A38" s="107" t="s">
        <v>1877</v>
      </c>
      <c r="B38" s="22" t="s">
        <v>664</v>
      </c>
      <c r="C38" s="22"/>
      <c r="D38" s="22"/>
      <c r="F38" s="116" t="n">
        <f aca="false">(1-$I$12)*(1-$J$12)*$D$12*(F$5&gt;=$H$12+$F$12)</f>
        <v>0</v>
      </c>
      <c r="G38" s="116" t="n">
        <f aca="false">(1-$I$12)*(1-$J$12)*$D$12*(G$5&gt;=$H$12+$F$12)</f>
        <v>0</v>
      </c>
      <c r="H38" s="116" t="n">
        <f aca="false">(1-$I$12)*(1-$J$12)*$D$12*(H$5&gt;=$H$12+$F$12)</f>
        <v>0</v>
      </c>
      <c r="I38" s="116" t="n">
        <f aca="false">(1-$I$12)*(1-$J$12)*$D$12*(I$5&gt;=$H$12+$F$12)</f>
        <v>0</v>
      </c>
      <c r="J38" s="116" t="n">
        <f aca="false">(1-$I$12)*(1-$J$12)*$D$12*(J$5&gt;=$H$12+$F$12)</f>
        <v>0</v>
      </c>
      <c r="K38" s="116" t="n">
        <f aca="false">(1-$I$12)*(1-$J$12)*$D$12*(K$5&gt;=$H$12+$F$12)</f>
        <v>0</v>
      </c>
      <c r="L38" s="116" t="n">
        <f aca="false">(1-$I$12)*(1-$J$12)*$D$12*(L$5&gt;=$H$12+$F$12)</f>
        <v>0</v>
      </c>
      <c r="M38" s="116" t="n">
        <f aca="false">(1-$I$12)*(1-$J$12)*$D$12*(M$5&gt;=$H$12+$F$12)</f>
        <v>0</v>
      </c>
      <c r="N38" s="116" t="n">
        <f aca="false">(1-$I$12)*(1-$J$12)*$D$12*(N$5&gt;=$H$12+$F$12)</f>
        <v>0</v>
      </c>
      <c r="O38" s="116" t="n">
        <f aca="false">(1-$I$12)*(1-$J$12)*$D$12*(O$5&gt;=$H$12+$F$12)</f>
        <v>0</v>
      </c>
      <c r="P38" s="36" t="n">
        <f aca="false">(1-$I$12)*(1-$J$12)*$D$12*(P$5&gt;=$H$12+$F$12)</f>
        <v>0</v>
      </c>
      <c r="Q38" s="36" t="n">
        <f aca="false">(1-$I$12)*(1-$J$12)*$D$12*(Q$5&gt;=$H$12+$F$12)</f>
        <v>0</v>
      </c>
      <c r="R38" s="36" t="n">
        <f aca="false">(1-$I$12)*(1-$J$12)*$D$12*(R$5&gt;=$H$12+$F$12)</f>
        <v>0</v>
      </c>
      <c r="S38" s="36" t="n">
        <f aca="false">(1-$I$12)*(1-$J$12)*$D$12*(S$5&gt;=$H$12+$F$12)</f>
        <v>0</v>
      </c>
      <c r="T38" s="36" t="n">
        <f aca="false">(1-$I$12)*(1-$J$12)*$D$12*(T$5&gt;=$H$12+$F$12)</f>
        <v>0</v>
      </c>
      <c r="U38" s="36" t="n">
        <f aca="false">(1-$I$12)*(1-$J$12)*$D$12*(U$5&gt;=$H$12+$F$12)</f>
        <v>0</v>
      </c>
      <c r="V38" s="36" t="n">
        <f aca="false">(1-$I$12)*(1-$J$12)*$D$12*(V$5&gt;=$H$12+$F$12)</f>
        <v>0</v>
      </c>
      <c r="W38" s="36" t="n">
        <f aca="false">(1-$I$12)*(1-$J$12)*$D$12*(W$5&gt;=$H$12+$F$12)</f>
        <v>0</v>
      </c>
      <c r="X38" s="36" t="n">
        <f aca="false">(1-$I$12)*(1-$J$12)*$D$12*(X$5&gt;=$H$12+$F$12)</f>
        <v>0</v>
      </c>
      <c r="Y38" s="36" t="n">
        <f aca="false">(1-$I$12)*(1-$J$12)*$D$12*(Y$5&gt;=$H$12+$F$12)</f>
        <v>0</v>
      </c>
      <c r="Z38" s="36" t="n">
        <f aca="false">(1-$I$12)*(1-$J$12)*$D$12*(Z$5&gt;=$H$12+$F$12)</f>
        <v>0</v>
      </c>
      <c r="AA38" s="36" t="n">
        <f aca="false">(1-$I$12)*(1-$J$12)*$D$12*(AA$5&gt;=$H$12+$F$12)</f>
        <v>0</v>
      </c>
      <c r="AB38" s="36" t="n">
        <f aca="false">(1-$I$12)*(1-$J$12)*$D$12*(AB$5&gt;=$H$12+$F$12)</f>
        <v>0</v>
      </c>
      <c r="AC38" s="36" t="n">
        <f aca="false">(1-$I$12)*(1-$J$12)*$D$12*(AC$5&gt;=$H$12+$F$12)</f>
        <v>0</v>
      </c>
      <c r="AD38" s="36" t="n">
        <f aca="false">(1-$I$12)*(1-$J$12)*$D$12*(AD$5&gt;=$H$12+$F$12)</f>
        <v>0</v>
      </c>
      <c r="AE38" s="36" t="n">
        <f aca="false">(1-$I$12)*(1-$J$12)*$D$12*(AE$5&gt;=$H$12+$F$12)</f>
        <v>0</v>
      </c>
      <c r="AF38" s="36" t="n">
        <f aca="false">(1-$I$12)*(1-$J$12)*$D$12*(AF$5&gt;=$H$12+$F$12)</f>
        <v>0</v>
      </c>
      <c r="AG38" s="36" t="n">
        <f aca="false">(1-$I$12)*(1-$J$12)*$D$12*(AG$5&gt;=$H$12+$F$12)</f>
        <v>26.6666666666667</v>
      </c>
      <c r="AI38" s="36" t="n">
        <f aca="false">INDEX($F38:$AG38,1,MATCH(AI$7,$F$7:$AG$7,1))</f>
        <v>0</v>
      </c>
      <c r="AJ38" s="36" t="n">
        <f aca="false">INDEX($F38:$AG38,1,MATCH(AJ$7,$F$7:$AG$7,1))</f>
        <v>0</v>
      </c>
      <c r="AK38" s="36" t="n">
        <f aca="false">INDEX($F38:$AG38,1,MATCH(AK$7,$F$7:$AG$7,1))</f>
        <v>0</v>
      </c>
      <c r="AL38" s="36" t="n">
        <f aca="false">INDEX($F38:$AG38,1,MATCH(AL$7,$F$7:$AG$7,1))</f>
        <v>0</v>
      </c>
      <c r="AM38" s="36" t="n">
        <f aca="false">INDEX($F38:$AG38,1,MATCH(AM$7,$F$7:$AG$7,1))</f>
        <v>0</v>
      </c>
      <c r="AN38" s="36" t="n">
        <f aca="false">INDEX($F38:$AG38,1,MATCH(AN$7,$F$7:$AG$7,1))</f>
        <v>0</v>
      </c>
      <c r="AO38" s="36" t="n">
        <f aca="false">INDEX($F38:$AG38,1,MATCH(AO$7,$F$7:$AG$7,1))</f>
        <v>26.6666666666667</v>
      </c>
    </row>
    <row r="39" customFormat="false" ht="15" hidden="false" customHeight="false" outlineLevel="0" collapsed="false">
      <c r="A39" s="107" t="s">
        <v>1878</v>
      </c>
      <c r="B39" s="22" t="s">
        <v>613</v>
      </c>
      <c r="C39" s="22"/>
      <c r="D39" s="22" t="s">
        <v>1879</v>
      </c>
      <c r="F39" s="124" t="n">
        <f aca="false">F38*CHOOSE(MATCH($C$12,{"H";"B";"N"},0),GPUMW_H*ODc_H,GPUMW_B*ODc_B,GPUMW_N*ODc_N)*ResidUtil*Timeline!F$9*INDEX(Curve,1,MAX(1,MIN(8,INT((F$5-$H$12)/4)+1)))/1000000</f>
        <v>0</v>
      </c>
      <c r="G39" s="124" t="n">
        <f aca="false">G38*CHOOSE(MATCH($C$12,{"H";"B";"N"},0),GPUMW_H*ODc_H,GPUMW_B*ODc_B,GPUMW_N*ODc_N)*ResidUtil*Timeline!G$9*INDEX(Curve,1,MAX(1,MIN(8,INT((G$5-$H$12)/4)+1)))/1000000</f>
        <v>0</v>
      </c>
      <c r="H39" s="124" t="n">
        <f aca="false">H38*CHOOSE(MATCH($C$12,{"H";"B";"N"},0),GPUMW_H*ODc_H,GPUMW_B*ODc_B,GPUMW_N*ODc_N)*ResidUtil*Timeline!H$9*INDEX(Curve,1,MAX(1,MIN(8,INT((H$5-$H$12)/4)+1)))/1000000</f>
        <v>0</v>
      </c>
      <c r="I39" s="124" t="n">
        <f aca="false">I38*CHOOSE(MATCH($C$12,{"H";"B";"N"},0),GPUMW_H*ODc_H,GPUMW_B*ODc_B,GPUMW_N*ODc_N)*ResidUtil*Timeline!I$9*INDEX(Curve,1,MAX(1,MIN(8,INT((I$5-$H$12)/4)+1)))/1000000</f>
        <v>0</v>
      </c>
      <c r="J39" s="124" t="n">
        <f aca="false">J38*CHOOSE(MATCH($C$12,{"H";"B";"N"},0),GPUMW_H*ODc_H,GPUMW_B*ODc_B,GPUMW_N*ODc_N)*ResidUtil*Timeline!J$9*INDEX(Curve,1,MAX(1,MIN(8,INT((J$5-$H$12)/4)+1)))/1000000</f>
        <v>0</v>
      </c>
      <c r="K39" s="124" t="n">
        <f aca="false">K38*CHOOSE(MATCH($C$12,{"H";"B";"N"},0),GPUMW_H*ODc_H,GPUMW_B*ODc_B,GPUMW_N*ODc_N)*ResidUtil*Timeline!K$9*INDEX(Curve,1,MAX(1,MIN(8,INT((K$5-$H$12)/4)+1)))/1000000</f>
        <v>0</v>
      </c>
      <c r="L39" s="124" t="n">
        <f aca="false">L38*CHOOSE(MATCH($C$12,{"H";"B";"N"},0),GPUMW_H*ODc_H,GPUMW_B*ODc_B,GPUMW_N*ODc_N)*ResidUtil*Timeline!L$9*INDEX(Curve,1,MAX(1,MIN(8,INT((L$5-$H$12)/4)+1)))/1000000</f>
        <v>0</v>
      </c>
      <c r="M39" s="124" t="n">
        <f aca="false">M38*CHOOSE(MATCH($C$12,{"H";"B";"N"},0),GPUMW_H*ODc_H,GPUMW_B*ODc_B,GPUMW_N*ODc_N)*ResidUtil*Timeline!M$9*INDEX(Curve,1,MAX(1,MIN(8,INT((M$5-$H$12)/4)+1)))/1000000</f>
        <v>0</v>
      </c>
      <c r="N39" s="124" t="n">
        <f aca="false">N38*CHOOSE(MATCH($C$12,{"H";"B";"N"},0),GPUMW_H*ODc_H,GPUMW_B*ODc_B,GPUMW_N*ODc_N)*ResidUtil*Timeline!N$9*INDEX(Curve,1,MAX(1,MIN(8,INT((N$5-$H$12)/4)+1)))/1000000</f>
        <v>0</v>
      </c>
      <c r="O39" s="124" t="n">
        <f aca="false">O38*CHOOSE(MATCH($C$12,{"H";"B";"N"},0),GPUMW_H*ODc_H,GPUMW_B*ODc_B,GPUMW_N*ODc_N)*ResidUtil*Timeline!O$9*INDEX(Curve,1,MAX(1,MIN(8,INT((O$5-$H$12)/4)+1)))/1000000</f>
        <v>0</v>
      </c>
      <c r="P39" s="125" t="n">
        <f aca="false">P38*CHOOSE(MATCH($C$12,{"H";"B";"N"},0),GPUMW_H*ODc_H,GPUMW_B*ODc_B,GPUMW_N*ODc_N)*ResidUtil*Timeline!P$9*INDEX(Curve,1,MAX(1,MIN(8,INT((P$5-$H$12)/4)+1)))/1000000</f>
        <v>0</v>
      </c>
      <c r="Q39" s="125" t="n">
        <f aca="false">Q38*CHOOSE(MATCH($C$12,{"H";"B";"N"},0),GPUMW_H*ODc_H,GPUMW_B*ODc_B,GPUMW_N*ODc_N)*ResidUtil*Timeline!Q$9*INDEX(Curve,1,MAX(1,MIN(8,INT((Q$5-$H$12)/4)+1)))/1000000</f>
        <v>0</v>
      </c>
      <c r="R39" s="125" t="n">
        <f aca="false">R38*CHOOSE(MATCH($C$12,{"H";"B";"N"},0),GPUMW_H*ODc_H,GPUMW_B*ODc_B,GPUMW_N*ODc_N)*ResidUtil*Timeline!R$9*INDEX(Curve,1,MAX(1,MIN(8,INT((R$5-$H$12)/4)+1)))/1000000</f>
        <v>0</v>
      </c>
      <c r="S39" s="125" t="n">
        <f aca="false">S38*CHOOSE(MATCH($C$12,{"H";"B";"N"},0),GPUMW_H*ODc_H,GPUMW_B*ODc_B,GPUMW_N*ODc_N)*ResidUtil*Timeline!S$9*INDEX(Curve,1,MAX(1,MIN(8,INT((S$5-$H$12)/4)+1)))/1000000</f>
        <v>0</v>
      </c>
      <c r="T39" s="125" t="n">
        <f aca="false">T38*CHOOSE(MATCH($C$12,{"H";"B";"N"},0),GPUMW_H*ODc_H,GPUMW_B*ODc_B,GPUMW_N*ODc_N)*ResidUtil*Timeline!T$9*INDEX(Curve,1,MAX(1,MIN(8,INT((T$5-$H$12)/4)+1)))/1000000</f>
        <v>0</v>
      </c>
      <c r="U39" s="125" t="n">
        <f aca="false">U38*CHOOSE(MATCH($C$12,{"H";"B";"N"},0),GPUMW_H*ODc_H,GPUMW_B*ODc_B,GPUMW_N*ODc_N)*ResidUtil*Timeline!U$9*INDEX(Curve,1,MAX(1,MIN(8,INT((U$5-$H$12)/4)+1)))/1000000</f>
        <v>0</v>
      </c>
      <c r="V39" s="125" t="n">
        <f aca="false">V38*CHOOSE(MATCH($C$12,{"H";"B";"N"},0),GPUMW_H*ODc_H,GPUMW_B*ODc_B,GPUMW_N*ODc_N)*ResidUtil*Timeline!V$9*INDEX(Curve,1,MAX(1,MIN(8,INT((V$5-$H$12)/4)+1)))/1000000</f>
        <v>0</v>
      </c>
      <c r="W39" s="125" t="n">
        <f aca="false">W38*CHOOSE(MATCH($C$12,{"H";"B";"N"},0),GPUMW_H*ODc_H,GPUMW_B*ODc_B,GPUMW_N*ODc_N)*ResidUtil*Timeline!W$9*INDEX(Curve,1,MAX(1,MIN(8,INT((W$5-$H$12)/4)+1)))/1000000</f>
        <v>0</v>
      </c>
      <c r="X39" s="125" t="n">
        <f aca="false">X38*CHOOSE(MATCH($C$12,{"H";"B";"N"},0),GPUMW_H*ODc_H,GPUMW_B*ODc_B,GPUMW_N*ODc_N)*ResidUtil*Timeline!X$9*INDEX(Curve,1,MAX(1,MIN(8,INT((X$5-$H$12)/4)+1)))/1000000</f>
        <v>0</v>
      </c>
      <c r="Y39" s="125" t="n">
        <f aca="false">Y38*CHOOSE(MATCH($C$12,{"H";"B";"N"},0),GPUMW_H*ODc_H,GPUMW_B*ODc_B,GPUMW_N*ODc_N)*ResidUtil*Timeline!Y$9*INDEX(Curve,1,MAX(1,MIN(8,INT((Y$5-$H$12)/4)+1)))/1000000</f>
        <v>0</v>
      </c>
      <c r="Z39" s="125" t="n">
        <f aca="false">Z38*CHOOSE(MATCH($C$12,{"H";"B";"N"},0),GPUMW_H*ODc_H,GPUMW_B*ODc_B,GPUMW_N*ODc_N)*ResidUtil*Timeline!Z$9*INDEX(Curve,1,MAX(1,MIN(8,INT((Z$5-$H$12)/4)+1)))/1000000</f>
        <v>0</v>
      </c>
      <c r="AA39" s="125" t="n">
        <f aca="false">AA38*CHOOSE(MATCH($C$12,{"H";"B";"N"},0),GPUMW_H*ODc_H,GPUMW_B*ODc_B,GPUMW_N*ODc_N)*ResidUtil*Timeline!AA$9*INDEX(Curve,1,MAX(1,MIN(8,INT((AA$5-$H$12)/4)+1)))/1000000</f>
        <v>0</v>
      </c>
      <c r="AB39" s="125" t="n">
        <f aca="false">AB38*CHOOSE(MATCH($C$12,{"H";"B";"N"},0),GPUMW_H*ODc_H,GPUMW_B*ODc_B,GPUMW_N*ODc_N)*ResidUtil*Timeline!AB$9*INDEX(Curve,1,MAX(1,MIN(8,INT((AB$5-$H$12)/4)+1)))/1000000</f>
        <v>0</v>
      </c>
      <c r="AC39" s="125" t="n">
        <f aca="false">AC38*CHOOSE(MATCH($C$12,{"H";"B";"N"},0),GPUMW_H*ODc_H,GPUMW_B*ODc_B,GPUMW_N*ODc_N)*ResidUtil*Timeline!AC$9*INDEX(Curve,1,MAX(1,MIN(8,INT((AC$5-$H$12)/4)+1)))/1000000</f>
        <v>0</v>
      </c>
      <c r="AD39" s="125" t="n">
        <f aca="false">AD38*CHOOSE(MATCH($C$12,{"H";"B";"N"},0),GPUMW_H*ODc_H,GPUMW_B*ODc_B,GPUMW_N*ODc_N)*ResidUtil*Timeline!AD$9*INDEX(Curve,1,MAX(1,MIN(8,INT((AD$5-$H$12)/4)+1)))/1000000</f>
        <v>0</v>
      </c>
      <c r="AE39" s="125" t="n">
        <f aca="false">AE38*CHOOSE(MATCH($C$12,{"H";"B";"N"},0),GPUMW_H*ODc_H,GPUMW_B*ODc_B,GPUMW_N*ODc_N)*ResidUtil*Timeline!AE$9*INDEX(Curve,1,MAX(1,MIN(8,INT((AE$5-$H$12)/4)+1)))/1000000</f>
        <v>0</v>
      </c>
      <c r="AF39" s="125" t="n">
        <f aca="false">AF38*CHOOSE(MATCH($C$12,{"H";"B";"N"},0),GPUMW_H*ODc_H,GPUMW_B*ODc_B,GPUMW_N*ODc_N)*ResidUtil*Timeline!AF$9*INDEX(Curve,1,MAX(1,MIN(8,INT((AF$5-$H$12)/4)+1)))/1000000</f>
        <v>0</v>
      </c>
      <c r="AG39" s="125" t="n">
        <f aca="false">AG38*CHOOSE(MATCH($C$12,{"H";"B";"N"},0),GPUMW_H*ODc_H,GPUMW_B*ODc_B,GPUMW_N*ODc_N)*ResidUtil*Timeline!AG$9*INDEX(Curve,1,MAX(1,MIN(8,INT((AG$5-$H$12)/4)+1)))/1000000</f>
        <v>108.352816</v>
      </c>
      <c r="AI39" s="125" t="n">
        <f aca="false">SUMIF($F$7:$AG$7,AI$7,$F39:$AG39)</f>
        <v>0</v>
      </c>
      <c r="AJ39" s="125" t="n">
        <f aca="false">SUMIF($F$7:$AG$7,AJ$7,$F39:$AG39)</f>
        <v>0</v>
      </c>
      <c r="AK39" s="125" t="n">
        <f aca="false">SUMIF($F$7:$AG$7,AK$7,$F39:$AG39)</f>
        <v>0</v>
      </c>
      <c r="AL39" s="125" t="n">
        <f aca="false">SUMIF($F$7:$AG$7,AL$7,$F39:$AG39)</f>
        <v>0</v>
      </c>
      <c r="AM39" s="125" t="n">
        <f aca="false">SUMIF($F$7:$AG$7,AM$7,$F39:$AG39)</f>
        <v>0</v>
      </c>
      <c r="AN39" s="125" t="n">
        <f aca="false">SUMIF($F$7:$AG$7,AN$7,$F39:$AG39)</f>
        <v>0</v>
      </c>
      <c r="AO39" s="125" t="n">
        <f aca="false">SUMIF($F$7:$AG$7,AO$7,$F39:$AG39)</f>
        <v>108.352816</v>
      </c>
    </row>
    <row r="40" customFormat="false" ht="15" hidden="false" customHeight="false" outlineLevel="0" collapsed="false">
      <c r="A40" s="107" t="s">
        <v>1880</v>
      </c>
      <c r="B40" s="22" t="s">
        <v>613</v>
      </c>
      <c r="C40" s="22"/>
      <c r="D40" s="22"/>
      <c r="F40" s="124" t="n">
        <f aca="false">(1-$I$13)*(1-$J$13)*$D$13*$E$13/4*MIN(1,MAX(0,(F$5-$H$13+1)/$T$13))*IF(F$5=$H$13,DelivFactor,IF(AND(F$5&gt;$H$13,F$5&lt;$H$13+$F$13),1,IF(F$5=$H$13+$F$13,1-DelivFactor,0)))</f>
        <v>0</v>
      </c>
      <c r="G40" s="124" t="n">
        <f aca="false">(1-$I$13)*(1-$J$13)*$D$13*$E$13/4*MIN(1,MAX(0,(G$5-$H$13+1)/$T$13))*IF(G$5=$H$13,DelivFactor,IF(AND(G$5&gt;$H$13,G$5&lt;$H$13+$F$13),1,IF(G$5=$H$13+$F$13,1-DelivFactor,0)))</f>
        <v>0</v>
      </c>
      <c r="H40" s="124" t="n">
        <f aca="false">(1-$I$13)*(1-$J$13)*$D$13*$E$13/4*MIN(1,MAX(0,(H$5-$H$13+1)/$T$13))*IF(H$5=$H$13,DelivFactor,IF(AND(H$5&gt;$H$13,H$5&lt;$H$13+$F$13),1,IF(H$5=$H$13+$F$13,1-DelivFactor,0)))</f>
        <v>0</v>
      </c>
      <c r="I40" s="124" t="n">
        <f aca="false">(1-$I$13)*(1-$J$13)*$D$13*$E$13/4*MIN(1,MAX(0,(I$5-$H$13+1)/$T$13))*IF(I$5=$H$13,DelivFactor,IF(AND(I$5&gt;$H$13,I$5&lt;$H$13+$F$13),1,IF(I$5=$H$13+$F$13,1-DelivFactor,0)))</f>
        <v>0</v>
      </c>
      <c r="J40" s="124" t="n">
        <f aca="false">(1-$I$13)*(1-$J$13)*$D$13*$E$13/4*MIN(1,MAX(0,(J$5-$H$13+1)/$T$13))*IF(J$5=$H$13,DelivFactor,IF(AND(J$5&gt;$H$13,J$5&lt;$H$13+$F$13),1,IF(J$5=$H$13+$F$13,1-DelivFactor,0)))</f>
        <v>0</v>
      </c>
      <c r="K40" s="124" t="n">
        <f aca="false">(1-$I$13)*(1-$J$13)*$D$13*$E$13/4*MIN(1,MAX(0,(K$5-$H$13+1)/$T$13))*IF(K$5=$H$13,DelivFactor,IF(AND(K$5&gt;$H$13,K$5&lt;$H$13+$F$13),1,IF(K$5=$H$13+$F$13,1-DelivFactor,0)))</f>
        <v>0</v>
      </c>
      <c r="L40" s="124" t="n">
        <f aca="false">(1-$I$13)*(1-$J$13)*$D$13*$E$13/4*MIN(1,MAX(0,(L$5-$H$13+1)/$T$13))*IF(L$5=$H$13,DelivFactor,IF(AND(L$5&gt;$H$13,L$5&lt;$H$13+$F$13),1,IF(L$5=$H$13+$F$13,1-DelivFactor,0)))</f>
        <v>0</v>
      </c>
      <c r="M40" s="124" t="n">
        <f aca="false">(1-$I$13)*(1-$J$13)*$D$13*$E$13/4*MIN(1,MAX(0,(M$5-$H$13+1)/$T$13))*IF(M$5=$H$13,DelivFactor,IF(AND(M$5&gt;$H$13,M$5&lt;$H$13+$F$13),1,IF(M$5=$H$13+$F$13,1-DelivFactor,0)))</f>
        <v>0</v>
      </c>
      <c r="N40" s="124" t="n">
        <f aca="false">(1-$I$13)*(1-$J$13)*$D$13*$E$13/4*MIN(1,MAX(0,(N$5-$H$13+1)/$T$13))*IF(N$5=$H$13,DelivFactor,IF(AND(N$5&gt;$H$13,N$5&lt;$H$13+$F$13),1,IF(N$5=$H$13+$F$13,1-DelivFactor,0)))</f>
        <v>12.0784027777778</v>
      </c>
      <c r="O40" s="124" t="n">
        <f aca="false">(1-$I$13)*(1-$J$13)*$D$13*$E$13/4*MIN(1,MAX(0,(O$5-$H$13+1)/$T$13))*IF(O$5=$H$13,DelivFactor,IF(AND(O$5&gt;$H$13,O$5&lt;$H$13+$F$13),1,IF(O$5=$H$13+$F$13,1-DelivFactor,0)))</f>
        <v>48.3136111111111</v>
      </c>
      <c r="P40" s="125" t="n">
        <f aca="false">(1-$I$13)*(1-$J$13)*$D$13*$E$13/4*MIN(1,MAX(0,(P$5-$H$13+1)/$T$13))*IF(P$5=$H$13,DelivFactor,IF(AND(P$5&gt;$H$13,P$5&lt;$H$13+$F$13),1,IF(P$5=$H$13+$F$13,1-DelivFactor,0)))</f>
        <v>72.4704166666667</v>
      </c>
      <c r="Q40" s="125" t="n">
        <f aca="false">(1-$I$13)*(1-$J$13)*$D$13*$E$13/4*MIN(1,MAX(0,(Q$5-$H$13+1)/$T$13))*IF(Q$5=$H$13,DelivFactor,IF(AND(Q$5&gt;$H$13,Q$5&lt;$H$13+$F$13),1,IF(Q$5=$H$13+$F$13,1-DelivFactor,0)))</f>
        <v>96.6272222222222</v>
      </c>
      <c r="R40" s="125" t="n">
        <f aca="false">(1-$I$13)*(1-$J$13)*$D$13*$E$13/4*MIN(1,MAX(0,(R$5-$H$13+1)/$T$13))*IF(R$5=$H$13,DelivFactor,IF(AND(R$5&gt;$H$13,R$5&lt;$H$13+$F$13),1,IF(R$5=$H$13+$F$13,1-DelivFactor,0)))</f>
        <v>96.6272222222222</v>
      </c>
      <c r="S40" s="125" t="n">
        <f aca="false">(1-$I$13)*(1-$J$13)*$D$13*$E$13/4*MIN(1,MAX(0,(S$5-$H$13+1)/$T$13))*IF(S$5=$H$13,DelivFactor,IF(AND(S$5&gt;$H$13,S$5&lt;$H$13+$F$13),1,IF(S$5=$H$13+$F$13,1-DelivFactor,0)))</f>
        <v>96.6272222222222</v>
      </c>
      <c r="T40" s="125" t="n">
        <f aca="false">(1-$I$13)*(1-$J$13)*$D$13*$E$13/4*MIN(1,MAX(0,(T$5-$H$13+1)/$T$13))*IF(T$5=$H$13,DelivFactor,IF(AND(T$5&gt;$H$13,T$5&lt;$H$13+$F$13),1,IF(T$5=$H$13+$F$13,1-DelivFactor,0)))</f>
        <v>96.6272222222222</v>
      </c>
      <c r="U40" s="125" t="n">
        <f aca="false">(1-$I$13)*(1-$J$13)*$D$13*$E$13/4*MIN(1,MAX(0,(U$5-$H$13+1)/$T$13))*IF(U$5=$H$13,DelivFactor,IF(AND(U$5&gt;$H$13,U$5&lt;$H$13+$F$13),1,IF(U$5=$H$13+$F$13,1-DelivFactor,0)))</f>
        <v>96.6272222222222</v>
      </c>
      <c r="V40" s="125" t="n">
        <f aca="false">(1-$I$13)*(1-$J$13)*$D$13*$E$13/4*MIN(1,MAX(0,(V$5-$H$13+1)/$T$13))*IF(V$5=$H$13,DelivFactor,IF(AND(V$5&gt;$H$13,V$5&lt;$H$13+$F$13),1,IF(V$5=$H$13+$F$13,1-DelivFactor,0)))</f>
        <v>96.6272222222222</v>
      </c>
      <c r="W40" s="125" t="n">
        <f aca="false">(1-$I$13)*(1-$J$13)*$D$13*$E$13/4*MIN(1,MAX(0,(W$5-$H$13+1)/$T$13))*IF(W$5=$H$13,DelivFactor,IF(AND(W$5&gt;$H$13,W$5&lt;$H$13+$F$13),1,IF(W$5=$H$13+$F$13,1-DelivFactor,0)))</f>
        <v>96.6272222222222</v>
      </c>
      <c r="X40" s="125" t="n">
        <f aca="false">(1-$I$13)*(1-$J$13)*$D$13*$E$13/4*MIN(1,MAX(0,(X$5-$H$13+1)/$T$13))*IF(X$5=$H$13,DelivFactor,IF(AND(X$5&gt;$H$13,X$5&lt;$H$13+$F$13),1,IF(X$5=$H$13+$F$13,1-DelivFactor,0)))</f>
        <v>96.6272222222222</v>
      </c>
      <c r="Y40" s="125" t="n">
        <f aca="false">(1-$I$13)*(1-$J$13)*$D$13*$E$13/4*MIN(1,MAX(0,(Y$5-$H$13+1)/$T$13))*IF(Y$5=$H$13,DelivFactor,IF(AND(Y$5&gt;$H$13,Y$5&lt;$H$13+$F$13),1,IF(Y$5=$H$13+$F$13,1-DelivFactor,0)))</f>
        <v>96.6272222222222</v>
      </c>
      <c r="Z40" s="125" t="n">
        <f aca="false">(1-$I$13)*(1-$J$13)*$D$13*$E$13/4*MIN(1,MAX(0,(Z$5-$H$13+1)/$T$13))*IF(Z$5=$H$13,DelivFactor,IF(AND(Z$5&gt;$H$13,Z$5&lt;$H$13+$F$13),1,IF(Z$5=$H$13+$F$13,1-DelivFactor,0)))</f>
        <v>96.6272222222222</v>
      </c>
      <c r="AA40" s="125" t="n">
        <f aca="false">(1-$I$13)*(1-$J$13)*$D$13*$E$13/4*MIN(1,MAX(0,(AA$5-$H$13+1)/$T$13))*IF(AA$5=$H$13,DelivFactor,IF(AND(AA$5&gt;$H$13,AA$5&lt;$H$13+$F$13),1,IF(AA$5=$H$13+$F$13,1-DelivFactor,0)))</f>
        <v>96.6272222222222</v>
      </c>
      <c r="AB40" s="125" t="n">
        <f aca="false">(1-$I$13)*(1-$J$13)*$D$13*$E$13/4*MIN(1,MAX(0,(AB$5-$H$13+1)/$T$13))*IF(AB$5=$H$13,DelivFactor,IF(AND(AB$5&gt;$H$13,AB$5&lt;$H$13+$F$13),1,IF(AB$5=$H$13+$F$13,1-DelivFactor,0)))</f>
        <v>96.6272222222222</v>
      </c>
      <c r="AC40" s="125" t="n">
        <f aca="false">(1-$I$13)*(1-$J$13)*$D$13*$E$13/4*MIN(1,MAX(0,(AC$5-$H$13+1)/$T$13))*IF(AC$5=$H$13,DelivFactor,IF(AND(AC$5&gt;$H$13,AC$5&lt;$H$13+$F$13),1,IF(AC$5=$H$13+$F$13,1-DelivFactor,0)))</f>
        <v>96.6272222222222</v>
      </c>
      <c r="AD40" s="125" t="n">
        <f aca="false">(1-$I$13)*(1-$J$13)*$D$13*$E$13/4*MIN(1,MAX(0,(AD$5-$H$13+1)/$T$13))*IF(AD$5=$H$13,DelivFactor,IF(AND(AD$5&gt;$H$13,AD$5&lt;$H$13+$F$13),1,IF(AD$5=$H$13+$F$13,1-DelivFactor,0)))</f>
        <v>96.6272222222222</v>
      </c>
      <c r="AE40" s="125" t="n">
        <f aca="false">(1-$I$13)*(1-$J$13)*$D$13*$E$13/4*MIN(1,MAX(0,(AE$5-$H$13+1)/$T$13))*IF(AE$5=$H$13,DelivFactor,IF(AND(AE$5&gt;$H$13,AE$5&lt;$H$13+$F$13),1,IF(AE$5=$H$13+$F$13,1-DelivFactor,0)))</f>
        <v>96.6272222222222</v>
      </c>
      <c r="AF40" s="125" t="n">
        <f aca="false">(1-$I$13)*(1-$J$13)*$D$13*$E$13/4*MIN(1,MAX(0,(AF$5-$H$13+1)/$T$13))*IF(AF$5=$H$13,DelivFactor,IF(AND(AF$5&gt;$H$13,AF$5&lt;$H$13+$F$13),1,IF(AF$5=$H$13+$F$13,1-DelivFactor,0)))</f>
        <v>96.6272222222222</v>
      </c>
      <c r="AG40" s="125" t="n">
        <f aca="false">(1-$I$13)*(1-$J$13)*$D$13*$E$13/4*MIN(1,MAX(0,(AG$5-$H$13+1)/$T$13))*IF(AG$5=$H$13,DelivFactor,IF(AND(AG$5&gt;$H$13,AG$5&lt;$H$13+$F$13),1,IF(AG$5=$H$13+$F$13,1-DelivFactor,0)))</f>
        <v>96.6272222222222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229.489652777778</v>
      </c>
      <c r="AL40" s="125" t="n">
        <f aca="false">SUMIF($F$7:$AG$7,AL$7,$F40:$AG40)</f>
        <v>386.508888888889</v>
      </c>
      <c r="AM40" s="125" t="n">
        <f aca="false">SUMIF($F$7:$AG$7,AM$7,$F40:$AG40)</f>
        <v>386.508888888889</v>
      </c>
      <c r="AN40" s="125" t="n">
        <f aca="false">SUMIF($F$7:$AG$7,AN$7,$F40:$AG40)</f>
        <v>386.508888888889</v>
      </c>
      <c r="AO40" s="125" t="n">
        <f aca="false">SUMIF($F$7:$AG$7,AO$7,$F40:$AG40)</f>
        <v>386.508888888889</v>
      </c>
    </row>
    <row r="41" customFormat="false" ht="15" hidden="false" customHeight="false" outlineLevel="0" collapsed="false">
      <c r="A41" s="107" t="s">
        <v>1881</v>
      </c>
      <c r="B41" s="22" t="s">
        <v>664</v>
      </c>
      <c r="C41" s="22"/>
      <c r="D41" s="22"/>
      <c r="F41" s="116" t="n">
        <f aca="false">(1-$I$13)*(1-$J$13)*$D$13*AND(F$5&gt;=$H$13,F$5&lt;$H$13+$F$13)</f>
        <v>0</v>
      </c>
      <c r="G41" s="116" t="n">
        <f aca="false">(1-$I$13)*(1-$J$13)*$D$13*AND(G$5&gt;=$H$13,G$5&lt;$H$13+$F$13)</f>
        <v>0</v>
      </c>
      <c r="H41" s="116" t="n">
        <f aca="false">(1-$I$13)*(1-$J$13)*$D$13*AND(H$5&gt;=$H$13,H$5&lt;$H$13+$F$13)</f>
        <v>0</v>
      </c>
      <c r="I41" s="116" t="n">
        <f aca="false">(1-$I$13)*(1-$J$13)*$D$13*AND(I$5&gt;=$H$13,I$5&lt;$H$13+$F$13)</f>
        <v>0</v>
      </c>
      <c r="J41" s="116" t="n">
        <f aca="false">(1-$I$13)*(1-$J$13)*$D$13*AND(J$5&gt;=$H$13,J$5&lt;$H$13+$F$13)</f>
        <v>0</v>
      </c>
      <c r="K41" s="116" t="n">
        <f aca="false">(1-$I$13)*(1-$J$13)*$D$13*AND(K$5&gt;=$H$13,K$5&lt;$H$13+$F$13)</f>
        <v>0</v>
      </c>
      <c r="L41" s="116" t="n">
        <f aca="false">(1-$I$13)*(1-$J$13)*$D$13*AND(L$5&gt;=$H$13,L$5&lt;$H$13+$F$13)</f>
        <v>0</v>
      </c>
      <c r="M41" s="116" t="n">
        <f aca="false">(1-$I$13)*(1-$J$13)*$D$13*AND(M$5&gt;=$H$13,M$5&lt;$H$13+$F$13)</f>
        <v>0</v>
      </c>
      <c r="N41" s="116" t="n">
        <f aca="false">(1-$I$13)*(1-$J$13)*$D$13*AND(N$5&gt;=$H$13,N$5&lt;$H$13+$F$13)</f>
        <v>26.6666666666667</v>
      </c>
      <c r="O41" s="116" t="n">
        <f aca="false">(1-$I$13)*(1-$J$13)*$D$13*AND(O$5&gt;=$H$13,O$5&lt;$H$13+$F$13)</f>
        <v>26.6666666666667</v>
      </c>
      <c r="P41" s="36" t="n">
        <f aca="false">(1-$I$13)*(1-$J$13)*$D$13*AND(P$5&gt;=$H$13,P$5&lt;$H$13+$F$13)</f>
        <v>26.6666666666667</v>
      </c>
      <c r="Q41" s="36" t="n">
        <f aca="false">(1-$I$13)*(1-$J$13)*$D$13*AND(Q$5&gt;=$H$13,Q$5&lt;$H$13+$F$13)</f>
        <v>26.6666666666667</v>
      </c>
      <c r="R41" s="36" t="n">
        <f aca="false">(1-$I$13)*(1-$J$13)*$D$13*AND(R$5&gt;=$H$13,R$5&lt;$H$13+$F$13)</f>
        <v>26.6666666666667</v>
      </c>
      <c r="S41" s="36" t="n">
        <f aca="false">(1-$I$13)*(1-$J$13)*$D$13*AND(S$5&gt;=$H$13,S$5&lt;$H$13+$F$13)</f>
        <v>26.6666666666667</v>
      </c>
      <c r="T41" s="36" t="n">
        <f aca="false">(1-$I$13)*(1-$J$13)*$D$13*AND(T$5&gt;=$H$13,T$5&lt;$H$13+$F$13)</f>
        <v>26.6666666666667</v>
      </c>
      <c r="U41" s="36" t="n">
        <f aca="false">(1-$I$13)*(1-$J$13)*$D$13*AND(U$5&gt;=$H$13,U$5&lt;$H$13+$F$13)</f>
        <v>26.6666666666667</v>
      </c>
      <c r="V41" s="36" t="n">
        <f aca="false">(1-$I$13)*(1-$J$13)*$D$13*AND(V$5&gt;=$H$13,V$5&lt;$H$13+$F$13)</f>
        <v>26.6666666666667</v>
      </c>
      <c r="W41" s="36" t="n">
        <f aca="false">(1-$I$13)*(1-$J$13)*$D$13*AND(W$5&gt;=$H$13,W$5&lt;$H$13+$F$13)</f>
        <v>26.6666666666667</v>
      </c>
      <c r="X41" s="36" t="n">
        <f aca="false">(1-$I$13)*(1-$J$13)*$D$13*AND(X$5&gt;=$H$13,X$5&lt;$H$13+$F$13)</f>
        <v>26.6666666666667</v>
      </c>
      <c r="Y41" s="36" t="n">
        <f aca="false">(1-$I$13)*(1-$J$13)*$D$13*AND(Y$5&gt;=$H$13,Y$5&lt;$H$13+$F$13)</f>
        <v>26.6666666666667</v>
      </c>
      <c r="Z41" s="36" t="n">
        <f aca="false">(1-$I$13)*(1-$J$13)*$D$13*AND(Z$5&gt;=$H$13,Z$5&lt;$H$13+$F$13)</f>
        <v>26.6666666666667</v>
      </c>
      <c r="AA41" s="36" t="n">
        <f aca="false">(1-$I$13)*(1-$J$13)*$D$13*AND(AA$5&gt;=$H$13,AA$5&lt;$H$13+$F$13)</f>
        <v>26.6666666666667</v>
      </c>
      <c r="AB41" s="36" t="n">
        <f aca="false">(1-$I$13)*(1-$J$13)*$D$13*AND(AB$5&gt;=$H$13,AB$5&lt;$H$13+$F$13)</f>
        <v>26.6666666666667</v>
      </c>
      <c r="AC41" s="36" t="n">
        <f aca="false">(1-$I$13)*(1-$J$13)*$D$13*AND(AC$5&gt;=$H$13,AC$5&lt;$H$13+$F$13)</f>
        <v>26.6666666666667</v>
      </c>
      <c r="AD41" s="36" t="n">
        <f aca="false">(1-$I$13)*(1-$J$13)*$D$13*AND(AD$5&gt;=$H$13,AD$5&lt;$H$13+$F$13)</f>
        <v>26.6666666666667</v>
      </c>
      <c r="AE41" s="36" t="n">
        <f aca="false">(1-$I$13)*(1-$J$13)*$D$13*AND(AE$5&gt;=$H$13,AE$5&lt;$H$13+$F$13)</f>
        <v>26.6666666666667</v>
      </c>
      <c r="AF41" s="36" t="n">
        <f aca="false">(1-$I$13)*(1-$J$13)*$D$13*AND(AF$5&gt;=$H$13,AF$5&lt;$H$13+$F$13)</f>
        <v>26.6666666666667</v>
      </c>
      <c r="AG41" s="36" t="n">
        <f aca="false">(1-$I$13)*(1-$J$13)*$D$13*AND(AG$5&gt;=$H$13,AG$5&lt;$H$13+$F$13)</f>
        <v>26.6666666666667</v>
      </c>
      <c r="AI41" s="36" t="n">
        <f aca="false">INDEX($F41:$AG41,1,MATCH(AI$7,$F$7:$AG$7,1))</f>
        <v>0</v>
      </c>
      <c r="AJ41" s="36" t="n">
        <f aca="false">INDEX($F41:$AG41,1,MATCH(AJ$7,$F$7:$AG$7,1))</f>
        <v>0</v>
      </c>
      <c r="AK41" s="36" t="n">
        <f aca="false">INDEX($F41:$AG41,1,MATCH(AK$7,$F$7:$AG$7,1))</f>
        <v>26.6666666666667</v>
      </c>
      <c r="AL41" s="36" t="n">
        <f aca="false">INDEX($F41:$AG41,1,MATCH(AL$7,$F$7:$AG$7,1))</f>
        <v>26.6666666666667</v>
      </c>
      <c r="AM41" s="36" t="n">
        <f aca="false">INDEX($F41:$AG41,1,MATCH(AM$7,$F$7:$AG$7,1))</f>
        <v>26.6666666666667</v>
      </c>
      <c r="AN41" s="36" t="n">
        <f aca="false">INDEX($F41:$AG41,1,MATCH(AN$7,$F$7:$AG$7,1))</f>
        <v>26.6666666666667</v>
      </c>
      <c r="AO41" s="36" t="n">
        <f aca="false">INDEX($F41:$AG41,1,MATCH(AO$7,$F$7:$AG$7,1))</f>
        <v>26.6666666666667</v>
      </c>
    </row>
    <row r="42" customFormat="false" ht="15" hidden="false" customHeight="false" outlineLevel="0" collapsed="false">
      <c r="A42" s="107" t="s">
        <v>1882</v>
      </c>
      <c r="B42" s="22" t="s">
        <v>613</v>
      </c>
      <c r="C42" s="22"/>
      <c r="D42" s="22"/>
      <c r="F42" s="124" t="n">
        <f aca="false">-(1-$I$13)*LD_Pct*$D$13*$E$13/4*AND(F$5&gt;=$G$13,F$5&lt;$H$13)</f>
        <v>-0</v>
      </c>
      <c r="G42" s="124" t="n">
        <f aca="false">-(1-$I$13)*LD_Pct*$D$13*$E$13/4*AND(G$5&gt;=$G$13,G$5&lt;$H$13)</f>
        <v>-0</v>
      </c>
      <c r="H42" s="124" t="n">
        <f aca="false">-(1-$I$13)*LD_Pct*$D$13*$E$13/4*AND(H$5&gt;=$G$13,H$5&lt;$H$13)</f>
        <v>-0</v>
      </c>
      <c r="I42" s="124" t="n">
        <f aca="false">-(1-$I$13)*LD_Pct*$D$13*$E$13/4*AND(I$5&gt;=$G$13,I$5&lt;$H$13)</f>
        <v>-0</v>
      </c>
      <c r="J42" s="124" t="n">
        <f aca="false">-(1-$I$13)*LD_Pct*$D$13*$E$13/4*AND(J$5&gt;=$G$13,J$5&lt;$H$13)</f>
        <v>-0</v>
      </c>
      <c r="K42" s="124" t="n">
        <f aca="false">-(1-$I$13)*LD_Pct*$D$13*$E$13/4*AND(K$5&gt;=$G$13,K$5&lt;$H$13)</f>
        <v>-0</v>
      </c>
      <c r="L42" s="124" t="n">
        <f aca="false">-(1-$I$13)*LD_Pct*$D$13*$E$13/4*AND(L$5&gt;=$G$13,L$5&lt;$H$13)</f>
        <v>-0</v>
      </c>
      <c r="M42" s="124" t="n">
        <f aca="false">-(1-$I$13)*LD_Pct*$D$13*$E$13/4*AND(M$5&gt;=$G$13,M$5&lt;$H$13)</f>
        <v>-0</v>
      </c>
      <c r="N42" s="124" t="n">
        <f aca="false">-(1-$I$13)*LD_Pct*$D$13*$E$13/4*AND(N$5&gt;=$G$13,N$5&lt;$H$13)</f>
        <v>-0</v>
      </c>
      <c r="O42" s="124" t="n">
        <f aca="false">-(1-$I$13)*LD_Pct*$D$13*$E$13/4*AND(O$5&gt;=$G$13,O$5&lt;$H$13)</f>
        <v>-0</v>
      </c>
      <c r="P42" s="125" t="n">
        <f aca="false">-(1-$I$13)*LD_Pct*$D$13*$E$13/4*AND(P$5&gt;=$G$13,P$5&lt;$H$13)</f>
        <v>-0</v>
      </c>
      <c r="Q42" s="125" t="n">
        <f aca="false">-(1-$I$13)*LD_Pct*$D$13*$E$13/4*AND(Q$5&gt;=$G$13,Q$5&lt;$H$13)</f>
        <v>-0</v>
      </c>
      <c r="R42" s="125" t="n">
        <f aca="false">-(1-$I$13)*LD_Pct*$D$13*$E$13/4*AND(R$5&gt;=$G$13,R$5&lt;$H$13)</f>
        <v>-0</v>
      </c>
      <c r="S42" s="125" t="n">
        <f aca="false">-(1-$I$13)*LD_Pct*$D$13*$E$13/4*AND(S$5&gt;=$G$13,S$5&lt;$H$13)</f>
        <v>-0</v>
      </c>
      <c r="T42" s="125" t="n">
        <f aca="false">-(1-$I$13)*LD_Pct*$D$13*$E$13/4*AND(T$5&gt;=$G$13,T$5&lt;$H$13)</f>
        <v>-0</v>
      </c>
      <c r="U42" s="125" t="n">
        <f aca="false">-(1-$I$13)*LD_Pct*$D$13*$E$13/4*AND(U$5&gt;=$G$13,U$5&lt;$H$13)</f>
        <v>-0</v>
      </c>
      <c r="V42" s="125" t="n">
        <f aca="false">-(1-$I$13)*LD_Pct*$D$13*$E$13/4*AND(V$5&gt;=$G$13,V$5&lt;$H$13)</f>
        <v>-0</v>
      </c>
      <c r="W42" s="125" t="n">
        <f aca="false">-(1-$I$13)*LD_Pct*$D$13*$E$13/4*AND(W$5&gt;=$G$13,W$5&lt;$H$13)</f>
        <v>-0</v>
      </c>
      <c r="X42" s="125" t="n">
        <f aca="false">-(1-$I$13)*LD_Pct*$D$13*$E$13/4*AND(X$5&gt;=$G$13,X$5&lt;$H$13)</f>
        <v>-0</v>
      </c>
      <c r="Y42" s="125" t="n">
        <f aca="false">-(1-$I$13)*LD_Pct*$D$13*$E$13/4*AND(Y$5&gt;=$G$13,Y$5&lt;$H$13)</f>
        <v>-0</v>
      </c>
      <c r="Z42" s="125" t="n">
        <f aca="false">-(1-$I$13)*LD_Pct*$D$13*$E$13/4*AND(Z$5&gt;=$G$13,Z$5&lt;$H$13)</f>
        <v>-0</v>
      </c>
      <c r="AA42" s="125" t="n">
        <f aca="false">-(1-$I$13)*LD_Pct*$D$13*$E$13/4*AND(AA$5&gt;=$G$13,AA$5&lt;$H$13)</f>
        <v>-0</v>
      </c>
      <c r="AB42" s="125" t="n">
        <f aca="false">-(1-$I$13)*LD_Pct*$D$13*$E$13/4*AND(AB$5&gt;=$G$13,AB$5&lt;$H$13)</f>
        <v>-0</v>
      </c>
      <c r="AC42" s="125" t="n">
        <f aca="false">-(1-$I$13)*LD_Pct*$D$13*$E$13/4*AND(AC$5&gt;=$G$13,AC$5&lt;$H$13)</f>
        <v>-0</v>
      </c>
      <c r="AD42" s="125" t="n">
        <f aca="false">-(1-$I$13)*LD_Pct*$D$13*$E$13/4*AND(AD$5&gt;=$G$13,AD$5&lt;$H$13)</f>
        <v>-0</v>
      </c>
      <c r="AE42" s="125" t="n">
        <f aca="false">-(1-$I$13)*LD_Pct*$D$13*$E$13/4*AND(AE$5&gt;=$G$13,AE$5&lt;$H$13)</f>
        <v>-0</v>
      </c>
      <c r="AF42" s="125" t="n">
        <f aca="false">-(1-$I$13)*LD_Pct*$D$13*$E$13/4*AND(AF$5&gt;=$G$13,AF$5&lt;$H$13)</f>
        <v>-0</v>
      </c>
      <c r="AG42" s="125" t="n">
        <f aca="false">-(1-$I$13)*LD_Pct*$D$13*$E$13/4*AND(AG$5&gt;=$G$13,AG$5&lt;$H$13)</f>
        <v>-0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1883</v>
      </c>
      <c r="B43" s="22" t="s">
        <v>664</v>
      </c>
      <c r="C43" s="22"/>
      <c r="D43" s="22"/>
      <c r="F43" s="116" t="n">
        <f aca="false">(1-$I$13)*(1-$J$13)*$D$13*(F$5&gt;=$H$13+$F$13)</f>
        <v>0</v>
      </c>
      <c r="G43" s="116" t="n">
        <f aca="false">(1-$I$13)*(1-$J$13)*$D$13*(G$5&gt;=$H$13+$F$13)</f>
        <v>0</v>
      </c>
      <c r="H43" s="116" t="n">
        <f aca="false">(1-$I$13)*(1-$J$13)*$D$13*(H$5&gt;=$H$13+$F$13)</f>
        <v>0</v>
      </c>
      <c r="I43" s="116" t="n">
        <f aca="false">(1-$I$13)*(1-$J$13)*$D$13*(I$5&gt;=$H$13+$F$13)</f>
        <v>0</v>
      </c>
      <c r="J43" s="116" t="n">
        <f aca="false">(1-$I$13)*(1-$J$13)*$D$13*(J$5&gt;=$H$13+$F$13)</f>
        <v>0</v>
      </c>
      <c r="K43" s="116" t="n">
        <f aca="false">(1-$I$13)*(1-$J$13)*$D$13*(K$5&gt;=$H$13+$F$13)</f>
        <v>0</v>
      </c>
      <c r="L43" s="116" t="n">
        <f aca="false">(1-$I$13)*(1-$J$13)*$D$13*(L$5&gt;=$H$13+$F$13)</f>
        <v>0</v>
      </c>
      <c r="M43" s="116" t="n">
        <f aca="false">(1-$I$13)*(1-$J$13)*$D$13*(M$5&gt;=$H$13+$F$13)</f>
        <v>0</v>
      </c>
      <c r="N43" s="116" t="n">
        <f aca="false">(1-$I$13)*(1-$J$13)*$D$13*(N$5&gt;=$H$13+$F$13)</f>
        <v>0</v>
      </c>
      <c r="O43" s="116" t="n">
        <f aca="false">(1-$I$13)*(1-$J$13)*$D$13*(O$5&gt;=$H$13+$F$13)</f>
        <v>0</v>
      </c>
      <c r="P43" s="36" t="n">
        <f aca="false">(1-$I$13)*(1-$J$13)*$D$13*(P$5&gt;=$H$13+$F$13)</f>
        <v>0</v>
      </c>
      <c r="Q43" s="36" t="n">
        <f aca="false">(1-$I$13)*(1-$J$13)*$D$13*(Q$5&gt;=$H$13+$F$13)</f>
        <v>0</v>
      </c>
      <c r="R43" s="36" t="n">
        <f aca="false">(1-$I$13)*(1-$J$13)*$D$13*(R$5&gt;=$H$13+$F$13)</f>
        <v>0</v>
      </c>
      <c r="S43" s="36" t="n">
        <f aca="false">(1-$I$13)*(1-$J$13)*$D$13*(S$5&gt;=$H$13+$F$13)</f>
        <v>0</v>
      </c>
      <c r="T43" s="36" t="n">
        <f aca="false">(1-$I$13)*(1-$J$13)*$D$13*(T$5&gt;=$H$13+$F$13)</f>
        <v>0</v>
      </c>
      <c r="U43" s="36" t="n">
        <f aca="false">(1-$I$13)*(1-$J$13)*$D$13*(U$5&gt;=$H$13+$F$13)</f>
        <v>0</v>
      </c>
      <c r="V43" s="36" t="n">
        <f aca="false">(1-$I$13)*(1-$J$13)*$D$13*(V$5&gt;=$H$13+$F$13)</f>
        <v>0</v>
      </c>
      <c r="W43" s="36" t="n">
        <f aca="false">(1-$I$13)*(1-$J$13)*$D$13*(W$5&gt;=$H$13+$F$13)</f>
        <v>0</v>
      </c>
      <c r="X43" s="36" t="n">
        <f aca="false">(1-$I$13)*(1-$J$13)*$D$13*(X$5&gt;=$H$13+$F$13)</f>
        <v>0</v>
      </c>
      <c r="Y43" s="36" t="n">
        <f aca="false">(1-$I$13)*(1-$J$13)*$D$13*(Y$5&gt;=$H$13+$F$13)</f>
        <v>0</v>
      </c>
      <c r="Z43" s="36" t="n">
        <f aca="false">(1-$I$13)*(1-$J$13)*$D$13*(Z$5&gt;=$H$13+$F$13)</f>
        <v>0</v>
      </c>
      <c r="AA43" s="36" t="n">
        <f aca="false">(1-$I$13)*(1-$J$13)*$D$13*(AA$5&gt;=$H$13+$F$13)</f>
        <v>0</v>
      </c>
      <c r="AB43" s="36" t="n">
        <f aca="false">(1-$I$13)*(1-$J$13)*$D$13*(AB$5&gt;=$H$13+$F$13)</f>
        <v>0</v>
      </c>
      <c r="AC43" s="36" t="n">
        <f aca="false">(1-$I$13)*(1-$J$13)*$D$13*(AC$5&gt;=$H$13+$F$13)</f>
        <v>0</v>
      </c>
      <c r="AD43" s="36" t="n">
        <f aca="false">(1-$I$13)*(1-$J$13)*$D$13*(AD$5&gt;=$H$13+$F$13)</f>
        <v>0</v>
      </c>
      <c r="AE43" s="36" t="n">
        <f aca="false">(1-$I$13)*(1-$J$13)*$D$13*(AE$5&gt;=$H$13+$F$13)</f>
        <v>0</v>
      </c>
      <c r="AF43" s="36" t="n">
        <f aca="false">(1-$I$13)*(1-$J$13)*$D$13*(AF$5&gt;=$H$13+$F$13)</f>
        <v>0</v>
      </c>
      <c r="AG43" s="36" t="n">
        <f aca="false">(1-$I$13)*(1-$J$13)*$D$13*(AG$5&gt;=$H$13+$F$13)</f>
        <v>0</v>
      </c>
      <c r="AI43" s="36" t="n">
        <f aca="false">INDEX($F43:$AG43,1,MATCH(AI$7,$F$7:$AG$7,1))</f>
        <v>0</v>
      </c>
      <c r="AJ43" s="36" t="n">
        <f aca="false">INDEX($F43:$AG43,1,MATCH(AJ$7,$F$7:$AG$7,1))</f>
        <v>0</v>
      </c>
      <c r="AK43" s="36" t="n">
        <f aca="false">INDEX($F43:$AG43,1,MATCH(AK$7,$F$7:$AG$7,1))</f>
        <v>0</v>
      </c>
      <c r="AL43" s="36" t="n">
        <f aca="false">INDEX($F43:$AG43,1,MATCH(AL$7,$F$7:$AG$7,1))</f>
        <v>0</v>
      </c>
      <c r="AM43" s="36" t="n">
        <f aca="false">INDEX($F43:$AG43,1,MATCH(AM$7,$F$7:$AG$7,1))</f>
        <v>0</v>
      </c>
      <c r="AN43" s="36" t="n">
        <f aca="false">INDEX($F43:$AG43,1,MATCH(AN$7,$F$7:$AG$7,1))</f>
        <v>0</v>
      </c>
      <c r="AO43" s="36" t="n">
        <f aca="false">INDEX($F43:$AG43,1,MATCH(AO$7,$F$7:$AG$7,1))</f>
        <v>0</v>
      </c>
    </row>
    <row r="44" customFormat="false" ht="15" hidden="false" customHeight="false" outlineLevel="0" collapsed="false">
      <c r="A44" s="107" t="s">
        <v>1884</v>
      </c>
      <c r="B44" s="22" t="s">
        <v>613</v>
      </c>
      <c r="C44" s="22"/>
      <c r="D44" s="22" t="s">
        <v>1879</v>
      </c>
      <c r="F44" s="124" t="n">
        <f aca="false">F43*CHOOSE(MATCH($C$13,{"H";"B";"N"},0),GPUMW_H*ODc_H,GPUMW_B*ODc_B,GPUMW_N*ODc_N)*ResidUtil*Timeline!F$9*INDEX(Curve,1,MAX(1,MIN(8,INT((F$5-$H$13)/4)+1)))/1000000</f>
        <v>0</v>
      </c>
      <c r="G44" s="124" t="n">
        <f aca="false">G43*CHOOSE(MATCH($C$13,{"H";"B";"N"},0),GPUMW_H*ODc_H,GPUMW_B*ODc_B,GPUMW_N*ODc_N)*ResidUtil*Timeline!G$9*INDEX(Curve,1,MAX(1,MIN(8,INT((G$5-$H$13)/4)+1)))/1000000</f>
        <v>0</v>
      </c>
      <c r="H44" s="124" t="n">
        <f aca="false">H43*CHOOSE(MATCH($C$13,{"H";"B";"N"},0),GPUMW_H*ODc_H,GPUMW_B*ODc_B,GPUMW_N*ODc_N)*ResidUtil*Timeline!H$9*INDEX(Curve,1,MAX(1,MIN(8,INT((H$5-$H$13)/4)+1)))/1000000</f>
        <v>0</v>
      </c>
      <c r="I44" s="124" t="n">
        <f aca="false">I43*CHOOSE(MATCH($C$13,{"H";"B";"N"},0),GPUMW_H*ODc_H,GPUMW_B*ODc_B,GPUMW_N*ODc_N)*ResidUtil*Timeline!I$9*INDEX(Curve,1,MAX(1,MIN(8,INT((I$5-$H$13)/4)+1)))/1000000</f>
        <v>0</v>
      </c>
      <c r="J44" s="124" t="n">
        <f aca="false">J43*CHOOSE(MATCH($C$13,{"H";"B";"N"},0),GPUMW_H*ODc_H,GPUMW_B*ODc_B,GPUMW_N*ODc_N)*ResidUtil*Timeline!J$9*INDEX(Curve,1,MAX(1,MIN(8,INT((J$5-$H$13)/4)+1)))/1000000</f>
        <v>0</v>
      </c>
      <c r="K44" s="124" t="n">
        <f aca="false">K43*CHOOSE(MATCH($C$13,{"H";"B";"N"},0),GPUMW_H*ODc_H,GPUMW_B*ODc_B,GPUMW_N*ODc_N)*ResidUtil*Timeline!K$9*INDEX(Curve,1,MAX(1,MIN(8,INT((K$5-$H$13)/4)+1)))/1000000</f>
        <v>0</v>
      </c>
      <c r="L44" s="124" t="n">
        <f aca="false">L43*CHOOSE(MATCH($C$13,{"H";"B";"N"},0),GPUMW_H*ODc_H,GPUMW_B*ODc_B,GPUMW_N*ODc_N)*ResidUtil*Timeline!L$9*INDEX(Curve,1,MAX(1,MIN(8,INT((L$5-$H$13)/4)+1)))/1000000</f>
        <v>0</v>
      </c>
      <c r="M44" s="124" t="n">
        <f aca="false">M43*CHOOSE(MATCH($C$13,{"H";"B";"N"},0),GPUMW_H*ODc_H,GPUMW_B*ODc_B,GPUMW_N*ODc_N)*ResidUtil*Timeline!M$9*INDEX(Curve,1,MAX(1,MIN(8,INT((M$5-$H$13)/4)+1)))/1000000</f>
        <v>0</v>
      </c>
      <c r="N44" s="124" t="n">
        <f aca="false">N43*CHOOSE(MATCH($C$13,{"H";"B";"N"},0),GPUMW_H*ODc_H,GPUMW_B*ODc_B,GPUMW_N*ODc_N)*ResidUtil*Timeline!N$9*INDEX(Curve,1,MAX(1,MIN(8,INT((N$5-$H$13)/4)+1)))/1000000</f>
        <v>0</v>
      </c>
      <c r="O44" s="124" t="n">
        <f aca="false">O43*CHOOSE(MATCH($C$13,{"H";"B";"N"},0),GPUMW_H*ODc_H,GPUMW_B*ODc_B,GPUMW_N*ODc_N)*ResidUtil*Timeline!O$9*INDEX(Curve,1,MAX(1,MIN(8,INT((O$5-$H$13)/4)+1)))/1000000</f>
        <v>0</v>
      </c>
      <c r="P44" s="125" t="n">
        <f aca="false">P43*CHOOSE(MATCH($C$13,{"H";"B";"N"},0),GPUMW_H*ODc_H,GPUMW_B*ODc_B,GPUMW_N*ODc_N)*ResidUtil*Timeline!P$9*INDEX(Curve,1,MAX(1,MIN(8,INT((P$5-$H$13)/4)+1)))/1000000</f>
        <v>0</v>
      </c>
      <c r="Q44" s="125" t="n">
        <f aca="false">Q43*CHOOSE(MATCH($C$13,{"H";"B";"N"},0),GPUMW_H*ODc_H,GPUMW_B*ODc_B,GPUMW_N*ODc_N)*ResidUtil*Timeline!Q$9*INDEX(Curve,1,MAX(1,MIN(8,INT((Q$5-$H$13)/4)+1)))/1000000</f>
        <v>0</v>
      </c>
      <c r="R44" s="125" t="n">
        <f aca="false">R43*CHOOSE(MATCH($C$13,{"H";"B";"N"},0),GPUMW_H*ODc_H,GPUMW_B*ODc_B,GPUMW_N*ODc_N)*ResidUtil*Timeline!R$9*INDEX(Curve,1,MAX(1,MIN(8,INT((R$5-$H$13)/4)+1)))/1000000</f>
        <v>0</v>
      </c>
      <c r="S44" s="125" t="n">
        <f aca="false">S43*CHOOSE(MATCH($C$13,{"H";"B";"N"},0),GPUMW_H*ODc_H,GPUMW_B*ODc_B,GPUMW_N*ODc_N)*ResidUtil*Timeline!S$9*INDEX(Curve,1,MAX(1,MIN(8,INT((S$5-$H$13)/4)+1)))/1000000</f>
        <v>0</v>
      </c>
      <c r="T44" s="125" t="n">
        <f aca="false">T43*CHOOSE(MATCH($C$13,{"H";"B";"N"},0),GPUMW_H*ODc_H,GPUMW_B*ODc_B,GPUMW_N*ODc_N)*ResidUtil*Timeline!T$9*INDEX(Curve,1,MAX(1,MIN(8,INT((T$5-$H$13)/4)+1)))/1000000</f>
        <v>0</v>
      </c>
      <c r="U44" s="125" t="n">
        <f aca="false">U43*CHOOSE(MATCH($C$13,{"H";"B";"N"},0),GPUMW_H*ODc_H,GPUMW_B*ODc_B,GPUMW_N*ODc_N)*ResidUtil*Timeline!U$9*INDEX(Curve,1,MAX(1,MIN(8,INT((U$5-$H$13)/4)+1)))/1000000</f>
        <v>0</v>
      </c>
      <c r="V44" s="125" t="n">
        <f aca="false">V43*CHOOSE(MATCH($C$13,{"H";"B";"N"},0),GPUMW_H*ODc_H,GPUMW_B*ODc_B,GPUMW_N*ODc_N)*ResidUtil*Timeline!V$9*INDEX(Curve,1,MAX(1,MIN(8,INT((V$5-$H$13)/4)+1)))/1000000</f>
        <v>0</v>
      </c>
      <c r="W44" s="125" t="n">
        <f aca="false">W43*CHOOSE(MATCH($C$13,{"H";"B";"N"},0),GPUMW_H*ODc_H,GPUMW_B*ODc_B,GPUMW_N*ODc_N)*ResidUtil*Timeline!W$9*INDEX(Curve,1,MAX(1,MIN(8,INT((W$5-$H$13)/4)+1)))/1000000</f>
        <v>0</v>
      </c>
      <c r="X44" s="125" t="n">
        <f aca="false">X43*CHOOSE(MATCH($C$13,{"H";"B";"N"},0),GPUMW_H*ODc_H,GPUMW_B*ODc_B,GPUMW_N*ODc_N)*ResidUtil*Timeline!X$9*INDEX(Curve,1,MAX(1,MIN(8,INT((X$5-$H$13)/4)+1)))/1000000</f>
        <v>0</v>
      </c>
      <c r="Y44" s="125" t="n">
        <f aca="false">Y43*CHOOSE(MATCH($C$13,{"H";"B";"N"},0),GPUMW_H*ODc_H,GPUMW_B*ODc_B,GPUMW_N*ODc_N)*ResidUtil*Timeline!Y$9*INDEX(Curve,1,MAX(1,MIN(8,INT((Y$5-$H$13)/4)+1)))/1000000</f>
        <v>0</v>
      </c>
      <c r="Z44" s="125" t="n">
        <f aca="false">Z43*CHOOSE(MATCH($C$13,{"H";"B";"N"},0),GPUMW_H*ODc_H,GPUMW_B*ODc_B,GPUMW_N*ODc_N)*ResidUtil*Timeline!Z$9*INDEX(Curve,1,MAX(1,MIN(8,INT((Z$5-$H$13)/4)+1)))/1000000</f>
        <v>0</v>
      </c>
      <c r="AA44" s="125" t="n">
        <f aca="false">AA43*CHOOSE(MATCH($C$13,{"H";"B";"N"},0),GPUMW_H*ODc_H,GPUMW_B*ODc_B,GPUMW_N*ODc_N)*ResidUtil*Timeline!AA$9*INDEX(Curve,1,MAX(1,MIN(8,INT((AA$5-$H$13)/4)+1)))/1000000</f>
        <v>0</v>
      </c>
      <c r="AB44" s="125" t="n">
        <f aca="false">AB43*CHOOSE(MATCH($C$13,{"H";"B";"N"},0),GPUMW_H*ODc_H,GPUMW_B*ODc_B,GPUMW_N*ODc_N)*ResidUtil*Timeline!AB$9*INDEX(Curve,1,MAX(1,MIN(8,INT((AB$5-$H$13)/4)+1)))/1000000</f>
        <v>0</v>
      </c>
      <c r="AC44" s="125" t="n">
        <f aca="false">AC43*CHOOSE(MATCH($C$13,{"H";"B";"N"},0),GPUMW_H*ODc_H,GPUMW_B*ODc_B,GPUMW_N*ODc_N)*ResidUtil*Timeline!AC$9*INDEX(Curve,1,MAX(1,MIN(8,INT((AC$5-$H$13)/4)+1)))/1000000</f>
        <v>0</v>
      </c>
      <c r="AD44" s="125" t="n">
        <f aca="false">AD43*CHOOSE(MATCH($C$13,{"H";"B";"N"},0),GPUMW_H*ODc_H,GPUMW_B*ODc_B,GPUMW_N*ODc_N)*ResidUtil*Timeline!AD$9*INDEX(Curve,1,MAX(1,MIN(8,INT((AD$5-$H$13)/4)+1)))/1000000</f>
        <v>0</v>
      </c>
      <c r="AE44" s="125" t="n">
        <f aca="false">AE43*CHOOSE(MATCH($C$13,{"H";"B";"N"},0),GPUMW_H*ODc_H,GPUMW_B*ODc_B,GPUMW_N*ODc_N)*ResidUtil*Timeline!AE$9*INDEX(Curve,1,MAX(1,MIN(8,INT((AE$5-$H$13)/4)+1)))/1000000</f>
        <v>0</v>
      </c>
      <c r="AF44" s="125" t="n">
        <f aca="false">AF43*CHOOSE(MATCH($C$13,{"H";"B";"N"},0),GPUMW_H*ODc_H,GPUMW_B*ODc_B,GPUMW_N*ODc_N)*ResidUtil*Timeline!AF$9*INDEX(Curve,1,MAX(1,MIN(8,INT((AF$5-$H$13)/4)+1)))/1000000</f>
        <v>0</v>
      </c>
      <c r="AG44" s="125" t="n">
        <f aca="false">AG43*CHOOSE(MATCH($C$13,{"H";"B";"N"},0),GPUMW_H*ODc_H,GPUMW_B*ODc_B,GPUMW_N*ODc_N)*ResidUtil*Timeline!AG$9*INDEX(Curve,1,MAX(1,MIN(8,INT((AG$5-$H$13)/4)+1)))/1000000</f>
        <v>0</v>
      </c>
      <c r="AI44" s="125" t="n">
        <f aca="false">SUMIF($F$7:$AG$7,AI$7,$F44:$AG44)</f>
        <v>0</v>
      </c>
      <c r="AJ44" s="125" t="n">
        <f aca="false">SUMIF($F$7:$AG$7,AJ$7,$F44:$AG44)</f>
        <v>0</v>
      </c>
      <c r="AK44" s="125" t="n">
        <f aca="false">SUMIF($F$7:$AG$7,AK$7,$F44:$AG44)</f>
        <v>0</v>
      </c>
      <c r="AL44" s="125" t="n">
        <f aca="false">SUMIF($F$7:$AG$7,AL$7,$F44:$AG44)</f>
        <v>0</v>
      </c>
      <c r="AM44" s="125" t="n">
        <f aca="false">SUMIF($F$7:$AG$7,AM$7,$F44:$AG44)</f>
        <v>0</v>
      </c>
      <c r="AN44" s="125" t="n">
        <f aca="false">SUMIF($F$7:$AG$7,AN$7,$F44:$AG44)</f>
        <v>0</v>
      </c>
      <c r="AO44" s="125" t="n">
        <f aca="false">SUMIF($F$7:$AG$7,AO$7,$F44:$AG44)</f>
        <v>0</v>
      </c>
    </row>
    <row r="45" customFormat="false" ht="15" hidden="false" customHeight="false" outlineLevel="0" collapsed="false">
      <c r="A45" s="107" t="s">
        <v>1885</v>
      </c>
      <c r="B45" s="22" t="s">
        <v>613</v>
      </c>
      <c r="C45" s="22"/>
      <c r="D45" s="22"/>
      <c r="F45" s="124" t="n">
        <f aca="false">(1-$I$14)*(1-$J$14)*$D$14*$E$14/4*MIN(1,MAX(0,(F$5-$H$14+1)/$T$14))*IF(F$5=$H$14,DelivFactor,IF(AND(F$5&gt;$H$14,F$5&lt;$H$14+$F$14),1,IF(F$5=$H$14+$F$14,1-DelivFactor,0)))</f>
        <v>0</v>
      </c>
      <c r="G45" s="124" t="n">
        <f aca="false">(1-$I$14)*(1-$J$14)*$D$14*$E$14/4*MIN(1,MAX(0,(G$5-$H$14+1)/$T$14))*IF(G$5=$H$14,DelivFactor,IF(AND(G$5&gt;$H$14,G$5&lt;$H$14+$F$14),1,IF(G$5=$H$14+$F$14,1-DelivFactor,0)))</f>
        <v>0</v>
      </c>
      <c r="H45" s="124" t="n">
        <f aca="false">(1-$I$14)*(1-$J$14)*$D$14*$E$14/4*MIN(1,MAX(0,(H$5-$H$14+1)/$T$14))*IF(H$5=$H$14,DelivFactor,IF(AND(H$5&gt;$H$14,H$5&lt;$H$14+$F$14),1,IF(H$5=$H$14+$F$14,1-DelivFactor,0)))</f>
        <v>0</v>
      </c>
      <c r="I45" s="124" t="n">
        <f aca="false">(1-$I$14)*(1-$J$14)*$D$14*$E$14/4*MIN(1,MAX(0,(I$5-$H$14+1)/$T$14))*IF(I$5=$H$14,DelivFactor,IF(AND(I$5&gt;$H$14,I$5&lt;$H$14+$F$14),1,IF(I$5=$H$14+$F$14,1-DelivFactor,0)))</f>
        <v>0</v>
      </c>
      <c r="J45" s="124" t="n">
        <f aca="false">(1-$I$14)*(1-$J$14)*$D$14*$E$14/4*MIN(1,MAX(0,(J$5-$H$14+1)/$T$14))*IF(J$5=$H$14,DelivFactor,IF(AND(J$5&gt;$H$14,J$5&lt;$H$14+$F$14),1,IF(J$5=$H$14+$F$14,1-DelivFactor,0)))</f>
        <v>0</v>
      </c>
      <c r="K45" s="124" t="n">
        <f aca="false">(1-$I$14)*(1-$J$14)*$D$14*$E$14/4*MIN(1,MAX(0,(K$5-$H$14+1)/$T$14))*IF(K$5=$H$14,DelivFactor,IF(AND(K$5&gt;$H$14,K$5&lt;$H$14+$F$14),1,IF(K$5=$H$14+$F$14,1-DelivFactor,0)))</f>
        <v>0</v>
      </c>
      <c r="L45" s="124" t="n">
        <f aca="false">(1-$I$14)*(1-$J$14)*$D$14*$E$14/4*MIN(1,MAX(0,(L$5-$H$14+1)/$T$14))*IF(L$5=$H$14,DelivFactor,IF(AND(L$5&gt;$H$14,L$5&lt;$H$14+$F$14),1,IF(L$5=$H$14+$F$14,1-DelivFactor,0)))</f>
        <v>0</v>
      </c>
      <c r="M45" s="124" t="n">
        <f aca="false">(1-$I$14)*(1-$J$14)*$D$14*$E$14/4*MIN(1,MAX(0,(M$5-$H$14+1)/$T$14))*IF(M$5=$H$14,DelivFactor,IF(AND(M$5&gt;$H$14,M$5&lt;$H$14+$F$14),1,IF(M$5=$H$14+$F$14,1-DelivFactor,0)))</f>
        <v>0</v>
      </c>
      <c r="N45" s="124" t="n">
        <f aca="false">(1-$I$14)*(1-$J$14)*$D$14*$E$14/4*MIN(1,MAX(0,(N$5-$H$14+1)/$T$14))*IF(N$5=$H$14,DelivFactor,IF(AND(N$5&gt;$H$14,N$5&lt;$H$14+$F$14),1,IF(N$5=$H$14+$F$14,1-DelivFactor,0)))</f>
        <v>0</v>
      </c>
      <c r="O45" s="124" t="n">
        <f aca="false">(1-$I$14)*(1-$J$14)*$D$14*$E$14/4*MIN(1,MAX(0,(O$5-$H$14+1)/$T$14))*IF(O$5=$H$14,DelivFactor,IF(AND(O$5&gt;$H$14,O$5&lt;$H$14+$F$14),1,IF(O$5=$H$14+$F$14,1-DelivFactor,0)))</f>
        <v>0</v>
      </c>
      <c r="P45" s="125" t="n">
        <f aca="false">(1-$I$14)*(1-$J$14)*$D$14*$E$14/4*MIN(1,MAX(0,(P$5-$H$14+1)/$T$14))*IF(P$5=$H$14,DelivFactor,IF(AND(P$5&gt;$H$14,P$5&lt;$H$14+$F$14),1,IF(P$5=$H$14+$F$14,1-DelivFactor,0)))</f>
        <v>12.0784027777778</v>
      </c>
      <c r="Q45" s="125" t="n">
        <f aca="false">(1-$I$14)*(1-$J$14)*$D$14*$E$14/4*MIN(1,MAX(0,(Q$5-$H$14+1)/$T$14))*IF(Q$5=$H$14,DelivFactor,IF(AND(Q$5&gt;$H$14,Q$5&lt;$H$14+$F$14),1,IF(Q$5=$H$14+$F$14,1-DelivFactor,0)))</f>
        <v>48.3136111111111</v>
      </c>
      <c r="R45" s="125" t="n">
        <f aca="false">(1-$I$14)*(1-$J$14)*$D$14*$E$14/4*MIN(1,MAX(0,(R$5-$H$14+1)/$T$14))*IF(R$5=$H$14,DelivFactor,IF(AND(R$5&gt;$H$14,R$5&lt;$H$14+$F$14),1,IF(R$5=$H$14+$F$14,1-DelivFactor,0)))</f>
        <v>72.4704166666667</v>
      </c>
      <c r="S45" s="125" t="n">
        <f aca="false">(1-$I$14)*(1-$J$14)*$D$14*$E$14/4*MIN(1,MAX(0,(S$5-$H$14+1)/$T$14))*IF(S$5=$H$14,DelivFactor,IF(AND(S$5&gt;$H$14,S$5&lt;$H$14+$F$14),1,IF(S$5=$H$14+$F$14,1-DelivFactor,0)))</f>
        <v>96.6272222222222</v>
      </c>
      <c r="T45" s="125" t="n">
        <f aca="false">(1-$I$14)*(1-$J$14)*$D$14*$E$14/4*MIN(1,MAX(0,(T$5-$H$14+1)/$T$14))*IF(T$5=$H$14,DelivFactor,IF(AND(T$5&gt;$H$14,T$5&lt;$H$14+$F$14),1,IF(T$5=$H$14+$F$14,1-DelivFactor,0)))</f>
        <v>96.6272222222222</v>
      </c>
      <c r="U45" s="125" t="n">
        <f aca="false">(1-$I$14)*(1-$J$14)*$D$14*$E$14/4*MIN(1,MAX(0,(U$5-$H$14+1)/$T$14))*IF(U$5=$H$14,DelivFactor,IF(AND(U$5&gt;$H$14,U$5&lt;$H$14+$F$14),1,IF(U$5=$H$14+$F$14,1-DelivFactor,0)))</f>
        <v>96.6272222222222</v>
      </c>
      <c r="V45" s="125" t="n">
        <f aca="false">(1-$I$14)*(1-$J$14)*$D$14*$E$14/4*MIN(1,MAX(0,(V$5-$H$14+1)/$T$14))*IF(V$5=$H$14,DelivFactor,IF(AND(V$5&gt;$H$14,V$5&lt;$H$14+$F$14),1,IF(V$5=$H$14+$F$14,1-DelivFactor,0)))</f>
        <v>96.6272222222222</v>
      </c>
      <c r="W45" s="125" t="n">
        <f aca="false">(1-$I$14)*(1-$J$14)*$D$14*$E$14/4*MIN(1,MAX(0,(W$5-$H$14+1)/$T$14))*IF(W$5=$H$14,DelivFactor,IF(AND(W$5&gt;$H$14,W$5&lt;$H$14+$F$14),1,IF(W$5=$H$14+$F$14,1-DelivFactor,0)))</f>
        <v>96.6272222222222</v>
      </c>
      <c r="X45" s="125" t="n">
        <f aca="false">(1-$I$14)*(1-$J$14)*$D$14*$E$14/4*MIN(1,MAX(0,(X$5-$H$14+1)/$T$14))*IF(X$5=$H$14,DelivFactor,IF(AND(X$5&gt;$H$14,X$5&lt;$H$14+$F$14),1,IF(X$5=$H$14+$F$14,1-DelivFactor,0)))</f>
        <v>96.6272222222222</v>
      </c>
      <c r="Y45" s="125" t="n">
        <f aca="false">(1-$I$14)*(1-$J$14)*$D$14*$E$14/4*MIN(1,MAX(0,(Y$5-$H$14+1)/$T$14))*IF(Y$5=$H$14,DelivFactor,IF(AND(Y$5&gt;$H$14,Y$5&lt;$H$14+$F$14),1,IF(Y$5=$H$14+$F$14,1-DelivFactor,0)))</f>
        <v>96.6272222222222</v>
      </c>
      <c r="Z45" s="125" t="n">
        <f aca="false">(1-$I$14)*(1-$J$14)*$D$14*$E$14/4*MIN(1,MAX(0,(Z$5-$H$14+1)/$T$14))*IF(Z$5=$H$14,DelivFactor,IF(AND(Z$5&gt;$H$14,Z$5&lt;$H$14+$F$14),1,IF(Z$5=$H$14+$F$14,1-DelivFactor,0)))</f>
        <v>96.6272222222222</v>
      </c>
      <c r="AA45" s="125" t="n">
        <f aca="false">(1-$I$14)*(1-$J$14)*$D$14*$E$14/4*MIN(1,MAX(0,(AA$5-$H$14+1)/$T$14))*IF(AA$5=$H$14,DelivFactor,IF(AND(AA$5&gt;$H$14,AA$5&lt;$H$14+$F$14),1,IF(AA$5=$H$14+$F$14,1-DelivFactor,0)))</f>
        <v>96.6272222222222</v>
      </c>
      <c r="AB45" s="125" t="n">
        <f aca="false">(1-$I$14)*(1-$J$14)*$D$14*$E$14/4*MIN(1,MAX(0,(AB$5-$H$14+1)/$T$14))*IF(AB$5=$H$14,DelivFactor,IF(AND(AB$5&gt;$H$14,AB$5&lt;$H$14+$F$14),1,IF(AB$5=$H$14+$F$14,1-DelivFactor,0)))</f>
        <v>96.6272222222222</v>
      </c>
      <c r="AC45" s="125" t="n">
        <f aca="false">(1-$I$14)*(1-$J$14)*$D$14*$E$14/4*MIN(1,MAX(0,(AC$5-$H$14+1)/$T$14))*IF(AC$5=$H$14,DelivFactor,IF(AND(AC$5&gt;$H$14,AC$5&lt;$H$14+$F$14),1,IF(AC$5=$H$14+$F$14,1-DelivFactor,0)))</f>
        <v>96.6272222222222</v>
      </c>
      <c r="AD45" s="125" t="n">
        <f aca="false">(1-$I$14)*(1-$J$14)*$D$14*$E$14/4*MIN(1,MAX(0,(AD$5-$H$14+1)/$T$14))*IF(AD$5=$H$14,DelivFactor,IF(AND(AD$5&gt;$H$14,AD$5&lt;$H$14+$F$14),1,IF(AD$5=$H$14+$F$14,1-DelivFactor,0)))</f>
        <v>96.6272222222222</v>
      </c>
      <c r="AE45" s="125" t="n">
        <f aca="false">(1-$I$14)*(1-$J$14)*$D$14*$E$14/4*MIN(1,MAX(0,(AE$5-$H$14+1)/$T$14))*IF(AE$5=$H$14,DelivFactor,IF(AND(AE$5&gt;$H$14,AE$5&lt;$H$14+$F$14),1,IF(AE$5=$H$14+$F$14,1-DelivFactor,0)))</f>
        <v>96.6272222222222</v>
      </c>
      <c r="AF45" s="125" t="n">
        <f aca="false">(1-$I$14)*(1-$J$14)*$D$14*$E$14/4*MIN(1,MAX(0,(AF$5-$H$14+1)/$T$14))*IF(AF$5=$H$14,DelivFactor,IF(AND(AF$5&gt;$H$14,AF$5&lt;$H$14+$F$14),1,IF(AF$5=$H$14+$F$14,1-DelivFactor,0)))</f>
        <v>96.6272222222222</v>
      </c>
      <c r="AG45" s="125" t="n">
        <f aca="false">(1-$I$14)*(1-$J$14)*$D$14*$E$14/4*MIN(1,MAX(0,(AG$5-$H$14+1)/$T$14))*IF(AG$5=$H$14,DelivFactor,IF(AND(AG$5&gt;$H$14,AG$5&lt;$H$14+$F$14),1,IF(AG$5=$H$14+$F$14,1-DelivFactor,0)))</f>
        <v>96.6272222222222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60.3920138888889</v>
      </c>
      <c r="AL45" s="125" t="n">
        <f aca="false">SUMIF($F$7:$AG$7,AL$7,$F45:$AG45)</f>
        <v>362.352083333333</v>
      </c>
      <c r="AM45" s="125" t="n">
        <f aca="false">SUMIF($F$7:$AG$7,AM$7,$F45:$AG45)</f>
        <v>386.508888888889</v>
      </c>
      <c r="AN45" s="125" t="n">
        <f aca="false">SUMIF($F$7:$AG$7,AN$7,$F45:$AG45)</f>
        <v>386.508888888889</v>
      </c>
      <c r="AO45" s="125" t="n">
        <f aca="false">SUMIF($F$7:$AG$7,AO$7,$F45:$AG45)</f>
        <v>386.508888888889</v>
      </c>
    </row>
    <row r="46" customFormat="false" ht="15" hidden="false" customHeight="false" outlineLevel="0" collapsed="false">
      <c r="A46" s="107" t="s">
        <v>1886</v>
      </c>
      <c r="B46" s="22" t="s">
        <v>664</v>
      </c>
      <c r="C46" s="22"/>
      <c r="D46" s="22"/>
      <c r="F46" s="116" t="n">
        <f aca="false">(1-$I$14)*(1-$J$14)*$D$14*AND(F$5&gt;=$H$14,F$5&lt;$H$14+$F$14)</f>
        <v>0</v>
      </c>
      <c r="G46" s="116" t="n">
        <f aca="false">(1-$I$14)*(1-$J$14)*$D$14*AND(G$5&gt;=$H$14,G$5&lt;$H$14+$F$14)</f>
        <v>0</v>
      </c>
      <c r="H46" s="116" t="n">
        <f aca="false">(1-$I$14)*(1-$J$14)*$D$14*AND(H$5&gt;=$H$14,H$5&lt;$H$14+$F$14)</f>
        <v>0</v>
      </c>
      <c r="I46" s="116" t="n">
        <f aca="false">(1-$I$14)*(1-$J$14)*$D$14*AND(I$5&gt;=$H$14,I$5&lt;$H$14+$F$14)</f>
        <v>0</v>
      </c>
      <c r="J46" s="116" t="n">
        <f aca="false">(1-$I$14)*(1-$J$14)*$D$14*AND(J$5&gt;=$H$14,J$5&lt;$H$14+$F$14)</f>
        <v>0</v>
      </c>
      <c r="K46" s="116" t="n">
        <f aca="false">(1-$I$14)*(1-$J$14)*$D$14*AND(K$5&gt;=$H$14,K$5&lt;$H$14+$F$14)</f>
        <v>0</v>
      </c>
      <c r="L46" s="116" t="n">
        <f aca="false">(1-$I$14)*(1-$J$14)*$D$14*AND(L$5&gt;=$H$14,L$5&lt;$H$14+$F$14)</f>
        <v>0</v>
      </c>
      <c r="M46" s="116" t="n">
        <f aca="false">(1-$I$14)*(1-$J$14)*$D$14*AND(M$5&gt;=$H$14,M$5&lt;$H$14+$F$14)</f>
        <v>0</v>
      </c>
      <c r="N46" s="116" t="n">
        <f aca="false">(1-$I$14)*(1-$J$14)*$D$14*AND(N$5&gt;=$H$14,N$5&lt;$H$14+$F$14)</f>
        <v>0</v>
      </c>
      <c r="O46" s="116" t="n">
        <f aca="false">(1-$I$14)*(1-$J$14)*$D$14*AND(O$5&gt;=$H$14,O$5&lt;$H$14+$F$14)</f>
        <v>0</v>
      </c>
      <c r="P46" s="36" t="n">
        <f aca="false">(1-$I$14)*(1-$J$14)*$D$14*AND(P$5&gt;=$H$14,P$5&lt;$H$14+$F$14)</f>
        <v>26.6666666666667</v>
      </c>
      <c r="Q46" s="36" t="n">
        <f aca="false">(1-$I$14)*(1-$J$14)*$D$14*AND(Q$5&gt;=$H$14,Q$5&lt;$H$14+$F$14)</f>
        <v>26.6666666666667</v>
      </c>
      <c r="R46" s="36" t="n">
        <f aca="false">(1-$I$14)*(1-$J$14)*$D$14*AND(R$5&gt;=$H$14,R$5&lt;$H$14+$F$14)</f>
        <v>26.6666666666667</v>
      </c>
      <c r="S46" s="36" t="n">
        <f aca="false">(1-$I$14)*(1-$J$14)*$D$14*AND(S$5&gt;=$H$14,S$5&lt;$H$14+$F$14)</f>
        <v>26.6666666666667</v>
      </c>
      <c r="T46" s="36" t="n">
        <f aca="false">(1-$I$14)*(1-$J$14)*$D$14*AND(T$5&gt;=$H$14,T$5&lt;$H$14+$F$14)</f>
        <v>26.6666666666667</v>
      </c>
      <c r="U46" s="36" t="n">
        <f aca="false">(1-$I$14)*(1-$J$14)*$D$14*AND(U$5&gt;=$H$14,U$5&lt;$H$14+$F$14)</f>
        <v>26.6666666666667</v>
      </c>
      <c r="V46" s="36" t="n">
        <f aca="false">(1-$I$14)*(1-$J$14)*$D$14*AND(V$5&gt;=$H$14,V$5&lt;$H$14+$F$14)</f>
        <v>26.6666666666667</v>
      </c>
      <c r="W46" s="36" t="n">
        <f aca="false">(1-$I$14)*(1-$J$14)*$D$14*AND(W$5&gt;=$H$14,W$5&lt;$H$14+$F$14)</f>
        <v>26.6666666666667</v>
      </c>
      <c r="X46" s="36" t="n">
        <f aca="false">(1-$I$14)*(1-$J$14)*$D$14*AND(X$5&gt;=$H$14,X$5&lt;$H$14+$F$14)</f>
        <v>26.6666666666667</v>
      </c>
      <c r="Y46" s="36" t="n">
        <f aca="false">(1-$I$14)*(1-$J$14)*$D$14*AND(Y$5&gt;=$H$14,Y$5&lt;$H$14+$F$14)</f>
        <v>26.6666666666667</v>
      </c>
      <c r="Z46" s="36" t="n">
        <f aca="false">(1-$I$14)*(1-$J$14)*$D$14*AND(Z$5&gt;=$H$14,Z$5&lt;$H$14+$F$14)</f>
        <v>26.6666666666667</v>
      </c>
      <c r="AA46" s="36" t="n">
        <f aca="false">(1-$I$14)*(1-$J$14)*$D$14*AND(AA$5&gt;=$H$14,AA$5&lt;$H$14+$F$14)</f>
        <v>26.6666666666667</v>
      </c>
      <c r="AB46" s="36" t="n">
        <f aca="false">(1-$I$14)*(1-$J$14)*$D$14*AND(AB$5&gt;=$H$14,AB$5&lt;$H$14+$F$14)</f>
        <v>26.6666666666667</v>
      </c>
      <c r="AC46" s="36" t="n">
        <f aca="false">(1-$I$14)*(1-$J$14)*$D$14*AND(AC$5&gt;=$H$14,AC$5&lt;$H$14+$F$14)</f>
        <v>26.6666666666667</v>
      </c>
      <c r="AD46" s="36" t="n">
        <f aca="false">(1-$I$14)*(1-$J$14)*$D$14*AND(AD$5&gt;=$H$14,AD$5&lt;$H$14+$F$14)</f>
        <v>26.6666666666667</v>
      </c>
      <c r="AE46" s="36" t="n">
        <f aca="false">(1-$I$14)*(1-$J$14)*$D$14*AND(AE$5&gt;=$H$14,AE$5&lt;$H$14+$F$14)</f>
        <v>26.6666666666667</v>
      </c>
      <c r="AF46" s="36" t="n">
        <f aca="false">(1-$I$14)*(1-$J$14)*$D$14*AND(AF$5&gt;=$H$14,AF$5&lt;$H$14+$F$14)</f>
        <v>26.6666666666667</v>
      </c>
      <c r="AG46" s="36" t="n">
        <f aca="false">(1-$I$14)*(1-$J$14)*$D$14*AND(AG$5&gt;=$H$14,AG$5&lt;$H$14+$F$14)</f>
        <v>26.6666666666667</v>
      </c>
      <c r="AI46" s="36" t="n">
        <f aca="false">INDEX($F46:$AG46,1,MATCH(AI$7,$F$7:$AG$7,1))</f>
        <v>0</v>
      </c>
      <c r="AJ46" s="36" t="n">
        <f aca="false">INDEX($F46:$AG46,1,MATCH(AJ$7,$F$7:$AG$7,1))</f>
        <v>0</v>
      </c>
      <c r="AK46" s="36" t="n">
        <f aca="false">INDEX($F46:$AG46,1,MATCH(AK$7,$F$7:$AG$7,1))</f>
        <v>26.6666666666667</v>
      </c>
      <c r="AL46" s="36" t="n">
        <f aca="false">INDEX($F46:$AG46,1,MATCH(AL$7,$F$7:$AG$7,1))</f>
        <v>26.6666666666667</v>
      </c>
      <c r="AM46" s="36" t="n">
        <f aca="false">INDEX($F46:$AG46,1,MATCH(AM$7,$F$7:$AG$7,1))</f>
        <v>26.6666666666667</v>
      </c>
      <c r="AN46" s="36" t="n">
        <f aca="false">INDEX($F46:$AG46,1,MATCH(AN$7,$F$7:$AG$7,1))</f>
        <v>26.6666666666667</v>
      </c>
      <c r="AO46" s="36" t="n">
        <f aca="false">INDEX($F46:$AG46,1,MATCH(AO$7,$F$7:$AG$7,1))</f>
        <v>26.6666666666667</v>
      </c>
    </row>
    <row r="47" customFormat="false" ht="15" hidden="false" customHeight="false" outlineLevel="0" collapsed="false">
      <c r="A47" s="107" t="s">
        <v>1887</v>
      </c>
      <c r="B47" s="22" t="s">
        <v>613</v>
      </c>
      <c r="C47" s="22"/>
      <c r="D47" s="22"/>
      <c r="F47" s="124" t="n">
        <f aca="false">-(1-$I$14)*LD_Pct*$D$14*$E$14/4*AND(F$5&gt;=$G$14,F$5&lt;$H$14)</f>
        <v>-0</v>
      </c>
      <c r="G47" s="124" t="n">
        <f aca="false">-(1-$I$14)*LD_Pct*$D$14*$E$14/4*AND(G$5&gt;=$G$14,G$5&lt;$H$14)</f>
        <v>-0</v>
      </c>
      <c r="H47" s="124" t="n">
        <f aca="false">-(1-$I$14)*LD_Pct*$D$14*$E$14/4*AND(H$5&gt;=$G$14,H$5&lt;$H$14)</f>
        <v>-0</v>
      </c>
      <c r="I47" s="124" t="n">
        <f aca="false">-(1-$I$14)*LD_Pct*$D$14*$E$14/4*AND(I$5&gt;=$G$14,I$5&lt;$H$14)</f>
        <v>-0</v>
      </c>
      <c r="J47" s="124" t="n">
        <f aca="false">-(1-$I$14)*LD_Pct*$D$14*$E$14/4*AND(J$5&gt;=$G$14,J$5&lt;$H$14)</f>
        <v>-0</v>
      </c>
      <c r="K47" s="124" t="n">
        <f aca="false">-(1-$I$14)*LD_Pct*$D$14*$E$14/4*AND(K$5&gt;=$G$14,K$5&lt;$H$14)</f>
        <v>-0</v>
      </c>
      <c r="L47" s="124" t="n">
        <f aca="false">-(1-$I$14)*LD_Pct*$D$14*$E$14/4*AND(L$5&gt;=$G$14,L$5&lt;$H$14)</f>
        <v>-0</v>
      </c>
      <c r="M47" s="124" t="n">
        <f aca="false">-(1-$I$14)*LD_Pct*$D$14*$E$14/4*AND(M$5&gt;=$G$14,M$5&lt;$H$14)</f>
        <v>-0</v>
      </c>
      <c r="N47" s="124" t="n">
        <f aca="false">-(1-$I$14)*LD_Pct*$D$14*$E$14/4*AND(N$5&gt;=$G$14,N$5&lt;$H$14)</f>
        <v>-0</v>
      </c>
      <c r="O47" s="124" t="n">
        <f aca="false">-(1-$I$14)*LD_Pct*$D$14*$E$14/4*AND(O$5&gt;=$G$14,O$5&lt;$H$14)</f>
        <v>-0</v>
      </c>
      <c r="P47" s="125" t="n">
        <f aca="false">-(1-$I$14)*LD_Pct*$D$14*$E$14/4*AND(P$5&gt;=$G$14,P$5&lt;$H$14)</f>
        <v>-0</v>
      </c>
      <c r="Q47" s="125" t="n">
        <f aca="false">-(1-$I$14)*LD_Pct*$D$14*$E$14/4*AND(Q$5&gt;=$G$14,Q$5&lt;$H$14)</f>
        <v>-0</v>
      </c>
      <c r="R47" s="125" t="n">
        <f aca="false">-(1-$I$14)*LD_Pct*$D$14*$E$14/4*AND(R$5&gt;=$G$14,R$5&lt;$H$14)</f>
        <v>-0</v>
      </c>
      <c r="S47" s="125" t="n">
        <f aca="false">-(1-$I$14)*LD_Pct*$D$14*$E$14/4*AND(S$5&gt;=$G$14,S$5&lt;$H$14)</f>
        <v>-0</v>
      </c>
      <c r="T47" s="125" t="n">
        <f aca="false">-(1-$I$14)*LD_Pct*$D$14*$E$14/4*AND(T$5&gt;=$G$14,T$5&lt;$H$14)</f>
        <v>-0</v>
      </c>
      <c r="U47" s="125" t="n">
        <f aca="false">-(1-$I$14)*LD_Pct*$D$14*$E$14/4*AND(U$5&gt;=$G$14,U$5&lt;$H$14)</f>
        <v>-0</v>
      </c>
      <c r="V47" s="125" t="n">
        <f aca="false">-(1-$I$14)*LD_Pct*$D$14*$E$14/4*AND(V$5&gt;=$G$14,V$5&lt;$H$14)</f>
        <v>-0</v>
      </c>
      <c r="W47" s="125" t="n">
        <f aca="false">-(1-$I$14)*LD_Pct*$D$14*$E$14/4*AND(W$5&gt;=$G$14,W$5&lt;$H$14)</f>
        <v>-0</v>
      </c>
      <c r="X47" s="125" t="n">
        <f aca="false">-(1-$I$14)*LD_Pct*$D$14*$E$14/4*AND(X$5&gt;=$G$14,X$5&lt;$H$14)</f>
        <v>-0</v>
      </c>
      <c r="Y47" s="125" t="n">
        <f aca="false">-(1-$I$14)*LD_Pct*$D$14*$E$14/4*AND(Y$5&gt;=$G$14,Y$5&lt;$H$14)</f>
        <v>-0</v>
      </c>
      <c r="Z47" s="125" t="n">
        <f aca="false">-(1-$I$14)*LD_Pct*$D$14*$E$14/4*AND(Z$5&gt;=$G$14,Z$5&lt;$H$14)</f>
        <v>-0</v>
      </c>
      <c r="AA47" s="125" t="n">
        <f aca="false">-(1-$I$14)*LD_Pct*$D$14*$E$14/4*AND(AA$5&gt;=$G$14,AA$5&lt;$H$14)</f>
        <v>-0</v>
      </c>
      <c r="AB47" s="125" t="n">
        <f aca="false">-(1-$I$14)*LD_Pct*$D$14*$E$14/4*AND(AB$5&gt;=$G$14,AB$5&lt;$H$14)</f>
        <v>-0</v>
      </c>
      <c r="AC47" s="125" t="n">
        <f aca="false">-(1-$I$14)*LD_Pct*$D$14*$E$14/4*AND(AC$5&gt;=$G$14,AC$5&lt;$H$14)</f>
        <v>-0</v>
      </c>
      <c r="AD47" s="125" t="n">
        <f aca="false">-(1-$I$14)*LD_Pct*$D$14*$E$14/4*AND(AD$5&gt;=$G$14,AD$5&lt;$H$14)</f>
        <v>-0</v>
      </c>
      <c r="AE47" s="125" t="n">
        <f aca="false">-(1-$I$14)*LD_Pct*$D$14*$E$14/4*AND(AE$5&gt;=$G$14,AE$5&lt;$H$14)</f>
        <v>-0</v>
      </c>
      <c r="AF47" s="125" t="n">
        <f aca="false">-(1-$I$14)*LD_Pct*$D$14*$E$14/4*AND(AF$5&gt;=$G$14,AF$5&lt;$H$14)</f>
        <v>-0</v>
      </c>
      <c r="AG47" s="125" t="n">
        <f aca="false">-(1-$I$14)*LD_Pct*$D$14*$E$14/4*AND(AG$5&gt;=$G$14,AG$5&lt;$H$14)</f>
        <v>-0</v>
      </c>
      <c r="AI47" s="125" t="n">
        <f aca="false">SUMIF($F$7:$AG$7,AI$7,$F47:$AG47)</f>
        <v>0</v>
      </c>
      <c r="AJ47" s="125" t="n">
        <f aca="false">SUMIF($F$7:$AG$7,AJ$7,$F47:$AG47)</f>
        <v>0</v>
      </c>
      <c r="AK47" s="125" t="n">
        <f aca="false">SUMIF($F$7:$AG$7,AK$7,$F47:$AG47)</f>
        <v>0</v>
      </c>
      <c r="AL47" s="125" t="n">
        <f aca="false">SUMIF($F$7:$AG$7,AL$7,$F47:$AG47)</f>
        <v>0</v>
      </c>
      <c r="AM47" s="125" t="n">
        <f aca="false">SUMIF($F$7:$AG$7,AM$7,$F47:$AG47)</f>
        <v>0</v>
      </c>
      <c r="AN47" s="125" t="n">
        <f aca="false">SUMIF($F$7:$AG$7,AN$7,$F47:$AG47)</f>
        <v>0</v>
      </c>
      <c r="AO47" s="125" t="n">
        <f aca="false">SUMIF($F$7:$AG$7,AO$7,$F47:$AG47)</f>
        <v>0</v>
      </c>
    </row>
    <row r="48" customFormat="false" ht="15" hidden="false" customHeight="false" outlineLevel="0" collapsed="false">
      <c r="A48" s="107" t="s">
        <v>1888</v>
      </c>
      <c r="B48" s="22" t="s">
        <v>664</v>
      </c>
      <c r="C48" s="22"/>
      <c r="D48" s="22"/>
      <c r="F48" s="116" t="n">
        <f aca="false">(1-$I$14)*(1-$J$14)*$D$14*(F$5&gt;=$H$14+$F$14)</f>
        <v>0</v>
      </c>
      <c r="G48" s="116" t="n">
        <f aca="false">(1-$I$14)*(1-$J$14)*$D$14*(G$5&gt;=$H$14+$F$14)</f>
        <v>0</v>
      </c>
      <c r="H48" s="116" t="n">
        <f aca="false">(1-$I$14)*(1-$J$14)*$D$14*(H$5&gt;=$H$14+$F$14)</f>
        <v>0</v>
      </c>
      <c r="I48" s="116" t="n">
        <f aca="false">(1-$I$14)*(1-$J$14)*$D$14*(I$5&gt;=$H$14+$F$14)</f>
        <v>0</v>
      </c>
      <c r="J48" s="116" t="n">
        <f aca="false">(1-$I$14)*(1-$J$14)*$D$14*(J$5&gt;=$H$14+$F$14)</f>
        <v>0</v>
      </c>
      <c r="K48" s="116" t="n">
        <f aca="false">(1-$I$14)*(1-$J$14)*$D$14*(K$5&gt;=$H$14+$F$14)</f>
        <v>0</v>
      </c>
      <c r="L48" s="116" t="n">
        <f aca="false">(1-$I$14)*(1-$J$14)*$D$14*(L$5&gt;=$H$14+$F$14)</f>
        <v>0</v>
      </c>
      <c r="M48" s="116" t="n">
        <f aca="false">(1-$I$14)*(1-$J$14)*$D$14*(M$5&gt;=$H$14+$F$14)</f>
        <v>0</v>
      </c>
      <c r="N48" s="116" t="n">
        <f aca="false">(1-$I$14)*(1-$J$14)*$D$14*(N$5&gt;=$H$14+$F$14)</f>
        <v>0</v>
      </c>
      <c r="O48" s="116" t="n">
        <f aca="false">(1-$I$14)*(1-$J$14)*$D$14*(O$5&gt;=$H$14+$F$14)</f>
        <v>0</v>
      </c>
      <c r="P48" s="36" t="n">
        <f aca="false">(1-$I$14)*(1-$J$14)*$D$14*(P$5&gt;=$H$14+$F$14)</f>
        <v>0</v>
      </c>
      <c r="Q48" s="36" t="n">
        <f aca="false">(1-$I$14)*(1-$J$14)*$D$14*(Q$5&gt;=$H$14+$F$14)</f>
        <v>0</v>
      </c>
      <c r="R48" s="36" t="n">
        <f aca="false">(1-$I$14)*(1-$J$14)*$D$14*(R$5&gt;=$H$14+$F$14)</f>
        <v>0</v>
      </c>
      <c r="S48" s="36" t="n">
        <f aca="false">(1-$I$14)*(1-$J$14)*$D$14*(S$5&gt;=$H$14+$F$14)</f>
        <v>0</v>
      </c>
      <c r="T48" s="36" t="n">
        <f aca="false">(1-$I$14)*(1-$J$14)*$D$14*(T$5&gt;=$H$14+$F$14)</f>
        <v>0</v>
      </c>
      <c r="U48" s="36" t="n">
        <f aca="false">(1-$I$14)*(1-$J$14)*$D$14*(U$5&gt;=$H$14+$F$14)</f>
        <v>0</v>
      </c>
      <c r="V48" s="36" t="n">
        <f aca="false">(1-$I$14)*(1-$J$14)*$D$14*(V$5&gt;=$H$14+$F$14)</f>
        <v>0</v>
      </c>
      <c r="W48" s="36" t="n">
        <f aca="false">(1-$I$14)*(1-$J$14)*$D$14*(W$5&gt;=$H$14+$F$14)</f>
        <v>0</v>
      </c>
      <c r="X48" s="36" t="n">
        <f aca="false">(1-$I$14)*(1-$J$14)*$D$14*(X$5&gt;=$H$14+$F$14)</f>
        <v>0</v>
      </c>
      <c r="Y48" s="36" t="n">
        <f aca="false">(1-$I$14)*(1-$J$14)*$D$14*(Y$5&gt;=$H$14+$F$14)</f>
        <v>0</v>
      </c>
      <c r="Z48" s="36" t="n">
        <f aca="false">(1-$I$14)*(1-$J$14)*$D$14*(Z$5&gt;=$H$14+$F$14)</f>
        <v>0</v>
      </c>
      <c r="AA48" s="36" t="n">
        <f aca="false">(1-$I$14)*(1-$J$14)*$D$14*(AA$5&gt;=$H$14+$F$14)</f>
        <v>0</v>
      </c>
      <c r="AB48" s="36" t="n">
        <f aca="false">(1-$I$14)*(1-$J$14)*$D$14*(AB$5&gt;=$H$14+$F$14)</f>
        <v>0</v>
      </c>
      <c r="AC48" s="36" t="n">
        <f aca="false">(1-$I$14)*(1-$J$14)*$D$14*(AC$5&gt;=$H$14+$F$14)</f>
        <v>0</v>
      </c>
      <c r="AD48" s="36" t="n">
        <f aca="false">(1-$I$14)*(1-$J$14)*$D$14*(AD$5&gt;=$H$14+$F$14)</f>
        <v>0</v>
      </c>
      <c r="AE48" s="36" t="n">
        <f aca="false">(1-$I$14)*(1-$J$14)*$D$14*(AE$5&gt;=$H$14+$F$14)</f>
        <v>0</v>
      </c>
      <c r="AF48" s="36" t="n">
        <f aca="false">(1-$I$14)*(1-$J$14)*$D$14*(AF$5&gt;=$H$14+$F$14)</f>
        <v>0</v>
      </c>
      <c r="AG48" s="36" t="n">
        <f aca="false">(1-$I$14)*(1-$J$14)*$D$14*(AG$5&gt;=$H$14+$F$14)</f>
        <v>0</v>
      </c>
      <c r="AI48" s="36" t="n">
        <f aca="false">INDEX($F48:$AG48,1,MATCH(AI$7,$F$7:$AG$7,1))</f>
        <v>0</v>
      </c>
      <c r="AJ48" s="36" t="n">
        <f aca="false">INDEX($F48:$AG48,1,MATCH(AJ$7,$F$7:$AG$7,1))</f>
        <v>0</v>
      </c>
      <c r="AK48" s="36" t="n">
        <f aca="false">INDEX($F48:$AG48,1,MATCH(AK$7,$F$7:$AG$7,1))</f>
        <v>0</v>
      </c>
      <c r="AL48" s="36" t="n">
        <f aca="false">INDEX($F48:$AG48,1,MATCH(AL$7,$F$7:$AG$7,1))</f>
        <v>0</v>
      </c>
      <c r="AM48" s="36" t="n">
        <f aca="false">INDEX($F48:$AG48,1,MATCH(AM$7,$F$7:$AG$7,1))</f>
        <v>0</v>
      </c>
      <c r="AN48" s="36" t="n">
        <f aca="false">INDEX($F48:$AG48,1,MATCH(AN$7,$F$7:$AG$7,1))</f>
        <v>0</v>
      </c>
      <c r="AO48" s="36" t="n">
        <f aca="false">INDEX($F48:$AG48,1,MATCH(AO$7,$F$7:$AG$7,1))</f>
        <v>0</v>
      </c>
    </row>
    <row r="49" customFormat="false" ht="15" hidden="false" customHeight="false" outlineLevel="0" collapsed="false">
      <c r="A49" s="107" t="s">
        <v>1889</v>
      </c>
      <c r="B49" s="22" t="s">
        <v>613</v>
      </c>
      <c r="C49" s="22"/>
      <c r="D49" s="22" t="s">
        <v>1879</v>
      </c>
      <c r="F49" s="124" t="n">
        <f aca="false">F48*CHOOSE(MATCH($C$14,{"H";"B";"N"},0),GPUMW_H*ODc_H,GPUMW_B*ODc_B,GPUMW_N*ODc_N)*ResidUtil*Timeline!F$9*INDEX(Curve,1,MAX(1,MIN(8,INT((F$5-$H$14)/4)+1)))/1000000</f>
        <v>0</v>
      </c>
      <c r="G49" s="124" t="n">
        <f aca="false">G48*CHOOSE(MATCH($C$14,{"H";"B";"N"},0),GPUMW_H*ODc_H,GPUMW_B*ODc_B,GPUMW_N*ODc_N)*ResidUtil*Timeline!G$9*INDEX(Curve,1,MAX(1,MIN(8,INT((G$5-$H$14)/4)+1)))/1000000</f>
        <v>0</v>
      </c>
      <c r="H49" s="124" t="n">
        <f aca="false">H48*CHOOSE(MATCH($C$14,{"H";"B";"N"},0),GPUMW_H*ODc_H,GPUMW_B*ODc_B,GPUMW_N*ODc_N)*ResidUtil*Timeline!H$9*INDEX(Curve,1,MAX(1,MIN(8,INT((H$5-$H$14)/4)+1)))/1000000</f>
        <v>0</v>
      </c>
      <c r="I49" s="124" t="n">
        <f aca="false">I48*CHOOSE(MATCH($C$14,{"H";"B";"N"},0),GPUMW_H*ODc_H,GPUMW_B*ODc_B,GPUMW_N*ODc_N)*ResidUtil*Timeline!I$9*INDEX(Curve,1,MAX(1,MIN(8,INT((I$5-$H$14)/4)+1)))/1000000</f>
        <v>0</v>
      </c>
      <c r="J49" s="124" t="n">
        <f aca="false">J48*CHOOSE(MATCH($C$14,{"H";"B";"N"},0),GPUMW_H*ODc_H,GPUMW_B*ODc_B,GPUMW_N*ODc_N)*ResidUtil*Timeline!J$9*INDEX(Curve,1,MAX(1,MIN(8,INT((J$5-$H$14)/4)+1)))/1000000</f>
        <v>0</v>
      </c>
      <c r="K49" s="124" t="n">
        <f aca="false">K48*CHOOSE(MATCH($C$14,{"H";"B";"N"},0),GPUMW_H*ODc_H,GPUMW_B*ODc_B,GPUMW_N*ODc_N)*ResidUtil*Timeline!K$9*INDEX(Curve,1,MAX(1,MIN(8,INT((K$5-$H$14)/4)+1)))/1000000</f>
        <v>0</v>
      </c>
      <c r="L49" s="124" t="n">
        <f aca="false">L48*CHOOSE(MATCH($C$14,{"H";"B";"N"},0),GPUMW_H*ODc_H,GPUMW_B*ODc_B,GPUMW_N*ODc_N)*ResidUtil*Timeline!L$9*INDEX(Curve,1,MAX(1,MIN(8,INT((L$5-$H$14)/4)+1)))/1000000</f>
        <v>0</v>
      </c>
      <c r="M49" s="124" t="n">
        <f aca="false">M48*CHOOSE(MATCH($C$14,{"H";"B";"N"},0),GPUMW_H*ODc_H,GPUMW_B*ODc_B,GPUMW_N*ODc_N)*ResidUtil*Timeline!M$9*INDEX(Curve,1,MAX(1,MIN(8,INT((M$5-$H$14)/4)+1)))/1000000</f>
        <v>0</v>
      </c>
      <c r="N49" s="124" t="n">
        <f aca="false">N48*CHOOSE(MATCH($C$14,{"H";"B";"N"},0),GPUMW_H*ODc_H,GPUMW_B*ODc_B,GPUMW_N*ODc_N)*ResidUtil*Timeline!N$9*INDEX(Curve,1,MAX(1,MIN(8,INT((N$5-$H$14)/4)+1)))/1000000</f>
        <v>0</v>
      </c>
      <c r="O49" s="124" t="n">
        <f aca="false">O48*CHOOSE(MATCH($C$14,{"H";"B";"N"},0),GPUMW_H*ODc_H,GPUMW_B*ODc_B,GPUMW_N*ODc_N)*ResidUtil*Timeline!O$9*INDEX(Curve,1,MAX(1,MIN(8,INT((O$5-$H$14)/4)+1)))/1000000</f>
        <v>0</v>
      </c>
      <c r="P49" s="125" t="n">
        <f aca="false">P48*CHOOSE(MATCH($C$14,{"H";"B";"N"},0),GPUMW_H*ODc_H,GPUMW_B*ODc_B,GPUMW_N*ODc_N)*ResidUtil*Timeline!P$9*INDEX(Curve,1,MAX(1,MIN(8,INT((P$5-$H$14)/4)+1)))/1000000</f>
        <v>0</v>
      </c>
      <c r="Q49" s="125" t="n">
        <f aca="false">Q48*CHOOSE(MATCH($C$14,{"H";"B";"N"},0),GPUMW_H*ODc_H,GPUMW_B*ODc_B,GPUMW_N*ODc_N)*ResidUtil*Timeline!Q$9*INDEX(Curve,1,MAX(1,MIN(8,INT((Q$5-$H$14)/4)+1)))/1000000</f>
        <v>0</v>
      </c>
      <c r="R49" s="125" t="n">
        <f aca="false">R48*CHOOSE(MATCH($C$14,{"H";"B";"N"},0),GPUMW_H*ODc_H,GPUMW_B*ODc_B,GPUMW_N*ODc_N)*ResidUtil*Timeline!R$9*INDEX(Curve,1,MAX(1,MIN(8,INT((R$5-$H$14)/4)+1)))/1000000</f>
        <v>0</v>
      </c>
      <c r="S49" s="125" t="n">
        <f aca="false">S48*CHOOSE(MATCH($C$14,{"H";"B";"N"},0),GPUMW_H*ODc_H,GPUMW_B*ODc_B,GPUMW_N*ODc_N)*ResidUtil*Timeline!S$9*INDEX(Curve,1,MAX(1,MIN(8,INT((S$5-$H$14)/4)+1)))/1000000</f>
        <v>0</v>
      </c>
      <c r="T49" s="125" t="n">
        <f aca="false">T48*CHOOSE(MATCH($C$14,{"H";"B";"N"},0),GPUMW_H*ODc_H,GPUMW_B*ODc_B,GPUMW_N*ODc_N)*ResidUtil*Timeline!T$9*INDEX(Curve,1,MAX(1,MIN(8,INT((T$5-$H$14)/4)+1)))/1000000</f>
        <v>0</v>
      </c>
      <c r="U49" s="125" t="n">
        <f aca="false">U48*CHOOSE(MATCH($C$14,{"H";"B";"N"},0),GPUMW_H*ODc_H,GPUMW_B*ODc_B,GPUMW_N*ODc_N)*ResidUtil*Timeline!U$9*INDEX(Curve,1,MAX(1,MIN(8,INT((U$5-$H$14)/4)+1)))/1000000</f>
        <v>0</v>
      </c>
      <c r="V49" s="125" t="n">
        <f aca="false">V48*CHOOSE(MATCH($C$14,{"H";"B";"N"},0),GPUMW_H*ODc_H,GPUMW_B*ODc_B,GPUMW_N*ODc_N)*ResidUtil*Timeline!V$9*INDEX(Curve,1,MAX(1,MIN(8,INT((V$5-$H$14)/4)+1)))/1000000</f>
        <v>0</v>
      </c>
      <c r="W49" s="125" t="n">
        <f aca="false">W48*CHOOSE(MATCH($C$14,{"H";"B";"N"},0),GPUMW_H*ODc_H,GPUMW_B*ODc_B,GPUMW_N*ODc_N)*ResidUtil*Timeline!W$9*INDEX(Curve,1,MAX(1,MIN(8,INT((W$5-$H$14)/4)+1)))/1000000</f>
        <v>0</v>
      </c>
      <c r="X49" s="125" t="n">
        <f aca="false">X48*CHOOSE(MATCH($C$14,{"H";"B";"N"},0),GPUMW_H*ODc_H,GPUMW_B*ODc_B,GPUMW_N*ODc_N)*ResidUtil*Timeline!X$9*INDEX(Curve,1,MAX(1,MIN(8,INT((X$5-$H$14)/4)+1)))/1000000</f>
        <v>0</v>
      </c>
      <c r="Y49" s="125" t="n">
        <f aca="false">Y48*CHOOSE(MATCH($C$14,{"H";"B";"N"},0),GPUMW_H*ODc_H,GPUMW_B*ODc_B,GPUMW_N*ODc_N)*ResidUtil*Timeline!Y$9*INDEX(Curve,1,MAX(1,MIN(8,INT((Y$5-$H$14)/4)+1)))/1000000</f>
        <v>0</v>
      </c>
      <c r="Z49" s="125" t="n">
        <f aca="false">Z48*CHOOSE(MATCH($C$14,{"H";"B";"N"},0),GPUMW_H*ODc_H,GPUMW_B*ODc_B,GPUMW_N*ODc_N)*ResidUtil*Timeline!Z$9*INDEX(Curve,1,MAX(1,MIN(8,INT((Z$5-$H$14)/4)+1)))/1000000</f>
        <v>0</v>
      </c>
      <c r="AA49" s="125" t="n">
        <f aca="false">AA48*CHOOSE(MATCH($C$14,{"H";"B";"N"},0),GPUMW_H*ODc_H,GPUMW_B*ODc_B,GPUMW_N*ODc_N)*ResidUtil*Timeline!AA$9*INDEX(Curve,1,MAX(1,MIN(8,INT((AA$5-$H$14)/4)+1)))/1000000</f>
        <v>0</v>
      </c>
      <c r="AB49" s="125" t="n">
        <f aca="false">AB48*CHOOSE(MATCH($C$14,{"H";"B";"N"},0),GPUMW_H*ODc_H,GPUMW_B*ODc_B,GPUMW_N*ODc_N)*ResidUtil*Timeline!AB$9*INDEX(Curve,1,MAX(1,MIN(8,INT((AB$5-$H$14)/4)+1)))/1000000</f>
        <v>0</v>
      </c>
      <c r="AC49" s="125" t="n">
        <f aca="false">AC48*CHOOSE(MATCH($C$14,{"H";"B";"N"},0),GPUMW_H*ODc_H,GPUMW_B*ODc_B,GPUMW_N*ODc_N)*ResidUtil*Timeline!AC$9*INDEX(Curve,1,MAX(1,MIN(8,INT((AC$5-$H$14)/4)+1)))/1000000</f>
        <v>0</v>
      </c>
      <c r="AD49" s="125" t="n">
        <f aca="false">AD48*CHOOSE(MATCH($C$14,{"H";"B";"N"},0),GPUMW_H*ODc_H,GPUMW_B*ODc_B,GPUMW_N*ODc_N)*ResidUtil*Timeline!AD$9*INDEX(Curve,1,MAX(1,MIN(8,INT((AD$5-$H$14)/4)+1)))/1000000</f>
        <v>0</v>
      </c>
      <c r="AE49" s="125" t="n">
        <f aca="false">AE48*CHOOSE(MATCH($C$14,{"H";"B";"N"},0),GPUMW_H*ODc_H,GPUMW_B*ODc_B,GPUMW_N*ODc_N)*ResidUtil*Timeline!AE$9*INDEX(Curve,1,MAX(1,MIN(8,INT((AE$5-$H$14)/4)+1)))/1000000</f>
        <v>0</v>
      </c>
      <c r="AF49" s="125" t="n">
        <f aca="false">AF48*CHOOSE(MATCH($C$14,{"H";"B";"N"},0),GPUMW_H*ODc_H,GPUMW_B*ODc_B,GPUMW_N*ODc_N)*ResidUtil*Timeline!AF$9*INDEX(Curve,1,MAX(1,MIN(8,INT((AF$5-$H$14)/4)+1)))/1000000</f>
        <v>0</v>
      </c>
      <c r="AG49" s="125" t="n">
        <f aca="false">AG48*CHOOSE(MATCH($C$14,{"H";"B";"N"},0),GPUMW_H*ODc_H,GPUMW_B*ODc_B,GPUMW_N*ODc_N)*ResidUtil*Timeline!AG$9*INDEX(Curve,1,MAX(1,MIN(8,INT((AG$5-$H$14)/4)+1)))/1000000</f>
        <v>0</v>
      </c>
      <c r="AI49" s="125" t="n">
        <f aca="false">SUMIF($F$7:$AG$7,AI$7,$F49:$AG49)</f>
        <v>0</v>
      </c>
      <c r="AJ49" s="125" t="n">
        <f aca="false">SUMIF($F$7:$AG$7,AJ$7,$F49:$AG49)</f>
        <v>0</v>
      </c>
      <c r="AK49" s="125" t="n">
        <f aca="false">SUMIF($F$7:$AG$7,AK$7,$F49:$AG49)</f>
        <v>0</v>
      </c>
      <c r="AL49" s="125" t="n">
        <f aca="false">SUMIF($F$7:$AG$7,AL$7,$F49:$AG49)</f>
        <v>0</v>
      </c>
      <c r="AM49" s="125" t="n">
        <f aca="false">SUMIF($F$7:$AG$7,AM$7,$F49:$AG49)</f>
        <v>0</v>
      </c>
      <c r="AN49" s="125" t="n">
        <f aca="false">SUMIF($F$7:$AG$7,AN$7,$F49:$AG49)</f>
        <v>0</v>
      </c>
      <c r="AO49" s="125" t="n">
        <f aca="false">SUMIF($F$7:$AG$7,AO$7,$F49:$AG49)</f>
        <v>0</v>
      </c>
    </row>
    <row r="50" customFormat="false" ht="15" hidden="false" customHeight="false" outlineLevel="0" collapsed="false">
      <c r="A50" s="107" t="s">
        <v>1890</v>
      </c>
      <c r="B50" s="22" t="s">
        <v>613</v>
      </c>
      <c r="C50" s="22"/>
      <c r="D50" s="22"/>
      <c r="F50" s="124" t="n">
        <f aca="false">(1-$I$15)*(1-$J$15)*$D$15*$E$15/4*MIN(1,MAX(0,(F$5-$H$15+1)/$T$15))*IF(F$5=$H$15,DelivFactor,IF(AND(F$5&gt;$H$15,F$5&lt;$H$15+$F$15),1,IF(F$5=$H$15+$F$15,1-DelivFactor,0)))</f>
        <v>0</v>
      </c>
      <c r="G50" s="124" t="n">
        <f aca="false">(1-$I$15)*(1-$J$15)*$D$15*$E$15/4*MIN(1,MAX(0,(G$5-$H$15+1)/$T$15))*IF(G$5=$H$15,DelivFactor,IF(AND(G$5&gt;$H$15,G$5&lt;$H$15+$F$15),1,IF(G$5=$H$15+$F$15,1-DelivFactor,0)))</f>
        <v>0</v>
      </c>
      <c r="H50" s="124" t="n">
        <f aca="false">(1-$I$15)*(1-$J$15)*$D$15*$E$15/4*MIN(1,MAX(0,(H$5-$H$15+1)/$T$15))*IF(H$5=$H$15,DelivFactor,IF(AND(H$5&gt;$H$15,H$5&lt;$H$15+$F$15),1,IF(H$5=$H$15+$F$15,1-DelivFactor,0)))</f>
        <v>0</v>
      </c>
      <c r="I50" s="124" t="n">
        <f aca="false">(1-$I$15)*(1-$J$15)*$D$15*$E$15/4*MIN(1,MAX(0,(I$5-$H$15+1)/$T$15))*IF(I$5=$H$15,DelivFactor,IF(AND(I$5&gt;$H$15,I$5&lt;$H$15+$F$15),1,IF(I$5=$H$15+$F$15,1-DelivFactor,0)))</f>
        <v>0</v>
      </c>
      <c r="J50" s="124" t="n">
        <f aca="false">(1-$I$15)*(1-$J$15)*$D$15*$E$15/4*MIN(1,MAX(0,(J$5-$H$15+1)/$T$15))*IF(J$5=$H$15,DelivFactor,IF(AND(J$5&gt;$H$15,J$5&lt;$H$15+$F$15),1,IF(J$5=$H$15+$F$15,1-DelivFactor,0)))</f>
        <v>0</v>
      </c>
      <c r="K50" s="124" t="n">
        <f aca="false">(1-$I$15)*(1-$J$15)*$D$15*$E$15/4*MIN(1,MAX(0,(K$5-$H$15+1)/$T$15))*IF(K$5=$H$15,DelivFactor,IF(AND(K$5&gt;$H$15,K$5&lt;$H$15+$F$15),1,IF(K$5=$H$15+$F$15,1-DelivFactor,0)))</f>
        <v>0</v>
      </c>
      <c r="L50" s="124" t="n">
        <f aca="false">(1-$I$15)*(1-$J$15)*$D$15*$E$15/4*MIN(1,MAX(0,(L$5-$H$15+1)/$T$15))*IF(L$5=$H$15,DelivFactor,IF(AND(L$5&gt;$H$15,L$5&lt;$H$15+$F$15),1,IF(L$5=$H$15+$F$15,1-DelivFactor,0)))</f>
        <v>0</v>
      </c>
      <c r="M50" s="124" t="n">
        <f aca="false">(1-$I$15)*(1-$J$15)*$D$15*$E$15/4*MIN(1,MAX(0,(M$5-$H$15+1)/$T$15))*IF(M$5=$H$15,DelivFactor,IF(AND(M$5&gt;$H$15,M$5&lt;$H$15+$F$15),1,IF(M$5=$H$15+$F$15,1-DelivFactor,0)))</f>
        <v>0</v>
      </c>
      <c r="N50" s="124" t="n">
        <f aca="false">(1-$I$15)*(1-$J$15)*$D$15*$E$15/4*MIN(1,MAX(0,(N$5-$H$15+1)/$T$15))*IF(N$5=$H$15,DelivFactor,IF(AND(N$5&gt;$H$15,N$5&lt;$H$15+$F$15),1,IF(N$5=$H$15+$F$15,1-DelivFactor,0)))</f>
        <v>0</v>
      </c>
      <c r="O50" s="124" t="n">
        <f aca="false">(1-$I$15)*(1-$J$15)*$D$15*$E$15/4*MIN(1,MAX(0,(O$5-$H$15+1)/$T$15))*IF(O$5=$H$15,DelivFactor,IF(AND(O$5&gt;$H$15,O$5&lt;$H$15+$F$15),1,IF(O$5=$H$15+$F$15,1-DelivFactor,0)))</f>
        <v>0</v>
      </c>
      <c r="P50" s="125" t="n">
        <f aca="false">(1-$I$15)*(1-$J$15)*$D$15*$E$15/4*MIN(1,MAX(0,(P$5-$H$15+1)/$T$15))*IF(P$5=$H$15,DelivFactor,IF(AND(P$5&gt;$H$15,P$5&lt;$H$15+$F$15),1,IF(P$5=$H$15+$F$15,1-DelivFactor,0)))</f>
        <v>12.0784027777778</v>
      </c>
      <c r="Q50" s="125" t="n">
        <f aca="false">(1-$I$15)*(1-$J$15)*$D$15*$E$15/4*MIN(1,MAX(0,(Q$5-$H$15+1)/$T$15))*IF(Q$5=$H$15,DelivFactor,IF(AND(Q$5&gt;$H$15,Q$5&lt;$H$15+$F$15),1,IF(Q$5=$H$15+$F$15,1-DelivFactor,0)))</f>
        <v>48.3136111111111</v>
      </c>
      <c r="R50" s="125" t="n">
        <f aca="false">(1-$I$15)*(1-$J$15)*$D$15*$E$15/4*MIN(1,MAX(0,(R$5-$H$15+1)/$T$15))*IF(R$5=$H$15,DelivFactor,IF(AND(R$5&gt;$H$15,R$5&lt;$H$15+$F$15),1,IF(R$5=$H$15+$F$15,1-DelivFactor,0)))</f>
        <v>72.4704166666667</v>
      </c>
      <c r="S50" s="125" t="n">
        <f aca="false">(1-$I$15)*(1-$J$15)*$D$15*$E$15/4*MIN(1,MAX(0,(S$5-$H$15+1)/$T$15))*IF(S$5=$H$15,DelivFactor,IF(AND(S$5&gt;$H$15,S$5&lt;$H$15+$F$15),1,IF(S$5=$H$15+$F$15,1-DelivFactor,0)))</f>
        <v>96.6272222222222</v>
      </c>
      <c r="T50" s="125" t="n">
        <f aca="false">(1-$I$15)*(1-$J$15)*$D$15*$E$15/4*MIN(1,MAX(0,(T$5-$H$15+1)/$T$15))*IF(T$5=$H$15,DelivFactor,IF(AND(T$5&gt;$H$15,T$5&lt;$H$15+$F$15),1,IF(T$5=$H$15+$F$15,1-DelivFactor,0)))</f>
        <v>96.6272222222222</v>
      </c>
      <c r="U50" s="125" t="n">
        <f aca="false">(1-$I$15)*(1-$J$15)*$D$15*$E$15/4*MIN(1,MAX(0,(U$5-$H$15+1)/$T$15))*IF(U$5=$H$15,DelivFactor,IF(AND(U$5&gt;$H$15,U$5&lt;$H$15+$F$15),1,IF(U$5=$H$15+$F$15,1-DelivFactor,0)))</f>
        <v>96.6272222222222</v>
      </c>
      <c r="V50" s="125" t="n">
        <f aca="false">(1-$I$15)*(1-$J$15)*$D$15*$E$15/4*MIN(1,MAX(0,(V$5-$H$15+1)/$T$15))*IF(V$5=$H$15,DelivFactor,IF(AND(V$5&gt;$H$15,V$5&lt;$H$15+$F$15),1,IF(V$5=$H$15+$F$15,1-DelivFactor,0)))</f>
        <v>96.6272222222222</v>
      </c>
      <c r="W50" s="125" t="n">
        <f aca="false">(1-$I$15)*(1-$J$15)*$D$15*$E$15/4*MIN(1,MAX(0,(W$5-$H$15+1)/$T$15))*IF(W$5=$H$15,DelivFactor,IF(AND(W$5&gt;$H$15,W$5&lt;$H$15+$F$15),1,IF(W$5=$H$15+$F$15,1-DelivFactor,0)))</f>
        <v>96.6272222222222</v>
      </c>
      <c r="X50" s="125" t="n">
        <f aca="false">(1-$I$15)*(1-$J$15)*$D$15*$E$15/4*MIN(1,MAX(0,(X$5-$H$15+1)/$T$15))*IF(X$5=$H$15,DelivFactor,IF(AND(X$5&gt;$H$15,X$5&lt;$H$15+$F$15),1,IF(X$5=$H$15+$F$15,1-DelivFactor,0)))</f>
        <v>96.6272222222222</v>
      </c>
      <c r="Y50" s="125" t="n">
        <f aca="false">(1-$I$15)*(1-$J$15)*$D$15*$E$15/4*MIN(1,MAX(0,(Y$5-$H$15+1)/$T$15))*IF(Y$5=$H$15,DelivFactor,IF(AND(Y$5&gt;$H$15,Y$5&lt;$H$15+$F$15),1,IF(Y$5=$H$15+$F$15,1-DelivFactor,0)))</f>
        <v>96.6272222222222</v>
      </c>
      <c r="Z50" s="125" t="n">
        <f aca="false">(1-$I$15)*(1-$J$15)*$D$15*$E$15/4*MIN(1,MAX(0,(Z$5-$H$15+1)/$T$15))*IF(Z$5=$H$15,DelivFactor,IF(AND(Z$5&gt;$H$15,Z$5&lt;$H$15+$F$15),1,IF(Z$5=$H$15+$F$15,1-DelivFactor,0)))</f>
        <v>96.6272222222222</v>
      </c>
      <c r="AA50" s="125" t="n">
        <f aca="false">(1-$I$15)*(1-$J$15)*$D$15*$E$15/4*MIN(1,MAX(0,(AA$5-$H$15+1)/$T$15))*IF(AA$5=$H$15,DelivFactor,IF(AND(AA$5&gt;$H$15,AA$5&lt;$H$15+$F$15),1,IF(AA$5=$H$15+$F$15,1-DelivFactor,0)))</f>
        <v>96.6272222222222</v>
      </c>
      <c r="AB50" s="125" t="n">
        <f aca="false">(1-$I$15)*(1-$J$15)*$D$15*$E$15/4*MIN(1,MAX(0,(AB$5-$H$15+1)/$T$15))*IF(AB$5=$H$15,DelivFactor,IF(AND(AB$5&gt;$H$15,AB$5&lt;$H$15+$F$15),1,IF(AB$5=$H$15+$F$15,1-DelivFactor,0)))</f>
        <v>96.6272222222222</v>
      </c>
      <c r="AC50" s="125" t="n">
        <f aca="false">(1-$I$15)*(1-$J$15)*$D$15*$E$15/4*MIN(1,MAX(0,(AC$5-$H$15+1)/$T$15))*IF(AC$5=$H$15,DelivFactor,IF(AND(AC$5&gt;$H$15,AC$5&lt;$H$15+$F$15),1,IF(AC$5=$H$15+$F$15,1-DelivFactor,0)))</f>
        <v>96.6272222222222</v>
      </c>
      <c r="AD50" s="125" t="n">
        <f aca="false">(1-$I$15)*(1-$J$15)*$D$15*$E$15/4*MIN(1,MAX(0,(AD$5-$H$15+1)/$T$15))*IF(AD$5=$H$15,DelivFactor,IF(AND(AD$5&gt;$H$15,AD$5&lt;$H$15+$F$15),1,IF(AD$5=$H$15+$F$15,1-DelivFactor,0)))</f>
        <v>96.6272222222222</v>
      </c>
      <c r="AE50" s="125" t="n">
        <f aca="false">(1-$I$15)*(1-$J$15)*$D$15*$E$15/4*MIN(1,MAX(0,(AE$5-$H$15+1)/$T$15))*IF(AE$5=$H$15,DelivFactor,IF(AND(AE$5&gt;$H$15,AE$5&lt;$H$15+$F$15),1,IF(AE$5=$H$15+$F$15,1-DelivFactor,0)))</f>
        <v>96.6272222222222</v>
      </c>
      <c r="AF50" s="125" t="n">
        <f aca="false">(1-$I$15)*(1-$J$15)*$D$15*$E$15/4*MIN(1,MAX(0,(AF$5-$H$15+1)/$T$15))*IF(AF$5=$H$15,DelivFactor,IF(AND(AF$5&gt;$H$15,AF$5&lt;$H$15+$F$15),1,IF(AF$5=$H$15+$F$15,1-DelivFactor,0)))</f>
        <v>96.6272222222222</v>
      </c>
      <c r="AG50" s="125" t="n">
        <f aca="false">(1-$I$15)*(1-$J$15)*$D$15*$E$15/4*MIN(1,MAX(0,(AG$5-$H$15+1)/$T$15))*IF(AG$5=$H$15,DelivFactor,IF(AND(AG$5&gt;$H$15,AG$5&lt;$H$15+$F$15),1,IF(AG$5=$H$15+$F$15,1-DelivFactor,0)))</f>
        <v>96.6272222222222</v>
      </c>
      <c r="AI50" s="125" t="n">
        <f aca="false">SUMIF($F$7:$AG$7,AI$7,$F50:$AG50)</f>
        <v>0</v>
      </c>
      <c r="AJ50" s="125" t="n">
        <f aca="false">SUMIF($F$7:$AG$7,AJ$7,$F50:$AG50)</f>
        <v>0</v>
      </c>
      <c r="AK50" s="125" t="n">
        <f aca="false">SUMIF($F$7:$AG$7,AK$7,$F50:$AG50)</f>
        <v>60.3920138888889</v>
      </c>
      <c r="AL50" s="125" t="n">
        <f aca="false">SUMIF($F$7:$AG$7,AL$7,$F50:$AG50)</f>
        <v>362.352083333333</v>
      </c>
      <c r="AM50" s="125" t="n">
        <f aca="false">SUMIF($F$7:$AG$7,AM$7,$F50:$AG50)</f>
        <v>386.508888888889</v>
      </c>
      <c r="AN50" s="125" t="n">
        <f aca="false">SUMIF($F$7:$AG$7,AN$7,$F50:$AG50)</f>
        <v>386.508888888889</v>
      </c>
      <c r="AO50" s="125" t="n">
        <f aca="false">SUMIF($F$7:$AG$7,AO$7,$F50:$AG50)</f>
        <v>386.508888888889</v>
      </c>
    </row>
    <row r="51" customFormat="false" ht="15" hidden="false" customHeight="false" outlineLevel="0" collapsed="false">
      <c r="A51" s="107" t="s">
        <v>1891</v>
      </c>
      <c r="B51" s="22" t="s">
        <v>664</v>
      </c>
      <c r="C51" s="22"/>
      <c r="D51" s="22"/>
      <c r="F51" s="116" t="n">
        <f aca="false">(1-$I$15)*(1-$J$15)*$D$15*AND(F$5&gt;=$H$15,F$5&lt;$H$15+$F$15)</f>
        <v>0</v>
      </c>
      <c r="G51" s="116" t="n">
        <f aca="false">(1-$I$15)*(1-$J$15)*$D$15*AND(G$5&gt;=$H$15,G$5&lt;$H$15+$F$15)</f>
        <v>0</v>
      </c>
      <c r="H51" s="116" t="n">
        <f aca="false">(1-$I$15)*(1-$J$15)*$D$15*AND(H$5&gt;=$H$15,H$5&lt;$H$15+$F$15)</f>
        <v>0</v>
      </c>
      <c r="I51" s="116" t="n">
        <f aca="false">(1-$I$15)*(1-$J$15)*$D$15*AND(I$5&gt;=$H$15,I$5&lt;$H$15+$F$15)</f>
        <v>0</v>
      </c>
      <c r="J51" s="116" t="n">
        <f aca="false">(1-$I$15)*(1-$J$15)*$D$15*AND(J$5&gt;=$H$15,J$5&lt;$H$15+$F$15)</f>
        <v>0</v>
      </c>
      <c r="K51" s="116" t="n">
        <f aca="false">(1-$I$15)*(1-$J$15)*$D$15*AND(K$5&gt;=$H$15,K$5&lt;$H$15+$F$15)</f>
        <v>0</v>
      </c>
      <c r="L51" s="116" t="n">
        <f aca="false">(1-$I$15)*(1-$J$15)*$D$15*AND(L$5&gt;=$H$15,L$5&lt;$H$15+$F$15)</f>
        <v>0</v>
      </c>
      <c r="M51" s="116" t="n">
        <f aca="false">(1-$I$15)*(1-$J$15)*$D$15*AND(M$5&gt;=$H$15,M$5&lt;$H$15+$F$15)</f>
        <v>0</v>
      </c>
      <c r="N51" s="116" t="n">
        <f aca="false">(1-$I$15)*(1-$J$15)*$D$15*AND(N$5&gt;=$H$15,N$5&lt;$H$15+$F$15)</f>
        <v>0</v>
      </c>
      <c r="O51" s="116" t="n">
        <f aca="false">(1-$I$15)*(1-$J$15)*$D$15*AND(O$5&gt;=$H$15,O$5&lt;$H$15+$F$15)</f>
        <v>0</v>
      </c>
      <c r="P51" s="36" t="n">
        <f aca="false">(1-$I$15)*(1-$J$15)*$D$15*AND(P$5&gt;=$H$15,P$5&lt;$H$15+$F$15)</f>
        <v>26.6666666666667</v>
      </c>
      <c r="Q51" s="36" t="n">
        <f aca="false">(1-$I$15)*(1-$J$15)*$D$15*AND(Q$5&gt;=$H$15,Q$5&lt;$H$15+$F$15)</f>
        <v>26.6666666666667</v>
      </c>
      <c r="R51" s="36" t="n">
        <f aca="false">(1-$I$15)*(1-$J$15)*$D$15*AND(R$5&gt;=$H$15,R$5&lt;$H$15+$F$15)</f>
        <v>26.6666666666667</v>
      </c>
      <c r="S51" s="36" t="n">
        <f aca="false">(1-$I$15)*(1-$J$15)*$D$15*AND(S$5&gt;=$H$15,S$5&lt;$H$15+$F$15)</f>
        <v>26.6666666666667</v>
      </c>
      <c r="T51" s="36" t="n">
        <f aca="false">(1-$I$15)*(1-$J$15)*$D$15*AND(T$5&gt;=$H$15,T$5&lt;$H$15+$F$15)</f>
        <v>26.6666666666667</v>
      </c>
      <c r="U51" s="36" t="n">
        <f aca="false">(1-$I$15)*(1-$J$15)*$D$15*AND(U$5&gt;=$H$15,U$5&lt;$H$15+$F$15)</f>
        <v>26.6666666666667</v>
      </c>
      <c r="V51" s="36" t="n">
        <f aca="false">(1-$I$15)*(1-$J$15)*$D$15*AND(V$5&gt;=$H$15,V$5&lt;$H$15+$F$15)</f>
        <v>26.6666666666667</v>
      </c>
      <c r="W51" s="36" t="n">
        <f aca="false">(1-$I$15)*(1-$J$15)*$D$15*AND(W$5&gt;=$H$15,W$5&lt;$H$15+$F$15)</f>
        <v>26.6666666666667</v>
      </c>
      <c r="X51" s="36" t="n">
        <f aca="false">(1-$I$15)*(1-$J$15)*$D$15*AND(X$5&gt;=$H$15,X$5&lt;$H$15+$F$15)</f>
        <v>26.6666666666667</v>
      </c>
      <c r="Y51" s="36" t="n">
        <f aca="false">(1-$I$15)*(1-$J$15)*$D$15*AND(Y$5&gt;=$H$15,Y$5&lt;$H$15+$F$15)</f>
        <v>26.6666666666667</v>
      </c>
      <c r="Z51" s="36" t="n">
        <f aca="false">(1-$I$15)*(1-$J$15)*$D$15*AND(Z$5&gt;=$H$15,Z$5&lt;$H$15+$F$15)</f>
        <v>26.6666666666667</v>
      </c>
      <c r="AA51" s="36" t="n">
        <f aca="false">(1-$I$15)*(1-$J$15)*$D$15*AND(AA$5&gt;=$H$15,AA$5&lt;$H$15+$F$15)</f>
        <v>26.6666666666667</v>
      </c>
      <c r="AB51" s="36" t="n">
        <f aca="false">(1-$I$15)*(1-$J$15)*$D$15*AND(AB$5&gt;=$H$15,AB$5&lt;$H$15+$F$15)</f>
        <v>26.6666666666667</v>
      </c>
      <c r="AC51" s="36" t="n">
        <f aca="false">(1-$I$15)*(1-$J$15)*$D$15*AND(AC$5&gt;=$H$15,AC$5&lt;$H$15+$F$15)</f>
        <v>26.6666666666667</v>
      </c>
      <c r="AD51" s="36" t="n">
        <f aca="false">(1-$I$15)*(1-$J$15)*$D$15*AND(AD$5&gt;=$H$15,AD$5&lt;$H$15+$F$15)</f>
        <v>26.6666666666667</v>
      </c>
      <c r="AE51" s="36" t="n">
        <f aca="false">(1-$I$15)*(1-$J$15)*$D$15*AND(AE$5&gt;=$H$15,AE$5&lt;$H$15+$F$15)</f>
        <v>26.6666666666667</v>
      </c>
      <c r="AF51" s="36" t="n">
        <f aca="false">(1-$I$15)*(1-$J$15)*$D$15*AND(AF$5&gt;=$H$15,AF$5&lt;$H$15+$F$15)</f>
        <v>26.6666666666667</v>
      </c>
      <c r="AG51" s="36" t="n">
        <f aca="false">(1-$I$15)*(1-$J$15)*$D$15*AND(AG$5&gt;=$H$15,AG$5&lt;$H$15+$F$15)</f>
        <v>26.6666666666667</v>
      </c>
      <c r="AI51" s="36" t="n">
        <f aca="false">INDEX($F51:$AG51,1,MATCH(AI$7,$F$7:$AG$7,1))</f>
        <v>0</v>
      </c>
      <c r="AJ51" s="36" t="n">
        <f aca="false">INDEX($F51:$AG51,1,MATCH(AJ$7,$F$7:$AG$7,1))</f>
        <v>0</v>
      </c>
      <c r="AK51" s="36" t="n">
        <f aca="false">INDEX($F51:$AG51,1,MATCH(AK$7,$F$7:$AG$7,1))</f>
        <v>26.6666666666667</v>
      </c>
      <c r="AL51" s="36" t="n">
        <f aca="false">INDEX($F51:$AG51,1,MATCH(AL$7,$F$7:$AG$7,1))</f>
        <v>26.6666666666667</v>
      </c>
      <c r="AM51" s="36" t="n">
        <f aca="false">INDEX($F51:$AG51,1,MATCH(AM$7,$F$7:$AG$7,1))</f>
        <v>26.6666666666667</v>
      </c>
      <c r="AN51" s="36" t="n">
        <f aca="false">INDEX($F51:$AG51,1,MATCH(AN$7,$F$7:$AG$7,1))</f>
        <v>26.6666666666667</v>
      </c>
      <c r="AO51" s="36" t="n">
        <f aca="false">INDEX($F51:$AG51,1,MATCH(AO$7,$F$7:$AG$7,1))</f>
        <v>26.6666666666667</v>
      </c>
    </row>
    <row r="52" customFormat="false" ht="15" hidden="false" customHeight="false" outlineLevel="0" collapsed="false">
      <c r="A52" s="107" t="s">
        <v>1892</v>
      </c>
      <c r="B52" s="22" t="s">
        <v>613</v>
      </c>
      <c r="C52" s="22"/>
      <c r="D52" s="22"/>
      <c r="F52" s="124" t="n">
        <f aca="false">-(1-$I$15)*LD_Pct*$D$15*$E$15/4*AND(F$5&gt;=$G$15,F$5&lt;$H$15)</f>
        <v>-0</v>
      </c>
      <c r="G52" s="124" t="n">
        <f aca="false">-(1-$I$15)*LD_Pct*$D$15*$E$15/4*AND(G$5&gt;=$G$15,G$5&lt;$H$15)</f>
        <v>-0</v>
      </c>
      <c r="H52" s="124" t="n">
        <f aca="false">-(1-$I$15)*LD_Pct*$D$15*$E$15/4*AND(H$5&gt;=$G$15,H$5&lt;$H$15)</f>
        <v>-0</v>
      </c>
      <c r="I52" s="124" t="n">
        <f aca="false">-(1-$I$15)*LD_Pct*$D$15*$E$15/4*AND(I$5&gt;=$G$15,I$5&lt;$H$15)</f>
        <v>-0</v>
      </c>
      <c r="J52" s="124" t="n">
        <f aca="false">-(1-$I$15)*LD_Pct*$D$15*$E$15/4*AND(J$5&gt;=$G$15,J$5&lt;$H$15)</f>
        <v>-0</v>
      </c>
      <c r="K52" s="124" t="n">
        <f aca="false">-(1-$I$15)*LD_Pct*$D$15*$E$15/4*AND(K$5&gt;=$G$15,K$5&lt;$H$15)</f>
        <v>-0</v>
      </c>
      <c r="L52" s="124" t="n">
        <f aca="false">-(1-$I$15)*LD_Pct*$D$15*$E$15/4*AND(L$5&gt;=$G$15,L$5&lt;$H$15)</f>
        <v>-0</v>
      </c>
      <c r="M52" s="124" t="n">
        <f aca="false">-(1-$I$15)*LD_Pct*$D$15*$E$15/4*AND(M$5&gt;=$G$15,M$5&lt;$H$15)</f>
        <v>-0</v>
      </c>
      <c r="N52" s="124" t="n">
        <f aca="false">-(1-$I$15)*LD_Pct*$D$15*$E$15/4*AND(N$5&gt;=$G$15,N$5&lt;$H$15)</f>
        <v>-0</v>
      </c>
      <c r="O52" s="124" t="n">
        <f aca="false">-(1-$I$15)*LD_Pct*$D$15*$E$15/4*AND(O$5&gt;=$G$15,O$5&lt;$H$15)</f>
        <v>-0</v>
      </c>
      <c r="P52" s="125" t="n">
        <f aca="false">-(1-$I$15)*LD_Pct*$D$15*$E$15/4*AND(P$5&gt;=$G$15,P$5&lt;$H$15)</f>
        <v>-0</v>
      </c>
      <c r="Q52" s="125" t="n">
        <f aca="false">-(1-$I$15)*LD_Pct*$D$15*$E$15/4*AND(Q$5&gt;=$G$15,Q$5&lt;$H$15)</f>
        <v>-0</v>
      </c>
      <c r="R52" s="125" t="n">
        <f aca="false">-(1-$I$15)*LD_Pct*$D$15*$E$15/4*AND(R$5&gt;=$G$15,R$5&lt;$H$15)</f>
        <v>-0</v>
      </c>
      <c r="S52" s="125" t="n">
        <f aca="false">-(1-$I$15)*LD_Pct*$D$15*$E$15/4*AND(S$5&gt;=$G$15,S$5&lt;$H$15)</f>
        <v>-0</v>
      </c>
      <c r="T52" s="125" t="n">
        <f aca="false">-(1-$I$15)*LD_Pct*$D$15*$E$15/4*AND(T$5&gt;=$G$15,T$5&lt;$H$15)</f>
        <v>-0</v>
      </c>
      <c r="U52" s="125" t="n">
        <f aca="false">-(1-$I$15)*LD_Pct*$D$15*$E$15/4*AND(U$5&gt;=$G$15,U$5&lt;$H$15)</f>
        <v>-0</v>
      </c>
      <c r="V52" s="125" t="n">
        <f aca="false">-(1-$I$15)*LD_Pct*$D$15*$E$15/4*AND(V$5&gt;=$G$15,V$5&lt;$H$15)</f>
        <v>-0</v>
      </c>
      <c r="W52" s="125" t="n">
        <f aca="false">-(1-$I$15)*LD_Pct*$D$15*$E$15/4*AND(W$5&gt;=$G$15,W$5&lt;$H$15)</f>
        <v>-0</v>
      </c>
      <c r="X52" s="125" t="n">
        <f aca="false">-(1-$I$15)*LD_Pct*$D$15*$E$15/4*AND(X$5&gt;=$G$15,X$5&lt;$H$15)</f>
        <v>-0</v>
      </c>
      <c r="Y52" s="125" t="n">
        <f aca="false">-(1-$I$15)*LD_Pct*$D$15*$E$15/4*AND(Y$5&gt;=$G$15,Y$5&lt;$H$15)</f>
        <v>-0</v>
      </c>
      <c r="Z52" s="125" t="n">
        <f aca="false">-(1-$I$15)*LD_Pct*$D$15*$E$15/4*AND(Z$5&gt;=$G$15,Z$5&lt;$H$15)</f>
        <v>-0</v>
      </c>
      <c r="AA52" s="125" t="n">
        <f aca="false">-(1-$I$15)*LD_Pct*$D$15*$E$15/4*AND(AA$5&gt;=$G$15,AA$5&lt;$H$15)</f>
        <v>-0</v>
      </c>
      <c r="AB52" s="125" t="n">
        <f aca="false">-(1-$I$15)*LD_Pct*$D$15*$E$15/4*AND(AB$5&gt;=$G$15,AB$5&lt;$H$15)</f>
        <v>-0</v>
      </c>
      <c r="AC52" s="125" t="n">
        <f aca="false">-(1-$I$15)*LD_Pct*$D$15*$E$15/4*AND(AC$5&gt;=$G$15,AC$5&lt;$H$15)</f>
        <v>-0</v>
      </c>
      <c r="AD52" s="125" t="n">
        <f aca="false">-(1-$I$15)*LD_Pct*$D$15*$E$15/4*AND(AD$5&gt;=$G$15,AD$5&lt;$H$15)</f>
        <v>-0</v>
      </c>
      <c r="AE52" s="125" t="n">
        <f aca="false">-(1-$I$15)*LD_Pct*$D$15*$E$15/4*AND(AE$5&gt;=$G$15,AE$5&lt;$H$15)</f>
        <v>-0</v>
      </c>
      <c r="AF52" s="125" t="n">
        <f aca="false">-(1-$I$15)*LD_Pct*$D$15*$E$15/4*AND(AF$5&gt;=$G$15,AF$5&lt;$H$15)</f>
        <v>-0</v>
      </c>
      <c r="AG52" s="125" t="n">
        <f aca="false">-(1-$I$15)*LD_Pct*$D$15*$E$15/4*AND(AG$5&gt;=$G$15,AG$5&lt;$H$15)</f>
        <v>-0</v>
      </c>
      <c r="AI52" s="125" t="n">
        <f aca="false">SUMIF($F$7:$AG$7,AI$7,$F52:$AG52)</f>
        <v>0</v>
      </c>
      <c r="AJ52" s="125" t="n">
        <f aca="false">SUMIF($F$7:$AG$7,AJ$7,$F52:$AG52)</f>
        <v>0</v>
      </c>
      <c r="AK52" s="125" t="n">
        <f aca="false">SUMIF($F$7:$AG$7,AK$7,$F52:$AG52)</f>
        <v>0</v>
      </c>
      <c r="AL52" s="125" t="n">
        <f aca="false">SUMIF($F$7:$AG$7,AL$7,$F52:$AG52)</f>
        <v>0</v>
      </c>
      <c r="AM52" s="125" t="n">
        <f aca="false">SUMIF($F$7:$AG$7,AM$7,$F52:$AG52)</f>
        <v>0</v>
      </c>
      <c r="AN52" s="125" t="n">
        <f aca="false">SUMIF($F$7:$AG$7,AN$7,$F52:$AG52)</f>
        <v>0</v>
      </c>
      <c r="AO52" s="125" t="n">
        <f aca="false">SUMIF($F$7:$AG$7,AO$7,$F52:$AG52)</f>
        <v>0</v>
      </c>
    </row>
    <row r="53" customFormat="false" ht="15" hidden="false" customHeight="false" outlineLevel="0" collapsed="false">
      <c r="A53" s="107" t="s">
        <v>1893</v>
      </c>
      <c r="B53" s="22" t="s">
        <v>664</v>
      </c>
      <c r="C53" s="22"/>
      <c r="D53" s="22"/>
      <c r="F53" s="116" t="n">
        <f aca="false">(1-$I$15)*(1-$J$15)*$D$15*(F$5&gt;=$H$15+$F$15)</f>
        <v>0</v>
      </c>
      <c r="G53" s="116" t="n">
        <f aca="false">(1-$I$15)*(1-$J$15)*$D$15*(G$5&gt;=$H$15+$F$15)</f>
        <v>0</v>
      </c>
      <c r="H53" s="116" t="n">
        <f aca="false">(1-$I$15)*(1-$J$15)*$D$15*(H$5&gt;=$H$15+$F$15)</f>
        <v>0</v>
      </c>
      <c r="I53" s="116" t="n">
        <f aca="false">(1-$I$15)*(1-$J$15)*$D$15*(I$5&gt;=$H$15+$F$15)</f>
        <v>0</v>
      </c>
      <c r="J53" s="116" t="n">
        <f aca="false">(1-$I$15)*(1-$J$15)*$D$15*(J$5&gt;=$H$15+$F$15)</f>
        <v>0</v>
      </c>
      <c r="K53" s="116" t="n">
        <f aca="false">(1-$I$15)*(1-$J$15)*$D$15*(K$5&gt;=$H$15+$F$15)</f>
        <v>0</v>
      </c>
      <c r="L53" s="116" t="n">
        <f aca="false">(1-$I$15)*(1-$J$15)*$D$15*(L$5&gt;=$H$15+$F$15)</f>
        <v>0</v>
      </c>
      <c r="M53" s="116" t="n">
        <f aca="false">(1-$I$15)*(1-$J$15)*$D$15*(M$5&gt;=$H$15+$F$15)</f>
        <v>0</v>
      </c>
      <c r="N53" s="116" t="n">
        <f aca="false">(1-$I$15)*(1-$J$15)*$D$15*(N$5&gt;=$H$15+$F$15)</f>
        <v>0</v>
      </c>
      <c r="O53" s="116" t="n">
        <f aca="false">(1-$I$15)*(1-$J$15)*$D$15*(O$5&gt;=$H$15+$F$15)</f>
        <v>0</v>
      </c>
      <c r="P53" s="36" t="n">
        <f aca="false">(1-$I$15)*(1-$J$15)*$D$15*(P$5&gt;=$H$15+$F$15)</f>
        <v>0</v>
      </c>
      <c r="Q53" s="36" t="n">
        <f aca="false">(1-$I$15)*(1-$J$15)*$D$15*(Q$5&gt;=$H$15+$F$15)</f>
        <v>0</v>
      </c>
      <c r="R53" s="36" t="n">
        <f aca="false">(1-$I$15)*(1-$J$15)*$D$15*(R$5&gt;=$H$15+$F$15)</f>
        <v>0</v>
      </c>
      <c r="S53" s="36" t="n">
        <f aca="false">(1-$I$15)*(1-$J$15)*$D$15*(S$5&gt;=$H$15+$F$15)</f>
        <v>0</v>
      </c>
      <c r="T53" s="36" t="n">
        <f aca="false">(1-$I$15)*(1-$J$15)*$D$15*(T$5&gt;=$H$15+$F$15)</f>
        <v>0</v>
      </c>
      <c r="U53" s="36" t="n">
        <f aca="false">(1-$I$15)*(1-$J$15)*$D$15*(U$5&gt;=$H$15+$F$15)</f>
        <v>0</v>
      </c>
      <c r="V53" s="36" t="n">
        <f aca="false">(1-$I$15)*(1-$J$15)*$D$15*(V$5&gt;=$H$15+$F$15)</f>
        <v>0</v>
      </c>
      <c r="W53" s="36" t="n">
        <f aca="false">(1-$I$15)*(1-$J$15)*$D$15*(W$5&gt;=$H$15+$F$15)</f>
        <v>0</v>
      </c>
      <c r="X53" s="36" t="n">
        <f aca="false">(1-$I$15)*(1-$J$15)*$D$15*(X$5&gt;=$H$15+$F$15)</f>
        <v>0</v>
      </c>
      <c r="Y53" s="36" t="n">
        <f aca="false">(1-$I$15)*(1-$J$15)*$D$15*(Y$5&gt;=$H$15+$F$15)</f>
        <v>0</v>
      </c>
      <c r="Z53" s="36" t="n">
        <f aca="false">(1-$I$15)*(1-$J$15)*$D$15*(Z$5&gt;=$H$15+$F$15)</f>
        <v>0</v>
      </c>
      <c r="AA53" s="36" t="n">
        <f aca="false">(1-$I$15)*(1-$J$15)*$D$15*(AA$5&gt;=$H$15+$F$15)</f>
        <v>0</v>
      </c>
      <c r="AB53" s="36" t="n">
        <f aca="false">(1-$I$15)*(1-$J$15)*$D$15*(AB$5&gt;=$H$15+$F$15)</f>
        <v>0</v>
      </c>
      <c r="AC53" s="36" t="n">
        <f aca="false">(1-$I$15)*(1-$J$15)*$D$15*(AC$5&gt;=$H$15+$F$15)</f>
        <v>0</v>
      </c>
      <c r="AD53" s="36" t="n">
        <f aca="false">(1-$I$15)*(1-$J$15)*$D$15*(AD$5&gt;=$H$15+$F$15)</f>
        <v>0</v>
      </c>
      <c r="AE53" s="36" t="n">
        <f aca="false">(1-$I$15)*(1-$J$15)*$D$15*(AE$5&gt;=$H$15+$F$15)</f>
        <v>0</v>
      </c>
      <c r="AF53" s="36" t="n">
        <f aca="false">(1-$I$15)*(1-$J$15)*$D$15*(AF$5&gt;=$H$15+$F$15)</f>
        <v>0</v>
      </c>
      <c r="AG53" s="36" t="n">
        <f aca="false">(1-$I$15)*(1-$J$15)*$D$15*(AG$5&gt;=$H$15+$F$15)</f>
        <v>0</v>
      </c>
      <c r="AI53" s="36" t="n">
        <f aca="false">INDEX($F53:$AG53,1,MATCH(AI$7,$F$7:$AG$7,1))</f>
        <v>0</v>
      </c>
      <c r="AJ53" s="36" t="n">
        <f aca="false">INDEX($F53:$AG53,1,MATCH(AJ$7,$F$7:$AG$7,1))</f>
        <v>0</v>
      </c>
      <c r="AK53" s="36" t="n">
        <f aca="false">INDEX($F53:$AG53,1,MATCH(AK$7,$F$7:$AG$7,1))</f>
        <v>0</v>
      </c>
      <c r="AL53" s="36" t="n">
        <f aca="false">INDEX($F53:$AG53,1,MATCH(AL$7,$F$7:$AG$7,1))</f>
        <v>0</v>
      </c>
      <c r="AM53" s="36" t="n">
        <f aca="false">INDEX($F53:$AG53,1,MATCH(AM$7,$F$7:$AG$7,1))</f>
        <v>0</v>
      </c>
      <c r="AN53" s="36" t="n">
        <f aca="false">INDEX($F53:$AG53,1,MATCH(AN$7,$F$7:$AG$7,1))</f>
        <v>0</v>
      </c>
      <c r="AO53" s="36" t="n">
        <f aca="false">INDEX($F53:$AG53,1,MATCH(AO$7,$F$7:$AG$7,1))</f>
        <v>0</v>
      </c>
    </row>
    <row r="54" customFormat="false" ht="15" hidden="false" customHeight="false" outlineLevel="0" collapsed="false">
      <c r="A54" s="107" t="s">
        <v>1894</v>
      </c>
      <c r="B54" s="22" t="s">
        <v>613</v>
      </c>
      <c r="C54" s="22"/>
      <c r="D54" s="22" t="s">
        <v>1879</v>
      </c>
      <c r="F54" s="124" t="n">
        <f aca="false">F53*CHOOSE(MATCH($C$15,{"H";"B";"N"},0),GPUMW_H*ODc_H,GPUMW_B*ODc_B,GPUMW_N*ODc_N)*ResidUtil*Timeline!F$9*INDEX(Curve,1,MAX(1,MIN(8,INT((F$5-$H$15)/4)+1)))/1000000</f>
        <v>0</v>
      </c>
      <c r="G54" s="124" t="n">
        <f aca="false">G53*CHOOSE(MATCH($C$15,{"H";"B";"N"},0),GPUMW_H*ODc_H,GPUMW_B*ODc_B,GPUMW_N*ODc_N)*ResidUtil*Timeline!G$9*INDEX(Curve,1,MAX(1,MIN(8,INT((G$5-$H$15)/4)+1)))/1000000</f>
        <v>0</v>
      </c>
      <c r="H54" s="124" t="n">
        <f aca="false">H53*CHOOSE(MATCH($C$15,{"H";"B";"N"},0),GPUMW_H*ODc_H,GPUMW_B*ODc_B,GPUMW_N*ODc_N)*ResidUtil*Timeline!H$9*INDEX(Curve,1,MAX(1,MIN(8,INT((H$5-$H$15)/4)+1)))/1000000</f>
        <v>0</v>
      </c>
      <c r="I54" s="124" t="n">
        <f aca="false">I53*CHOOSE(MATCH($C$15,{"H";"B";"N"},0),GPUMW_H*ODc_H,GPUMW_B*ODc_B,GPUMW_N*ODc_N)*ResidUtil*Timeline!I$9*INDEX(Curve,1,MAX(1,MIN(8,INT((I$5-$H$15)/4)+1)))/1000000</f>
        <v>0</v>
      </c>
      <c r="J54" s="124" t="n">
        <f aca="false">J53*CHOOSE(MATCH($C$15,{"H";"B";"N"},0),GPUMW_H*ODc_H,GPUMW_B*ODc_B,GPUMW_N*ODc_N)*ResidUtil*Timeline!J$9*INDEX(Curve,1,MAX(1,MIN(8,INT((J$5-$H$15)/4)+1)))/1000000</f>
        <v>0</v>
      </c>
      <c r="K54" s="124" t="n">
        <f aca="false">K53*CHOOSE(MATCH($C$15,{"H";"B";"N"},0),GPUMW_H*ODc_H,GPUMW_B*ODc_B,GPUMW_N*ODc_N)*ResidUtil*Timeline!K$9*INDEX(Curve,1,MAX(1,MIN(8,INT((K$5-$H$15)/4)+1)))/1000000</f>
        <v>0</v>
      </c>
      <c r="L54" s="124" t="n">
        <f aca="false">L53*CHOOSE(MATCH($C$15,{"H";"B";"N"},0),GPUMW_H*ODc_H,GPUMW_B*ODc_B,GPUMW_N*ODc_N)*ResidUtil*Timeline!L$9*INDEX(Curve,1,MAX(1,MIN(8,INT((L$5-$H$15)/4)+1)))/1000000</f>
        <v>0</v>
      </c>
      <c r="M54" s="124" t="n">
        <f aca="false">M53*CHOOSE(MATCH($C$15,{"H";"B";"N"},0),GPUMW_H*ODc_H,GPUMW_B*ODc_B,GPUMW_N*ODc_N)*ResidUtil*Timeline!M$9*INDEX(Curve,1,MAX(1,MIN(8,INT((M$5-$H$15)/4)+1)))/1000000</f>
        <v>0</v>
      </c>
      <c r="N54" s="124" t="n">
        <f aca="false">N53*CHOOSE(MATCH($C$15,{"H";"B";"N"},0),GPUMW_H*ODc_H,GPUMW_B*ODc_B,GPUMW_N*ODc_N)*ResidUtil*Timeline!N$9*INDEX(Curve,1,MAX(1,MIN(8,INT((N$5-$H$15)/4)+1)))/1000000</f>
        <v>0</v>
      </c>
      <c r="O54" s="124" t="n">
        <f aca="false">O53*CHOOSE(MATCH($C$15,{"H";"B";"N"},0),GPUMW_H*ODc_H,GPUMW_B*ODc_B,GPUMW_N*ODc_N)*ResidUtil*Timeline!O$9*INDEX(Curve,1,MAX(1,MIN(8,INT((O$5-$H$15)/4)+1)))/1000000</f>
        <v>0</v>
      </c>
      <c r="P54" s="125" t="n">
        <f aca="false">P53*CHOOSE(MATCH($C$15,{"H";"B";"N"},0),GPUMW_H*ODc_H,GPUMW_B*ODc_B,GPUMW_N*ODc_N)*ResidUtil*Timeline!P$9*INDEX(Curve,1,MAX(1,MIN(8,INT((P$5-$H$15)/4)+1)))/1000000</f>
        <v>0</v>
      </c>
      <c r="Q54" s="125" t="n">
        <f aca="false">Q53*CHOOSE(MATCH($C$15,{"H";"B";"N"},0),GPUMW_H*ODc_H,GPUMW_B*ODc_B,GPUMW_N*ODc_N)*ResidUtil*Timeline!Q$9*INDEX(Curve,1,MAX(1,MIN(8,INT((Q$5-$H$15)/4)+1)))/1000000</f>
        <v>0</v>
      </c>
      <c r="R54" s="125" t="n">
        <f aca="false">R53*CHOOSE(MATCH($C$15,{"H";"B";"N"},0),GPUMW_H*ODc_H,GPUMW_B*ODc_B,GPUMW_N*ODc_N)*ResidUtil*Timeline!R$9*INDEX(Curve,1,MAX(1,MIN(8,INT((R$5-$H$15)/4)+1)))/1000000</f>
        <v>0</v>
      </c>
      <c r="S54" s="125" t="n">
        <f aca="false">S53*CHOOSE(MATCH($C$15,{"H";"B";"N"},0),GPUMW_H*ODc_H,GPUMW_B*ODc_B,GPUMW_N*ODc_N)*ResidUtil*Timeline!S$9*INDEX(Curve,1,MAX(1,MIN(8,INT((S$5-$H$15)/4)+1)))/1000000</f>
        <v>0</v>
      </c>
      <c r="T54" s="125" t="n">
        <f aca="false">T53*CHOOSE(MATCH($C$15,{"H";"B";"N"},0),GPUMW_H*ODc_H,GPUMW_B*ODc_B,GPUMW_N*ODc_N)*ResidUtil*Timeline!T$9*INDEX(Curve,1,MAX(1,MIN(8,INT((T$5-$H$15)/4)+1)))/1000000</f>
        <v>0</v>
      </c>
      <c r="U54" s="125" t="n">
        <f aca="false">U53*CHOOSE(MATCH($C$15,{"H";"B";"N"},0),GPUMW_H*ODc_H,GPUMW_B*ODc_B,GPUMW_N*ODc_N)*ResidUtil*Timeline!U$9*INDEX(Curve,1,MAX(1,MIN(8,INT((U$5-$H$15)/4)+1)))/1000000</f>
        <v>0</v>
      </c>
      <c r="V54" s="125" t="n">
        <f aca="false">V53*CHOOSE(MATCH($C$15,{"H";"B";"N"},0),GPUMW_H*ODc_H,GPUMW_B*ODc_B,GPUMW_N*ODc_N)*ResidUtil*Timeline!V$9*INDEX(Curve,1,MAX(1,MIN(8,INT((V$5-$H$15)/4)+1)))/1000000</f>
        <v>0</v>
      </c>
      <c r="W54" s="125" t="n">
        <f aca="false">W53*CHOOSE(MATCH($C$15,{"H";"B";"N"},0),GPUMW_H*ODc_H,GPUMW_B*ODc_B,GPUMW_N*ODc_N)*ResidUtil*Timeline!W$9*INDEX(Curve,1,MAX(1,MIN(8,INT((W$5-$H$15)/4)+1)))/1000000</f>
        <v>0</v>
      </c>
      <c r="X54" s="125" t="n">
        <f aca="false">X53*CHOOSE(MATCH($C$15,{"H";"B";"N"},0),GPUMW_H*ODc_H,GPUMW_B*ODc_B,GPUMW_N*ODc_N)*ResidUtil*Timeline!X$9*INDEX(Curve,1,MAX(1,MIN(8,INT((X$5-$H$15)/4)+1)))/1000000</f>
        <v>0</v>
      </c>
      <c r="Y54" s="125" t="n">
        <f aca="false">Y53*CHOOSE(MATCH($C$15,{"H";"B";"N"},0),GPUMW_H*ODc_H,GPUMW_B*ODc_B,GPUMW_N*ODc_N)*ResidUtil*Timeline!Y$9*INDEX(Curve,1,MAX(1,MIN(8,INT((Y$5-$H$15)/4)+1)))/1000000</f>
        <v>0</v>
      </c>
      <c r="Z54" s="125" t="n">
        <f aca="false">Z53*CHOOSE(MATCH($C$15,{"H";"B";"N"},0),GPUMW_H*ODc_H,GPUMW_B*ODc_B,GPUMW_N*ODc_N)*ResidUtil*Timeline!Z$9*INDEX(Curve,1,MAX(1,MIN(8,INT((Z$5-$H$15)/4)+1)))/1000000</f>
        <v>0</v>
      </c>
      <c r="AA54" s="125" t="n">
        <f aca="false">AA53*CHOOSE(MATCH($C$15,{"H";"B";"N"},0),GPUMW_H*ODc_H,GPUMW_B*ODc_B,GPUMW_N*ODc_N)*ResidUtil*Timeline!AA$9*INDEX(Curve,1,MAX(1,MIN(8,INT((AA$5-$H$15)/4)+1)))/1000000</f>
        <v>0</v>
      </c>
      <c r="AB54" s="125" t="n">
        <f aca="false">AB53*CHOOSE(MATCH($C$15,{"H";"B";"N"},0),GPUMW_H*ODc_H,GPUMW_B*ODc_B,GPUMW_N*ODc_N)*ResidUtil*Timeline!AB$9*INDEX(Curve,1,MAX(1,MIN(8,INT((AB$5-$H$15)/4)+1)))/1000000</f>
        <v>0</v>
      </c>
      <c r="AC54" s="125" t="n">
        <f aca="false">AC53*CHOOSE(MATCH($C$15,{"H";"B";"N"},0),GPUMW_H*ODc_H,GPUMW_B*ODc_B,GPUMW_N*ODc_N)*ResidUtil*Timeline!AC$9*INDEX(Curve,1,MAX(1,MIN(8,INT((AC$5-$H$15)/4)+1)))/1000000</f>
        <v>0</v>
      </c>
      <c r="AD54" s="125" t="n">
        <f aca="false">AD53*CHOOSE(MATCH($C$15,{"H";"B";"N"},0),GPUMW_H*ODc_H,GPUMW_B*ODc_B,GPUMW_N*ODc_N)*ResidUtil*Timeline!AD$9*INDEX(Curve,1,MAX(1,MIN(8,INT((AD$5-$H$15)/4)+1)))/1000000</f>
        <v>0</v>
      </c>
      <c r="AE54" s="125" t="n">
        <f aca="false">AE53*CHOOSE(MATCH($C$15,{"H";"B";"N"},0),GPUMW_H*ODc_H,GPUMW_B*ODc_B,GPUMW_N*ODc_N)*ResidUtil*Timeline!AE$9*INDEX(Curve,1,MAX(1,MIN(8,INT((AE$5-$H$15)/4)+1)))/1000000</f>
        <v>0</v>
      </c>
      <c r="AF54" s="125" t="n">
        <f aca="false">AF53*CHOOSE(MATCH($C$15,{"H";"B";"N"},0),GPUMW_H*ODc_H,GPUMW_B*ODc_B,GPUMW_N*ODc_N)*ResidUtil*Timeline!AF$9*INDEX(Curve,1,MAX(1,MIN(8,INT((AF$5-$H$15)/4)+1)))/1000000</f>
        <v>0</v>
      </c>
      <c r="AG54" s="125" t="n">
        <f aca="false">AG53*CHOOSE(MATCH($C$15,{"H";"B";"N"},0),GPUMW_H*ODc_H,GPUMW_B*ODc_B,GPUMW_N*ODc_N)*ResidUtil*Timeline!AG$9*INDEX(Curve,1,MAX(1,MIN(8,INT((AG$5-$H$15)/4)+1)))/1000000</f>
        <v>0</v>
      </c>
      <c r="AI54" s="125" t="n">
        <f aca="false">SUMIF($F$7:$AG$7,AI$7,$F54:$AG54)</f>
        <v>0</v>
      </c>
      <c r="AJ54" s="125" t="n">
        <f aca="false">SUMIF($F$7:$AG$7,AJ$7,$F54:$AG54)</f>
        <v>0</v>
      </c>
      <c r="AK54" s="125" t="n">
        <f aca="false">SUMIF($F$7:$AG$7,AK$7,$F54:$AG54)</f>
        <v>0</v>
      </c>
      <c r="AL54" s="125" t="n">
        <f aca="false">SUMIF($F$7:$AG$7,AL$7,$F54:$AG54)</f>
        <v>0</v>
      </c>
      <c r="AM54" s="125" t="n">
        <f aca="false">SUMIF($F$7:$AG$7,AM$7,$F54:$AG54)</f>
        <v>0</v>
      </c>
      <c r="AN54" s="125" t="n">
        <f aca="false">SUMIF($F$7:$AG$7,AN$7,$F54:$AG54)</f>
        <v>0</v>
      </c>
      <c r="AO54" s="125" t="n">
        <f aca="false">SUMIF($F$7:$AG$7,AO$7,$F54:$AG54)</f>
        <v>0</v>
      </c>
    </row>
    <row r="55" customFormat="false" ht="15" hidden="false" customHeight="false" outlineLevel="0" collapsed="false">
      <c r="A55" s="107" t="s">
        <v>1895</v>
      </c>
      <c r="B55" s="22" t="s">
        <v>613</v>
      </c>
      <c r="C55" s="22"/>
      <c r="D55" s="22"/>
      <c r="F55" s="124" t="n">
        <f aca="false">(1-$I$16)*(1-$J$16)*$D$16*$E$16/4*MIN(1,MAX(0,(F$5-$H$16+1)/$T$16))*IF(F$5=$H$16,DelivFactor,IF(AND(F$5&gt;$H$16,F$5&lt;$H$16+$F$16),1,IF(F$5=$H$16+$F$16,1-DelivFactor,0)))</f>
        <v>0</v>
      </c>
      <c r="G55" s="124" t="n">
        <f aca="false">(1-$I$16)*(1-$J$16)*$D$16*$E$16/4*MIN(1,MAX(0,(G$5-$H$16+1)/$T$16))*IF(G$5=$H$16,DelivFactor,IF(AND(G$5&gt;$H$16,G$5&lt;$H$16+$F$16),1,IF(G$5=$H$16+$F$16,1-DelivFactor,0)))</f>
        <v>0</v>
      </c>
      <c r="H55" s="124" t="n">
        <f aca="false">(1-$I$16)*(1-$J$16)*$D$16*$E$16/4*MIN(1,MAX(0,(H$5-$H$16+1)/$T$16))*IF(H$5=$H$16,DelivFactor,IF(AND(H$5&gt;$H$16,H$5&lt;$H$16+$F$16),1,IF(H$5=$H$16+$F$16,1-DelivFactor,0)))</f>
        <v>0</v>
      </c>
      <c r="I55" s="124" t="n">
        <f aca="false">(1-$I$16)*(1-$J$16)*$D$16*$E$16/4*MIN(1,MAX(0,(I$5-$H$16+1)/$T$16))*IF(I$5=$H$16,DelivFactor,IF(AND(I$5&gt;$H$16,I$5&lt;$H$16+$F$16),1,IF(I$5=$H$16+$F$16,1-DelivFactor,0)))</f>
        <v>0</v>
      </c>
      <c r="J55" s="124" t="n">
        <f aca="false">(1-$I$16)*(1-$J$16)*$D$16*$E$16/4*MIN(1,MAX(0,(J$5-$H$16+1)/$T$16))*IF(J$5=$H$16,DelivFactor,IF(AND(J$5&gt;$H$16,J$5&lt;$H$16+$F$16),1,IF(J$5=$H$16+$F$16,1-DelivFactor,0)))</f>
        <v>0</v>
      </c>
      <c r="K55" s="124" t="n">
        <f aca="false">(1-$I$16)*(1-$J$16)*$D$16*$E$16/4*MIN(1,MAX(0,(K$5-$H$16+1)/$T$16))*IF(K$5=$H$16,DelivFactor,IF(AND(K$5&gt;$H$16,K$5&lt;$H$16+$F$16),1,IF(K$5=$H$16+$F$16,1-DelivFactor,0)))</f>
        <v>0</v>
      </c>
      <c r="L55" s="124" t="n">
        <f aca="false">(1-$I$16)*(1-$J$16)*$D$16*$E$16/4*MIN(1,MAX(0,(L$5-$H$16+1)/$T$16))*IF(L$5=$H$16,DelivFactor,IF(AND(L$5&gt;$H$16,L$5&lt;$H$16+$F$16),1,IF(L$5=$H$16+$F$16,1-DelivFactor,0)))</f>
        <v>0</v>
      </c>
      <c r="M55" s="124" t="n">
        <f aca="false">(1-$I$16)*(1-$J$16)*$D$16*$E$16/4*MIN(1,MAX(0,(M$5-$H$16+1)/$T$16))*IF(M$5=$H$16,DelivFactor,IF(AND(M$5&gt;$H$16,M$5&lt;$H$16+$F$16),1,IF(M$5=$H$16+$F$16,1-DelivFactor,0)))</f>
        <v>0</v>
      </c>
      <c r="N55" s="124" t="n">
        <f aca="false">(1-$I$16)*(1-$J$16)*$D$16*$E$16/4*MIN(1,MAX(0,(N$5-$H$16+1)/$T$16))*IF(N$5=$H$16,DelivFactor,IF(AND(N$5&gt;$H$16,N$5&lt;$H$16+$F$16),1,IF(N$5=$H$16+$F$16,1-DelivFactor,0)))</f>
        <v>0</v>
      </c>
      <c r="O55" s="124" t="n">
        <f aca="false">(1-$I$16)*(1-$J$16)*$D$16*$E$16/4*MIN(1,MAX(0,(O$5-$H$16+1)/$T$16))*IF(O$5=$H$16,DelivFactor,IF(AND(O$5&gt;$H$16,O$5&lt;$H$16+$F$16),1,IF(O$5=$H$16+$F$16,1-DelivFactor,0)))</f>
        <v>0</v>
      </c>
      <c r="P55" s="125" t="n">
        <f aca="false">(1-$I$16)*(1-$J$16)*$D$16*$E$16/4*MIN(1,MAX(0,(P$5-$H$16+1)/$T$16))*IF(P$5=$H$16,DelivFactor,IF(AND(P$5&gt;$H$16,P$5&lt;$H$16+$F$16),1,IF(P$5=$H$16+$F$16,1-DelivFactor,0)))</f>
        <v>0</v>
      </c>
      <c r="Q55" s="125" t="n">
        <f aca="false">(1-$I$16)*(1-$J$16)*$D$16*$E$16/4*MIN(1,MAX(0,(Q$5-$H$16+1)/$T$16))*IF(Q$5=$H$16,DelivFactor,IF(AND(Q$5&gt;$H$16,Q$5&lt;$H$16+$F$16),1,IF(Q$5=$H$16+$F$16,1-DelivFactor,0)))</f>
        <v>0</v>
      </c>
      <c r="R55" s="125" t="n">
        <f aca="false">(1-$I$16)*(1-$J$16)*$D$16*$E$16/4*MIN(1,MAX(0,(R$5-$H$16+1)/$T$16))*IF(R$5=$H$16,DelivFactor,IF(AND(R$5&gt;$H$16,R$5&lt;$H$16+$F$16),1,IF(R$5=$H$16+$F$16,1-DelivFactor,0)))</f>
        <v>0</v>
      </c>
      <c r="S55" s="125" t="n">
        <f aca="false">(1-$I$16)*(1-$J$16)*$D$16*$E$16/4*MIN(1,MAX(0,(S$5-$H$16+1)/$T$16))*IF(S$5=$H$16,DelivFactor,IF(AND(S$5&gt;$H$16,S$5&lt;$H$16+$F$16),1,IF(S$5=$H$16+$F$16,1-DelivFactor,0)))</f>
        <v>12.0784027777778</v>
      </c>
      <c r="T55" s="125" t="n">
        <f aca="false">(1-$I$16)*(1-$J$16)*$D$16*$E$16/4*MIN(1,MAX(0,(T$5-$H$16+1)/$T$16))*IF(T$5=$H$16,DelivFactor,IF(AND(T$5&gt;$H$16,T$5&lt;$H$16+$F$16),1,IF(T$5=$H$16+$F$16,1-DelivFactor,0)))</f>
        <v>48.3136111111111</v>
      </c>
      <c r="U55" s="125" t="n">
        <f aca="false">(1-$I$16)*(1-$J$16)*$D$16*$E$16/4*MIN(1,MAX(0,(U$5-$H$16+1)/$T$16))*IF(U$5=$H$16,DelivFactor,IF(AND(U$5&gt;$H$16,U$5&lt;$H$16+$F$16),1,IF(U$5=$H$16+$F$16,1-DelivFactor,0)))</f>
        <v>72.4704166666667</v>
      </c>
      <c r="V55" s="125" t="n">
        <f aca="false">(1-$I$16)*(1-$J$16)*$D$16*$E$16/4*MIN(1,MAX(0,(V$5-$H$16+1)/$T$16))*IF(V$5=$H$16,DelivFactor,IF(AND(V$5&gt;$H$16,V$5&lt;$H$16+$F$16),1,IF(V$5=$H$16+$F$16,1-DelivFactor,0)))</f>
        <v>96.6272222222222</v>
      </c>
      <c r="W55" s="125" t="n">
        <f aca="false">(1-$I$16)*(1-$J$16)*$D$16*$E$16/4*MIN(1,MAX(0,(W$5-$H$16+1)/$T$16))*IF(W$5=$H$16,DelivFactor,IF(AND(W$5&gt;$H$16,W$5&lt;$H$16+$F$16),1,IF(W$5=$H$16+$F$16,1-DelivFactor,0)))</f>
        <v>96.6272222222222</v>
      </c>
      <c r="X55" s="125" t="n">
        <f aca="false">(1-$I$16)*(1-$J$16)*$D$16*$E$16/4*MIN(1,MAX(0,(X$5-$H$16+1)/$T$16))*IF(X$5=$H$16,DelivFactor,IF(AND(X$5&gt;$H$16,X$5&lt;$H$16+$F$16),1,IF(X$5=$H$16+$F$16,1-DelivFactor,0)))</f>
        <v>96.6272222222222</v>
      </c>
      <c r="Y55" s="125" t="n">
        <f aca="false">(1-$I$16)*(1-$J$16)*$D$16*$E$16/4*MIN(1,MAX(0,(Y$5-$H$16+1)/$T$16))*IF(Y$5=$H$16,DelivFactor,IF(AND(Y$5&gt;$H$16,Y$5&lt;$H$16+$F$16),1,IF(Y$5=$H$16+$F$16,1-DelivFactor,0)))</f>
        <v>96.6272222222222</v>
      </c>
      <c r="Z55" s="125" t="n">
        <f aca="false">(1-$I$16)*(1-$J$16)*$D$16*$E$16/4*MIN(1,MAX(0,(Z$5-$H$16+1)/$T$16))*IF(Z$5=$H$16,DelivFactor,IF(AND(Z$5&gt;$H$16,Z$5&lt;$H$16+$F$16),1,IF(Z$5=$H$16+$F$16,1-DelivFactor,0)))</f>
        <v>96.6272222222222</v>
      </c>
      <c r="AA55" s="125" t="n">
        <f aca="false">(1-$I$16)*(1-$J$16)*$D$16*$E$16/4*MIN(1,MAX(0,(AA$5-$H$16+1)/$T$16))*IF(AA$5=$H$16,DelivFactor,IF(AND(AA$5&gt;$H$16,AA$5&lt;$H$16+$F$16),1,IF(AA$5=$H$16+$F$16,1-DelivFactor,0)))</f>
        <v>96.6272222222222</v>
      </c>
      <c r="AB55" s="125" t="n">
        <f aca="false">(1-$I$16)*(1-$J$16)*$D$16*$E$16/4*MIN(1,MAX(0,(AB$5-$H$16+1)/$T$16))*IF(AB$5=$H$16,DelivFactor,IF(AND(AB$5&gt;$H$16,AB$5&lt;$H$16+$F$16),1,IF(AB$5=$H$16+$F$16,1-DelivFactor,0)))</f>
        <v>96.6272222222222</v>
      </c>
      <c r="AC55" s="125" t="n">
        <f aca="false">(1-$I$16)*(1-$J$16)*$D$16*$E$16/4*MIN(1,MAX(0,(AC$5-$H$16+1)/$T$16))*IF(AC$5=$H$16,DelivFactor,IF(AND(AC$5&gt;$H$16,AC$5&lt;$H$16+$F$16),1,IF(AC$5=$H$16+$F$16,1-DelivFactor,0)))</f>
        <v>96.6272222222222</v>
      </c>
      <c r="AD55" s="125" t="n">
        <f aca="false">(1-$I$16)*(1-$J$16)*$D$16*$E$16/4*MIN(1,MAX(0,(AD$5-$H$16+1)/$T$16))*IF(AD$5=$H$16,DelivFactor,IF(AND(AD$5&gt;$H$16,AD$5&lt;$H$16+$F$16),1,IF(AD$5=$H$16+$F$16,1-DelivFactor,0)))</f>
        <v>96.6272222222222</v>
      </c>
      <c r="AE55" s="125" t="n">
        <f aca="false">(1-$I$16)*(1-$J$16)*$D$16*$E$16/4*MIN(1,MAX(0,(AE$5-$H$16+1)/$T$16))*IF(AE$5=$H$16,DelivFactor,IF(AND(AE$5&gt;$H$16,AE$5&lt;$H$16+$F$16),1,IF(AE$5=$H$16+$F$16,1-DelivFactor,0)))</f>
        <v>96.6272222222222</v>
      </c>
      <c r="AF55" s="125" t="n">
        <f aca="false">(1-$I$16)*(1-$J$16)*$D$16*$E$16/4*MIN(1,MAX(0,(AF$5-$H$16+1)/$T$16))*IF(AF$5=$H$16,DelivFactor,IF(AND(AF$5&gt;$H$16,AF$5&lt;$H$16+$F$16),1,IF(AF$5=$H$16+$F$16,1-DelivFactor,0)))</f>
        <v>96.6272222222222</v>
      </c>
      <c r="AG55" s="125" t="n">
        <f aca="false">(1-$I$16)*(1-$J$16)*$D$16*$E$16/4*MIN(1,MAX(0,(AG$5-$H$16+1)/$T$16))*IF(AG$5=$H$16,DelivFactor,IF(AND(AG$5&gt;$H$16,AG$5&lt;$H$16+$F$16),1,IF(AG$5=$H$16+$F$16,1-DelivFactor,0)))</f>
        <v>96.6272222222222</v>
      </c>
      <c r="AI55" s="125" t="n">
        <f aca="false">SUMIF($F$7:$AG$7,AI$7,$F55:$AG55)</f>
        <v>0</v>
      </c>
      <c r="AJ55" s="125" t="n">
        <f aca="false">SUMIF($F$7:$AG$7,AJ$7,$F55:$AG55)</f>
        <v>0</v>
      </c>
      <c r="AK55" s="125" t="n">
        <f aca="false">SUMIF($F$7:$AG$7,AK$7,$F55:$AG55)</f>
        <v>0</v>
      </c>
      <c r="AL55" s="125" t="n">
        <f aca="false">SUMIF($F$7:$AG$7,AL$7,$F55:$AG55)</f>
        <v>132.862430555556</v>
      </c>
      <c r="AM55" s="125" t="n">
        <f aca="false">SUMIF($F$7:$AG$7,AM$7,$F55:$AG55)</f>
        <v>386.508888888889</v>
      </c>
      <c r="AN55" s="125" t="n">
        <f aca="false">SUMIF($F$7:$AG$7,AN$7,$F55:$AG55)</f>
        <v>386.508888888889</v>
      </c>
      <c r="AO55" s="125" t="n">
        <f aca="false">SUMIF($F$7:$AG$7,AO$7,$F55:$AG55)</f>
        <v>386.508888888889</v>
      </c>
    </row>
    <row r="56" customFormat="false" ht="15" hidden="false" customHeight="false" outlineLevel="0" collapsed="false">
      <c r="A56" s="107" t="s">
        <v>1896</v>
      </c>
      <c r="B56" s="22" t="s">
        <v>664</v>
      </c>
      <c r="C56" s="22"/>
      <c r="D56" s="22"/>
      <c r="F56" s="116" t="n">
        <f aca="false">(1-$I$16)*(1-$J$16)*$D$16*AND(F$5&gt;=$H$16,F$5&lt;$H$16+$F$16)</f>
        <v>0</v>
      </c>
      <c r="G56" s="116" t="n">
        <f aca="false">(1-$I$16)*(1-$J$16)*$D$16*AND(G$5&gt;=$H$16,G$5&lt;$H$16+$F$16)</f>
        <v>0</v>
      </c>
      <c r="H56" s="116" t="n">
        <f aca="false">(1-$I$16)*(1-$J$16)*$D$16*AND(H$5&gt;=$H$16,H$5&lt;$H$16+$F$16)</f>
        <v>0</v>
      </c>
      <c r="I56" s="116" t="n">
        <f aca="false">(1-$I$16)*(1-$J$16)*$D$16*AND(I$5&gt;=$H$16,I$5&lt;$H$16+$F$16)</f>
        <v>0</v>
      </c>
      <c r="J56" s="116" t="n">
        <f aca="false">(1-$I$16)*(1-$J$16)*$D$16*AND(J$5&gt;=$H$16,J$5&lt;$H$16+$F$16)</f>
        <v>0</v>
      </c>
      <c r="K56" s="116" t="n">
        <f aca="false">(1-$I$16)*(1-$J$16)*$D$16*AND(K$5&gt;=$H$16,K$5&lt;$H$16+$F$16)</f>
        <v>0</v>
      </c>
      <c r="L56" s="116" t="n">
        <f aca="false">(1-$I$16)*(1-$J$16)*$D$16*AND(L$5&gt;=$H$16,L$5&lt;$H$16+$F$16)</f>
        <v>0</v>
      </c>
      <c r="M56" s="116" t="n">
        <f aca="false">(1-$I$16)*(1-$J$16)*$D$16*AND(M$5&gt;=$H$16,M$5&lt;$H$16+$F$16)</f>
        <v>0</v>
      </c>
      <c r="N56" s="116" t="n">
        <f aca="false">(1-$I$16)*(1-$J$16)*$D$16*AND(N$5&gt;=$H$16,N$5&lt;$H$16+$F$16)</f>
        <v>0</v>
      </c>
      <c r="O56" s="116" t="n">
        <f aca="false">(1-$I$16)*(1-$J$16)*$D$16*AND(O$5&gt;=$H$16,O$5&lt;$H$16+$F$16)</f>
        <v>0</v>
      </c>
      <c r="P56" s="36" t="n">
        <f aca="false">(1-$I$16)*(1-$J$16)*$D$16*AND(P$5&gt;=$H$16,P$5&lt;$H$16+$F$16)</f>
        <v>0</v>
      </c>
      <c r="Q56" s="36" t="n">
        <f aca="false">(1-$I$16)*(1-$J$16)*$D$16*AND(Q$5&gt;=$H$16,Q$5&lt;$H$16+$F$16)</f>
        <v>0</v>
      </c>
      <c r="R56" s="36" t="n">
        <f aca="false">(1-$I$16)*(1-$J$16)*$D$16*AND(R$5&gt;=$H$16,R$5&lt;$H$16+$F$16)</f>
        <v>0</v>
      </c>
      <c r="S56" s="36" t="n">
        <f aca="false">(1-$I$16)*(1-$J$16)*$D$16*AND(S$5&gt;=$H$16,S$5&lt;$H$16+$F$16)</f>
        <v>26.6666666666667</v>
      </c>
      <c r="T56" s="36" t="n">
        <f aca="false">(1-$I$16)*(1-$J$16)*$D$16*AND(T$5&gt;=$H$16,T$5&lt;$H$16+$F$16)</f>
        <v>26.6666666666667</v>
      </c>
      <c r="U56" s="36" t="n">
        <f aca="false">(1-$I$16)*(1-$J$16)*$D$16*AND(U$5&gt;=$H$16,U$5&lt;$H$16+$F$16)</f>
        <v>26.6666666666667</v>
      </c>
      <c r="V56" s="36" t="n">
        <f aca="false">(1-$I$16)*(1-$J$16)*$D$16*AND(V$5&gt;=$H$16,V$5&lt;$H$16+$F$16)</f>
        <v>26.6666666666667</v>
      </c>
      <c r="W56" s="36" t="n">
        <f aca="false">(1-$I$16)*(1-$J$16)*$D$16*AND(W$5&gt;=$H$16,W$5&lt;$H$16+$F$16)</f>
        <v>26.6666666666667</v>
      </c>
      <c r="X56" s="36" t="n">
        <f aca="false">(1-$I$16)*(1-$J$16)*$D$16*AND(X$5&gt;=$H$16,X$5&lt;$H$16+$F$16)</f>
        <v>26.6666666666667</v>
      </c>
      <c r="Y56" s="36" t="n">
        <f aca="false">(1-$I$16)*(1-$J$16)*$D$16*AND(Y$5&gt;=$H$16,Y$5&lt;$H$16+$F$16)</f>
        <v>26.6666666666667</v>
      </c>
      <c r="Z56" s="36" t="n">
        <f aca="false">(1-$I$16)*(1-$J$16)*$D$16*AND(Z$5&gt;=$H$16,Z$5&lt;$H$16+$F$16)</f>
        <v>26.6666666666667</v>
      </c>
      <c r="AA56" s="36" t="n">
        <f aca="false">(1-$I$16)*(1-$J$16)*$D$16*AND(AA$5&gt;=$H$16,AA$5&lt;$H$16+$F$16)</f>
        <v>26.6666666666667</v>
      </c>
      <c r="AB56" s="36" t="n">
        <f aca="false">(1-$I$16)*(1-$J$16)*$D$16*AND(AB$5&gt;=$H$16,AB$5&lt;$H$16+$F$16)</f>
        <v>26.6666666666667</v>
      </c>
      <c r="AC56" s="36" t="n">
        <f aca="false">(1-$I$16)*(1-$J$16)*$D$16*AND(AC$5&gt;=$H$16,AC$5&lt;$H$16+$F$16)</f>
        <v>26.6666666666667</v>
      </c>
      <c r="AD56" s="36" t="n">
        <f aca="false">(1-$I$16)*(1-$J$16)*$D$16*AND(AD$5&gt;=$H$16,AD$5&lt;$H$16+$F$16)</f>
        <v>26.6666666666667</v>
      </c>
      <c r="AE56" s="36" t="n">
        <f aca="false">(1-$I$16)*(1-$J$16)*$D$16*AND(AE$5&gt;=$H$16,AE$5&lt;$H$16+$F$16)</f>
        <v>26.6666666666667</v>
      </c>
      <c r="AF56" s="36" t="n">
        <f aca="false">(1-$I$16)*(1-$J$16)*$D$16*AND(AF$5&gt;=$H$16,AF$5&lt;$H$16+$F$16)</f>
        <v>26.6666666666667</v>
      </c>
      <c r="AG56" s="36" t="n">
        <f aca="false">(1-$I$16)*(1-$J$16)*$D$16*AND(AG$5&gt;=$H$16,AG$5&lt;$H$16+$F$16)</f>
        <v>26.6666666666667</v>
      </c>
      <c r="AI56" s="36" t="n">
        <f aca="false">INDEX($F56:$AG56,1,MATCH(AI$7,$F$7:$AG$7,1))</f>
        <v>0</v>
      </c>
      <c r="AJ56" s="36" t="n">
        <f aca="false">INDEX($F56:$AG56,1,MATCH(AJ$7,$F$7:$AG$7,1))</f>
        <v>0</v>
      </c>
      <c r="AK56" s="36" t="n">
        <f aca="false">INDEX($F56:$AG56,1,MATCH(AK$7,$F$7:$AG$7,1))</f>
        <v>0</v>
      </c>
      <c r="AL56" s="36" t="n">
        <f aca="false">INDEX($F56:$AG56,1,MATCH(AL$7,$F$7:$AG$7,1))</f>
        <v>26.6666666666667</v>
      </c>
      <c r="AM56" s="36" t="n">
        <f aca="false">INDEX($F56:$AG56,1,MATCH(AM$7,$F$7:$AG$7,1))</f>
        <v>26.6666666666667</v>
      </c>
      <c r="AN56" s="36" t="n">
        <f aca="false">INDEX($F56:$AG56,1,MATCH(AN$7,$F$7:$AG$7,1))</f>
        <v>26.6666666666667</v>
      </c>
      <c r="AO56" s="36" t="n">
        <f aca="false">INDEX($F56:$AG56,1,MATCH(AO$7,$F$7:$AG$7,1))</f>
        <v>26.6666666666667</v>
      </c>
    </row>
    <row r="57" customFormat="false" ht="15" hidden="false" customHeight="false" outlineLevel="0" collapsed="false">
      <c r="A57" s="107" t="s">
        <v>1897</v>
      </c>
      <c r="B57" s="22" t="s">
        <v>613</v>
      </c>
      <c r="C57" s="22"/>
      <c r="D57" s="22"/>
      <c r="F57" s="124" t="n">
        <f aca="false">-(1-$I$16)*LD_Pct*$D$16*$E$16/4*AND(F$5&gt;=$G$16,F$5&lt;$H$16)</f>
        <v>-0</v>
      </c>
      <c r="G57" s="124" t="n">
        <f aca="false">-(1-$I$16)*LD_Pct*$D$16*$E$16/4*AND(G$5&gt;=$G$16,G$5&lt;$H$16)</f>
        <v>-0</v>
      </c>
      <c r="H57" s="124" t="n">
        <f aca="false">-(1-$I$16)*LD_Pct*$D$16*$E$16/4*AND(H$5&gt;=$G$16,H$5&lt;$H$16)</f>
        <v>-0</v>
      </c>
      <c r="I57" s="124" t="n">
        <f aca="false">-(1-$I$16)*LD_Pct*$D$16*$E$16/4*AND(I$5&gt;=$G$16,I$5&lt;$H$16)</f>
        <v>-0</v>
      </c>
      <c r="J57" s="124" t="n">
        <f aca="false">-(1-$I$16)*LD_Pct*$D$16*$E$16/4*AND(J$5&gt;=$G$16,J$5&lt;$H$16)</f>
        <v>-0</v>
      </c>
      <c r="K57" s="124" t="n">
        <f aca="false">-(1-$I$16)*LD_Pct*$D$16*$E$16/4*AND(K$5&gt;=$G$16,K$5&lt;$H$16)</f>
        <v>-0</v>
      </c>
      <c r="L57" s="124" t="n">
        <f aca="false">-(1-$I$16)*LD_Pct*$D$16*$E$16/4*AND(L$5&gt;=$G$16,L$5&lt;$H$16)</f>
        <v>-0</v>
      </c>
      <c r="M57" s="124" t="n">
        <f aca="false">-(1-$I$16)*LD_Pct*$D$16*$E$16/4*AND(M$5&gt;=$G$16,M$5&lt;$H$16)</f>
        <v>-0</v>
      </c>
      <c r="N57" s="124" t="n">
        <f aca="false">-(1-$I$16)*LD_Pct*$D$16*$E$16/4*AND(N$5&gt;=$G$16,N$5&lt;$H$16)</f>
        <v>-0</v>
      </c>
      <c r="O57" s="124" t="n">
        <f aca="false">-(1-$I$16)*LD_Pct*$D$16*$E$16/4*AND(O$5&gt;=$G$16,O$5&lt;$H$16)</f>
        <v>-0</v>
      </c>
      <c r="P57" s="125" t="n">
        <f aca="false">-(1-$I$16)*LD_Pct*$D$16*$E$16/4*AND(P$5&gt;=$G$16,P$5&lt;$H$16)</f>
        <v>-0</v>
      </c>
      <c r="Q57" s="125" t="n">
        <f aca="false">-(1-$I$16)*LD_Pct*$D$16*$E$16/4*AND(Q$5&gt;=$G$16,Q$5&lt;$H$16)</f>
        <v>-0</v>
      </c>
      <c r="R57" s="125" t="n">
        <f aca="false">-(1-$I$16)*LD_Pct*$D$16*$E$16/4*AND(R$5&gt;=$G$16,R$5&lt;$H$16)</f>
        <v>-0</v>
      </c>
      <c r="S57" s="125" t="n">
        <f aca="false">-(1-$I$16)*LD_Pct*$D$16*$E$16/4*AND(S$5&gt;=$G$16,S$5&lt;$H$16)</f>
        <v>-0</v>
      </c>
      <c r="T57" s="125" t="n">
        <f aca="false">-(1-$I$16)*LD_Pct*$D$16*$E$16/4*AND(T$5&gt;=$G$16,T$5&lt;$H$16)</f>
        <v>-0</v>
      </c>
      <c r="U57" s="125" t="n">
        <f aca="false">-(1-$I$16)*LD_Pct*$D$16*$E$16/4*AND(U$5&gt;=$G$16,U$5&lt;$H$16)</f>
        <v>-0</v>
      </c>
      <c r="V57" s="125" t="n">
        <f aca="false">-(1-$I$16)*LD_Pct*$D$16*$E$16/4*AND(V$5&gt;=$G$16,V$5&lt;$H$16)</f>
        <v>-0</v>
      </c>
      <c r="W57" s="125" t="n">
        <f aca="false">-(1-$I$16)*LD_Pct*$D$16*$E$16/4*AND(W$5&gt;=$G$16,W$5&lt;$H$16)</f>
        <v>-0</v>
      </c>
      <c r="X57" s="125" t="n">
        <f aca="false">-(1-$I$16)*LD_Pct*$D$16*$E$16/4*AND(X$5&gt;=$G$16,X$5&lt;$H$16)</f>
        <v>-0</v>
      </c>
      <c r="Y57" s="125" t="n">
        <f aca="false">-(1-$I$16)*LD_Pct*$D$16*$E$16/4*AND(Y$5&gt;=$G$16,Y$5&lt;$H$16)</f>
        <v>-0</v>
      </c>
      <c r="Z57" s="125" t="n">
        <f aca="false">-(1-$I$16)*LD_Pct*$D$16*$E$16/4*AND(Z$5&gt;=$G$16,Z$5&lt;$H$16)</f>
        <v>-0</v>
      </c>
      <c r="AA57" s="125" t="n">
        <f aca="false">-(1-$I$16)*LD_Pct*$D$16*$E$16/4*AND(AA$5&gt;=$G$16,AA$5&lt;$H$16)</f>
        <v>-0</v>
      </c>
      <c r="AB57" s="125" t="n">
        <f aca="false">-(1-$I$16)*LD_Pct*$D$16*$E$16/4*AND(AB$5&gt;=$G$16,AB$5&lt;$H$16)</f>
        <v>-0</v>
      </c>
      <c r="AC57" s="125" t="n">
        <f aca="false">-(1-$I$16)*LD_Pct*$D$16*$E$16/4*AND(AC$5&gt;=$G$16,AC$5&lt;$H$16)</f>
        <v>-0</v>
      </c>
      <c r="AD57" s="125" t="n">
        <f aca="false">-(1-$I$16)*LD_Pct*$D$16*$E$16/4*AND(AD$5&gt;=$G$16,AD$5&lt;$H$16)</f>
        <v>-0</v>
      </c>
      <c r="AE57" s="125" t="n">
        <f aca="false">-(1-$I$16)*LD_Pct*$D$16*$E$16/4*AND(AE$5&gt;=$G$16,AE$5&lt;$H$16)</f>
        <v>-0</v>
      </c>
      <c r="AF57" s="125" t="n">
        <f aca="false">-(1-$I$16)*LD_Pct*$D$16*$E$16/4*AND(AF$5&gt;=$G$16,AF$5&lt;$H$16)</f>
        <v>-0</v>
      </c>
      <c r="AG57" s="125" t="n">
        <f aca="false">-(1-$I$16)*LD_Pct*$D$16*$E$16/4*AND(AG$5&gt;=$G$16,AG$5&lt;$H$16)</f>
        <v>-0</v>
      </c>
      <c r="AI57" s="125" t="n">
        <f aca="false">SUMIF($F$7:$AG$7,AI$7,$F57:$AG57)</f>
        <v>0</v>
      </c>
      <c r="AJ57" s="125" t="n">
        <f aca="false">SUMIF($F$7:$AG$7,AJ$7,$F57:$AG57)</f>
        <v>0</v>
      </c>
      <c r="AK57" s="125" t="n">
        <f aca="false">SUMIF($F$7:$AG$7,AK$7,$F57:$AG57)</f>
        <v>0</v>
      </c>
      <c r="AL57" s="125" t="n">
        <f aca="false">SUMIF($F$7:$AG$7,AL$7,$F57:$AG57)</f>
        <v>0</v>
      </c>
      <c r="AM57" s="125" t="n">
        <f aca="false">SUMIF($F$7:$AG$7,AM$7,$F57:$AG57)</f>
        <v>0</v>
      </c>
      <c r="AN57" s="125" t="n">
        <f aca="false">SUMIF($F$7:$AG$7,AN$7,$F57:$AG57)</f>
        <v>0</v>
      </c>
      <c r="AO57" s="125" t="n">
        <f aca="false">SUMIF($F$7:$AG$7,AO$7,$F57:$AG57)</f>
        <v>0</v>
      </c>
    </row>
    <row r="58" customFormat="false" ht="15" hidden="false" customHeight="false" outlineLevel="0" collapsed="false">
      <c r="A58" s="107" t="s">
        <v>1898</v>
      </c>
      <c r="B58" s="22" t="s">
        <v>664</v>
      </c>
      <c r="C58" s="22"/>
      <c r="D58" s="22"/>
      <c r="F58" s="116" t="n">
        <f aca="false">(1-$I$16)*(1-$J$16)*$D$16*(F$5&gt;=$H$16+$F$16)</f>
        <v>0</v>
      </c>
      <c r="G58" s="116" t="n">
        <f aca="false">(1-$I$16)*(1-$J$16)*$D$16*(G$5&gt;=$H$16+$F$16)</f>
        <v>0</v>
      </c>
      <c r="H58" s="116" t="n">
        <f aca="false">(1-$I$16)*(1-$J$16)*$D$16*(H$5&gt;=$H$16+$F$16)</f>
        <v>0</v>
      </c>
      <c r="I58" s="116" t="n">
        <f aca="false">(1-$I$16)*(1-$J$16)*$D$16*(I$5&gt;=$H$16+$F$16)</f>
        <v>0</v>
      </c>
      <c r="J58" s="116" t="n">
        <f aca="false">(1-$I$16)*(1-$J$16)*$D$16*(J$5&gt;=$H$16+$F$16)</f>
        <v>0</v>
      </c>
      <c r="K58" s="116" t="n">
        <f aca="false">(1-$I$16)*(1-$J$16)*$D$16*(K$5&gt;=$H$16+$F$16)</f>
        <v>0</v>
      </c>
      <c r="L58" s="116" t="n">
        <f aca="false">(1-$I$16)*(1-$J$16)*$D$16*(L$5&gt;=$H$16+$F$16)</f>
        <v>0</v>
      </c>
      <c r="M58" s="116" t="n">
        <f aca="false">(1-$I$16)*(1-$J$16)*$D$16*(M$5&gt;=$H$16+$F$16)</f>
        <v>0</v>
      </c>
      <c r="N58" s="116" t="n">
        <f aca="false">(1-$I$16)*(1-$J$16)*$D$16*(N$5&gt;=$H$16+$F$16)</f>
        <v>0</v>
      </c>
      <c r="O58" s="116" t="n">
        <f aca="false">(1-$I$16)*(1-$J$16)*$D$16*(O$5&gt;=$H$16+$F$16)</f>
        <v>0</v>
      </c>
      <c r="P58" s="36" t="n">
        <f aca="false">(1-$I$16)*(1-$J$16)*$D$16*(P$5&gt;=$H$16+$F$16)</f>
        <v>0</v>
      </c>
      <c r="Q58" s="36" t="n">
        <f aca="false">(1-$I$16)*(1-$J$16)*$D$16*(Q$5&gt;=$H$16+$F$16)</f>
        <v>0</v>
      </c>
      <c r="R58" s="36" t="n">
        <f aca="false">(1-$I$16)*(1-$J$16)*$D$16*(R$5&gt;=$H$16+$F$16)</f>
        <v>0</v>
      </c>
      <c r="S58" s="36" t="n">
        <f aca="false">(1-$I$16)*(1-$J$16)*$D$16*(S$5&gt;=$H$16+$F$16)</f>
        <v>0</v>
      </c>
      <c r="T58" s="36" t="n">
        <f aca="false">(1-$I$16)*(1-$J$16)*$D$16*(T$5&gt;=$H$16+$F$16)</f>
        <v>0</v>
      </c>
      <c r="U58" s="36" t="n">
        <f aca="false">(1-$I$16)*(1-$J$16)*$D$16*(U$5&gt;=$H$16+$F$16)</f>
        <v>0</v>
      </c>
      <c r="V58" s="36" t="n">
        <f aca="false">(1-$I$16)*(1-$J$16)*$D$16*(V$5&gt;=$H$16+$F$16)</f>
        <v>0</v>
      </c>
      <c r="W58" s="36" t="n">
        <f aca="false">(1-$I$16)*(1-$J$16)*$D$16*(W$5&gt;=$H$16+$F$16)</f>
        <v>0</v>
      </c>
      <c r="X58" s="36" t="n">
        <f aca="false">(1-$I$16)*(1-$J$16)*$D$16*(X$5&gt;=$H$16+$F$16)</f>
        <v>0</v>
      </c>
      <c r="Y58" s="36" t="n">
        <f aca="false">(1-$I$16)*(1-$J$16)*$D$16*(Y$5&gt;=$H$16+$F$16)</f>
        <v>0</v>
      </c>
      <c r="Z58" s="36" t="n">
        <f aca="false">(1-$I$16)*(1-$J$16)*$D$16*(Z$5&gt;=$H$16+$F$16)</f>
        <v>0</v>
      </c>
      <c r="AA58" s="36" t="n">
        <f aca="false">(1-$I$16)*(1-$J$16)*$D$16*(AA$5&gt;=$H$16+$F$16)</f>
        <v>0</v>
      </c>
      <c r="AB58" s="36" t="n">
        <f aca="false">(1-$I$16)*(1-$J$16)*$D$16*(AB$5&gt;=$H$16+$F$16)</f>
        <v>0</v>
      </c>
      <c r="AC58" s="36" t="n">
        <f aca="false">(1-$I$16)*(1-$J$16)*$D$16*(AC$5&gt;=$H$16+$F$16)</f>
        <v>0</v>
      </c>
      <c r="AD58" s="36" t="n">
        <f aca="false">(1-$I$16)*(1-$J$16)*$D$16*(AD$5&gt;=$H$16+$F$16)</f>
        <v>0</v>
      </c>
      <c r="AE58" s="36" t="n">
        <f aca="false">(1-$I$16)*(1-$J$16)*$D$16*(AE$5&gt;=$H$16+$F$16)</f>
        <v>0</v>
      </c>
      <c r="AF58" s="36" t="n">
        <f aca="false">(1-$I$16)*(1-$J$16)*$D$16*(AF$5&gt;=$H$16+$F$16)</f>
        <v>0</v>
      </c>
      <c r="AG58" s="36" t="n">
        <f aca="false">(1-$I$16)*(1-$J$16)*$D$16*(AG$5&gt;=$H$16+$F$16)</f>
        <v>0</v>
      </c>
      <c r="AI58" s="36" t="n">
        <f aca="false">INDEX($F58:$AG58,1,MATCH(AI$7,$F$7:$AG$7,1))</f>
        <v>0</v>
      </c>
      <c r="AJ58" s="36" t="n">
        <f aca="false">INDEX($F58:$AG58,1,MATCH(AJ$7,$F$7:$AG$7,1))</f>
        <v>0</v>
      </c>
      <c r="AK58" s="36" t="n">
        <f aca="false">INDEX($F58:$AG58,1,MATCH(AK$7,$F$7:$AG$7,1))</f>
        <v>0</v>
      </c>
      <c r="AL58" s="36" t="n">
        <f aca="false">INDEX($F58:$AG58,1,MATCH(AL$7,$F$7:$AG$7,1))</f>
        <v>0</v>
      </c>
      <c r="AM58" s="36" t="n">
        <f aca="false">INDEX($F58:$AG58,1,MATCH(AM$7,$F$7:$AG$7,1))</f>
        <v>0</v>
      </c>
      <c r="AN58" s="36" t="n">
        <f aca="false">INDEX($F58:$AG58,1,MATCH(AN$7,$F$7:$AG$7,1))</f>
        <v>0</v>
      </c>
      <c r="AO58" s="36" t="n">
        <f aca="false">INDEX($F58:$AG58,1,MATCH(AO$7,$F$7:$AG$7,1))</f>
        <v>0</v>
      </c>
    </row>
    <row r="59" customFormat="false" ht="15" hidden="false" customHeight="false" outlineLevel="0" collapsed="false">
      <c r="A59" s="107" t="s">
        <v>1899</v>
      </c>
      <c r="B59" s="22" t="s">
        <v>613</v>
      </c>
      <c r="C59" s="22"/>
      <c r="D59" s="22" t="s">
        <v>1879</v>
      </c>
      <c r="F59" s="124" t="n">
        <f aca="false">F58*CHOOSE(MATCH($C$16,{"H";"B";"N"},0),GPUMW_H*ODc_H,GPUMW_B*ODc_B,GPUMW_N*ODc_N)*ResidUtil*Timeline!F$9*INDEX(Curve,1,MAX(1,MIN(8,INT((F$5-$H$16)/4)+1)))/1000000</f>
        <v>0</v>
      </c>
      <c r="G59" s="124" t="n">
        <f aca="false">G58*CHOOSE(MATCH($C$16,{"H";"B";"N"},0),GPUMW_H*ODc_H,GPUMW_B*ODc_B,GPUMW_N*ODc_N)*ResidUtil*Timeline!G$9*INDEX(Curve,1,MAX(1,MIN(8,INT((G$5-$H$16)/4)+1)))/1000000</f>
        <v>0</v>
      </c>
      <c r="H59" s="124" t="n">
        <f aca="false">H58*CHOOSE(MATCH($C$16,{"H";"B";"N"},0),GPUMW_H*ODc_H,GPUMW_B*ODc_B,GPUMW_N*ODc_N)*ResidUtil*Timeline!H$9*INDEX(Curve,1,MAX(1,MIN(8,INT((H$5-$H$16)/4)+1)))/1000000</f>
        <v>0</v>
      </c>
      <c r="I59" s="124" t="n">
        <f aca="false">I58*CHOOSE(MATCH($C$16,{"H";"B";"N"},0),GPUMW_H*ODc_H,GPUMW_B*ODc_B,GPUMW_N*ODc_N)*ResidUtil*Timeline!I$9*INDEX(Curve,1,MAX(1,MIN(8,INT((I$5-$H$16)/4)+1)))/1000000</f>
        <v>0</v>
      </c>
      <c r="J59" s="124" t="n">
        <f aca="false">J58*CHOOSE(MATCH($C$16,{"H";"B";"N"},0),GPUMW_H*ODc_H,GPUMW_B*ODc_B,GPUMW_N*ODc_N)*ResidUtil*Timeline!J$9*INDEX(Curve,1,MAX(1,MIN(8,INT((J$5-$H$16)/4)+1)))/1000000</f>
        <v>0</v>
      </c>
      <c r="K59" s="124" t="n">
        <f aca="false">K58*CHOOSE(MATCH($C$16,{"H";"B";"N"},0),GPUMW_H*ODc_H,GPUMW_B*ODc_B,GPUMW_N*ODc_N)*ResidUtil*Timeline!K$9*INDEX(Curve,1,MAX(1,MIN(8,INT((K$5-$H$16)/4)+1)))/1000000</f>
        <v>0</v>
      </c>
      <c r="L59" s="124" t="n">
        <f aca="false">L58*CHOOSE(MATCH($C$16,{"H";"B";"N"},0),GPUMW_H*ODc_H,GPUMW_B*ODc_B,GPUMW_N*ODc_N)*ResidUtil*Timeline!L$9*INDEX(Curve,1,MAX(1,MIN(8,INT((L$5-$H$16)/4)+1)))/1000000</f>
        <v>0</v>
      </c>
      <c r="M59" s="124" t="n">
        <f aca="false">M58*CHOOSE(MATCH($C$16,{"H";"B";"N"},0),GPUMW_H*ODc_H,GPUMW_B*ODc_B,GPUMW_N*ODc_N)*ResidUtil*Timeline!M$9*INDEX(Curve,1,MAX(1,MIN(8,INT((M$5-$H$16)/4)+1)))/1000000</f>
        <v>0</v>
      </c>
      <c r="N59" s="124" t="n">
        <f aca="false">N58*CHOOSE(MATCH($C$16,{"H";"B";"N"},0),GPUMW_H*ODc_H,GPUMW_B*ODc_B,GPUMW_N*ODc_N)*ResidUtil*Timeline!N$9*INDEX(Curve,1,MAX(1,MIN(8,INT((N$5-$H$16)/4)+1)))/1000000</f>
        <v>0</v>
      </c>
      <c r="O59" s="124" t="n">
        <f aca="false">O58*CHOOSE(MATCH($C$16,{"H";"B";"N"},0),GPUMW_H*ODc_H,GPUMW_B*ODc_B,GPUMW_N*ODc_N)*ResidUtil*Timeline!O$9*INDEX(Curve,1,MAX(1,MIN(8,INT((O$5-$H$16)/4)+1)))/1000000</f>
        <v>0</v>
      </c>
      <c r="P59" s="125" t="n">
        <f aca="false">P58*CHOOSE(MATCH($C$16,{"H";"B";"N"},0),GPUMW_H*ODc_H,GPUMW_B*ODc_B,GPUMW_N*ODc_N)*ResidUtil*Timeline!P$9*INDEX(Curve,1,MAX(1,MIN(8,INT((P$5-$H$16)/4)+1)))/1000000</f>
        <v>0</v>
      </c>
      <c r="Q59" s="125" t="n">
        <f aca="false">Q58*CHOOSE(MATCH($C$16,{"H";"B";"N"},0),GPUMW_H*ODc_H,GPUMW_B*ODc_B,GPUMW_N*ODc_N)*ResidUtil*Timeline!Q$9*INDEX(Curve,1,MAX(1,MIN(8,INT((Q$5-$H$16)/4)+1)))/1000000</f>
        <v>0</v>
      </c>
      <c r="R59" s="125" t="n">
        <f aca="false">R58*CHOOSE(MATCH($C$16,{"H";"B";"N"},0),GPUMW_H*ODc_H,GPUMW_B*ODc_B,GPUMW_N*ODc_N)*ResidUtil*Timeline!R$9*INDEX(Curve,1,MAX(1,MIN(8,INT((R$5-$H$16)/4)+1)))/1000000</f>
        <v>0</v>
      </c>
      <c r="S59" s="125" t="n">
        <f aca="false">S58*CHOOSE(MATCH($C$16,{"H";"B";"N"},0),GPUMW_H*ODc_H,GPUMW_B*ODc_B,GPUMW_N*ODc_N)*ResidUtil*Timeline!S$9*INDEX(Curve,1,MAX(1,MIN(8,INT((S$5-$H$16)/4)+1)))/1000000</f>
        <v>0</v>
      </c>
      <c r="T59" s="125" t="n">
        <f aca="false">T58*CHOOSE(MATCH($C$16,{"H";"B";"N"},0),GPUMW_H*ODc_H,GPUMW_B*ODc_B,GPUMW_N*ODc_N)*ResidUtil*Timeline!T$9*INDEX(Curve,1,MAX(1,MIN(8,INT((T$5-$H$16)/4)+1)))/1000000</f>
        <v>0</v>
      </c>
      <c r="U59" s="125" t="n">
        <f aca="false">U58*CHOOSE(MATCH($C$16,{"H";"B";"N"},0),GPUMW_H*ODc_H,GPUMW_B*ODc_B,GPUMW_N*ODc_N)*ResidUtil*Timeline!U$9*INDEX(Curve,1,MAX(1,MIN(8,INT((U$5-$H$16)/4)+1)))/1000000</f>
        <v>0</v>
      </c>
      <c r="V59" s="125" t="n">
        <f aca="false">V58*CHOOSE(MATCH($C$16,{"H";"B";"N"},0),GPUMW_H*ODc_H,GPUMW_B*ODc_B,GPUMW_N*ODc_N)*ResidUtil*Timeline!V$9*INDEX(Curve,1,MAX(1,MIN(8,INT((V$5-$H$16)/4)+1)))/1000000</f>
        <v>0</v>
      </c>
      <c r="W59" s="125" t="n">
        <f aca="false">W58*CHOOSE(MATCH($C$16,{"H";"B";"N"},0),GPUMW_H*ODc_H,GPUMW_B*ODc_B,GPUMW_N*ODc_N)*ResidUtil*Timeline!W$9*INDEX(Curve,1,MAX(1,MIN(8,INT((W$5-$H$16)/4)+1)))/1000000</f>
        <v>0</v>
      </c>
      <c r="X59" s="125" t="n">
        <f aca="false">X58*CHOOSE(MATCH($C$16,{"H";"B";"N"},0),GPUMW_H*ODc_H,GPUMW_B*ODc_B,GPUMW_N*ODc_N)*ResidUtil*Timeline!X$9*INDEX(Curve,1,MAX(1,MIN(8,INT((X$5-$H$16)/4)+1)))/1000000</f>
        <v>0</v>
      </c>
      <c r="Y59" s="125" t="n">
        <f aca="false">Y58*CHOOSE(MATCH($C$16,{"H";"B";"N"},0),GPUMW_H*ODc_H,GPUMW_B*ODc_B,GPUMW_N*ODc_N)*ResidUtil*Timeline!Y$9*INDEX(Curve,1,MAX(1,MIN(8,INT((Y$5-$H$16)/4)+1)))/1000000</f>
        <v>0</v>
      </c>
      <c r="Z59" s="125" t="n">
        <f aca="false">Z58*CHOOSE(MATCH($C$16,{"H";"B";"N"},0),GPUMW_H*ODc_H,GPUMW_B*ODc_B,GPUMW_N*ODc_N)*ResidUtil*Timeline!Z$9*INDEX(Curve,1,MAX(1,MIN(8,INT((Z$5-$H$16)/4)+1)))/1000000</f>
        <v>0</v>
      </c>
      <c r="AA59" s="125" t="n">
        <f aca="false">AA58*CHOOSE(MATCH($C$16,{"H";"B";"N"},0),GPUMW_H*ODc_H,GPUMW_B*ODc_B,GPUMW_N*ODc_N)*ResidUtil*Timeline!AA$9*INDEX(Curve,1,MAX(1,MIN(8,INT((AA$5-$H$16)/4)+1)))/1000000</f>
        <v>0</v>
      </c>
      <c r="AB59" s="125" t="n">
        <f aca="false">AB58*CHOOSE(MATCH($C$16,{"H";"B";"N"},0),GPUMW_H*ODc_H,GPUMW_B*ODc_B,GPUMW_N*ODc_N)*ResidUtil*Timeline!AB$9*INDEX(Curve,1,MAX(1,MIN(8,INT((AB$5-$H$16)/4)+1)))/1000000</f>
        <v>0</v>
      </c>
      <c r="AC59" s="125" t="n">
        <f aca="false">AC58*CHOOSE(MATCH($C$16,{"H";"B";"N"},0),GPUMW_H*ODc_H,GPUMW_B*ODc_B,GPUMW_N*ODc_N)*ResidUtil*Timeline!AC$9*INDEX(Curve,1,MAX(1,MIN(8,INT((AC$5-$H$16)/4)+1)))/1000000</f>
        <v>0</v>
      </c>
      <c r="AD59" s="125" t="n">
        <f aca="false">AD58*CHOOSE(MATCH($C$16,{"H";"B";"N"},0),GPUMW_H*ODc_H,GPUMW_B*ODc_B,GPUMW_N*ODc_N)*ResidUtil*Timeline!AD$9*INDEX(Curve,1,MAX(1,MIN(8,INT((AD$5-$H$16)/4)+1)))/1000000</f>
        <v>0</v>
      </c>
      <c r="AE59" s="125" t="n">
        <f aca="false">AE58*CHOOSE(MATCH($C$16,{"H";"B";"N"},0),GPUMW_H*ODc_H,GPUMW_B*ODc_B,GPUMW_N*ODc_N)*ResidUtil*Timeline!AE$9*INDEX(Curve,1,MAX(1,MIN(8,INT((AE$5-$H$16)/4)+1)))/1000000</f>
        <v>0</v>
      </c>
      <c r="AF59" s="125" t="n">
        <f aca="false">AF58*CHOOSE(MATCH($C$16,{"H";"B";"N"},0),GPUMW_H*ODc_H,GPUMW_B*ODc_B,GPUMW_N*ODc_N)*ResidUtil*Timeline!AF$9*INDEX(Curve,1,MAX(1,MIN(8,INT((AF$5-$H$16)/4)+1)))/1000000</f>
        <v>0</v>
      </c>
      <c r="AG59" s="125" t="n">
        <f aca="false">AG58*CHOOSE(MATCH($C$16,{"H";"B";"N"},0),GPUMW_H*ODc_H,GPUMW_B*ODc_B,GPUMW_N*ODc_N)*ResidUtil*Timeline!AG$9*INDEX(Curve,1,MAX(1,MIN(8,INT((AG$5-$H$16)/4)+1)))/1000000</f>
        <v>0</v>
      </c>
      <c r="AI59" s="125" t="n">
        <f aca="false">SUMIF($F$7:$AG$7,AI$7,$F59:$AG59)</f>
        <v>0</v>
      </c>
      <c r="AJ59" s="125" t="n">
        <f aca="false">SUMIF($F$7:$AG$7,AJ$7,$F59:$AG59)</f>
        <v>0</v>
      </c>
      <c r="AK59" s="125" t="n">
        <f aca="false">SUMIF($F$7:$AG$7,AK$7,$F59:$AG59)</f>
        <v>0</v>
      </c>
      <c r="AL59" s="125" t="n">
        <f aca="false">SUMIF($F$7:$AG$7,AL$7,$F59:$AG59)</f>
        <v>0</v>
      </c>
      <c r="AM59" s="125" t="n">
        <f aca="false">SUMIF($F$7:$AG$7,AM$7,$F59:$AG59)</f>
        <v>0</v>
      </c>
      <c r="AN59" s="125" t="n">
        <f aca="false">SUMIF($F$7:$AG$7,AN$7,$F59:$AG59)</f>
        <v>0</v>
      </c>
      <c r="AO59" s="125" t="n">
        <f aca="false">SUMIF($F$7:$AG$7,AO$7,$F59:$AG59)</f>
        <v>0</v>
      </c>
    </row>
    <row r="60" customFormat="false" ht="15" hidden="false" customHeight="false" outlineLevel="0" collapsed="false">
      <c r="A60" s="107" t="s">
        <v>1900</v>
      </c>
      <c r="B60" s="22" t="s">
        <v>613</v>
      </c>
      <c r="C60" s="22"/>
      <c r="D60" s="22"/>
      <c r="F60" s="124" t="n">
        <f aca="false">(1-$I$17)*(1-$J$17)*$D$17*$E$17/4*MIN(1,MAX(0,(F$5-$H$17+1)/$T$17))*IF(F$5=$H$17,DelivFactor,IF(AND(F$5&gt;$H$17,F$5&lt;$H$17+$F$17),1,IF(F$5=$H$17+$F$17,1-DelivFactor,0)))</f>
        <v>0</v>
      </c>
      <c r="G60" s="124" t="n">
        <f aca="false">(1-$I$17)*(1-$J$17)*$D$17*$E$17/4*MIN(1,MAX(0,(G$5-$H$17+1)/$T$17))*IF(G$5=$H$17,DelivFactor,IF(AND(G$5&gt;$H$17,G$5&lt;$H$17+$F$17),1,IF(G$5=$H$17+$F$17,1-DelivFactor,0)))</f>
        <v>0</v>
      </c>
      <c r="H60" s="124" t="n">
        <f aca="false">(1-$I$17)*(1-$J$17)*$D$17*$E$17/4*MIN(1,MAX(0,(H$5-$H$17+1)/$T$17))*IF(H$5=$H$17,DelivFactor,IF(AND(H$5&gt;$H$17,H$5&lt;$H$17+$F$17),1,IF(H$5=$H$17+$F$17,1-DelivFactor,0)))</f>
        <v>0</v>
      </c>
      <c r="I60" s="124" t="n">
        <f aca="false">(1-$I$17)*(1-$J$17)*$D$17*$E$17/4*MIN(1,MAX(0,(I$5-$H$17+1)/$T$17))*IF(I$5=$H$17,DelivFactor,IF(AND(I$5&gt;$H$17,I$5&lt;$H$17+$F$17),1,IF(I$5=$H$17+$F$17,1-DelivFactor,0)))</f>
        <v>0</v>
      </c>
      <c r="J60" s="124" t="n">
        <f aca="false">(1-$I$17)*(1-$J$17)*$D$17*$E$17/4*MIN(1,MAX(0,(J$5-$H$17+1)/$T$17))*IF(J$5=$H$17,DelivFactor,IF(AND(J$5&gt;$H$17,J$5&lt;$H$17+$F$17),1,IF(J$5=$H$17+$F$17,1-DelivFactor,0)))</f>
        <v>0</v>
      </c>
      <c r="K60" s="124" t="n">
        <f aca="false">(1-$I$17)*(1-$J$17)*$D$17*$E$17/4*MIN(1,MAX(0,(K$5-$H$17+1)/$T$17))*IF(K$5=$H$17,DelivFactor,IF(AND(K$5&gt;$H$17,K$5&lt;$H$17+$F$17),1,IF(K$5=$H$17+$F$17,1-DelivFactor,0)))</f>
        <v>0</v>
      </c>
      <c r="L60" s="124" t="n">
        <f aca="false">(1-$I$17)*(1-$J$17)*$D$17*$E$17/4*MIN(1,MAX(0,(L$5-$H$17+1)/$T$17))*IF(L$5=$H$17,DelivFactor,IF(AND(L$5&gt;$H$17,L$5&lt;$H$17+$F$17),1,IF(L$5=$H$17+$F$17,1-DelivFactor,0)))</f>
        <v>0</v>
      </c>
      <c r="M60" s="124" t="n">
        <f aca="false">(1-$I$17)*(1-$J$17)*$D$17*$E$17/4*MIN(1,MAX(0,(M$5-$H$17+1)/$T$17))*IF(M$5=$H$17,DelivFactor,IF(AND(M$5&gt;$H$17,M$5&lt;$H$17+$F$17),1,IF(M$5=$H$17+$F$17,1-DelivFactor,0)))</f>
        <v>0</v>
      </c>
      <c r="N60" s="124" t="n">
        <f aca="false">(1-$I$17)*(1-$J$17)*$D$17*$E$17/4*MIN(1,MAX(0,(N$5-$H$17+1)/$T$17))*IF(N$5=$H$17,DelivFactor,IF(AND(N$5&gt;$H$17,N$5&lt;$H$17+$F$17),1,IF(N$5=$H$17+$F$17,1-DelivFactor,0)))</f>
        <v>0</v>
      </c>
      <c r="O60" s="124" t="n">
        <f aca="false">(1-$I$17)*(1-$J$17)*$D$17*$E$17/4*MIN(1,MAX(0,(O$5-$H$17+1)/$T$17))*IF(O$5=$H$17,DelivFactor,IF(AND(O$5&gt;$H$17,O$5&lt;$H$17+$F$17),1,IF(O$5=$H$17+$F$17,1-DelivFactor,0)))</f>
        <v>0</v>
      </c>
      <c r="P60" s="125" t="n">
        <f aca="false">(1-$I$17)*(1-$J$17)*$D$17*$E$17/4*MIN(1,MAX(0,(P$5-$H$17+1)/$T$17))*IF(P$5=$H$17,DelivFactor,IF(AND(P$5&gt;$H$17,P$5&lt;$H$17+$F$17),1,IF(P$5=$H$17+$F$17,1-DelivFactor,0)))</f>
        <v>0</v>
      </c>
      <c r="Q60" s="125" t="n">
        <f aca="false">(1-$I$17)*(1-$J$17)*$D$17*$E$17/4*MIN(1,MAX(0,(Q$5-$H$17+1)/$T$17))*IF(Q$5=$H$17,DelivFactor,IF(AND(Q$5&gt;$H$17,Q$5&lt;$H$17+$F$17),1,IF(Q$5=$H$17+$F$17,1-DelivFactor,0)))</f>
        <v>0</v>
      </c>
      <c r="R60" s="125" t="n">
        <f aca="false">(1-$I$17)*(1-$J$17)*$D$17*$E$17/4*MIN(1,MAX(0,(R$5-$H$17+1)/$T$17))*IF(R$5=$H$17,DelivFactor,IF(AND(R$5&gt;$H$17,R$5&lt;$H$17+$F$17),1,IF(R$5=$H$17+$F$17,1-DelivFactor,0)))</f>
        <v>0</v>
      </c>
      <c r="S60" s="125" t="n">
        <f aca="false">(1-$I$17)*(1-$J$17)*$D$17*$E$17/4*MIN(1,MAX(0,(S$5-$H$17+1)/$T$17))*IF(S$5=$H$17,DelivFactor,IF(AND(S$5&gt;$H$17,S$5&lt;$H$17+$F$17),1,IF(S$5=$H$17+$F$17,1-DelivFactor,0)))</f>
        <v>12.0784027777778</v>
      </c>
      <c r="T60" s="125" t="n">
        <f aca="false">(1-$I$17)*(1-$J$17)*$D$17*$E$17/4*MIN(1,MAX(0,(T$5-$H$17+1)/$T$17))*IF(T$5=$H$17,DelivFactor,IF(AND(T$5&gt;$H$17,T$5&lt;$H$17+$F$17),1,IF(T$5=$H$17+$F$17,1-DelivFactor,0)))</f>
        <v>48.3136111111111</v>
      </c>
      <c r="U60" s="125" t="n">
        <f aca="false">(1-$I$17)*(1-$J$17)*$D$17*$E$17/4*MIN(1,MAX(0,(U$5-$H$17+1)/$T$17))*IF(U$5=$H$17,DelivFactor,IF(AND(U$5&gt;$H$17,U$5&lt;$H$17+$F$17),1,IF(U$5=$H$17+$F$17,1-DelivFactor,0)))</f>
        <v>72.4704166666667</v>
      </c>
      <c r="V60" s="125" t="n">
        <f aca="false">(1-$I$17)*(1-$J$17)*$D$17*$E$17/4*MIN(1,MAX(0,(V$5-$H$17+1)/$T$17))*IF(V$5=$H$17,DelivFactor,IF(AND(V$5&gt;$H$17,V$5&lt;$H$17+$F$17),1,IF(V$5=$H$17+$F$17,1-DelivFactor,0)))</f>
        <v>96.6272222222222</v>
      </c>
      <c r="W60" s="125" t="n">
        <f aca="false">(1-$I$17)*(1-$J$17)*$D$17*$E$17/4*MIN(1,MAX(0,(W$5-$H$17+1)/$T$17))*IF(W$5=$H$17,DelivFactor,IF(AND(W$5&gt;$H$17,W$5&lt;$H$17+$F$17),1,IF(W$5=$H$17+$F$17,1-DelivFactor,0)))</f>
        <v>96.6272222222222</v>
      </c>
      <c r="X60" s="125" t="n">
        <f aca="false">(1-$I$17)*(1-$J$17)*$D$17*$E$17/4*MIN(1,MAX(0,(X$5-$H$17+1)/$T$17))*IF(X$5=$H$17,DelivFactor,IF(AND(X$5&gt;$H$17,X$5&lt;$H$17+$F$17),1,IF(X$5=$H$17+$F$17,1-DelivFactor,0)))</f>
        <v>96.6272222222222</v>
      </c>
      <c r="Y60" s="125" t="n">
        <f aca="false">(1-$I$17)*(1-$J$17)*$D$17*$E$17/4*MIN(1,MAX(0,(Y$5-$H$17+1)/$T$17))*IF(Y$5=$H$17,DelivFactor,IF(AND(Y$5&gt;$H$17,Y$5&lt;$H$17+$F$17),1,IF(Y$5=$H$17+$F$17,1-DelivFactor,0)))</f>
        <v>96.6272222222222</v>
      </c>
      <c r="Z60" s="125" t="n">
        <f aca="false">(1-$I$17)*(1-$J$17)*$D$17*$E$17/4*MIN(1,MAX(0,(Z$5-$H$17+1)/$T$17))*IF(Z$5=$H$17,DelivFactor,IF(AND(Z$5&gt;$H$17,Z$5&lt;$H$17+$F$17),1,IF(Z$5=$H$17+$F$17,1-DelivFactor,0)))</f>
        <v>96.6272222222222</v>
      </c>
      <c r="AA60" s="125" t="n">
        <f aca="false">(1-$I$17)*(1-$J$17)*$D$17*$E$17/4*MIN(1,MAX(0,(AA$5-$H$17+1)/$T$17))*IF(AA$5=$H$17,DelivFactor,IF(AND(AA$5&gt;$H$17,AA$5&lt;$H$17+$F$17),1,IF(AA$5=$H$17+$F$17,1-DelivFactor,0)))</f>
        <v>96.6272222222222</v>
      </c>
      <c r="AB60" s="125" t="n">
        <f aca="false">(1-$I$17)*(1-$J$17)*$D$17*$E$17/4*MIN(1,MAX(0,(AB$5-$H$17+1)/$T$17))*IF(AB$5=$H$17,DelivFactor,IF(AND(AB$5&gt;$H$17,AB$5&lt;$H$17+$F$17),1,IF(AB$5=$H$17+$F$17,1-DelivFactor,0)))</f>
        <v>96.6272222222222</v>
      </c>
      <c r="AC60" s="125" t="n">
        <f aca="false">(1-$I$17)*(1-$J$17)*$D$17*$E$17/4*MIN(1,MAX(0,(AC$5-$H$17+1)/$T$17))*IF(AC$5=$H$17,DelivFactor,IF(AND(AC$5&gt;$H$17,AC$5&lt;$H$17+$F$17),1,IF(AC$5=$H$17+$F$17,1-DelivFactor,0)))</f>
        <v>96.6272222222222</v>
      </c>
      <c r="AD60" s="125" t="n">
        <f aca="false">(1-$I$17)*(1-$J$17)*$D$17*$E$17/4*MIN(1,MAX(0,(AD$5-$H$17+1)/$T$17))*IF(AD$5=$H$17,DelivFactor,IF(AND(AD$5&gt;$H$17,AD$5&lt;$H$17+$F$17),1,IF(AD$5=$H$17+$F$17,1-DelivFactor,0)))</f>
        <v>96.6272222222222</v>
      </c>
      <c r="AE60" s="125" t="n">
        <f aca="false">(1-$I$17)*(1-$J$17)*$D$17*$E$17/4*MIN(1,MAX(0,(AE$5-$H$17+1)/$T$17))*IF(AE$5=$H$17,DelivFactor,IF(AND(AE$5&gt;$H$17,AE$5&lt;$H$17+$F$17),1,IF(AE$5=$H$17+$F$17,1-DelivFactor,0)))</f>
        <v>96.6272222222222</v>
      </c>
      <c r="AF60" s="125" t="n">
        <f aca="false">(1-$I$17)*(1-$J$17)*$D$17*$E$17/4*MIN(1,MAX(0,(AF$5-$H$17+1)/$T$17))*IF(AF$5=$H$17,DelivFactor,IF(AND(AF$5&gt;$H$17,AF$5&lt;$H$17+$F$17),1,IF(AF$5=$H$17+$F$17,1-DelivFactor,0)))</f>
        <v>96.6272222222222</v>
      </c>
      <c r="AG60" s="125" t="n">
        <f aca="false">(1-$I$17)*(1-$J$17)*$D$17*$E$17/4*MIN(1,MAX(0,(AG$5-$H$17+1)/$T$17))*IF(AG$5=$H$17,DelivFactor,IF(AND(AG$5&gt;$H$17,AG$5&lt;$H$17+$F$17),1,IF(AG$5=$H$17+$F$17,1-DelivFactor,0)))</f>
        <v>96.6272222222222</v>
      </c>
      <c r="AI60" s="125" t="n">
        <f aca="false">SUMIF($F$7:$AG$7,AI$7,$F60:$AG60)</f>
        <v>0</v>
      </c>
      <c r="AJ60" s="125" t="n">
        <f aca="false">SUMIF($F$7:$AG$7,AJ$7,$F60:$AG60)</f>
        <v>0</v>
      </c>
      <c r="AK60" s="125" t="n">
        <f aca="false">SUMIF($F$7:$AG$7,AK$7,$F60:$AG60)</f>
        <v>0</v>
      </c>
      <c r="AL60" s="125" t="n">
        <f aca="false">SUMIF($F$7:$AG$7,AL$7,$F60:$AG60)</f>
        <v>132.862430555556</v>
      </c>
      <c r="AM60" s="125" t="n">
        <f aca="false">SUMIF($F$7:$AG$7,AM$7,$F60:$AG60)</f>
        <v>386.508888888889</v>
      </c>
      <c r="AN60" s="125" t="n">
        <f aca="false">SUMIF($F$7:$AG$7,AN$7,$F60:$AG60)</f>
        <v>386.508888888889</v>
      </c>
      <c r="AO60" s="125" t="n">
        <f aca="false">SUMIF($F$7:$AG$7,AO$7,$F60:$AG60)</f>
        <v>386.508888888889</v>
      </c>
    </row>
    <row r="61" customFormat="false" ht="15" hidden="false" customHeight="false" outlineLevel="0" collapsed="false">
      <c r="A61" s="107" t="s">
        <v>1901</v>
      </c>
      <c r="B61" s="22" t="s">
        <v>664</v>
      </c>
      <c r="C61" s="22"/>
      <c r="D61" s="22"/>
      <c r="F61" s="116" t="n">
        <f aca="false">(1-$I$17)*(1-$J$17)*$D$17*AND(F$5&gt;=$H$17,F$5&lt;$H$17+$F$17)</f>
        <v>0</v>
      </c>
      <c r="G61" s="116" t="n">
        <f aca="false">(1-$I$17)*(1-$J$17)*$D$17*AND(G$5&gt;=$H$17,G$5&lt;$H$17+$F$17)</f>
        <v>0</v>
      </c>
      <c r="H61" s="116" t="n">
        <f aca="false">(1-$I$17)*(1-$J$17)*$D$17*AND(H$5&gt;=$H$17,H$5&lt;$H$17+$F$17)</f>
        <v>0</v>
      </c>
      <c r="I61" s="116" t="n">
        <f aca="false">(1-$I$17)*(1-$J$17)*$D$17*AND(I$5&gt;=$H$17,I$5&lt;$H$17+$F$17)</f>
        <v>0</v>
      </c>
      <c r="J61" s="116" t="n">
        <f aca="false">(1-$I$17)*(1-$J$17)*$D$17*AND(J$5&gt;=$H$17,J$5&lt;$H$17+$F$17)</f>
        <v>0</v>
      </c>
      <c r="K61" s="116" t="n">
        <f aca="false">(1-$I$17)*(1-$J$17)*$D$17*AND(K$5&gt;=$H$17,K$5&lt;$H$17+$F$17)</f>
        <v>0</v>
      </c>
      <c r="L61" s="116" t="n">
        <f aca="false">(1-$I$17)*(1-$J$17)*$D$17*AND(L$5&gt;=$H$17,L$5&lt;$H$17+$F$17)</f>
        <v>0</v>
      </c>
      <c r="M61" s="116" t="n">
        <f aca="false">(1-$I$17)*(1-$J$17)*$D$17*AND(M$5&gt;=$H$17,M$5&lt;$H$17+$F$17)</f>
        <v>0</v>
      </c>
      <c r="N61" s="116" t="n">
        <f aca="false">(1-$I$17)*(1-$J$17)*$D$17*AND(N$5&gt;=$H$17,N$5&lt;$H$17+$F$17)</f>
        <v>0</v>
      </c>
      <c r="O61" s="116" t="n">
        <f aca="false">(1-$I$17)*(1-$J$17)*$D$17*AND(O$5&gt;=$H$17,O$5&lt;$H$17+$F$17)</f>
        <v>0</v>
      </c>
      <c r="P61" s="36" t="n">
        <f aca="false">(1-$I$17)*(1-$J$17)*$D$17*AND(P$5&gt;=$H$17,P$5&lt;$H$17+$F$17)</f>
        <v>0</v>
      </c>
      <c r="Q61" s="36" t="n">
        <f aca="false">(1-$I$17)*(1-$J$17)*$D$17*AND(Q$5&gt;=$H$17,Q$5&lt;$H$17+$F$17)</f>
        <v>0</v>
      </c>
      <c r="R61" s="36" t="n">
        <f aca="false">(1-$I$17)*(1-$J$17)*$D$17*AND(R$5&gt;=$H$17,R$5&lt;$H$17+$F$17)</f>
        <v>0</v>
      </c>
      <c r="S61" s="36" t="n">
        <f aca="false">(1-$I$17)*(1-$J$17)*$D$17*AND(S$5&gt;=$H$17,S$5&lt;$H$17+$F$17)</f>
        <v>26.6666666666667</v>
      </c>
      <c r="T61" s="36" t="n">
        <f aca="false">(1-$I$17)*(1-$J$17)*$D$17*AND(T$5&gt;=$H$17,T$5&lt;$H$17+$F$17)</f>
        <v>26.6666666666667</v>
      </c>
      <c r="U61" s="36" t="n">
        <f aca="false">(1-$I$17)*(1-$J$17)*$D$17*AND(U$5&gt;=$H$17,U$5&lt;$H$17+$F$17)</f>
        <v>26.6666666666667</v>
      </c>
      <c r="V61" s="36" t="n">
        <f aca="false">(1-$I$17)*(1-$J$17)*$D$17*AND(V$5&gt;=$H$17,V$5&lt;$H$17+$F$17)</f>
        <v>26.6666666666667</v>
      </c>
      <c r="W61" s="36" t="n">
        <f aca="false">(1-$I$17)*(1-$J$17)*$D$17*AND(W$5&gt;=$H$17,W$5&lt;$H$17+$F$17)</f>
        <v>26.6666666666667</v>
      </c>
      <c r="X61" s="36" t="n">
        <f aca="false">(1-$I$17)*(1-$J$17)*$D$17*AND(X$5&gt;=$H$17,X$5&lt;$H$17+$F$17)</f>
        <v>26.6666666666667</v>
      </c>
      <c r="Y61" s="36" t="n">
        <f aca="false">(1-$I$17)*(1-$J$17)*$D$17*AND(Y$5&gt;=$H$17,Y$5&lt;$H$17+$F$17)</f>
        <v>26.6666666666667</v>
      </c>
      <c r="Z61" s="36" t="n">
        <f aca="false">(1-$I$17)*(1-$J$17)*$D$17*AND(Z$5&gt;=$H$17,Z$5&lt;$H$17+$F$17)</f>
        <v>26.6666666666667</v>
      </c>
      <c r="AA61" s="36" t="n">
        <f aca="false">(1-$I$17)*(1-$J$17)*$D$17*AND(AA$5&gt;=$H$17,AA$5&lt;$H$17+$F$17)</f>
        <v>26.6666666666667</v>
      </c>
      <c r="AB61" s="36" t="n">
        <f aca="false">(1-$I$17)*(1-$J$17)*$D$17*AND(AB$5&gt;=$H$17,AB$5&lt;$H$17+$F$17)</f>
        <v>26.6666666666667</v>
      </c>
      <c r="AC61" s="36" t="n">
        <f aca="false">(1-$I$17)*(1-$J$17)*$D$17*AND(AC$5&gt;=$H$17,AC$5&lt;$H$17+$F$17)</f>
        <v>26.6666666666667</v>
      </c>
      <c r="AD61" s="36" t="n">
        <f aca="false">(1-$I$17)*(1-$J$17)*$D$17*AND(AD$5&gt;=$H$17,AD$5&lt;$H$17+$F$17)</f>
        <v>26.6666666666667</v>
      </c>
      <c r="AE61" s="36" t="n">
        <f aca="false">(1-$I$17)*(1-$J$17)*$D$17*AND(AE$5&gt;=$H$17,AE$5&lt;$H$17+$F$17)</f>
        <v>26.6666666666667</v>
      </c>
      <c r="AF61" s="36" t="n">
        <f aca="false">(1-$I$17)*(1-$J$17)*$D$17*AND(AF$5&gt;=$H$17,AF$5&lt;$H$17+$F$17)</f>
        <v>26.6666666666667</v>
      </c>
      <c r="AG61" s="36" t="n">
        <f aca="false">(1-$I$17)*(1-$J$17)*$D$17*AND(AG$5&gt;=$H$17,AG$5&lt;$H$17+$F$17)</f>
        <v>26.6666666666667</v>
      </c>
      <c r="AI61" s="36" t="n">
        <f aca="false">INDEX($F61:$AG61,1,MATCH(AI$7,$F$7:$AG$7,1))</f>
        <v>0</v>
      </c>
      <c r="AJ61" s="36" t="n">
        <f aca="false">INDEX($F61:$AG61,1,MATCH(AJ$7,$F$7:$AG$7,1))</f>
        <v>0</v>
      </c>
      <c r="AK61" s="36" t="n">
        <f aca="false">INDEX($F61:$AG61,1,MATCH(AK$7,$F$7:$AG$7,1))</f>
        <v>0</v>
      </c>
      <c r="AL61" s="36" t="n">
        <f aca="false">INDEX($F61:$AG61,1,MATCH(AL$7,$F$7:$AG$7,1))</f>
        <v>26.6666666666667</v>
      </c>
      <c r="AM61" s="36" t="n">
        <f aca="false">INDEX($F61:$AG61,1,MATCH(AM$7,$F$7:$AG$7,1))</f>
        <v>26.6666666666667</v>
      </c>
      <c r="AN61" s="36" t="n">
        <f aca="false">INDEX($F61:$AG61,1,MATCH(AN$7,$F$7:$AG$7,1))</f>
        <v>26.6666666666667</v>
      </c>
      <c r="AO61" s="36" t="n">
        <f aca="false">INDEX($F61:$AG61,1,MATCH(AO$7,$F$7:$AG$7,1))</f>
        <v>26.6666666666667</v>
      </c>
    </row>
    <row r="62" customFormat="false" ht="15" hidden="false" customHeight="false" outlineLevel="0" collapsed="false">
      <c r="A62" s="107" t="s">
        <v>1902</v>
      </c>
      <c r="B62" s="22" t="s">
        <v>613</v>
      </c>
      <c r="C62" s="22"/>
      <c r="D62" s="22"/>
      <c r="F62" s="124" t="n">
        <f aca="false">-(1-$I$17)*LD_Pct*$D$17*$E$17/4*AND(F$5&gt;=$G$17,F$5&lt;$H$17)</f>
        <v>-0</v>
      </c>
      <c r="G62" s="124" t="n">
        <f aca="false">-(1-$I$17)*LD_Pct*$D$17*$E$17/4*AND(G$5&gt;=$G$17,G$5&lt;$H$17)</f>
        <v>-0</v>
      </c>
      <c r="H62" s="124" t="n">
        <f aca="false">-(1-$I$17)*LD_Pct*$D$17*$E$17/4*AND(H$5&gt;=$G$17,H$5&lt;$H$17)</f>
        <v>-0</v>
      </c>
      <c r="I62" s="124" t="n">
        <f aca="false">-(1-$I$17)*LD_Pct*$D$17*$E$17/4*AND(I$5&gt;=$G$17,I$5&lt;$H$17)</f>
        <v>-0</v>
      </c>
      <c r="J62" s="124" t="n">
        <f aca="false">-(1-$I$17)*LD_Pct*$D$17*$E$17/4*AND(J$5&gt;=$G$17,J$5&lt;$H$17)</f>
        <v>-0</v>
      </c>
      <c r="K62" s="124" t="n">
        <f aca="false">-(1-$I$17)*LD_Pct*$D$17*$E$17/4*AND(K$5&gt;=$G$17,K$5&lt;$H$17)</f>
        <v>-0</v>
      </c>
      <c r="L62" s="124" t="n">
        <f aca="false">-(1-$I$17)*LD_Pct*$D$17*$E$17/4*AND(L$5&gt;=$G$17,L$5&lt;$H$17)</f>
        <v>-0</v>
      </c>
      <c r="M62" s="124" t="n">
        <f aca="false">-(1-$I$17)*LD_Pct*$D$17*$E$17/4*AND(M$5&gt;=$G$17,M$5&lt;$H$17)</f>
        <v>-0</v>
      </c>
      <c r="N62" s="124" t="n">
        <f aca="false">-(1-$I$17)*LD_Pct*$D$17*$E$17/4*AND(N$5&gt;=$G$17,N$5&lt;$H$17)</f>
        <v>-0</v>
      </c>
      <c r="O62" s="124" t="n">
        <f aca="false">-(1-$I$17)*LD_Pct*$D$17*$E$17/4*AND(O$5&gt;=$G$17,O$5&lt;$H$17)</f>
        <v>-0</v>
      </c>
      <c r="P62" s="125" t="n">
        <f aca="false">-(1-$I$17)*LD_Pct*$D$17*$E$17/4*AND(P$5&gt;=$G$17,P$5&lt;$H$17)</f>
        <v>-0</v>
      </c>
      <c r="Q62" s="125" t="n">
        <f aca="false">-(1-$I$17)*LD_Pct*$D$17*$E$17/4*AND(Q$5&gt;=$G$17,Q$5&lt;$H$17)</f>
        <v>-0</v>
      </c>
      <c r="R62" s="125" t="n">
        <f aca="false">-(1-$I$17)*LD_Pct*$D$17*$E$17/4*AND(R$5&gt;=$G$17,R$5&lt;$H$17)</f>
        <v>-0</v>
      </c>
      <c r="S62" s="125" t="n">
        <f aca="false">-(1-$I$17)*LD_Pct*$D$17*$E$17/4*AND(S$5&gt;=$G$17,S$5&lt;$H$17)</f>
        <v>-0</v>
      </c>
      <c r="T62" s="125" t="n">
        <f aca="false">-(1-$I$17)*LD_Pct*$D$17*$E$17/4*AND(T$5&gt;=$G$17,T$5&lt;$H$17)</f>
        <v>-0</v>
      </c>
      <c r="U62" s="125" t="n">
        <f aca="false">-(1-$I$17)*LD_Pct*$D$17*$E$17/4*AND(U$5&gt;=$G$17,U$5&lt;$H$17)</f>
        <v>-0</v>
      </c>
      <c r="V62" s="125" t="n">
        <f aca="false">-(1-$I$17)*LD_Pct*$D$17*$E$17/4*AND(V$5&gt;=$G$17,V$5&lt;$H$17)</f>
        <v>-0</v>
      </c>
      <c r="W62" s="125" t="n">
        <f aca="false">-(1-$I$17)*LD_Pct*$D$17*$E$17/4*AND(W$5&gt;=$G$17,W$5&lt;$H$17)</f>
        <v>-0</v>
      </c>
      <c r="X62" s="125" t="n">
        <f aca="false">-(1-$I$17)*LD_Pct*$D$17*$E$17/4*AND(X$5&gt;=$G$17,X$5&lt;$H$17)</f>
        <v>-0</v>
      </c>
      <c r="Y62" s="125" t="n">
        <f aca="false">-(1-$I$17)*LD_Pct*$D$17*$E$17/4*AND(Y$5&gt;=$G$17,Y$5&lt;$H$17)</f>
        <v>-0</v>
      </c>
      <c r="Z62" s="125" t="n">
        <f aca="false">-(1-$I$17)*LD_Pct*$D$17*$E$17/4*AND(Z$5&gt;=$G$17,Z$5&lt;$H$17)</f>
        <v>-0</v>
      </c>
      <c r="AA62" s="125" t="n">
        <f aca="false">-(1-$I$17)*LD_Pct*$D$17*$E$17/4*AND(AA$5&gt;=$G$17,AA$5&lt;$H$17)</f>
        <v>-0</v>
      </c>
      <c r="AB62" s="125" t="n">
        <f aca="false">-(1-$I$17)*LD_Pct*$D$17*$E$17/4*AND(AB$5&gt;=$G$17,AB$5&lt;$H$17)</f>
        <v>-0</v>
      </c>
      <c r="AC62" s="125" t="n">
        <f aca="false">-(1-$I$17)*LD_Pct*$D$17*$E$17/4*AND(AC$5&gt;=$G$17,AC$5&lt;$H$17)</f>
        <v>-0</v>
      </c>
      <c r="AD62" s="125" t="n">
        <f aca="false">-(1-$I$17)*LD_Pct*$D$17*$E$17/4*AND(AD$5&gt;=$G$17,AD$5&lt;$H$17)</f>
        <v>-0</v>
      </c>
      <c r="AE62" s="125" t="n">
        <f aca="false">-(1-$I$17)*LD_Pct*$D$17*$E$17/4*AND(AE$5&gt;=$G$17,AE$5&lt;$H$17)</f>
        <v>-0</v>
      </c>
      <c r="AF62" s="125" t="n">
        <f aca="false">-(1-$I$17)*LD_Pct*$D$17*$E$17/4*AND(AF$5&gt;=$G$17,AF$5&lt;$H$17)</f>
        <v>-0</v>
      </c>
      <c r="AG62" s="125" t="n">
        <f aca="false">-(1-$I$17)*LD_Pct*$D$17*$E$17/4*AND(AG$5&gt;=$G$17,AG$5&lt;$H$17)</f>
        <v>-0</v>
      </c>
      <c r="AI62" s="125" t="n">
        <f aca="false">SUMIF($F$7:$AG$7,AI$7,$F62:$AG62)</f>
        <v>0</v>
      </c>
      <c r="AJ62" s="125" t="n">
        <f aca="false">SUMIF($F$7:$AG$7,AJ$7,$F62:$AG62)</f>
        <v>0</v>
      </c>
      <c r="AK62" s="125" t="n">
        <f aca="false">SUMIF($F$7:$AG$7,AK$7,$F62:$AG62)</f>
        <v>0</v>
      </c>
      <c r="AL62" s="125" t="n">
        <f aca="false">SUMIF($F$7:$AG$7,AL$7,$F62:$AG62)</f>
        <v>0</v>
      </c>
      <c r="AM62" s="125" t="n">
        <f aca="false">SUMIF($F$7:$AG$7,AM$7,$F62:$AG62)</f>
        <v>0</v>
      </c>
      <c r="AN62" s="125" t="n">
        <f aca="false">SUMIF($F$7:$AG$7,AN$7,$F62:$AG62)</f>
        <v>0</v>
      </c>
      <c r="AO62" s="125" t="n">
        <f aca="false">SUMIF($F$7:$AG$7,AO$7,$F62:$AG62)</f>
        <v>0</v>
      </c>
    </row>
    <row r="63" customFormat="false" ht="15" hidden="false" customHeight="false" outlineLevel="0" collapsed="false">
      <c r="A63" s="107" t="s">
        <v>1903</v>
      </c>
      <c r="B63" s="22" t="s">
        <v>664</v>
      </c>
      <c r="C63" s="22"/>
      <c r="D63" s="22"/>
      <c r="F63" s="116" t="n">
        <f aca="false">(1-$I$17)*(1-$J$17)*$D$17*(F$5&gt;=$H$17+$F$17)</f>
        <v>0</v>
      </c>
      <c r="G63" s="116" t="n">
        <f aca="false">(1-$I$17)*(1-$J$17)*$D$17*(G$5&gt;=$H$17+$F$17)</f>
        <v>0</v>
      </c>
      <c r="H63" s="116" t="n">
        <f aca="false">(1-$I$17)*(1-$J$17)*$D$17*(H$5&gt;=$H$17+$F$17)</f>
        <v>0</v>
      </c>
      <c r="I63" s="116" t="n">
        <f aca="false">(1-$I$17)*(1-$J$17)*$D$17*(I$5&gt;=$H$17+$F$17)</f>
        <v>0</v>
      </c>
      <c r="J63" s="116" t="n">
        <f aca="false">(1-$I$17)*(1-$J$17)*$D$17*(J$5&gt;=$H$17+$F$17)</f>
        <v>0</v>
      </c>
      <c r="K63" s="116" t="n">
        <f aca="false">(1-$I$17)*(1-$J$17)*$D$17*(K$5&gt;=$H$17+$F$17)</f>
        <v>0</v>
      </c>
      <c r="L63" s="116" t="n">
        <f aca="false">(1-$I$17)*(1-$J$17)*$D$17*(L$5&gt;=$H$17+$F$17)</f>
        <v>0</v>
      </c>
      <c r="M63" s="116" t="n">
        <f aca="false">(1-$I$17)*(1-$J$17)*$D$17*(M$5&gt;=$H$17+$F$17)</f>
        <v>0</v>
      </c>
      <c r="N63" s="116" t="n">
        <f aca="false">(1-$I$17)*(1-$J$17)*$D$17*(N$5&gt;=$H$17+$F$17)</f>
        <v>0</v>
      </c>
      <c r="O63" s="116" t="n">
        <f aca="false">(1-$I$17)*(1-$J$17)*$D$17*(O$5&gt;=$H$17+$F$17)</f>
        <v>0</v>
      </c>
      <c r="P63" s="36" t="n">
        <f aca="false">(1-$I$17)*(1-$J$17)*$D$17*(P$5&gt;=$H$17+$F$17)</f>
        <v>0</v>
      </c>
      <c r="Q63" s="36" t="n">
        <f aca="false">(1-$I$17)*(1-$J$17)*$D$17*(Q$5&gt;=$H$17+$F$17)</f>
        <v>0</v>
      </c>
      <c r="R63" s="36" t="n">
        <f aca="false">(1-$I$17)*(1-$J$17)*$D$17*(R$5&gt;=$H$17+$F$17)</f>
        <v>0</v>
      </c>
      <c r="S63" s="36" t="n">
        <f aca="false">(1-$I$17)*(1-$J$17)*$D$17*(S$5&gt;=$H$17+$F$17)</f>
        <v>0</v>
      </c>
      <c r="T63" s="36" t="n">
        <f aca="false">(1-$I$17)*(1-$J$17)*$D$17*(T$5&gt;=$H$17+$F$17)</f>
        <v>0</v>
      </c>
      <c r="U63" s="36" t="n">
        <f aca="false">(1-$I$17)*(1-$J$17)*$D$17*(U$5&gt;=$H$17+$F$17)</f>
        <v>0</v>
      </c>
      <c r="V63" s="36" t="n">
        <f aca="false">(1-$I$17)*(1-$J$17)*$D$17*(V$5&gt;=$H$17+$F$17)</f>
        <v>0</v>
      </c>
      <c r="W63" s="36" t="n">
        <f aca="false">(1-$I$17)*(1-$J$17)*$D$17*(W$5&gt;=$H$17+$F$17)</f>
        <v>0</v>
      </c>
      <c r="X63" s="36" t="n">
        <f aca="false">(1-$I$17)*(1-$J$17)*$D$17*(X$5&gt;=$H$17+$F$17)</f>
        <v>0</v>
      </c>
      <c r="Y63" s="36" t="n">
        <f aca="false">(1-$I$17)*(1-$J$17)*$D$17*(Y$5&gt;=$H$17+$F$17)</f>
        <v>0</v>
      </c>
      <c r="Z63" s="36" t="n">
        <f aca="false">(1-$I$17)*(1-$J$17)*$D$17*(Z$5&gt;=$H$17+$F$17)</f>
        <v>0</v>
      </c>
      <c r="AA63" s="36" t="n">
        <f aca="false">(1-$I$17)*(1-$J$17)*$D$17*(AA$5&gt;=$H$17+$F$17)</f>
        <v>0</v>
      </c>
      <c r="AB63" s="36" t="n">
        <f aca="false">(1-$I$17)*(1-$J$17)*$D$17*(AB$5&gt;=$H$17+$F$17)</f>
        <v>0</v>
      </c>
      <c r="AC63" s="36" t="n">
        <f aca="false">(1-$I$17)*(1-$J$17)*$D$17*(AC$5&gt;=$H$17+$F$17)</f>
        <v>0</v>
      </c>
      <c r="AD63" s="36" t="n">
        <f aca="false">(1-$I$17)*(1-$J$17)*$D$17*(AD$5&gt;=$H$17+$F$17)</f>
        <v>0</v>
      </c>
      <c r="AE63" s="36" t="n">
        <f aca="false">(1-$I$17)*(1-$J$17)*$D$17*(AE$5&gt;=$H$17+$F$17)</f>
        <v>0</v>
      </c>
      <c r="AF63" s="36" t="n">
        <f aca="false">(1-$I$17)*(1-$J$17)*$D$17*(AF$5&gt;=$H$17+$F$17)</f>
        <v>0</v>
      </c>
      <c r="AG63" s="36" t="n">
        <f aca="false">(1-$I$17)*(1-$J$17)*$D$17*(AG$5&gt;=$H$17+$F$17)</f>
        <v>0</v>
      </c>
      <c r="AI63" s="36" t="n">
        <f aca="false">INDEX($F63:$AG63,1,MATCH(AI$7,$F$7:$AG$7,1))</f>
        <v>0</v>
      </c>
      <c r="AJ63" s="36" t="n">
        <f aca="false">INDEX($F63:$AG63,1,MATCH(AJ$7,$F$7:$AG$7,1))</f>
        <v>0</v>
      </c>
      <c r="AK63" s="36" t="n">
        <f aca="false">INDEX($F63:$AG63,1,MATCH(AK$7,$F$7:$AG$7,1))</f>
        <v>0</v>
      </c>
      <c r="AL63" s="36" t="n">
        <f aca="false">INDEX($F63:$AG63,1,MATCH(AL$7,$F$7:$AG$7,1))</f>
        <v>0</v>
      </c>
      <c r="AM63" s="36" t="n">
        <f aca="false">INDEX($F63:$AG63,1,MATCH(AM$7,$F$7:$AG$7,1))</f>
        <v>0</v>
      </c>
      <c r="AN63" s="36" t="n">
        <f aca="false">INDEX($F63:$AG63,1,MATCH(AN$7,$F$7:$AG$7,1))</f>
        <v>0</v>
      </c>
      <c r="AO63" s="36" t="n">
        <f aca="false">INDEX($F63:$AG63,1,MATCH(AO$7,$F$7:$AG$7,1))</f>
        <v>0</v>
      </c>
    </row>
    <row r="64" customFormat="false" ht="15" hidden="false" customHeight="false" outlineLevel="0" collapsed="false">
      <c r="A64" s="107" t="s">
        <v>1904</v>
      </c>
      <c r="B64" s="22" t="s">
        <v>613</v>
      </c>
      <c r="C64" s="22"/>
      <c r="D64" s="22" t="s">
        <v>1879</v>
      </c>
      <c r="F64" s="124" t="n">
        <f aca="false">F63*CHOOSE(MATCH($C$17,{"H";"B";"N"},0),GPUMW_H*ODc_H,GPUMW_B*ODc_B,GPUMW_N*ODc_N)*ResidUtil*Timeline!F$9*INDEX(Curve,1,MAX(1,MIN(8,INT((F$5-$H$17)/4)+1)))/1000000</f>
        <v>0</v>
      </c>
      <c r="G64" s="124" t="n">
        <f aca="false">G63*CHOOSE(MATCH($C$17,{"H";"B";"N"},0),GPUMW_H*ODc_H,GPUMW_B*ODc_B,GPUMW_N*ODc_N)*ResidUtil*Timeline!G$9*INDEX(Curve,1,MAX(1,MIN(8,INT((G$5-$H$17)/4)+1)))/1000000</f>
        <v>0</v>
      </c>
      <c r="H64" s="124" t="n">
        <f aca="false">H63*CHOOSE(MATCH($C$17,{"H";"B";"N"},0),GPUMW_H*ODc_H,GPUMW_B*ODc_B,GPUMW_N*ODc_N)*ResidUtil*Timeline!H$9*INDEX(Curve,1,MAX(1,MIN(8,INT((H$5-$H$17)/4)+1)))/1000000</f>
        <v>0</v>
      </c>
      <c r="I64" s="124" t="n">
        <f aca="false">I63*CHOOSE(MATCH($C$17,{"H";"B";"N"},0),GPUMW_H*ODc_H,GPUMW_B*ODc_B,GPUMW_N*ODc_N)*ResidUtil*Timeline!I$9*INDEX(Curve,1,MAX(1,MIN(8,INT((I$5-$H$17)/4)+1)))/1000000</f>
        <v>0</v>
      </c>
      <c r="J64" s="124" t="n">
        <f aca="false">J63*CHOOSE(MATCH($C$17,{"H";"B";"N"},0),GPUMW_H*ODc_H,GPUMW_B*ODc_B,GPUMW_N*ODc_N)*ResidUtil*Timeline!J$9*INDEX(Curve,1,MAX(1,MIN(8,INT((J$5-$H$17)/4)+1)))/1000000</f>
        <v>0</v>
      </c>
      <c r="K64" s="124" t="n">
        <f aca="false">K63*CHOOSE(MATCH($C$17,{"H";"B";"N"},0),GPUMW_H*ODc_H,GPUMW_B*ODc_B,GPUMW_N*ODc_N)*ResidUtil*Timeline!K$9*INDEX(Curve,1,MAX(1,MIN(8,INT((K$5-$H$17)/4)+1)))/1000000</f>
        <v>0</v>
      </c>
      <c r="L64" s="124" t="n">
        <f aca="false">L63*CHOOSE(MATCH($C$17,{"H";"B";"N"},0),GPUMW_H*ODc_H,GPUMW_B*ODc_B,GPUMW_N*ODc_N)*ResidUtil*Timeline!L$9*INDEX(Curve,1,MAX(1,MIN(8,INT((L$5-$H$17)/4)+1)))/1000000</f>
        <v>0</v>
      </c>
      <c r="M64" s="124" t="n">
        <f aca="false">M63*CHOOSE(MATCH($C$17,{"H";"B";"N"},0),GPUMW_H*ODc_H,GPUMW_B*ODc_B,GPUMW_N*ODc_N)*ResidUtil*Timeline!M$9*INDEX(Curve,1,MAX(1,MIN(8,INT((M$5-$H$17)/4)+1)))/1000000</f>
        <v>0</v>
      </c>
      <c r="N64" s="124" t="n">
        <f aca="false">N63*CHOOSE(MATCH($C$17,{"H";"B";"N"},0),GPUMW_H*ODc_H,GPUMW_B*ODc_B,GPUMW_N*ODc_N)*ResidUtil*Timeline!N$9*INDEX(Curve,1,MAX(1,MIN(8,INT((N$5-$H$17)/4)+1)))/1000000</f>
        <v>0</v>
      </c>
      <c r="O64" s="124" t="n">
        <f aca="false">O63*CHOOSE(MATCH($C$17,{"H";"B";"N"},0),GPUMW_H*ODc_H,GPUMW_B*ODc_B,GPUMW_N*ODc_N)*ResidUtil*Timeline!O$9*INDEX(Curve,1,MAX(1,MIN(8,INT((O$5-$H$17)/4)+1)))/1000000</f>
        <v>0</v>
      </c>
      <c r="P64" s="125" t="n">
        <f aca="false">P63*CHOOSE(MATCH($C$17,{"H";"B";"N"},0),GPUMW_H*ODc_H,GPUMW_B*ODc_B,GPUMW_N*ODc_N)*ResidUtil*Timeline!P$9*INDEX(Curve,1,MAX(1,MIN(8,INT((P$5-$H$17)/4)+1)))/1000000</f>
        <v>0</v>
      </c>
      <c r="Q64" s="125" t="n">
        <f aca="false">Q63*CHOOSE(MATCH($C$17,{"H";"B";"N"},0),GPUMW_H*ODc_H,GPUMW_B*ODc_B,GPUMW_N*ODc_N)*ResidUtil*Timeline!Q$9*INDEX(Curve,1,MAX(1,MIN(8,INT((Q$5-$H$17)/4)+1)))/1000000</f>
        <v>0</v>
      </c>
      <c r="R64" s="125" t="n">
        <f aca="false">R63*CHOOSE(MATCH($C$17,{"H";"B";"N"},0),GPUMW_H*ODc_H,GPUMW_B*ODc_B,GPUMW_N*ODc_N)*ResidUtil*Timeline!R$9*INDEX(Curve,1,MAX(1,MIN(8,INT((R$5-$H$17)/4)+1)))/1000000</f>
        <v>0</v>
      </c>
      <c r="S64" s="125" t="n">
        <f aca="false">S63*CHOOSE(MATCH($C$17,{"H";"B";"N"},0),GPUMW_H*ODc_H,GPUMW_B*ODc_B,GPUMW_N*ODc_N)*ResidUtil*Timeline!S$9*INDEX(Curve,1,MAX(1,MIN(8,INT((S$5-$H$17)/4)+1)))/1000000</f>
        <v>0</v>
      </c>
      <c r="T64" s="125" t="n">
        <f aca="false">T63*CHOOSE(MATCH($C$17,{"H";"B";"N"},0),GPUMW_H*ODc_H,GPUMW_B*ODc_B,GPUMW_N*ODc_N)*ResidUtil*Timeline!T$9*INDEX(Curve,1,MAX(1,MIN(8,INT((T$5-$H$17)/4)+1)))/1000000</f>
        <v>0</v>
      </c>
      <c r="U64" s="125" t="n">
        <f aca="false">U63*CHOOSE(MATCH($C$17,{"H";"B";"N"},0),GPUMW_H*ODc_H,GPUMW_B*ODc_B,GPUMW_N*ODc_N)*ResidUtil*Timeline!U$9*INDEX(Curve,1,MAX(1,MIN(8,INT((U$5-$H$17)/4)+1)))/1000000</f>
        <v>0</v>
      </c>
      <c r="V64" s="125" t="n">
        <f aca="false">V63*CHOOSE(MATCH($C$17,{"H";"B";"N"},0),GPUMW_H*ODc_H,GPUMW_B*ODc_B,GPUMW_N*ODc_N)*ResidUtil*Timeline!V$9*INDEX(Curve,1,MAX(1,MIN(8,INT((V$5-$H$17)/4)+1)))/1000000</f>
        <v>0</v>
      </c>
      <c r="W64" s="125" t="n">
        <f aca="false">W63*CHOOSE(MATCH($C$17,{"H";"B";"N"},0),GPUMW_H*ODc_H,GPUMW_B*ODc_B,GPUMW_N*ODc_N)*ResidUtil*Timeline!W$9*INDEX(Curve,1,MAX(1,MIN(8,INT((W$5-$H$17)/4)+1)))/1000000</f>
        <v>0</v>
      </c>
      <c r="X64" s="125" t="n">
        <f aca="false">X63*CHOOSE(MATCH($C$17,{"H";"B";"N"},0),GPUMW_H*ODc_H,GPUMW_B*ODc_B,GPUMW_N*ODc_N)*ResidUtil*Timeline!X$9*INDEX(Curve,1,MAX(1,MIN(8,INT((X$5-$H$17)/4)+1)))/1000000</f>
        <v>0</v>
      </c>
      <c r="Y64" s="125" t="n">
        <f aca="false">Y63*CHOOSE(MATCH($C$17,{"H";"B";"N"},0),GPUMW_H*ODc_H,GPUMW_B*ODc_B,GPUMW_N*ODc_N)*ResidUtil*Timeline!Y$9*INDEX(Curve,1,MAX(1,MIN(8,INT((Y$5-$H$17)/4)+1)))/1000000</f>
        <v>0</v>
      </c>
      <c r="Z64" s="125" t="n">
        <f aca="false">Z63*CHOOSE(MATCH($C$17,{"H";"B";"N"},0),GPUMW_H*ODc_H,GPUMW_B*ODc_B,GPUMW_N*ODc_N)*ResidUtil*Timeline!Z$9*INDEX(Curve,1,MAX(1,MIN(8,INT((Z$5-$H$17)/4)+1)))/1000000</f>
        <v>0</v>
      </c>
      <c r="AA64" s="125" t="n">
        <f aca="false">AA63*CHOOSE(MATCH($C$17,{"H";"B";"N"},0),GPUMW_H*ODc_H,GPUMW_B*ODc_B,GPUMW_N*ODc_N)*ResidUtil*Timeline!AA$9*INDEX(Curve,1,MAX(1,MIN(8,INT((AA$5-$H$17)/4)+1)))/1000000</f>
        <v>0</v>
      </c>
      <c r="AB64" s="125" t="n">
        <f aca="false">AB63*CHOOSE(MATCH($C$17,{"H";"B";"N"},0),GPUMW_H*ODc_H,GPUMW_B*ODc_B,GPUMW_N*ODc_N)*ResidUtil*Timeline!AB$9*INDEX(Curve,1,MAX(1,MIN(8,INT((AB$5-$H$17)/4)+1)))/1000000</f>
        <v>0</v>
      </c>
      <c r="AC64" s="125" t="n">
        <f aca="false">AC63*CHOOSE(MATCH($C$17,{"H";"B";"N"},0),GPUMW_H*ODc_H,GPUMW_B*ODc_B,GPUMW_N*ODc_N)*ResidUtil*Timeline!AC$9*INDEX(Curve,1,MAX(1,MIN(8,INT((AC$5-$H$17)/4)+1)))/1000000</f>
        <v>0</v>
      </c>
      <c r="AD64" s="125" t="n">
        <f aca="false">AD63*CHOOSE(MATCH($C$17,{"H";"B";"N"},0),GPUMW_H*ODc_H,GPUMW_B*ODc_B,GPUMW_N*ODc_N)*ResidUtil*Timeline!AD$9*INDEX(Curve,1,MAX(1,MIN(8,INT((AD$5-$H$17)/4)+1)))/1000000</f>
        <v>0</v>
      </c>
      <c r="AE64" s="125" t="n">
        <f aca="false">AE63*CHOOSE(MATCH($C$17,{"H";"B";"N"},0),GPUMW_H*ODc_H,GPUMW_B*ODc_B,GPUMW_N*ODc_N)*ResidUtil*Timeline!AE$9*INDEX(Curve,1,MAX(1,MIN(8,INT((AE$5-$H$17)/4)+1)))/1000000</f>
        <v>0</v>
      </c>
      <c r="AF64" s="125" t="n">
        <f aca="false">AF63*CHOOSE(MATCH($C$17,{"H";"B";"N"},0),GPUMW_H*ODc_H,GPUMW_B*ODc_B,GPUMW_N*ODc_N)*ResidUtil*Timeline!AF$9*INDEX(Curve,1,MAX(1,MIN(8,INT((AF$5-$H$17)/4)+1)))/1000000</f>
        <v>0</v>
      </c>
      <c r="AG64" s="125" t="n">
        <f aca="false">AG63*CHOOSE(MATCH($C$17,{"H";"B";"N"},0),GPUMW_H*ODc_H,GPUMW_B*ODc_B,GPUMW_N*ODc_N)*ResidUtil*Timeline!AG$9*INDEX(Curve,1,MAX(1,MIN(8,INT((AG$5-$H$17)/4)+1)))/1000000</f>
        <v>0</v>
      </c>
      <c r="AI64" s="125" t="n">
        <f aca="false">SUMIF($F$7:$AG$7,AI$7,$F64:$AG64)</f>
        <v>0</v>
      </c>
      <c r="AJ64" s="125" t="n">
        <f aca="false">SUMIF($F$7:$AG$7,AJ$7,$F64:$AG64)</f>
        <v>0</v>
      </c>
      <c r="AK64" s="125" t="n">
        <f aca="false">SUMIF($F$7:$AG$7,AK$7,$F64:$AG64)</f>
        <v>0</v>
      </c>
      <c r="AL64" s="125" t="n">
        <f aca="false">SUMIF($F$7:$AG$7,AL$7,$F64:$AG64)</f>
        <v>0</v>
      </c>
      <c r="AM64" s="125" t="n">
        <f aca="false">SUMIF($F$7:$AG$7,AM$7,$F64:$AG64)</f>
        <v>0</v>
      </c>
      <c r="AN64" s="125" t="n">
        <f aca="false">SUMIF($F$7:$AG$7,AN$7,$F64:$AG64)</f>
        <v>0</v>
      </c>
      <c r="AO64" s="125" t="n">
        <f aca="false">SUMIF($F$7:$AG$7,AO$7,$F64:$AG64)</f>
        <v>0</v>
      </c>
    </row>
    <row r="65" customFormat="false" ht="15" hidden="false" customHeight="false" outlineLevel="0" collapsed="false">
      <c r="A65" s="107" t="s">
        <v>1905</v>
      </c>
      <c r="B65" s="22" t="s">
        <v>613</v>
      </c>
      <c r="C65" s="22"/>
      <c r="D65" s="22"/>
      <c r="F65" s="124" t="n">
        <f aca="false">(1-$I$18)*(1-$J$18)*$D$18*$E$18/4*MIN(1,MAX(0,(F$5-$H$18+1)/$T$18))*IF(F$5=$H$18,DelivFactor,IF(AND(F$5&gt;$H$18,F$5&lt;$H$18+$F$18),1,IF(F$5=$H$18+$F$18,1-DelivFactor,0)))</f>
        <v>0</v>
      </c>
      <c r="G65" s="124" t="n">
        <f aca="false">(1-$I$18)*(1-$J$18)*$D$18*$E$18/4*MIN(1,MAX(0,(G$5-$H$18+1)/$T$18))*IF(G$5=$H$18,DelivFactor,IF(AND(G$5&gt;$H$18,G$5&lt;$H$18+$F$18),1,IF(G$5=$H$18+$F$18,1-DelivFactor,0)))</f>
        <v>0</v>
      </c>
      <c r="H65" s="124" t="n">
        <f aca="false">(1-$I$18)*(1-$J$18)*$D$18*$E$18/4*MIN(1,MAX(0,(H$5-$H$18+1)/$T$18))*IF(H$5=$H$18,DelivFactor,IF(AND(H$5&gt;$H$18,H$5&lt;$H$18+$F$18),1,IF(H$5=$H$18+$F$18,1-DelivFactor,0)))</f>
        <v>0</v>
      </c>
      <c r="I65" s="124" t="n">
        <f aca="false">(1-$I$18)*(1-$J$18)*$D$18*$E$18/4*MIN(1,MAX(0,(I$5-$H$18+1)/$T$18))*IF(I$5=$H$18,DelivFactor,IF(AND(I$5&gt;$H$18,I$5&lt;$H$18+$F$18),1,IF(I$5=$H$18+$F$18,1-DelivFactor,0)))</f>
        <v>0</v>
      </c>
      <c r="J65" s="124" t="n">
        <f aca="false">(1-$I$18)*(1-$J$18)*$D$18*$E$18/4*MIN(1,MAX(0,(J$5-$H$18+1)/$T$18))*IF(J$5=$H$18,DelivFactor,IF(AND(J$5&gt;$H$18,J$5&lt;$H$18+$F$18),1,IF(J$5=$H$18+$F$18,1-DelivFactor,0)))</f>
        <v>0</v>
      </c>
      <c r="K65" s="124" t="n">
        <f aca="false">(1-$I$18)*(1-$J$18)*$D$18*$E$18/4*MIN(1,MAX(0,(K$5-$H$18+1)/$T$18))*IF(K$5=$H$18,DelivFactor,IF(AND(K$5&gt;$H$18,K$5&lt;$H$18+$F$18),1,IF(K$5=$H$18+$F$18,1-DelivFactor,0)))</f>
        <v>0</v>
      </c>
      <c r="L65" s="124" t="n">
        <f aca="false">(1-$I$18)*(1-$J$18)*$D$18*$E$18/4*MIN(1,MAX(0,(L$5-$H$18+1)/$T$18))*IF(L$5=$H$18,DelivFactor,IF(AND(L$5&gt;$H$18,L$5&lt;$H$18+$F$18),1,IF(L$5=$H$18+$F$18,1-DelivFactor,0)))</f>
        <v>0</v>
      </c>
      <c r="M65" s="124" t="n">
        <f aca="false">(1-$I$18)*(1-$J$18)*$D$18*$E$18/4*MIN(1,MAX(0,(M$5-$H$18+1)/$T$18))*IF(M$5=$H$18,DelivFactor,IF(AND(M$5&gt;$H$18,M$5&lt;$H$18+$F$18),1,IF(M$5=$H$18+$F$18,1-DelivFactor,0)))</f>
        <v>0</v>
      </c>
      <c r="N65" s="124" t="n">
        <f aca="false">(1-$I$18)*(1-$J$18)*$D$18*$E$18/4*MIN(1,MAX(0,(N$5-$H$18+1)/$T$18))*IF(N$5=$H$18,DelivFactor,IF(AND(N$5&gt;$H$18,N$5&lt;$H$18+$F$18),1,IF(N$5=$H$18+$F$18,1-DelivFactor,0)))</f>
        <v>0</v>
      </c>
      <c r="O65" s="124" t="n">
        <f aca="false">(1-$I$18)*(1-$J$18)*$D$18*$E$18/4*MIN(1,MAX(0,(O$5-$H$18+1)/$T$18))*IF(O$5=$H$18,DelivFactor,IF(AND(O$5&gt;$H$18,O$5&lt;$H$18+$F$18),1,IF(O$5=$H$18+$F$18,1-DelivFactor,0)))</f>
        <v>0</v>
      </c>
      <c r="P65" s="125" t="n">
        <f aca="false">(1-$I$18)*(1-$J$18)*$D$18*$E$18/4*MIN(1,MAX(0,(P$5-$H$18+1)/$T$18))*IF(P$5=$H$18,DelivFactor,IF(AND(P$5&gt;$H$18,P$5&lt;$H$18+$F$18),1,IF(P$5=$H$18+$F$18,1-DelivFactor,0)))</f>
        <v>0</v>
      </c>
      <c r="Q65" s="125" t="n">
        <f aca="false">(1-$I$18)*(1-$J$18)*$D$18*$E$18/4*MIN(1,MAX(0,(Q$5-$H$18+1)/$T$18))*IF(Q$5=$H$18,DelivFactor,IF(AND(Q$5&gt;$H$18,Q$5&lt;$H$18+$F$18),1,IF(Q$5=$H$18+$F$18,1-DelivFactor,0)))</f>
        <v>0</v>
      </c>
      <c r="R65" s="125" t="n">
        <f aca="false">(1-$I$18)*(1-$J$18)*$D$18*$E$18/4*MIN(1,MAX(0,(R$5-$H$18+1)/$T$18))*IF(R$5=$H$18,DelivFactor,IF(AND(R$5&gt;$H$18,R$5&lt;$H$18+$F$18),1,IF(R$5=$H$18+$F$18,1-DelivFactor,0)))</f>
        <v>0</v>
      </c>
      <c r="S65" s="125" t="n">
        <f aca="false">(1-$I$18)*(1-$J$18)*$D$18*$E$18/4*MIN(1,MAX(0,(S$5-$H$18+1)/$T$18))*IF(S$5=$H$18,DelivFactor,IF(AND(S$5&gt;$H$18,S$5&lt;$H$18+$F$18),1,IF(S$5=$H$18+$F$18,1-DelivFactor,0)))</f>
        <v>0</v>
      </c>
      <c r="T65" s="125" t="n">
        <f aca="false">(1-$I$18)*(1-$J$18)*$D$18*$E$18/4*MIN(1,MAX(0,(T$5-$H$18+1)/$T$18))*IF(T$5=$H$18,DelivFactor,IF(AND(T$5&gt;$H$18,T$5&lt;$H$18+$F$18),1,IF(T$5=$H$18+$F$18,1-DelivFactor,0)))</f>
        <v>12.0784027777778</v>
      </c>
      <c r="U65" s="125" t="n">
        <f aca="false">(1-$I$18)*(1-$J$18)*$D$18*$E$18/4*MIN(1,MAX(0,(U$5-$H$18+1)/$T$18))*IF(U$5=$H$18,DelivFactor,IF(AND(U$5&gt;$H$18,U$5&lt;$H$18+$F$18),1,IF(U$5=$H$18+$F$18,1-DelivFactor,0)))</f>
        <v>48.3136111111111</v>
      </c>
      <c r="V65" s="125" t="n">
        <f aca="false">(1-$I$18)*(1-$J$18)*$D$18*$E$18/4*MIN(1,MAX(0,(V$5-$H$18+1)/$T$18))*IF(V$5=$H$18,DelivFactor,IF(AND(V$5&gt;$H$18,V$5&lt;$H$18+$F$18),1,IF(V$5=$H$18+$F$18,1-DelivFactor,0)))</f>
        <v>72.4704166666667</v>
      </c>
      <c r="W65" s="125" t="n">
        <f aca="false">(1-$I$18)*(1-$J$18)*$D$18*$E$18/4*MIN(1,MAX(0,(W$5-$H$18+1)/$T$18))*IF(W$5=$H$18,DelivFactor,IF(AND(W$5&gt;$H$18,W$5&lt;$H$18+$F$18),1,IF(W$5=$H$18+$F$18,1-DelivFactor,0)))</f>
        <v>96.6272222222222</v>
      </c>
      <c r="X65" s="125" t="n">
        <f aca="false">(1-$I$18)*(1-$J$18)*$D$18*$E$18/4*MIN(1,MAX(0,(X$5-$H$18+1)/$T$18))*IF(X$5=$H$18,DelivFactor,IF(AND(X$5&gt;$H$18,X$5&lt;$H$18+$F$18),1,IF(X$5=$H$18+$F$18,1-DelivFactor,0)))</f>
        <v>96.6272222222222</v>
      </c>
      <c r="Y65" s="125" t="n">
        <f aca="false">(1-$I$18)*(1-$J$18)*$D$18*$E$18/4*MIN(1,MAX(0,(Y$5-$H$18+1)/$T$18))*IF(Y$5=$H$18,DelivFactor,IF(AND(Y$5&gt;$H$18,Y$5&lt;$H$18+$F$18),1,IF(Y$5=$H$18+$F$18,1-DelivFactor,0)))</f>
        <v>96.6272222222222</v>
      </c>
      <c r="Z65" s="125" t="n">
        <f aca="false">(1-$I$18)*(1-$J$18)*$D$18*$E$18/4*MIN(1,MAX(0,(Z$5-$H$18+1)/$T$18))*IF(Z$5=$H$18,DelivFactor,IF(AND(Z$5&gt;$H$18,Z$5&lt;$H$18+$F$18),1,IF(Z$5=$H$18+$F$18,1-DelivFactor,0)))</f>
        <v>96.6272222222222</v>
      </c>
      <c r="AA65" s="125" t="n">
        <f aca="false">(1-$I$18)*(1-$J$18)*$D$18*$E$18/4*MIN(1,MAX(0,(AA$5-$H$18+1)/$T$18))*IF(AA$5=$H$18,DelivFactor,IF(AND(AA$5&gt;$H$18,AA$5&lt;$H$18+$F$18),1,IF(AA$5=$H$18+$F$18,1-DelivFactor,0)))</f>
        <v>96.6272222222222</v>
      </c>
      <c r="AB65" s="125" t="n">
        <f aca="false">(1-$I$18)*(1-$J$18)*$D$18*$E$18/4*MIN(1,MAX(0,(AB$5-$H$18+1)/$T$18))*IF(AB$5=$H$18,DelivFactor,IF(AND(AB$5&gt;$H$18,AB$5&lt;$H$18+$F$18),1,IF(AB$5=$H$18+$F$18,1-DelivFactor,0)))</f>
        <v>96.6272222222222</v>
      </c>
      <c r="AC65" s="125" t="n">
        <f aca="false">(1-$I$18)*(1-$J$18)*$D$18*$E$18/4*MIN(1,MAX(0,(AC$5-$H$18+1)/$T$18))*IF(AC$5=$H$18,DelivFactor,IF(AND(AC$5&gt;$H$18,AC$5&lt;$H$18+$F$18),1,IF(AC$5=$H$18+$F$18,1-DelivFactor,0)))</f>
        <v>96.6272222222222</v>
      </c>
      <c r="AD65" s="125" t="n">
        <f aca="false">(1-$I$18)*(1-$J$18)*$D$18*$E$18/4*MIN(1,MAX(0,(AD$5-$H$18+1)/$T$18))*IF(AD$5=$H$18,DelivFactor,IF(AND(AD$5&gt;$H$18,AD$5&lt;$H$18+$F$18),1,IF(AD$5=$H$18+$F$18,1-DelivFactor,0)))</f>
        <v>96.6272222222222</v>
      </c>
      <c r="AE65" s="125" t="n">
        <f aca="false">(1-$I$18)*(1-$J$18)*$D$18*$E$18/4*MIN(1,MAX(0,(AE$5-$H$18+1)/$T$18))*IF(AE$5=$H$18,DelivFactor,IF(AND(AE$5&gt;$H$18,AE$5&lt;$H$18+$F$18),1,IF(AE$5=$H$18+$F$18,1-DelivFactor,0)))</f>
        <v>96.6272222222222</v>
      </c>
      <c r="AF65" s="125" t="n">
        <f aca="false">(1-$I$18)*(1-$J$18)*$D$18*$E$18/4*MIN(1,MAX(0,(AF$5-$H$18+1)/$T$18))*IF(AF$5=$H$18,DelivFactor,IF(AND(AF$5&gt;$H$18,AF$5&lt;$H$18+$F$18),1,IF(AF$5=$H$18+$F$18,1-DelivFactor,0)))</f>
        <v>96.6272222222222</v>
      </c>
      <c r="AG65" s="125" t="n">
        <f aca="false">(1-$I$18)*(1-$J$18)*$D$18*$E$18/4*MIN(1,MAX(0,(AG$5-$H$18+1)/$T$18))*IF(AG$5=$H$18,DelivFactor,IF(AND(AG$5&gt;$H$18,AG$5&lt;$H$18+$F$18),1,IF(AG$5=$H$18+$F$18,1-DelivFactor,0)))</f>
        <v>96.6272222222222</v>
      </c>
      <c r="AI65" s="125" t="n">
        <f aca="false">SUMIF($F$7:$AG$7,AI$7,$F65:$AG65)</f>
        <v>0</v>
      </c>
      <c r="AJ65" s="125" t="n">
        <f aca="false">SUMIF($F$7:$AG$7,AJ$7,$F65:$AG65)</f>
        <v>0</v>
      </c>
      <c r="AK65" s="125" t="n">
        <f aca="false">SUMIF($F$7:$AG$7,AK$7,$F65:$AG65)</f>
        <v>0</v>
      </c>
      <c r="AL65" s="125" t="n">
        <f aca="false">SUMIF($F$7:$AG$7,AL$7,$F65:$AG65)</f>
        <v>60.3920138888889</v>
      </c>
      <c r="AM65" s="125" t="n">
        <f aca="false">SUMIF($F$7:$AG$7,AM$7,$F65:$AG65)</f>
        <v>362.352083333333</v>
      </c>
      <c r="AN65" s="125" t="n">
        <f aca="false">SUMIF($F$7:$AG$7,AN$7,$F65:$AG65)</f>
        <v>386.508888888889</v>
      </c>
      <c r="AO65" s="125" t="n">
        <f aca="false">SUMIF($F$7:$AG$7,AO$7,$F65:$AG65)</f>
        <v>386.508888888889</v>
      </c>
    </row>
    <row r="66" customFormat="false" ht="15" hidden="false" customHeight="false" outlineLevel="0" collapsed="false">
      <c r="A66" s="107" t="s">
        <v>1906</v>
      </c>
      <c r="B66" s="22" t="s">
        <v>664</v>
      </c>
      <c r="C66" s="22"/>
      <c r="D66" s="22"/>
      <c r="F66" s="116" t="n">
        <f aca="false">(1-$I$18)*(1-$J$18)*$D$18*AND(F$5&gt;=$H$18,F$5&lt;$H$18+$F$18)</f>
        <v>0</v>
      </c>
      <c r="G66" s="116" t="n">
        <f aca="false">(1-$I$18)*(1-$J$18)*$D$18*AND(G$5&gt;=$H$18,G$5&lt;$H$18+$F$18)</f>
        <v>0</v>
      </c>
      <c r="H66" s="116" t="n">
        <f aca="false">(1-$I$18)*(1-$J$18)*$D$18*AND(H$5&gt;=$H$18,H$5&lt;$H$18+$F$18)</f>
        <v>0</v>
      </c>
      <c r="I66" s="116" t="n">
        <f aca="false">(1-$I$18)*(1-$J$18)*$D$18*AND(I$5&gt;=$H$18,I$5&lt;$H$18+$F$18)</f>
        <v>0</v>
      </c>
      <c r="J66" s="116" t="n">
        <f aca="false">(1-$I$18)*(1-$J$18)*$D$18*AND(J$5&gt;=$H$18,J$5&lt;$H$18+$F$18)</f>
        <v>0</v>
      </c>
      <c r="K66" s="116" t="n">
        <f aca="false">(1-$I$18)*(1-$J$18)*$D$18*AND(K$5&gt;=$H$18,K$5&lt;$H$18+$F$18)</f>
        <v>0</v>
      </c>
      <c r="L66" s="116" t="n">
        <f aca="false">(1-$I$18)*(1-$J$18)*$D$18*AND(L$5&gt;=$H$18,L$5&lt;$H$18+$F$18)</f>
        <v>0</v>
      </c>
      <c r="M66" s="116" t="n">
        <f aca="false">(1-$I$18)*(1-$J$18)*$D$18*AND(M$5&gt;=$H$18,M$5&lt;$H$18+$F$18)</f>
        <v>0</v>
      </c>
      <c r="N66" s="116" t="n">
        <f aca="false">(1-$I$18)*(1-$J$18)*$D$18*AND(N$5&gt;=$H$18,N$5&lt;$H$18+$F$18)</f>
        <v>0</v>
      </c>
      <c r="O66" s="116" t="n">
        <f aca="false">(1-$I$18)*(1-$J$18)*$D$18*AND(O$5&gt;=$H$18,O$5&lt;$H$18+$F$18)</f>
        <v>0</v>
      </c>
      <c r="P66" s="36" t="n">
        <f aca="false">(1-$I$18)*(1-$J$18)*$D$18*AND(P$5&gt;=$H$18,P$5&lt;$H$18+$F$18)</f>
        <v>0</v>
      </c>
      <c r="Q66" s="36" t="n">
        <f aca="false">(1-$I$18)*(1-$J$18)*$D$18*AND(Q$5&gt;=$H$18,Q$5&lt;$H$18+$F$18)</f>
        <v>0</v>
      </c>
      <c r="R66" s="36" t="n">
        <f aca="false">(1-$I$18)*(1-$J$18)*$D$18*AND(R$5&gt;=$H$18,R$5&lt;$H$18+$F$18)</f>
        <v>0</v>
      </c>
      <c r="S66" s="36" t="n">
        <f aca="false">(1-$I$18)*(1-$J$18)*$D$18*AND(S$5&gt;=$H$18,S$5&lt;$H$18+$F$18)</f>
        <v>0</v>
      </c>
      <c r="T66" s="36" t="n">
        <f aca="false">(1-$I$18)*(1-$J$18)*$D$18*AND(T$5&gt;=$H$18,T$5&lt;$H$18+$F$18)</f>
        <v>26.6666666666667</v>
      </c>
      <c r="U66" s="36" t="n">
        <f aca="false">(1-$I$18)*(1-$J$18)*$D$18*AND(U$5&gt;=$H$18,U$5&lt;$H$18+$F$18)</f>
        <v>26.6666666666667</v>
      </c>
      <c r="V66" s="36" t="n">
        <f aca="false">(1-$I$18)*(1-$J$18)*$D$18*AND(V$5&gt;=$H$18,V$5&lt;$H$18+$F$18)</f>
        <v>26.6666666666667</v>
      </c>
      <c r="W66" s="36" t="n">
        <f aca="false">(1-$I$18)*(1-$J$18)*$D$18*AND(W$5&gt;=$H$18,W$5&lt;$H$18+$F$18)</f>
        <v>26.6666666666667</v>
      </c>
      <c r="X66" s="36" t="n">
        <f aca="false">(1-$I$18)*(1-$J$18)*$D$18*AND(X$5&gt;=$H$18,X$5&lt;$H$18+$F$18)</f>
        <v>26.6666666666667</v>
      </c>
      <c r="Y66" s="36" t="n">
        <f aca="false">(1-$I$18)*(1-$J$18)*$D$18*AND(Y$5&gt;=$H$18,Y$5&lt;$H$18+$F$18)</f>
        <v>26.6666666666667</v>
      </c>
      <c r="Z66" s="36" t="n">
        <f aca="false">(1-$I$18)*(1-$J$18)*$D$18*AND(Z$5&gt;=$H$18,Z$5&lt;$H$18+$F$18)</f>
        <v>26.6666666666667</v>
      </c>
      <c r="AA66" s="36" t="n">
        <f aca="false">(1-$I$18)*(1-$J$18)*$D$18*AND(AA$5&gt;=$H$18,AA$5&lt;$H$18+$F$18)</f>
        <v>26.6666666666667</v>
      </c>
      <c r="AB66" s="36" t="n">
        <f aca="false">(1-$I$18)*(1-$J$18)*$D$18*AND(AB$5&gt;=$H$18,AB$5&lt;$H$18+$F$18)</f>
        <v>26.6666666666667</v>
      </c>
      <c r="AC66" s="36" t="n">
        <f aca="false">(1-$I$18)*(1-$J$18)*$D$18*AND(AC$5&gt;=$H$18,AC$5&lt;$H$18+$F$18)</f>
        <v>26.6666666666667</v>
      </c>
      <c r="AD66" s="36" t="n">
        <f aca="false">(1-$I$18)*(1-$J$18)*$D$18*AND(AD$5&gt;=$H$18,AD$5&lt;$H$18+$F$18)</f>
        <v>26.6666666666667</v>
      </c>
      <c r="AE66" s="36" t="n">
        <f aca="false">(1-$I$18)*(1-$J$18)*$D$18*AND(AE$5&gt;=$H$18,AE$5&lt;$H$18+$F$18)</f>
        <v>26.6666666666667</v>
      </c>
      <c r="AF66" s="36" t="n">
        <f aca="false">(1-$I$18)*(1-$J$18)*$D$18*AND(AF$5&gt;=$H$18,AF$5&lt;$H$18+$F$18)</f>
        <v>26.6666666666667</v>
      </c>
      <c r="AG66" s="36" t="n">
        <f aca="false">(1-$I$18)*(1-$J$18)*$D$18*AND(AG$5&gt;=$H$18,AG$5&lt;$H$18+$F$18)</f>
        <v>26.6666666666667</v>
      </c>
      <c r="AI66" s="36" t="n">
        <f aca="false">INDEX($F66:$AG66,1,MATCH(AI$7,$F$7:$AG$7,1))</f>
        <v>0</v>
      </c>
      <c r="AJ66" s="36" t="n">
        <f aca="false">INDEX($F66:$AG66,1,MATCH(AJ$7,$F$7:$AG$7,1))</f>
        <v>0</v>
      </c>
      <c r="AK66" s="36" t="n">
        <f aca="false">INDEX($F66:$AG66,1,MATCH(AK$7,$F$7:$AG$7,1))</f>
        <v>0</v>
      </c>
      <c r="AL66" s="36" t="n">
        <f aca="false">INDEX($F66:$AG66,1,MATCH(AL$7,$F$7:$AG$7,1))</f>
        <v>26.6666666666667</v>
      </c>
      <c r="AM66" s="36" t="n">
        <f aca="false">INDEX($F66:$AG66,1,MATCH(AM$7,$F$7:$AG$7,1))</f>
        <v>26.6666666666667</v>
      </c>
      <c r="AN66" s="36" t="n">
        <f aca="false">INDEX($F66:$AG66,1,MATCH(AN$7,$F$7:$AG$7,1))</f>
        <v>26.6666666666667</v>
      </c>
      <c r="AO66" s="36" t="n">
        <f aca="false">INDEX($F66:$AG66,1,MATCH(AO$7,$F$7:$AG$7,1))</f>
        <v>26.6666666666667</v>
      </c>
    </row>
    <row r="67" customFormat="false" ht="15" hidden="false" customHeight="false" outlineLevel="0" collapsed="false">
      <c r="A67" s="107" t="s">
        <v>1907</v>
      </c>
      <c r="B67" s="22" t="s">
        <v>613</v>
      </c>
      <c r="C67" s="22"/>
      <c r="D67" s="22"/>
      <c r="F67" s="124" t="n">
        <f aca="false">-(1-$I$18)*LD_Pct*$D$18*$E$18/4*AND(F$5&gt;=$G$18,F$5&lt;$H$18)</f>
        <v>-0</v>
      </c>
      <c r="G67" s="124" t="n">
        <f aca="false">-(1-$I$18)*LD_Pct*$D$18*$E$18/4*AND(G$5&gt;=$G$18,G$5&lt;$H$18)</f>
        <v>-0</v>
      </c>
      <c r="H67" s="124" t="n">
        <f aca="false">-(1-$I$18)*LD_Pct*$D$18*$E$18/4*AND(H$5&gt;=$G$18,H$5&lt;$H$18)</f>
        <v>-0</v>
      </c>
      <c r="I67" s="124" t="n">
        <f aca="false">-(1-$I$18)*LD_Pct*$D$18*$E$18/4*AND(I$5&gt;=$G$18,I$5&lt;$H$18)</f>
        <v>-0</v>
      </c>
      <c r="J67" s="124" t="n">
        <f aca="false">-(1-$I$18)*LD_Pct*$D$18*$E$18/4*AND(J$5&gt;=$G$18,J$5&lt;$H$18)</f>
        <v>-0</v>
      </c>
      <c r="K67" s="124" t="n">
        <f aca="false">-(1-$I$18)*LD_Pct*$D$18*$E$18/4*AND(K$5&gt;=$G$18,K$5&lt;$H$18)</f>
        <v>-0</v>
      </c>
      <c r="L67" s="124" t="n">
        <f aca="false">-(1-$I$18)*LD_Pct*$D$18*$E$18/4*AND(L$5&gt;=$G$18,L$5&lt;$H$18)</f>
        <v>-0</v>
      </c>
      <c r="M67" s="124" t="n">
        <f aca="false">-(1-$I$18)*LD_Pct*$D$18*$E$18/4*AND(M$5&gt;=$G$18,M$5&lt;$H$18)</f>
        <v>-0</v>
      </c>
      <c r="N67" s="124" t="n">
        <f aca="false">-(1-$I$18)*LD_Pct*$D$18*$E$18/4*AND(N$5&gt;=$G$18,N$5&lt;$H$18)</f>
        <v>-0</v>
      </c>
      <c r="O67" s="124" t="n">
        <f aca="false">-(1-$I$18)*LD_Pct*$D$18*$E$18/4*AND(O$5&gt;=$G$18,O$5&lt;$H$18)</f>
        <v>-0</v>
      </c>
      <c r="P67" s="125" t="n">
        <f aca="false">-(1-$I$18)*LD_Pct*$D$18*$E$18/4*AND(P$5&gt;=$G$18,P$5&lt;$H$18)</f>
        <v>-0</v>
      </c>
      <c r="Q67" s="125" t="n">
        <f aca="false">-(1-$I$18)*LD_Pct*$D$18*$E$18/4*AND(Q$5&gt;=$G$18,Q$5&lt;$H$18)</f>
        <v>-0</v>
      </c>
      <c r="R67" s="125" t="n">
        <f aca="false">-(1-$I$18)*LD_Pct*$D$18*$E$18/4*AND(R$5&gt;=$G$18,R$5&lt;$H$18)</f>
        <v>-0</v>
      </c>
      <c r="S67" s="125" t="n">
        <f aca="false">-(1-$I$18)*LD_Pct*$D$18*$E$18/4*AND(S$5&gt;=$G$18,S$5&lt;$H$18)</f>
        <v>-0</v>
      </c>
      <c r="T67" s="125" t="n">
        <f aca="false">-(1-$I$18)*LD_Pct*$D$18*$E$18/4*AND(T$5&gt;=$G$18,T$5&lt;$H$18)</f>
        <v>-0</v>
      </c>
      <c r="U67" s="125" t="n">
        <f aca="false">-(1-$I$18)*LD_Pct*$D$18*$E$18/4*AND(U$5&gt;=$G$18,U$5&lt;$H$18)</f>
        <v>-0</v>
      </c>
      <c r="V67" s="125" t="n">
        <f aca="false">-(1-$I$18)*LD_Pct*$D$18*$E$18/4*AND(V$5&gt;=$G$18,V$5&lt;$H$18)</f>
        <v>-0</v>
      </c>
      <c r="W67" s="125" t="n">
        <f aca="false">-(1-$I$18)*LD_Pct*$D$18*$E$18/4*AND(W$5&gt;=$G$18,W$5&lt;$H$18)</f>
        <v>-0</v>
      </c>
      <c r="X67" s="125" t="n">
        <f aca="false">-(1-$I$18)*LD_Pct*$D$18*$E$18/4*AND(X$5&gt;=$G$18,X$5&lt;$H$18)</f>
        <v>-0</v>
      </c>
      <c r="Y67" s="125" t="n">
        <f aca="false">-(1-$I$18)*LD_Pct*$D$18*$E$18/4*AND(Y$5&gt;=$G$18,Y$5&lt;$H$18)</f>
        <v>-0</v>
      </c>
      <c r="Z67" s="125" t="n">
        <f aca="false">-(1-$I$18)*LD_Pct*$D$18*$E$18/4*AND(Z$5&gt;=$G$18,Z$5&lt;$H$18)</f>
        <v>-0</v>
      </c>
      <c r="AA67" s="125" t="n">
        <f aca="false">-(1-$I$18)*LD_Pct*$D$18*$E$18/4*AND(AA$5&gt;=$G$18,AA$5&lt;$H$18)</f>
        <v>-0</v>
      </c>
      <c r="AB67" s="125" t="n">
        <f aca="false">-(1-$I$18)*LD_Pct*$D$18*$E$18/4*AND(AB$5&gt;=$G$18,AB$5&lt;$H$18)</f>
        <v>-0</v>
      </c>
      <c r="AC67" s="125" t="n">
        <f aca="false">-(1-$I$18)*LD_Pct*$D$18*$E$18/4*AND(AC$5&gt;=$G$18,AC$5&lt;$H$18)</f>
        <v>-0</v>
      </c>
      <c r="AD67" s="125" t="n">
        <f aca="false">-(1-$I$18)*LD_Pct*$D$18*$E$18/4*AND(AD$5&gt;=$G$18,AD$5&lt;$H$18)</f>
        <v>-0</v>
      </c>
      <c r="AE67" s="125" t="n">
        <f aca="false">-(1-$I$18)*LD_Pct*$D$18*$E$18/4*AND(AE$5&gt;=$G$18,AE$5&lt;$H$18)</f>
        <v>-0</v>
      </c>
      <c r="AF67" s="125" t="n">
        <f aca="false">-(1-$I$18)*LD_Pct*$D$18*$E$18/4*AND(AF$5&gt;=$G$18,AF$5&lt;$H$18)</f>
        <v>-0</v>
      </c>
      <c r="AG67" s="125" t="n">
        <f aca="false">-(1-$I$18)*LD_Pct*$D$18*$E$18/4*AND(AG$5&gt;=$G$18,AG$5&lt;$H$18)</f>
        <v>-0</v>
      </c>
      <c r="AI67" s="125" t="n">
        <f aca="false">SUMIF($F$7:$AG$7,AI$7,$F67:$AG67)</f>
        <v>0</v>
      </c>
      <c r="AJ67" s="125" t="n">
        <f aca="false">SUMIF($F$7:$AG$7,AJ$7,$F67:$AG67)</f>
        <v>0</v>
      </c>
      <c r="AK67" s="125" t="n">
        <f aca="false">SUMIF($F$7:$AG$7,AK$7,$F67:$AG67)</f>
        <v>0</v>
      </c>
      <c r="AL67" s="125" t="n">
        <f aca="false">SUMIF($F$7:$AG$7,AL$7,$F67:$AG67)</f>
        <v>0</v>
      </c>
      <c r="AM67" s="125" t="n">
        <f aca="false">SUMIF($F$7:$AG$7,AM$7,$F67:$AG67)</f>
        <v>0</v>
      </c>
      <c r="AN67" s="125" t="n">
        <f aca="false">SUMIF($F$7:$AG$7,AN$7,$F67:$AG67)</f>
        <v>0</v>
      </c>
      <c r="AO67" s="125" t="n">
        <f aca="false">SUMIF($F$7:$AG$7,AO$7,$F67:$AG67)</f>
        <v>0</v>
      </c>
    </row>
    <row r="68" customFormat="false" ht="15" hidden="false" customHeight="false" outlineLevel="0" collapsed="false">
      <c r="A68" s="107" t="s">
        <v>1908</v>
      </c>
      <c r="B68" s="22" t="s">
        <v>664</v>
      </c>
      <c r="C68" s="22"/>
      <c r="D68" s="22"/>
      <c r="F68" s="116" t="n">
        <f aca="false">(1-$I$18)*(1-$J$18)*$D$18*(F$5&gt;=$H$18+$F$18)</f>
        <v>0</v>
      </c>
      <c r="G68" s="116" t="n">
        <f aca="false">(1-$I$18)*(1-$J$18)*$D$18*(G$5&gt;=$H$18+$F$18)</f>
        <v>0</v>
      </c>
      <c r="H68" s="116" t="n">
        <f aca="false">(1-$I$18)*(1-$J$18)*$D$18*(H$5&gt;=$H$18+$F$18)</f>
        <v>0</v>
      </c>
      <c r="I68" s="116" t="n">
        <f aca="false">(1-$I$18)*(1-$J$18)*$D$18*(I$5&gt;=$H$18+$F$18)</f>
        <v>0</v>
      </c>
      <c r="J68" s="116" t="n">
        <f aca="false">(1-$I$18)*(1-$J$18)*$D$18*(J$5&gt;=$H$18+$F$18)</f>
        <v>0</v>
      </c>
      <c r="K68" s="116" t="n">
        <f aca="false">(1-$I$18)*(1-$J$18)*$D$18*(K$5&gt;=$H$18+$F$18)</f>
        <v>0</v>
      </c>
      <c r="L68" s="116" t="n">
        <f aca="false">(1-$I$18)*(1-$J$18)*$D$18*(L$5&gt;=$H$18+$F$18)</f>
        <v>0</v>
      </c>
      <c r="M68" s="116" t="n">
        <f aca="false">(1-$I$18)*(1-$J$18)*$D$18*(M$5&gt;=$H$18+$F$18)</f>
        <v>0</v>
      </c>
      <c r="N68" s="116" t="n">
        <f aca="false">(1-$I$18)*(1-$J$18)*$D$18*(N$5&gt;=$H$18+$F$18)</f>
        <v>0</v>
      </c>
      <c r="O68" s="116" t="n">
        <f aca="false">(1-$I$18)*(1-$J$18)*$D$18*(O$5&gt;=$H$18+$F$18)</f>
        <v>0</v>
      </c>
      <c r="P68" s="36" t="n">
        <f aca="false">(1-$I$18)*(1-$J$18)*$D$18*(P$5&gt;=$H$18+$F$18)</f>
        <v>0</v>
      </c>
      <c r="Q68" s="36" t="n">
        <f aca="false">(1-$I$18)*(1-$J$18)*$D$18*(Q$5&gt;=$H$18+$F$18)</f>
        <v>0</v>
      </c>
      <c r="R68" s="36" t="n">
        <f aca="false">(1-$I$18)*(1-$J$18)*$D$18*(R$5&gt;=$H$18+$F$18)</f>
        <v>0</v>
      </c>
      <c r="S68" s="36" t="n">
        <f aca="false">(1-$I$18)*(1-$J$18)*$D$18*(S$5&gt;=$H$18+$F$18)</f>
        <v>0</v>
      </c>
      <c r="T68" s="36" t="n">
        <f aca="false">(1-$I$18)*(1-$J$18)*$D$18*(T$5&gt;=$H$18+$F$18)</f>
        <v>0</v>
      </c>
      <c r="U68" s="36" t="n">
        <f aca="false">(1-$I$18)*(1-$J$18)*$D$18*(U$5&gt;=$H$18+$F$18)</f>
        <v>0</v>
      </c>
      <c r="V68" s="36" t="n">
        <f aca="false">(1-$I$18)*(1-$J$18)*$D$18*(V$5&gt;=$H$18+$F$18)</f>
        <v>0</v>
      </c>
      <c r="W68" s="36" t="n">
        <f aca="false">(1-$I$18)*(1-$J$18)*$D$18*(W$5&gt;=$H$18+$F$18)</f>
        <v>0</v>
      </c>
      <c r="X68" s="36" t="n">
        <f aca="false">(1-$I$18)*(1-$J$18)*$D$18*(X$5&gt;=$H$18+$F$18)</f>
        <v>0</v>
      </c>
      <c r="Y68" s="36" t="n">
        <f aca="false">(1-$I$18)*(1-$J$18)*$D$18*(Y$5&gt;=$H$18+$F$18)</f>
        <v>0</v>
      </c>
      <c r="Z68" s="36" t="n">
        <f aca="false">(1-$I$18)*(1-$J$18)*$D$18*(Z$5&gt;=$H$18+$F$18)</f>
        <v>0</v>
      </c>
      <c r="AA68" s="36" t="n">
        <f aca="false">(1-$I$18)*(1-$J$18)*$D$18*(AA$5&gt;=$H$18+$F$18)</f>
        <v>0</v>
      </c>
      <c r="AB68" s="36" t="n">
        <f aca="false">(1-$I$18)*(1-$J$18)*$D$18*(AB$5&gt;=$H$18+$F$18)</f>
        <v>0</v>
      </c>
      <c r="AC68" s="36" t="n">
        <f aca="false">(1-$I$18)*(1-$J$18)*$D$18*(AC$5&gt;=$H$18+$F$18)</f>
        <v>0</v>
      </c>
      <c r="AD68" s="36" t="n">
        <f aca="false">(1-$I$18)*(1-$J$18)*$D$18*(AD$5&gt;=$H$18+$F$18)</f>
        <v>0</v>
      </c>
      <c r="AE68" s="36" t="n">
        <f aca="false">(1-$I$18)*(1-$J$18)*$D$18*(AE$5&gt;=$H$18+$F$18)</f>
        <v>0</v>
      </c>
      <c r="AF68" s="36" t="n">
        <f aca="false">(1-$I$18)*(1-$J$18)*$D$18*(AF$5&gt;=$H$18+$F$18)</f>
        <v>0</v>
      </c>
      <c r="AG68" s="36" t="n">
        <f aca="false">(1-$I$18)*(1-$J$18)*$D$18*(AG$5&gt;=$H$18+$F$18)</f>
        <v>0</v>
      </c>
      <c r="AI68" s="36" t="n">
        <f aca="false">INDEX($F68:$AG68,1,MATCH(AI$7,$F$7:$AG$7,1))</f>
        <v>0</v>
      </c>
      <c r="AJ68" s="36" t="n">
        <f aca="false">INDEX($F68:$AG68,1,MATCH(AJ$7,$F$7:$AG$7,1))</f>
        <v>0</v>
      </c>
      <c r="AK68" s="36" t="n">
        <f aca="false">INDEX($F68:$AG68,1,MATCH(AK$7,$F$7:$AG$7,1))</f>
        <v>0</v>
      </c>
      <c r="AL68" s="36" t="n">
        <f aca="false">INDEX($F68:$AG68,1,MATCH(AL$7,$F$7:$AG$7,1))</f>
        <v>0</v>
      </c>
      <c r="AM68" s="36" t="n">
        <f aca="false">INDEX($F68:$AG68,1,MATCH(AM$7,$F$7:$AG$7,1))</f>
        <v>0</v>
      </c>
      <c r="AN68" s="36" t="n">
        <f aca="false">INDEX($F68:$AG68,1,MATCH(AN$7,$F$7:$AG$7,1))</f>
        <v>0</v>
      </c>
      <c r="AO68" s="36" t="n">
        <f aca="false">INDEX($F68:$AG68,1,MATCH(AO$7,$F$7:$AG$7,1))</f>
        <v>0</v>
      </c>
    </row>
    <row r="69" customFormat="false" ht="15" hidden="false" customHeight="false" outlineLevel="0" collapsed="false">
      <c r="A69" s="107" t="s">
        <v>1909</v>
      </c>
      <c r="B69" s="22" t="s">
        <v>613</v>
      </c>
      <c r="C69" s="22"/>
      <c r="D69" s="22" t="s">
        <v>1879</v>
      </c>
      <c r="F69" s="124" t="n">
        <f aca="false">F68*CHOOSE(MATCH($C$18,{"H";"B";"N"},0),GPUMW_H*ODc_H,GPUMW_B*ODc_B,GPUMW_N*ODc_N)*ResidUtil*Timeline!F$9*INDEX(Curve,1,MAX(1,MIN(8,INT((F$5-$H$18)/4)+1)))/1000000</f>
        <v>0</v>
      </c>
      <c r="G69" s="124" t="n">
        <f aca="false">G68*CHOOSE(MATCH($C$18,{"H";"B";"N"},0),GPUMW_H*ODc_H,GPUMW_B*ODc_B,GPUMW_N*ODc_N)*ResidUtil*Timeline!G$9*INDEX(Curve,1,MAX(1,MIN(8,INT((G$5-$H$18)/4)+1)))/1000000</f>
        <v>0</v>
      </c>
      <c r="H69" s="124" t="n">
        <f aca="false">H68*CHOOSE(MATCH($C$18,{"H";"B";"N"},0),GPUMW_H*ODc_H,GPUMW_B*ODc_B,GPUMW_N*ODc_N)*ResidUtil*Timeline!H$9*INDEX(Curve,1,MAX(1,MIN(8,INT((H$5-$H$18)/4)+1)))/1000000</f>
        <v>0</v>
      </c>
      <c r="I69" s="124" t="n">
        <f aca="false">I68*CHOOSE(MATCH($C$18,{"H";"B";"N"},0),GPUMW_H*ODc_H,GPUMW_B*ODc_B,GPUMW_N*ODc_N)*ResidUtil*Timeline!I$9*INDEX(Curve,1,MAX(1,MIN(8,INT((I$5-$H$18)/4)+1)))/1000000</f>
        <v>0</v>
      </c>
      <c r="J69" s="124" t="n">
        <f aca="false">J68*CHOOSE(MATCH($C$18,{"H";"B";"N"},0),GPUMW_H*ODc_H,GPUMW_B*ODc_B,GPUMW_N*ODc_N)*ResidUtil*Timeline!J$9*INDEX(Curve,1,MAX(1,MIN(8,INT((J$5-$H$18)/4)+1)))/1000000</f>
        <v>0</v>
      </c>
      <c r="K69" s="124" t="n">
        <f aca="false">K68*CHOOSE(MATCH($C$18,{"H";"B";"N"},0),GPUMW_H*ODc_H,GPUMW_B*ODc_B,GPUMW_N*ODc_N)*ResidUtil*Timeline!K$9*INDEX(Curve,1,MAX(1,MIN(8,INT((K$5-$H$18)/4)+1)))/1000000</f>
        <v>0</v>
      </c>
      <c r="L69" s="124" t="n">
        <f aca="false">L68*CHOOSE(MATCH($C$18,{"H";"B";"N"},0),GPUMW_H*ODc_H,GPUMW_B*ODc_B,GPUMW_N*ODc_N)*ResidUtil*Timeline!L$9*INDEX(Curve,1,MAX(1,MIN(8,INT((L$5-$H$18)/4)+1)))/1000000</f>
        <v>0</v>
      </c>
      <c r="M69" s="124" t="n">
        <f aca="false">M68*CHOOSE(MATCH($C$18,{"H";"B";"N"},0),GPUMW_H*ODc_H,GPUMW_B*ODc_B,GPUMW_N*ODc_N)*ResidUtil*Timeline!M$9*INDEX(Curve,1,MAX(1,MIN(8,INT((M$5-$H$18)/4)+1)))/1000000</f>
        <v>0</v>
      </c>
      <c r="N69" s="124" t="n">
        <f aca="false">N68*CHOOSE(MATCH($C$18,{"H";"B";"N"},0),GPUMW_H*ODc_H,GPUMW_B*ODc_B,GPUMW_N*ODc_N)*ResidUtil*Timeline!N$9*INDEX(Curve,1,MAX(1,MIN(8,INT((N$5-$H$18)/4)+1)))/1000000</f>
        <v>0</v>
      </c>
      <c r="O69" s="124" t="n">
        <f aca="false">O68*CHOOSE(MATCH($C$18,{"H";"B";"N"},0),GPUMW_H*ODc_H,GPUMW_B*ODc_B,GPUMW_N*ODc_N)*ResidUtil*Timeline!O$9*INDEX(Curve,1,MAX(1,MIN(8,INT((O$5-$H$18)/4)+1)))/1000000</f>
        <v>0</v>
      </c>
      <c r="P69" s="125" t="n">
        <f aca="false">P68*CHOOSE(MATCH($C$18,{"H";"B";"N"},0),GPUMW_H*ODc_H,GPUMW_B*ODc_B,GPUMW_N*ODc_N)*ResidUtil*Timeline!P$9*INDEX(Curve,1,MAX(1,MIN(8,INT((P$5-$H$18)/4)+1)))/1000000</f>
        <v>0</v>
      </c>
      <c r="Q69" s="125" t="n">
        <f aca="false">Q68*CHOOSE(MATCH($C$18,{"H";"B";"N"},0),GPUMW_H*ODc_H,GPUMW_B*ODc_B,GPUMW_N*ODc_N)*ResidUtil*Timeline!Q$9*INDEX(Curve,1,MAX(1,MIN(8,INT((Q$5-$H$18)/4)+1)))/1000000</f>
        <v>0</v>
      </c>
      <c r="R69" s="125" t="n">
        <f aca="false">R68*CHOOSE(MATCH($C$18,{"H";"B";"N"},0),GPUMW_H*ODc_H,GPUMW_B*ODc_B,GPUMW_N*ODc_N)*ResidUtil*Timeline!R$9*INDEX(Curve,1,MAX(1,MIN(8,INT((R$5-$H$18)/4)+1)))/1000000</f>
        <v>0</v>
      </c>
      <c r="S69" s="125" t="n">
        <f aca="false">S68*CHOOSE(MATCH($C$18,{"H";"B";"N"},0),GPUMW_H*ODc_H,GPUMW_B*ODc_B,GPUMW_N*ODc_N)*ResidUtil*Timeline!S$9*INDEX(Curve,1,MAX(1,MIN(8,INT((S$5-$H$18)/4)+1)))/1000000</f>
        <v>0</v>
      </c>
      <c r="T69" s="125" t="n">
        <f aca="false">T68*CHOOSE(MATCH($C$18,{"H";"B";"N"},0),GPUMW_H*ODc_H,GPUMW_B*ODc_B,GPUMW_N*ODc_N)*ResidUtil*Timeline!T$9*INDEX(Curve,1,MAX(1,MIN(8,INT((T$5-$H$18)/4)+1)))/1000000</f>
        <v>0</v>
      </c>
      <c r="U69" s="125" t="n">
        <f aca="false">U68*CHOOSE(MATCH($C$18,{"H";"B";"N"},0),GPUMW_H*ODc_H,GPUMW_B*ODc_B,GPUMW_N*ODc_N)*ResidUtil*Timeline!U$9*INDEX(Curve,1,MAX(1,MIN(8,INT((U$5-$H$18)/4)+1)))/1000000</f>
        <v>0</v>
      </c>
      <c r="V69" s="125" t="n">
        <f aca="false">V68*CHOOSE(MATCH($C$18,{"H";"B";"N"},0),GPUMW_H*ODc_H,GPUMW_B*ODc_B,GPUMW_N*ODc_N)*ResidUtil*Timeline!V$9*INDEX(Curve,1,MAX(1,MIN(8,INT((V$5-$H$18)/4)+1)))/1000000</f>
        <v>0</v>
      </c>
      <c r="W69" s="125" t="n">
        <f aca="false">W68*CHOOSE(MATCH($C$18,{"H";"B";"N"},0),GPUMW_H*ODc_H,GPUMW_B*ODc_B,GPUMW_N*ODc_N)*ResidUtil*Timeline!W$9*INDEX(Curve,1,MAX(1,MIN(8,INT((W$5-$H$18)/4)+1)))/1000000</f>
        <v>0</v>
      </c>
      <c r="X69" s="125" t="n">
        <f aca="false">X68*CHOOSE(MATCH($C$18,{"H";"B";"N"},0),GPUMW_H*ODc_H,GPUMW_B*ODc_B,GPUMW_N*ODc_N)*ResidUtil*Timeline!X$9*INDEX(Curve,1,MAX(1,MIN(8,INT((X$5-$H$18)/4)+1)))/1000000</f>
        <v>0</v>
      </c>
      <c r="Y69" s="125" t="n">
        <f aca="false">Y68*CHOOSE(MATCH($C$18,{"H";"B";"N"},0),GPUMW_H*ODc_H,GPUMW_B*ODc_B,GPUMW_N*ODc_N)*ResidUtil*Timeline!Y$9*INDEX(Curve,1,MAX(1,MIN(8,INT((Y$5-$H$18)/4)+1)))/1000000</f>
        <v>0</v>
      </c>
      <c r="Z69" s="125" t="n">
        <f aca="false">Z68*CHOOSE(MATCH($C$18,{"H";"B";"N"},0),GPUMW_H*ODc_H,GPUMW_B*ODc_B,GPUMW_N*ODc_N)*ResidUtil*Timeline!Z$9*INDEX(Curve,1,MAX(1,MIN(8,INT((Z$5-$H$18)/4)+1)))/1000000</f>
        <v>0</v>
      </c>
      <c r="AA69" s="125" t="n">
        <f aca="false">AA68*CHOOSE(MATCH($C$18,{"H";"B";"N"},0),GPUMW_H*ODc_H,GPUMW_B*ODc_B,GPUMW_N*ODc_N)*ResidUtil*Timeline!AA$9*INDEX(Curve,1,MAX(1,MIN(8,INT((AA$5-$H$18)/4)+1)))/1000000</f>
        <v>0</v>
      </c>
      <c r="AB69" s="125" t="n">
        <f aca="false">AB68*CHOOSE(MATCH($C$18,{"H";"B";"N"},0),GPUMW_H*ODc_H,GPUMW_B*ODc_B,GPUMW_N*ODc_N)*ResidUtil*Timeline!AB$9*INDEX(Curve,1,MAX(1,MIN(8,INT((AB$5-$H$18)/4)+1)))/1000000</f>
        <v>0</v>
      </c>
      <c r="AC69" s="125" t="n">
        <f aca="false">AC68*CHOOSE(MATCH($C$18,{"H";"B";"N"},0),GPUMW_H*ODc_H,GPUMW_B*ODc_B,GPUMW_N*ODc_N)*ResidUtil*Timeline!AC$9*INDEX(Curve,1,MAX(1,MIN(8,INT((AC$5-$H$18)/4)+1)))/1000000</f>
        <v>0</v>
      </c>
      <c r="AD69" s="125" t="n">
        <f aca="false">AD68*CHOOSE(MATCH($C$18,{"H";"B";"N"},0),GPUMW_H*ODc_H,GPUMW_B*ODc_B,GPUMW_N*ODc_N)*ResidUtil*Timeline!AD$9*INDEX(Curve,1,MAX(1,MIN(8,INT((AD$5-$H$18)/4)+1)))/1000000</f>
        <v>0</v>
      </c>
      <c r="AE69" s="125" t="n">
        <f aca="false">AE68*CHOOSE(MATCH($C$18,{"H";"B";"N"},0),GPUMW_H*ODc_H,GPUMW_B*ODc_B,GPUMW_N*ODc_N)*ResidUtil*Timeline!AE$9*INDEX(Curve,1,MAX(1,MIN(8,INT((AE$5-$H$18)/4)+1)))/1000000</f>
        <v>0</v>
      </c>
      <c r="AF69" s="125" t="n">
        <f aca="false">AF68*CHOOSE(MATCH($C$18,{"H";"B";"N"},0),GPUMW_H*ODc_H,GPUMW_B*ODc_B,GPUMW_N*ODc_N)*ResidUtil*Timeline!AF$9*INDEX(Curve,1,MAX(1,MIN(8,INT((AF$5-$H$18)/4)+1)))/1000000</f>
        <v>0</v>
      </c>
      <c r="AG69" s="125" t="n">
        <f aca="false">AG68*CHOOSE(MATCH($C$18,{"H";"B";"N"},0),GPUMW_H*ODc_H,GPUMW_B*ODc_B,GPUMW_N*ODc_N)*ResidUtil*Timeline!AG$9*INDEX(Curve,1,MAX(1,MIN(8,INT((AG$5-$H$18)/4)+1)))/1000000</f>
        <v>0</v>
      </c>
      <c r="AI69" s="125" t="n">
        <f aca="false">SUMIF($F$7:$AG$7,AI$7,$F69:$AG69)</f>
        <v>0</v>
      </c>
      <c r="AJ69" s="125" t="n">
        <f aca="false">SUMIF($F$7:$AG$7,AJ$7,$F69:$AG69)</f>
        <v>0</v>
      </c>
      <c r="AK69" s="125" t="n">
        <f aca="false">SUMIF($F$7:$AG$7,AK$7,$F69:$AG69)</f>
        <v>0</v>
      </c>
      <c r="AL69" s="125" t="n">
        <f aca="false">SUMIF($F$7:$AG$7,AL$7,$F69:$AG69)</f>
        <v>0</v>
      </c>
      <c r="AM69" s="125" t="n">
        <f aca="false">SUMIF($F$7:$AG$7,AM$7,$F69:$AG69)</f>
        <v>0</v>
      </c>
      <c r="AN69" s="125" t="n">
        <f aca="false">SUMIF($F$7:$AG$7,AN$7,$F69:$AG69)</f>
        <v>0</v>
      </c>
      <c r="AO69" s="125" t="n">
        <f aca="false">SUMIF($F$7:$AG$7,AO$7,$F69:$AG69)</f>
        <v>0</v>
      </c>
    </row>
    <row r="70" customFormat="false" ht="15" hidden="false" customHeight="false" outlineLevel="0" collapsed="false">
      <c r="A70" s="107" t="s">
        <v>1910</v>
      </c>
      <c r="B70" s="22" t="s">
        <v>613</v>
      </c>
      <c r="C70" s="22"/>
      <c r="D70" s="22"/>
      <c r="F70" s="124" t="n">
        <f aca="false">(1-$I$19)*(1-$J$19)*$D$19*$E$19/4*MIN(1,MAX(0,(F$5-$H$19+1)/$T$19))*IF(F$5=$H$19,DelivFactor,IF(AND(F$5&gt;$H$19,F$5&lt;$H$19+$F$19),1,IF(F$5=$H$19+$F$19,1-DelivFactor,0)))</f>
        <v>0</v>
      </c>
      <c r="G70" s="124" t="n">
        <f aca="false">(1-$I$19)*(1-$J$19)*$D$19*$E$19/4*MIN(1,MAX(0,(G$5-$H$19+1)/$T$19))*IF(G$5=$H$19,DelivFactor,IF(AND(G$5&gt;$H$19,G$5&lt;$H$19+$F$19),1,IF(G$5=$H$19+$F$19,1-DelivFactor,0)))</f>
        <v>0</v>
      </c>
      <c r="H70" s="124" t="n">
        <f aca="false">(1-$I$19)*(1-$J$19)*$D$19*$E$19/4*MIN(1,MAX(0,(H$5-$H$19+1)/$T$19))*IF(H$5=$H$19,DelivFactor,IF(AND(H$5&gt;$H$19,H$5&lt;$H$19+$F$19),1,IF(H$5=$H$19+$F$19,1-DelivFactor,0)))</f>
        <v>0</v>
      </c>
      <c r="I70" s="124" t="n">
        <f aca="false">(1-$I$19)*(1-$J$19)*$D$19*$E$19/4*MIN(1,MAX(0,(I$5-$H$19+1)/$T$19))*IF(I$5=$H$19,DelivFactor,IF(AND(I$5&gt;$H$19,I$5&lt;$H$19+$F$19),1,IF(I$5=$H$19+$F$19,1-DelivFactor,0)))</f>
        <v>0</v>
      </c>
      <c r="J70" s="124" t="n">
        <f aca="false">(1-$I$19)*(1-$J$19)*$D$19*$E$19/4*MIN(1,MAX(0,(J$5-$H$19+1)/$T$19))*IF(J$5=$H$19,DelivFactor,IF(AND(J$5&gt;$H$19,J$5&lt;$H$19+$F$19),1,IF(J$5=$H$19+$F$19,1-DelivFactor,0)))</f>
        <v>0</v>
      </c>
      <c r="K70" s="124" t="n">
        <f aca="false">(1-$I$19)*(1-$J$19)*$D$19*$E$19/4*MIN(1,MAX(0,(K$5-$H$19+1)/$T$19))*IF(K$5=$H$19,DelivFactor,IF(AND(K$5&gt;$H$19,K$5&lt;$H$19+$F$19),1,IF(K$5=$H$19+$F$19,1-DelivFactor,0)))</f>
        <v>0</v>
      </c>
      <c r="L70" s="124" t="n">
        <f aca="false">(1-$I$19)*(1-$J$19)*$D$19*$E$19/4*MIN(1,MAX(0,(L$5-$H$19+1)/$T$19))*IF(L$5=$H$19,DelivFactor,IF(AND(L$5&gt;$H$19,L$5&lt;$H$19+$F$19),1,IF(L$5=$H$19+$F$19,1-DelivFactor,0)))</f>
        <v>0</v>
      </c>
      <c r="M70" s="124" t="n">
        <f aca="false">(1-$I$19)*(1-$J$19)*$D$19*$E$19/4*MIN(1,MAX(0,(M$5-$H$19+1)/$T$19))*IF(M$5=$H$19,DelivFactor,IF(AND(M$5&gt;$H$19,M$5&lt;$H$19+$F$19),1,IF(M$5=$H$19+$F$19,1-DelivFactor,0)))</f>
        <v>0</v>
      </c>
      <c r="N70" s="124" t="n">
        <f aca="false">(1-$I$19)*(1-$J$19)*$D$19*$E$19/4*MIN(1,MAX(0,(N$5-$H$19+1)/$T$19))*IF(N$5=$H$19,DelivFactor,IF(AND(N$5&gt;$H$19,N$5&lt;$H$19+$F$19),1,IF(N$5=$H$19+$F$19,1-DelivFactor,0)))</f>
        <v>0</v>
      </c>
      <c r="O70" s="124" t="n">
        <f aca="false">(1-$I$19)*(1-$J$19)*$D$19*$E$19/4*MIN(1,MAX(0,(O$5-$H$19+1)/$T$19))*IF(O$5=$H$19,DelivFactor,IF(AND(O$5&gt;$H$19,O$5&lt;$H$19+$F$19),1,IF(O$5=$H$19+$F$19,1-DelivFactor,0)))</f>
        <v>0</v>
      </c>
      <c r="P70" s="125" t="n">
        <f aca="false">(1-$I$19)*(1-$J$19)*$D$19*$E$19/4*MIN(1,MAX(0,(P$5-$H$19+1)/$T$19))*IF(P$5=$H$19,DelivFactor,IF(AND(P$5&gt;$H$19,P$5&lt;$H$19+$F$19),1,IF(P$5=$H$19+$F$19,1-DelivFactor,0)))</f>
        <v>0</v>
      </c>
      <c r="Q70" s="125" t="n">
        <f aca="false">(1-$I$19)*(1-$J$19)*$D$19*$E$19/4*MIN(1,MAX(0,(Q$5-$H$19+1)/$T$19))*IF(Q$5=$H$19,DelivFactor,IF(AND(Q$5&gt;$H$19,Q$5&lt;$H$19+$F$19),1,IF(Q$5=$H$19+$F$19,1-DelivFactor,0)))</f>
        <v>0</v>
      </c>
      <c r="R70" s="125" t="n">
        <f aca="false">(1-$I$19)*(1-$J$19)*$D$19*$E$19/4*MIN(1,MAX(0,(R$5-$H$19+1)/$T$19))*IF(R$5=$H$19,DelivFactor,IF(AND(R$5&gt;$H$19,R$5&lt;$H$19+$F$19),1,IF(R$5=$H$19+$F$19,1-DelivFactor,0)))</f>
        <v>0</v>
      </c>
      <c r="S70" s="125" t="n">
        <f aca="false">(1-$I$19)*(1-$J$19)*$D$19*$E$19/4*MIN(1,MAX(0,(S$5-$H$19+1)/$T$19))*IF(S$5=$H$19,DelivFactor,IF(AND(S$5&gt;$H$19,S$5&lt;$H$19+$F$19),1,IF(S$5=$H$19+$F$19,1-DelivFactor,0)))</f>
        <v>0</v>
      </c>
      <c r="T70" s="125" t="n">
        <f aca="false">(1-$I$19)*(1-$J$19)*$D$19*$E$19/4*MIN(1,MAX(0,(T$5-$H$19+1)/$T$19))*IF(T$5=$H$19,DelivFactor,IF(AND(T$5&gt;$H$19,T$5&lt;$H$19+$F$19),1,IF(T$5=$H$19+$F$19,1-DelivFactor,0)))</f>
        <v>12.0784027777778</v>
      </c>
      <c r="U70" s="125" t="n">
        <f aca="false">(1-$I$19)*(1-$J$19)*$D$19*$E$19/4*MIN(1,MAX(0,(U$5-$H$19+1)/$T$19))*IF(U$5=$H$19,DelivFactor,IF(AND(U$5&gt;$H$19,U$5&lt;$H$19+$F$19),1,IF(U$5=$H$19+$F$19,1-DelivFactor,0)))</f>
        <v>48.3136111111111</v>
      </c>
      <c r="V70" s="125" t="n">
        <f aca="false">(1-$I$19)*(1-$J$19)*$D$19*$E$19/4*MIN(1,MAX(0,(V$5-$H$19+1)/$T$19))*IF(V$5=$H$19,DelivFactor,IF(AND(V$5&gt;$H$19,V$5&lt;$H$19+$F$19),1,IF(V$5=$H$19+$F$19,1-DelivFactor,0)))</f>
        <v>72.4704166666667</v>
      </c>
      <c r="W70" s="125" t="n">
        <f aca="false">(1-$I$19)*(1-$J$19)*$D$19*$E$19/4*MIN(1,MAX(0,(W$5-$H$19+1)/$T$19))*IF(W$5=$H$19,DelivFactor,IF(AND(W$5&gt;$H$19,W$5&lt;$H$19+$F$19),1,IF(W$5=$H$19+$F$19,1-DelivFactor,0)))</f>
        <v>96.6272222222222</v>
      </c>
      <c r="X70" s="125" t="n">
        <f aca="false">(1-$I$19)*(1-$J$19)*$D$19*$E$19/4*MIN(1,MAX(0,(X$5-$H$19+1)/$T$19))*IF(X$5=$H$19,DelivFactor,IF(AND(X$5&gt;$H$19,X$5&lt;$H$19+$F$19),1,IF(X$5=$H$19+$F$19,1-DelivFactor,0)))</f>
        <v>96.6272222222222</v>
      </c>
      <c r="Y70" s="125" t="n">
        <f aca="false">(1-$I$19)*(1-$J$19)*$D$19*$E$19/4*MIN(1,MAX(0,(Y$5-$H$19+1)/$T$19))*IF(Y$5=$H$19,DelivFactor,IF(AND(Y$5&gt;$H$19,Y$5&lt;$H$19+$F$19),1,IF(Y$5=$H$19+$F$19,1-DelivFactor,0)))</f>
        <v>96.6272222222222</v>
      </c>
      <c r="Z70" s="125" t="n">
        <f aca="false">(1-$I$19)*(1-$J$19)*$D$19*$E$19/4*MIN(1,MAX(0,(Z$5-$H$19+1)/$T$19))*IF(Z$5=$H$19,DelivFactor,IF(AND(Z$5&gt;$H$19,Z$5&lt;$H$19+$F$19),1,IF(Z$5=$H$19+$F$19,1-DelivFactor,0)))</f>
        <v>96.6272222222222</v>
      </c>
      <c r="AA70" s="125" t="n">
        <f aca="false">(1-$I$19)*(1-$J$19)*$D$19*$E$19/4*MIN(1,MAX(0,(AA$5-$H$19+1)/$T$19))*IF(AA$5=$H$19,DelivFactor,IF(AND(AA$5&gt;$H$19,AA$5&lt;$H$19+$F$19),1,IF(AA$5=$H$19+$F$19,1-DelivFactor,0)))</f>
        <v>96.6272222222222</v>
      </c>
      <c r="AB70" s="125" t="n">
        <f aca="false">(1-$I$19)*(1-$J$19)*$D$19*$E$19/4*MIN(1,MAX(0,(AB$5-$H$19+1)/$T$19))*IF(AB$5=$H$19,DelivFactor,IF(AND(AB$5&gt;$H$19,AB$5&lt;$H$19+$F$19),1,IF(AB$5=$H$19+$F$19,1-DelivFactor,0)))</f>
        <v>96.6272222222222</v>
      </c>
      <c r="AC70" s="125" t="n">
        <f aca="false">(1-$I$19)*(1-$J$19)*$D$19*$E$19/4*MIN(1,MAX(0,(AC$5-$H$19+1)/$T$19))*IF(AC$5=$H$19,DelivFactor,IF(AND(AC$5&gt;$H$19,AC$5&lt;$H$19+$F$19),1,IF(AC$5=$H$19+$F$19,1-DelivFactor,0)))</f>
        <v>96.6272222222222</v>
      </c>
      <c r="AD70" s="125" t="n">
        <f aca="false">(1-$I$19)*(1-$J$19)*$D$19*$E$19/4*MIN(1,MAX(0,(AD$5-$H$19+1)/$T$19))*IF(AD$5=$H$19,DelivFactor,IF(AND(AD$5&gt;$H$19,AD$5&lt;$H$19+$F$19),1,IF(AD$5=$H$19+$F$19,1-DelivFactor,0)))</f>
        <v>96.6272222222222</v>
      </c>
      <c r="AE70" s="125" t="n">
        <f aca="false">(1-$I$19)*(1-$J$19)*$D$19*$E$19/4*MIN(1,MAX(0,(AE$5-$H$19+1)/$T$19))*IF(AE$5=$H$19,DelivFactor,IF(AND(AE$5&gt;$H$19,AE$5&lt;$H$19+$F$19),1,IF(AE$5=$H$19+$F$19,1-DelivFactor,0)))</f>
        <v>96.6272222222222</v>
      </c>
      <c r="AF70" s="125" t="n">
        <f aca="false">(1-$I$19)*(1-$J$19)*$D$19*$E$19/4*MIN(1,MAX(0,(AF$5-$H$19+1)/$T$19))*IF(AF$5=$H$19,DelivFactor,IF(AND(AF$5&gt;$H$19,AF$5&lt;$H$19+$F$19),1,IF(AF$5=$H$19+$F$19,1-DelivFactor,0)))</f>
        <v>96.6272222222222</v>
      </c>
      <c r="AG70" s="125" t="n">
        <f aca="false">(1-$I$19)*(1-$J$19)*$D$19*$E$19/4*MIN(1,MAX(0,(AG$5-$H$19+1)/$T$19))*IF(AG$5=$H$19,DelivFactor,IF(AND(AG$5&gt;$H$19,AG$5&lt;$H$19+$F$19),1,IF(AG$5=$H$19+$F$19,1-DelivFactor,0)))</f>
        <v>96.6272222222222</v>
      </c>
      <c r="AI70" s="125" t="n">
        <f aca="false">SUMIF($F$7:$AG$7,AI$7,$F70:$AG70)</f>
        <v>0</v>
      </c>
      <c r="AJ70" s="125" t="n">
        <f aca="false">SUMIF($F$7:$AG$7,AJ$7,$F70:$AG70)</f>
        <v>0</v>
      </c>
      <c r="AK70" s="125" t="n">
        <f aca="false">SUMIF($F$7:$AG$7,AK$7,$F70:$AG70)</f>
        <v>0</v>
      </c>
      <c r="AL70" s="125" t="n">
        <f aca="false">SUMIF($F$7:$AG$7,AL$7,$F70:$AG70)</f>
        <v>60.3920138888889</v>
      </c>
      <c r="AM70" s="125" t="n">
        <f aca="false">SUMIF($F$7:$AG$7,AM$7,$F70:$AG70)</f>
        <v>362.352083333333</v>
      </c>
      <c r="AN70" s="125" t="n">
        <f aca="false">SUMIF($F$7:$AG$7,AN$7,$F70:$AG70)</f>
        <v>386.508888888889</v>
      </c>
      <c r="AO70" s="125" t="n">
        <f aca="false">SUMIF($F$7:$AG$7,AO$7,$F70:$AG70)</f>
        <v>386.508888888889</v>
      </c>
    </row>
    <row r="71" customFormat="false" ht="15" hidden="false" customHeight="false" outlineLevel="0" collapsed="false">
      <c r="A71" s="107" t="s">
        <v>1911</v>
      </c>
      <c r="B71" s="22" t="s">
        <v>664</v>
      </c>
      <c r="C71" s="22"/>
      <c r="D71" s="22"/>
      <c r="F71" s="116" t="n">
        <f aca="false">(1-$I$19)*(1-$J$19)*$D$19*AND(F$5&gt;=$H$19,F$5&lt;$H$19+$F$19)</f>
        <v>0</v>
      </c>
      <c r="G71" s="116" t="n">
        <f aca="false">(1-$I$19)*(1-$J$19)*$D$19*AND(G$5&gt;=$H$19,G$5&lt;$H$19+$F$19)</f>
        <v>0</v>
      </c>
      <c r="H71" s="116" t="n">
        <f aca="false">(1-$I$19)*(1-$J$19)*$D$19*AND(H$5&gt;=$H$19,H$5&lt;$H$19+$F$19)</f>
        <v>0</v>
      </c>
      <c r="I71" s="116" t="n">
        <f aca="false">(1-$I$19)*(1-$J$19)*$D$19*AND(I$5&gt;=$H$19,I$5&lt;$H$19+$F$19)</f>
        <v>0</v>
      </c>
      <c r="J71" s="116" t="n">
        <f aca="false">(1-$I$19)*(1-$J$19)*$D$19*AND(J$5&gt;=$H$19,J$5&lt;$H$19+$F$19)</f>
        <v>0</v>
      </c>
      <c r="K71" s="116" t="n">
        <f aca="false">(1-$I$19)*(1-$J$19)*$D$19*AND(K$5&gt;=$H$19,K$5&lt;$H$19+$F$19)</f>
        <v>0</v>
      </c>
      <c r="L71" s="116" t="n">
        <f aca="false">(1-$I$19)*(1-$J$19)*$D$19*AND(L$5&gt;=$H$19,L$5&lt;$H$19+$F$19)</f>
        <v>0</v>
      </c>
      <c r="M71" s="116" t="n">
        <f aca="false">(1-$I$19)*(1-$J$19)*$D$19*AND(M$5&gt;=$H$19,M$5&lt;$H$19+$F$19)</f>
        <v>0</v>
      </c>
      <c r="N71" s="116" t="n">
        <f aca="false">(1-$I$19)*(1-$J$19)*$D$19*AND(N$5&gt;=$H$19,N$5&lt;$H$19+$F$19)</f>
        <v>0</v>
      </c>
      <c r="O71" s="116" t="n">
        <f aca="false">(1-$I$19)*(1-$J$19)*$D$19*AND(O$5&gt;=$H$19,O$5&lt;$H$19+$F$19)</f>
        <v>0</v>
      </c>
      <c r="P71" s="36" t="n">
        <f aca="false">(1-$I$19)*(1-$J$19)*$D$19*AND(P$5&gt;=$H$19,P$5&lt;$H$19+$F$19)</f>
        <v>0</v>
      </c>
      <c r="Q71" s="36" t="n">
        <f aca="false">(1-$I$19)*(1-$J$19)*$D$19*AND(Q$5&gt;=$H$19,Q$5&lt;$H$19+$F$19)</f>
        <v>0</v>
      </c>
      <c r="R71" s="36" t="n">
        <f aca="false">(1-$I$19)*(1-$J$19)*$D$19*AND(R$5&gt;=$H$19,R$5&lt;$H$19+$F$19)</f>
        <v>0</v>
      </c>
      <c r="S71" s="36" t="n">
        <f aca="false">(1-$I$19)*(1-$J$19)*$D$19*AND(S$5&gt;=$H$19,S$5&lt;$H$19+$F$19)</f>
        <v>0</v>
      </c>
      <c r="T71" s="36" t="n">
        <f aca="false">(1-$I$19)*(1-$J$19)*$D$19*AND(T$5&gt;=$H$19,T$5&lt;$H$19+$F$19)</f>
        <v>26.6666666666667</v>
      </c>
      <c r="U71" s="36" t="n">
        <f aca="false">(1-$I$19)*(1-$J$19)*$D$19*AND(U$5&gt;=$H$19,U$5&lt;$H$19+$F$19)</f>
        <v>26.6666666666667</v>
      </c>
      <c r="V71" s="36" t="n">
        <f aca="false">(1-$I$19)*(1-$J$19)*$D$19*AND(V$5&gt;=$H$19,V$5&lt;$H$19+$F$19)</f>
        <v>26.6666666666667</v>
      </c>
      <c r="W71" s="36" t="n">
        <f aca="false">(1-$I$19)*(1-$J$19)*$D$19*AND(W$5&gt;=$H$19,W$5&lt;$H$19+$F$19)</f>
        <v>26.6666666666667</v>
      </c>
      <c r="X71" s="36" t="n">
        <f aca="false">(1-$I$19)*(1-$J$19)*$D$19*AND(X$5&gt;=$H$19,X$5&lt;$H$19+$F$19)</f>
        <v>26.6666666666667</v>
      </c>
      <c r="Y71" s="36" t="n">
        <f aca="false">(1-$I$19)*(1-$J$19)*$D$19*AND(Y$5&gt;=$H$19,Y$5&lt;$H$19+$F$19)</f>
        <v>26.6666666666667</v>
      </c>
      <c r="Z71" s="36" t="n">
        <f aca="false">(1-$I$19)*(1-$J$19)*$D$19*AND(Z$5&gt;=$H$19,Z$5&lt;$H$19+$F$19)</f>
        <v>26.6666666666667</v>
      </c>
      <c r="AA71" s="36" t="n">
        <f aca="false">(1-$I$19)*(1-$J$19)*$D$19*AND(AA$5&gt;=$H$19,AA$5&lt;$H$19+$F$19)</f>
        <v>26.6666666666667</v>
      </c>
      <c r="AB71" s="36" t="n">
        <f aca="false">(1-$I$19)*(1-$J$19)*$D$19*AND(AB$5&gt;=$H$19,AB$5&lt;$H$19+$F$19)</f>
        <v>26.6666666666667</v>
      </c>
      <c r="AC71" s="36" t="n">
        <f aca="false">(1-$I$19)*(1-$J$19)*$D$19*AND(AC$5&gt;=$H$19,AC$5&lt;$H$19+$F$19)</f>
        <v>26.6666666666667</v>
      </c>
      <c r="AD71" s="36" t="n">
        <f aca="false">(1-$I$19)*(1-$J$19)*$D$19*AND(AD$5&gt;=$H$19,AD$5&lt;$H$19+$F$19)</f>
        <v>26.6666666666667</v>
      </c>
      <c r="AE71" s="36" t="n">
        <f aca="false">(1-$I$19)*(1-$J$19)*$D$19*AND(AE$5&gt;=$H$19,AE$5&lt;$H$19+$F$19)</f>
        <v>26.6666666666667</v>
      </c>
      <c r="AF71" s="36" t="n">
        <f aca="false">(1-$I$19)*(1-$J$19)*$D$19*AND(AF$5&gt;=$H$19,AF$5&lt;$H$19+$F$19)</f>
        <v>26.6666666666667</v>
      </c>
      <c r="AG71" s="36" t="n">
        <f aca="false">(1-$I$19)*(1-$J$19)*$D$19*AND(AG$5&gt;=$H$19,AG$5&lt;$H$19+$F$19)</f>
        <v>26.6666666666667</v>
      </c>
      <c r="AI71" s="36" t="n">
        <f aca="false">INDEX($F71:$AG71,1,MATCH(AI$7,$F$7:$AG$7,1))</f>
        <v>0</v>
      </c>
      <c r="AJ71" s="36" t="n">
        <f aca="false">INDEX($F71:$AG71,1,MATCH(AJ$7,$F$7:$AG$7,1))</f>
        <v>0</v>
      </c>
      <c r="AK71" s="36" t="n">
        <f aca="false">INDEX($F71:$AG71,1,MATCH(AK$7,$F$7:$AG$7,1))</f>
        <v>0</v>
      </c>
      <c r="AL71" s="36" t="n">
        <f aca="false">INDEX($F71:$AG71,1,MATCH(AL$7,$F$7:$AG$7,1))</f>
        <v>26.6666666666667</v>
      </c>
      <c r="AM71" s="36" t="n">
        <f aca="false">INDEX($F71:$AG71,1,MATCH(AM$7,$F$7:$AG$7,1))</f>
        <v>26.6666666666667</v>
      </c>
      <c r="AN71" s="36" t="n">
        <f aca="false">INDEX($F71:$AG71,1,MATCH(AN$7,$F$7:$AG$7,1))</f>
        <v>26.6666666666667</v>
      </c>
      <c r="AO71" s="36" t="n">
        <f aca="false">INDEX($F71:$AG71,1,MATCH(AO$7,$F$7:$AG$7,1))</f>
        <v>26.6666666666667</v>
      </c>
    </row>
    <row r="72" customFormat="false" ht="15" hidden="false" customHeight="false" outlineLevel="0" collapsed="false">
      <c r="A72" s="107" t="s">
        <v>1912</v>
      </c>
      <c r="B72" s="22" t="s">
        <v>613</v>
      </c>
      <c r="C72" s="22"/>
      <c r="D72" s="22"/>
      <c r="F72" s="124" t="n">
        <f aca="false">-(1-$I$19)*LD_Pct*$D$19*$E$19/4*AND(F$5&gt;=$G$19,F$5&lt;$H$19)</f>
        <v>-0</v>
      </c>
      <c r="G72" s="124" t="n">
        <f aca="false">-(1-$I$19)*LD_Pct*$D$19*$E$19/4*AND(G$5&gt;=$G$19,G$5&lt;$H$19)</f>
        <v>-0</v>
      </c>
      <c r="H72" s="124" t="n">
        <f aca="false">-(1-$I$19)*LD_Pct*$D$19*$E$19/4*AND(H$5&gt;=$G$19,H$5&lt;$H$19)</f>
        <v>-0</v>
      </c>
      <c r="I72" s="124" t="n">
        <f aca="false">-(1-$I$19)*LD_Pct*$D$19*$E$19/4*AND(I$5&gt;=$G$19,I$5&lt;$H$19)</f>
        <v>-0</v>
      </c>
      <c r="J72" s="124" t="n">
        <f aca="false">-(1-$I$19)*LD_Pct*$D$19*$E$19/4*AND(J$5&gt;=$G$19,J$5&lt;$H$19)</f>
        <v>-0</v>
      </c>
      <c r="K72" s="124" t="n">
        <f aca="false">-(1-$I$19)*LD_Pct*$D$19*$E$19/4*AND(K$5&gt;=$G$19,K$5&lt;$H$19)</f>
        <v>-0</v>
      </c>
      <c r="L72" s="124" t="n">
        <f aca="false">-(1-$I$19)*LD_Pct*$D$19*$E$19/4*AND(L$5&gt;=$G$19,L$5&lt;$H$19)</f>
        <v>-0</v>
      </c>
      <c r="M72" s="124" t="n">
        <f aca="false">-(1-$I$19)*LD_Pct*$D$19*$E$19/4*AND(M$5&gt;=$G$19,M$5&lt;$H$19)</f>
        <v>-0</v>
      </c>
      <c r="N72" s="124" t="n">
        <f aca="false">-(1-$I$19)*LD_Pct*$D$19*$E$19/4*AND(N$5&gt;=$G$19,N$5&lt;$H$19)</f>
        <v>-0</v>
      </c>
      <c r="O72" s="124" t="n">
        <f aca="false">-(1-$I$19)*LD_Pct*$D$19*$E$19/4*AND(O$5&gt;=$G$19,O$5&lt;$H$19)</f>
        <v>-0</v>
      </c>
      <c r="P72" s="125" t="n">
        <f aca="false">-(1-$I$19)*LD_Pct*$D$19*$E$19/4*AND(P$5&gt;=$G$19,P$5&lt;$H$19)</f>
        <v>-0</v>
      </c>
      <c r="Q72" s="125" t="n">
        <f aca="false">-(1-$I$19)*LD_Pct*$D$19*$E$19/4*AND(Q$5&gt;=$G$19,Q$5&lt;$H$19)</f>
        <v>-0</v>
      </c>
      <c r="R72" s="125" t="n">
        <f aca="false">-(1-$I$19)*LD_Pct*$D$19*$E$19/4*AND(R$5&gt;=$G$19,R$5&lt;$H$19)</f>
        <v>-0</v>
      </c>
      <c r="S72" s="125" t="n">
        <f aca="false">-(1-$I$19)*LD_Pct*$D$19*$E$19/4*AND(S$5&gt;=$G$19,S$5&lt;$H$19)</f>
        <v>-0</v>
      </c>
      <c r="T72" s="125" t="n">
        <f aca="false">-(1-$I$19)*LD_Pct*$D$19*$E$19/4*AND(T$5&gt;=$G$19,T$5&lt;$H$19)</f>
        <v>-0</v>
      </c>
      <c r="U72" s="125" t="n">
        <f aca="false">-(1-$I$19)*LD_Pct*$D$19*$E$19/4*AND(U$5&gt;=$G$19,U$5&lt;$H$19)</f>
        <v>-0</v>
      </c>
      <c r="V72" s="125" t="n">
        <f aca="false">-(1-$I$19)*LD_Pct*$D$19*$E$19/4*AND(V$5&gt;=$G$19,V$5&lt;$H$19)</f>
        <v>-0</v>
      </c>
      <c r="W72" s="125" t="n">
        <f aca="false">-(1-$I$19)*LD_Pct*$D$19*$E$19/4*AND(W$5&gt;=$G$19,W$5&lt;$H$19)</f>
        <v>-0</v>
      </c>
      <c r="X72" s="125" t="n">
        <f aca="false">-(1-$I$19)*LD_Pct*$D$19*$E$19/4*AND(X$5&gt;=$G$19,X$5&lt;$H$19)</f>
        <v>-0</v>
      </c>
      <c r="Y72" s="125" t="n">
        <f aca="false">-(1-$I$19)*LD_Pct*$D$19*$E$19/4*AND(Y$5&gt;=$G$19,Y$5&lt;$H$19)</f>
        <v>-0</v>
      </c>
      <c r="Z72" s="125" t="n">
        <f aca="false">-(1-$I$19)*LD_Pct*$D$19*$E$19/4*AND(Z$5&gt;=$G$19,Z$5&lt;$H$19)</f>
        <v>-0</v>
      </c>
      <c r="AA72" s="125" t="n">
        <f aca="false">-(1-$I$19)*LD_Pct*$D$19*$E$19/4*AND(AA$5&gt;=$G$19,AA$5&lt;$H$19)</f>
        <v>-0</v>
      </c>
      <c r="AB72" s="125" t="n">
        <f aca="false">-(1-$I$19)*LD_Pct*$D$19*$E$19/4*AND(AB$5&gt;=$G$19,AB$5&lt;$H$19)</f>
        <v>-0</v>
      </c>
      <c r="AC72" s="125" t="n">
        <f aca="false">-(1-$I$19)*LD_Pct*$D$19*$E$19/4*AND(AC$5&gt;=$G$19,AC$5&lt;$H$19)</f>
        <v>-0</v>
      </c>
      <c r="AD72" s="125" t="n">
        <f aca="false">-(1-$I$19)*LD_Pct*$D$19*$E$19/4*AND(AD$5&gt;=$G$19,AD$5&lt;$H$19)</f>
        <v>-0</v>
      </c>
      <c r="AE72" s="125" t="n">
        <f aca="false">-(1-$I$19)*LD_Pct*$D$19*$E$19/4*AND(AE$5&gt;=$G$19,AE$5&lt;$H$19)</f>
        <v>-0</v>
      </c>
      <c r="AF72" s="125" t="n">
        <f aca="false">-(1-$I$19)*LD_Pct*$D$19*$E$19/4*AND(AF$5&gt;=$G$19,AF$5&lt;$H$19)</f>
        <v>-0</v>
      </c>
      <c r="AG72" s="125" t="n">
        <f aca="false">-(1-$I$19)*LD_Pct*$D$19*$E$19/4*AND(AG$5&gt;=$G$19,AG$5&lt;$H$19)</f>
        <v>-0</v>
      </c>
      <c r="AI72" s="125" t="n">
        <f aca="false">SUMIF($F$7:$AG$7,AI$7,$F72:$AG72)</f>
        <v>0</v>
      </c>
      <c r="AJ72" s="125" t="n">
        <f aca="false">SUMIF($F$7:$AG$7,AJ$7,$F72:$AG72)</f>
        <v>0</v>
      </c>
      <c r="AK72" s="125" t="n">
        <f aca="false">SUMIF($F$7:$AG$7,AK$7,$F72:$AG72)</f>
        <v>0</v>
      </c>
      <c r="AL72" s="125" t="n">
        <f aca="false">SUMIF($F$7:$AG$7,AL$7,$F72:$AG72)</f>
        <v>0</v>
      </c>
      <c r="AM72" s="125" t="n">
        <f aca="false">SUMIF($F$7:$AG$7,AM$7,$F72:$AG72)</f>
        <v>0</v>
      </c>
      <c r="AN72" s="125" t="n">
        <f aca="false">SUMIF($F$7:$AG$7,AN$7,$F72:$AG72)</f>
        <v>0</v>
      </c>
      <c r="AO72" s="125" t="n">
        <f aca="false">SUMIF($F$7:$AG$7,AO$7,$F72:$AG72)</f>
        <v>0</v>
      </c>
    </row>
    <row r="73" customFormat="false" ht="15" hidden="false" customHeight="false" outlineLevel="0" collapsed="false">
      <c r="A73" s="107" t="s">
        <v>1913</v>
      </c>
      <c r="B73" s="22" t="s">
        <v>664</v>
      </c>
      <c r="C73" s="22"/>
      <c r="D73" s="22"/>
      <c r="F73" s="116" t="n">
        <f aca="false">(1-$I$19)*(1-$J$19)*$D$19*(F$5&gt;=$H$19+$F$19)</f>
        <v>0</v>
      </c>
      <c r="G73" s="116" t="n">
        <f aca="false">(1-$I$19)*(1-$J$19)*$D$19*(G$5&gt;=$H$19+$F$19)</f>
        <v>0</v>
      </c>
      <c r="H73" s="116" t="n">
        <f aca="false">(1-$I$19)*(1-$J$19)*$D$19*(H$5&gt;=$H$19+$F$19)</f>
        <v>0</v>
      </c>
      <c r="I73" s="116" t="n">
        <f aca="false">(1-$I$19)*(1-$J$19)*$D$19*(I$5&gt;=$H$19+$F$19)</f>
        <v>0</v>
      </c>
      <c r="J73" s="116" t="n">
        <f aca="false">(1-$I$19)*(1-$J$19)*$D$19*(J$5&gt;=$H$19+$F$19)</f>
        <v>0</v>
      </c>
      <c r="K73" s="116" t="n">
        <f aca="false">(1-$I$19)*(1-$J$19)*$D$19*(K$5&gt;=$H$19+$F$19)</f>
        <v>0</v>
      </c>
      <c r="L73" s="116" t="n">
        <f aca="false">(1-$I$19)*(1-$J$19)*$D$19*(L$5&gt;=$H$19+$F$19)</f>
        <v>0</v>
      </c>
      <c r="M73" s="116" t="n">
        <f aca="false">(1-$I$19)*(1-$J$19)*$D$19*(M$5&gt;=$H$19+$F$19)</f>
        <v>0</v>
      </c>
      <c r="N73" s="116" t="n">
        <f aca="false">(1-$I$19)*(1-$J$19)*$D$19*(N$5&gt;=$H$19+$F$19)</f>
        <v>0</v>
      </c>
      <c r="O73" s="116" t="n">
        <f aca="false">(1-$I$19)*(1-$J$19)*$D$19*(O$5&gt;=$H$19+$F$19)</f>
        <v>0</v>
      </c>
      <c r="P73" s="36" t="n">
        <f aca="false">(1-$I$19)*(1-$J$19)*$D$19*(P$5&gt;=$H$19+$F$19)</f>
        <v>0</v>
      </c>
      <c r="Q73" s="36" t="n">
        <f aca="false">(1-$I$19)*(1-$J$19)*$D$19*(Q$5&gt;=$H$19+$F$19)</f>
        <v>0</v>
      </c>
      <c r="R73" s="36" t="n">
        <f aca="false">(1-$I$19)*(1-$J$19)*$D$19*(R$5&gt;=$H$19+$F$19)</f>
        <v>0</v>
      </c>
      <c r="S73" s="36" t="n">
        <f aca="false">(1-$I$19)*(1-$J$19)*$D$19*(S$5&gt;=$H$19+$F$19)</f>
        <v>0</v>
      </c>
      <c r="T73" s="36" t="n">
        <f aca="false">(1-$I$19)*(1-$J$19)*$D$19*(T$5&gt;=$H$19+$F$19)</f>
        <v>0</v>
      </c>
      <c r="U73" s="36" t="n">
        <f aca="false">(1-$I$19)*(1-$J$19)*$D$19*(U$5&gt;=$H$19+$F$19)</f>
        <v>0</v>
      </c>
      <c r="V73" s="36" t="n">
        <f aca="false">(1-$I$19)*(1-$J$19)*$D$19*(V$5&gt;=$H$19+$F$19)</f>
        <v>0</v>
      </c>
      <c r="W73" s="36" t="n">
        <f aca="false">(1-$I$19)*(1-$J$19)*$D$19*(W$5&gt;=$H$19+$F$19)</f>
        <v>0</v>
      </c>
      <c r="X73" s="36" t="n">
        <f aca="false">(1-$I$19)*(1-$J$19)*$D$19*(X$5&gt;=$H$19+$F$19)</f>
        <v>0</v>
      </c>
      <c r="Y73" s="36" t="n">
        <f aca="false">(1-$I$19)*(1-$J$19)*$D$19*(Y$5&gt;=$H$19+$F$19)</f>
        <v>0</v>
      </c>
      <c r="Z73" s="36" t="n">
        <f aca="false">(1-$I$19)*(1-$J$19)*$D$19*(Z$5&gt;=$H$19+$F$19)</f>
        <v>0</v>
      </c>
      <c r="AA73" s="36" t="n">
        <f aca="false">(1-$I$19)*(1-$J$19)*$D$19*(AA$5&gt;=$H$19+$F$19)</f>
        <v>0</v>
      </c>
      <c r="AB73" s="36" t="n">
        <f aca="false">(1-$I$19)*(1-$J$19)*$D$19*(AB$5&gt;=$H$19+$F$19)</f>
        <v>0</v>
      </c>
      <c r="AC73" s="36" t="n">
        <f aca="false">(1-$I$19)*(1-$J$19)*$D$19*(AC$5&gt;=$H$19+$F$19)</f>
        <v>0</v>
      </c>
      <c r="AD73" s="36" t="n">
        <f aca="false">(1-$I$19)*(1-$J$19)*$D$19*(AD$5&gt;=$H$19+$F$19)</f>
        <v>0</v>
      </c>
      <c r="AE73" s="36" t="n">
        <f aca="false">(1-$I$19)*(1-$J$19)*$D$19*(AE$5&gt;=$H$19+$F$19)</f>
        <v>0</v>
      </c>
      <c r="AF73" s="36" t="n">
        <f aca="false">(1-$I$19)*(1-$J$19)*$D$19*(AF$5&gt;=$H$19+$F$19)</f>
        <v>0</v>
      </c>
      <c r="AG73" s="36" t="n">
        <f aca="false">(1-$I$19)*(1-$J$19)*$D$19*(AG$5&gt;=$H$19+$F$19)</f>
        <v>0</v>
      </c>
      <c r="AI73" s="36" t="n">
        <f aca="false">INDEX($F73:$AG73,1,MATCH(AI$7,$F$7:$AG$7,1))</f>
        <v>0</v>
      </c>
      <c r="AJ73" s="36" t="n">
        <f aca="false">INDEX($F73:$AG73,1,MATCH(AJ$7,$F$7:$AG$7,1))</f>
        <v>0</v>
      </c>
      <c r="AK73" s="36" t="n">
        <f aca="false">INDEX($F73:$AG73,1,MATCH(AK$7,$F$7:$AG$7,1))</f>
        <v>0</v>
      </c>
      <c r="AL73" s="36" t="n">
        <f aca="false">INDEX($F73:$AG73,1,MATCH(AL$7,$F$7:$AG$7,1))</f>
        <v>0</v>
      </c>
      <c r="AM73" s="36" t="n">
        <f aca="false">INDEX($F73:$AG73,1,MATCH(AM$7,$F$7:$AG$7,1))</f>
        <v>0</v>
      </c>
      <c r="AN73" s="36" t="n">
        <f aca="false">INDEX($F73:$AG73,1,MATCH(AN$7,$F$7:$AG$7,1))</f>
        <v>0</v>
      </c>
      <c r="AO73" s="36" t="n">
        <f aca="false">INDEX($F73:$AG73,1,MATCH(AO$7,$F$7:$AG$7,1))</f>
        <v>0</v>
      </c>
    </row>
    <row r="74" customFormat="false" ht="15" hidden="false" customHeight="false" outlineLevel="0" collapsed="false">
      <c r="A74" s="107" t="s">
        <v>1914</v>
      </c>
      <c r="B74" s="22" t="s">
        <v>613</v>
      </c>
      <c r="C74" s="22"/>
      <c r="D74" s="22" t="s">
        <v>1879</v>
      </c>
      <c r="F74" s="124" t="n">
        <f aca="false">F73*CHOOSE(MATCH($C$19,{"H";"B";"N"},0),GPUMW_H*ODc_H,GPUMW_B*ODc_B,GPUMW_N*ODc_N)*ResidUtil*Timeline!F$9*INDEX(Curve,1,MAX(1,MIN(8,INT((F$5-$H$19)/4)+1)))/1000000</f>
        <v>0</v>
      </c>
      <c r="G74" s="124" t="n">
        <f aca="false">G73*CHOOSE(MATCH($C$19,{"H";"B";"N"},0),GPUMW_H*ODc_H,GPUMW_B*ODc_B,GPUMW_N*ODc_N)*ResidUtil*Timeline!G$9*INDEX(Curve,1,MAX(1,MIN(8,INT((G$5-$H$19)/4)+1)))/1000000</f>
        <v>0</v>
      </c>
      <c r="H74" s="124" t="n">
        <f aca="false">H73*CHOOSE(MATCH($C$19,{"H";"B";"N"},0),GPUMW_H*ODc_H,GPUMW_B*ODc_B,GPUMW_N*ODc_N)*ResidUtil*Timeline!H$9*INDEX(Curve,1,MAX(1,MIN(8,INT((H$5-$H$19)/4)+1)))/1000000</f>
        <v>0</v>
      </c>
      <c r="I74" s="124" t="n">
        <f aca="false">I73*CHOOSE(MATCH($C$19,{"H";"B";"N"},0),GPUMW_H*ODc_H,GPUMW_B*ODc_B,GPUMW_N*ODc_N)*ResidUtil*Timeline!I$9*INDEX(Curve,1,MAX(1,MIN(8,INT((I$5-$H$19)/4)+1)))/1000000</f>
        <v>0</v>
      </c>
      <c r="J74" s="124" t="n">
        <f aca="false">J73*CHOOSE(MATCH($C$19,{"H";"B";"N"},0),GPUMW_H*ODc_H,GPUMW_B*ODc_B,GPUMW_N*ODc_N)*ResidUtil*Timeline!J$9*INDEX(Curve,1,MAX(1,MIN(8,INT((J$5-$H$19)/4)+1)))/1000000</f>
        <v>0</v>
      </c>
      <c r="K74" s="124" t="n">
        <f aca="false">K73*CHOOSE(MATCH($C$19,{"H";"B";"N"},0),GPUMW_H*ODc_H,GPUMW_B*ODc_B,GPUMW_N*ODc_N)*ResidUtil*Timeline!K$9*INDEX(Curve,1,MAX(1,MIN(8,INT((K$5-$H$19)/4)+1)))/1000000</f>
        <v>0</v>
      </c>
      <c r="L74" s="124" t="n">
        <f aca="false">L73*CHOOSE(MATCH($C$19,{"H";"B";"N"},0),GPUMW_H*ODc_H,GPUMW_B*ODc_B,GPUMW_N*ODc_N)*ResidUtil*Timeline!L$9*INDEX(Curve,1,MAX(1,MIN(8,INT((L$5-$H$19)/4)+1)))/1000000</f>
        <v>0</v>
      </c>
      <c r="M74" s="124" t="n">
        <f aca="false">M73*CHOOSE(MATCH($C$19,{"H";"B";"N"},0),GPUMW_H*ODc_H,GPUMW_B*ODc_B,GPUMW_N*ODc_N)*ResidUtil*Timeline!M$9*INDEX(Curve,1,MAX(1,MIN(8,INT((M$5-$H$19)/4)+1)))/1000000</f>
        <v>0</v>
      </c>
      <c r="N74" s="124" t="n">
        <f aca="false">N73*CHOOSE(MATCH($C$19,{"H";"B";"N"},0),GPUMW_H*ODc_H,GPUMW_B*ODc_B,GPUMW_N*ODc_N)*ResidUtil*Timeline!N$9*INDEX(Curve,1,MAX(1,MIN(8,INT((N$5-$H$19)/4)+1)))/1000000</f>
        <v>0</v>
      </c>
      <c r="O74" s="124" t="n">
        <f aca="false">O73*CHOOSE(MATCH($C$19,{"H";"B";"N"},0),GPUMW_H*ODc_H,GPUMW_B*ODc_B,GPUMW_N*ODc_N)*ResidUtil*Timeline!O$9*INDEX(Curve,1,MAX(1,MIN(8,INT((O$5-$H$19)/4)+1)))/1000000</f>
        <v>0</v>
      </c>
      <c r="P74" s="125" t="n">
        <f aca="false">P73*CHOOSE(MATCH($C$19,{"H";"B";"N"},0),GPUMW_H*ODc_H,GPUMW_B*ODc_B,GPUMW_N*ODc_N)*ResidUtil*Timeline!P$9*INDEX(Curve,1,MAX(1,MIN(8,INT((P$5-$H$19)/4)+1)))/1000000</f>
        <v>0</v>
      </c>
      <c r="Q74" s="125" t="n">
        <f aca="false">Q73*CHOOSE(MATCH($C$19,{"H";"B";"N"},0),GPUMW_H*ODc_H,GPUMW_B*ODc_B,GPUMW_N*ODc_N)*ResidUtil*Timeline!Q$9*INDEX(Curve,1,MAX(1,MIN(8,INT((Q$5-$H$19)/4)+1)))/1000000</f>
        <v>0</v>
      </c>
      <c r="R74" s="125" t="n">
        <f aca="false">R73*CHOOSE(MATCH($C$19,{"H";"B";"N"},0),GPUMW_H*ODc_H,GPUMW_B*ODc_B,GPUMW_N*ODc_N)*ResidUtil*Timeline!R$9*INDEX(Curve,1,MAX(1,MIN(8,INT((R$5-$H$19)/4)+1)))/1000000</f>
        <v>0</v>
      </c>
      <c r="S74" s="125" t="n">
        <f aca="false">S73*CHOOSE(MATCH($C$19,{"H";"B";"N"},0),GPUMW_H*ODc_H,GPUMW_B*ODc_B,GPUMW_N*ODc_N)*ResidUtil*Timeline!S$9*INDEX(Curve,1,MAX(1,MIN(8,INT((S$5-$H$19)/4)+1)))/1000000</f>
        <v>0</v>
      </c>
      <c r="T74" s="125" t="n">
        <f aca="false">T73*CHOOSE(MATCH($C$19,{"H";"B";"N"},0),GPUMW_H*ODc_H,GPUMW_B*ODc_B,GPUMW_N*ODc_N)*ResidUtil*Timeline!T$9*INDEX(Curve,1,MAX(1,MIN(8,INT((T$5-$H$19)/4)+1)))/1000000</f>
        <v>0</v>
      </c>
      <c r="U74" s="125" t="n">
        <f aca="false">U73*CHOOSE(MATCH($C$19,{"H";"B";"N"},0),GPUMW_H*ODc_H,GPUMW_B*ODc_B,GPUMW_N*ODc_N)*ResidUtil*Timeline!U$9*INDEX(Curve,1,MAX(1,MIN(8,INT((U$5-$H$19)/4)+1)))/1000000</f>
        <v>0</v>
      </c>
      <c r="V74" s="125" t="n">
        <f aca="false">V73*CHOOSE(MATCH($C$19,{"H";"B";"N"},0),GPUMW_H*ODc_H,GPUMW_B*ODc_B,GPUMW_N*ODc_N)*ResidUtil*Timeline!V$9*INDEX(Curve,1,MAX(1,MIN(8,INT((V$5-$H$19)/4)+1)))/1000000</f>
        <v>0</v>
      </c>
      <c r="W74" s="125" t="n">
        <f aca="false">W73*CHOOSE(MATCH($C$19,{"H";"B";"N"},0),GPUMW_H*ODc_H,GPUMW_B*ODc_B,GPUMW_N*ODc_N)*ResidUtil*Timeline!W$9*INDEX(Curve,1,MAX(1,MIN(8,INT((W$5-$H$19)/4)+1)))/1000000</f>
        <v>0</v>
      </c>
      <c r="X74" s="125" t="n">
        <f aca="false">X73*CHOOSE(MATCH($C$19,{"H";"B";"N"},0),GPUMW_H*ODc_H,GPUMW_B*ODc_B,GPUMW_N*ODc_N)*ResidUtil*Timeline!X$9*INDEX(Curve,1,MAX(1,MIN(8,INT((X$5-$H$19)/4)+1)))/1000000</f>
        <v>0</v>
      </c>
      <c r="Y74" s="125" t="n">
        <f aca="false">Y73*CHOOSE(MATCH($C$19,{"H";"B";"N"},0),GPUMW_H*ODc_H,GPUMW_B*ODc_B,GPUMW_N*ODc_N)*ResidUtil*Timeline!Y$9*INDEX(Curve,1,MAX(1,MIN(8,INT((Y$5-$H$19)/4)+1)))/1000000</f>
        <v>0</v>
      </c>
      <c r="Z74" s="125" t="n">
        <f aca="false">Z73*CHOOSE(MATCH($C$19,{"H";"B";"N"},0),GPUMW_H*ODc_H,GPUMW_B*ODc_B,GPUMW_N*ODc_N)*ResidUtil*Timeline!Z$9*INDEX(Curve,1,MAX(1,MIN(8,INT((Z$5-$H$19)/4)+1)))/1000000</f>
        <v>0</v>
      </c>
      <c r="AA74" s="125" t="n">
        <f aca="false">AA73*CHOOSE(MATCH($C$19,{"H";"B";"N"},0),GPUMW_H*ODc_H,GPUMW_B*ODc_B,GPUMW_N*ODc_N)*ResidUtil*Timeline!AA$9*INDEX(Curve,1,MAX(1,MIN(8,INT((AA$5-$H$19)/4)+1)))/1000000</f>
        <v>0</v>
      </c>
      <c r="AB74" s="125" t="n">
        <f aca="false">AB73*CHOOSE(MATCH($C$19,{"H";"B";"N"},0),GPUMW_H*ODc_H,GPUMW_B*ODc_B,GPUMW_N*ODc_N)*ResidUtil*Timeline!AB$9*INDEX(Curve,1,MAX(1,MIN(8,INT((AB$5-$H$19)/4)+1)))/1000000</f>
        <v>0</v>
      </c>
      <c r="AC74" s="125" t="n">
        <f aca="false">AC73*CHOOSE(MATCH($C$19,{"H";"B";"N"},0),GPUMW_H*ODc_H,GPUMW_B*ODc_B,GPUMW_N*ODc_N)*ResidUtil*Timeline!AC$9*INDEX(Curve,1,MAX(1,MIN(8,INT((AC$5-$H$19)/4)+1)))/1000000</f>
        <v>0</v>
      </c>
      <c r="AD74" s="125" t="n">
        <f aca="false">AD73*CHOOSE(MATCH($C$19,{"H";"B";"N"},0),GPUMW_H*ODc_H,GPUMW_B*ODc_B,GPUMW_N*ODc_N)*ResidUtil*Timeline!AD$9*INDEX(Curve,1,MAX(1,MIN(8,INT((AD$5-$H$19)/4)+1)))/1000000</f>
        <v>0</v>
      </c>
      <c r="AE74" s="125" t="n">
        <f aca="false">AE73*CHOOSE(MATCH($C$19,{"H";"B";"N"},0),GPUMW_H*ODc_H,GPUMW_B*ODc_B,GPUMW_N*ODc_N)*ResidUtil*Timeline!AE$9*INDEX(Curve,1,MAX(1,MIN(8,INT((AE$5-$H$19)/4)+1)))/1000000</f>
        <v>0</v>
      </c>
      <c r="AF74" s="125" t="n">
        <f aca="false">AF73*CHOOSE(MATCH($C$19,{"H";"B";"N"},0),GPUMW_H*ODc_H,GPUMW_B*ODc_B,GPUMW_N*ODc_N)*ResidUtil*Timeline!AF$9*INDEX(Curve,1,MAX(1,MIN(8,INT((AF$5-$H$19)/4)+1)))/1000000</f>
        <v>0</v>
      </c>
      <c r="AG74" s="125" t="n">
        <f aca="false">AG73*CHOOSE(MATCH($C$19,{"H";"B";"N"},0),GPUMW_H*ODc_H,GPUMW_B*ODc_B,GPUMW_N*ODc_N)*ResidUtil*Timeline!AG$9*INDEX(Curve,1,MAX(1,MIN(8,INT((AG$5-$H$19)/4)+1)))/1000000</f>
        <v>0</v>
      </c>
      <c r="AI74" s="125" t="n">
        <f aca="false">SUMIF($F$7:$AG$7,AI$7,$F74:$AG74)</f>
        <v>0</v>
      </c>
      <c r="AJ74" s="125" t="n">
        <f aca="false">SUMIF($F$7:$AG$7,AJ$7,$F74:$AG74)</f>
        <v>0</v>
      </c>
      <c r="AK74" s="125" t="n">
        <f aca="false">SUMIF($F$7:$AG$7,AK$7,$F74:$AG74)</f>
        <v>0</v>
      </c>
      <c r="AL74" s="125" t="n">
        <f aca="false">SUMIF($F$7:$AG$7,AL$7,$F74:$AG74)</f>
        <v>0</v>
      </c>
      <c r="AM74" s="125" t="n">
        <f aca="false">SUMIF($F$7:$AG$7,AM$7,$F74:$AG74)</f>
        <v>0</v>
      </c>
      <c r="AN74" s="125" t="n">
        <f aca="false">SUMIF($F$7:$AG$7,AN$7,$F74:$AG74)</f>
        <v>0</v>
      </c>
      <c r="AO74" s="125" t="n">
        <f aca="false">SUMIF($F$7:$AG$7,AO$7,$F74:$AG74)</f>
        <v>0</v>
      </c>
    </row>
    <row r="75" customFormat="false" ht="15" hidden="false" customHeight="false" outlineLevel="0" collapsed="false">
      <c r="A75" s="107" t="s">
        <v>1915</v>
      </c>
      <c r="B75" s="22" t="s">
        <v>613</v>
      </c>
      <c r="C75" s="22"/>
      <c r="D75" s="22"/>
      <c r="F75" s="124" t="n">
        <f aca="false">(1-$I$20)*(1-$J$20)*$D$20*$E$20/4*MIN(1,MAX(0,(F$5-$H$20+1)/$T$20))*IF(F$5=$H$20,DelivFactor,IF(AND(F$5&gt;$H$20,F$5&lt;$H$20+$F$20),1,IF(F$5=$H$20+$F$20,1-DelivFactor,0)))</f>
        <v>0</v>
      </c>
      <c r="G75" s="124" t="n">
        <f aca="false">(1-$I$20)*(1-$J$20)*$D$20*$E$20/4*MIN(1,MAX(0,(G$5-$H$20+1)/$T$20))*IF(G$5=$H$20,DelivFactor,IF(AND(G$5&gt;$H$20,G$5&lt;$H$20+$F$20),1,IF(G$5=$H$20+$F$20,1-DelivFactor,0)))</f>
        <v>0</v>
      </c>
      <c r="H75" s="124" t="n">
        <f aca="false">(1-$I$20)*(1-$J$20)*$D$20*$E$20/4*MIN(1,MAX(0,(H$5-$H$20+1)/$T$20))*IF(H$5=$H$20,DelivFactor,IF(AND(H$5&gt;$H$20,H$5&lt;$H$20+$F$20),1,IF(H$5=$H$20+$F$20,1-DelivFactor,0)))</f>
        <v>0</v>
      </c>
      <c r="I75" s="124" t="n">
        <f aca="false">(1-$I$20)*(1-$J$20)*$D$20*$E$20/4*MIN(1,MAX(0,(I$5-$H$20+1)/$T$20))*IF(I$5=$H$20,DelivFactor,IF(AND(I$5&gt;$H$20,I$5&lt;$H$20+$F$20),1,IF(I$5=$H$20+$F$20,1-DelivFactor,0)))</f>
        <v>0</v>
      </c>
      <c r="J75" s="124" t="n">
        <f aca="false">(1-$I$20)*(1-$J$20)*$D$20*$E$20/4*MIN(1,MAX(0,(J$5-$H$20+1)/$T$20))*IF(J$5=$H$20,DelivFactor,IF(AND(J$5&gt;$H$20,J$5&lt;$H$20+$F$20),1,IF(J$5=$H$20+$F$20,1-DelivFactor,0)))</f>
        <v>0</v>
      </c>
      <c r="K75" s="124" t="n">
        <f aca="false">(1-$I$20)*(1-$J$20)*$D$20*$E$20/4*MIN(1,MAX(0,(K$5-$H$20+1)/$T$20))*IF(K$5=$H$20,DelivFactor,IF(AND(K$5&gt;$H$20,K$5&lt;$H$20+$F$20),1,IF(K$5=$H$20+$F$20,1-DelivFactor,0)))</f>
        <v>0</v>
      </c>
      <c r="L75" s="124" t="n">
        <f aca="false">(1-$I$20)*(1-$J$20)*$D$20*$E$20/4*MIN(1,MAX(0,(L$5-$H$20+1)/$T$20))*IF(L$5=$H$20,DelivFactor,IF(AND(L$5&gt;$H$20,L$5&lt;$H$20+$F$20),1,IF(L$5=$H$20+$F$20,1-DelivFactor,0)))</f>
        <v>0</v>
      </c>
      <c r="M75" s="124" t="n">
        <f aca="false">(1-$I$20)*(1-$J$20)*$D$20*$E$20/4*MIN(1,MAX(0,(M$5-$H$20+1)/$T$20))*IF(M$5=$H$20,DelivFactor,IF(AND(M$5&gt;$H$20,M$5&lt;$H$20+$F$20),1,IF(M$5=$H$20+$F$20,1-DelivFactor,0)))</f>
        <v>0</v>
      </c>
      <c r="N75" s="124" t="n">
        <f aca="false">(1-$I$20)*(1-$J$20)*$D$20*$E$20/4*MIN(1,MAX(0,(N$5-$H$20+1)/$T$20))*IF(N$5=$H$20,DelivFactor,IF(AND(N$5&gt;$H$20,N$5&lt;$H$20+$F$20),1,IF(N$5=$H$20+$F$20,1-DelivFactor,0)))</f>
        <v>0</v>
      </c>
      <c r="O75" s="124" t="n">
        <f aca="false">(1-$I$20)*(1-$J$20)*$D$20*$E$20/4*MIN(1,MAX(0,(O$5-$H$20+1)/$T$20))*IF(O$5=$H$20,DelivFactor,IF(AND(O$5&gt;$H$20,O$5&lt;$H$20+$F$20),1,IF(O$5=$H$20+$F$20,1-DelivFactor,0)))</f>
        <v>0</v>
      </c>
      <c r="P75" s="125" t="n">
        <f aca="false">(1-$I$20)*(1-$J$20)*$D$20*$E$20/4*MIN(1,MAX(0,(P$5-$H$20+1)/$T$20))*IF(P$5=$H$20,DelivFactor,IF(AND(P$5&gt;$H$20,P$5&lt;$H$20+$F$20),1,IF(P$5=$H$20+$F$20,1-DelivFactor,0)))</f>
        <v>0</v>
      </c>
      <c r="Q75" s="125" t="n">
        <f aca="false">(1-$I$20)*(1-$J$20)*$D$20*$E$20/4*MIN(1,MAX(0,(Q$5-$H$20+1)/$T$20))*IF(Q$5=$H$20,DelivFactor,IF(AND(Q$5&gt;$H$20,Q$5&lt;$H$20+$F$20),1,IF(Q$5=$H$20+$F$20,1-DelivFactor,0)))</f>
        <v>0</v>
      </c>
      <c r="R75" s="125" t="n">
        <f aca="false">(1-$I$20)*(1-$J$20)*$D$20*$E$20/4*MIN(1,MAX(0,(R$5-$H$20+1)/$T$20))*IF(R$5=$H$20,DelivFactor,IF(AND(R$5&gt;$H$20,R$5&lt;$H$20+$F$20),1,IF(R$5=$H$20+$F$20,1-DelivFactor,0)))</f>
        <v>0</v>
      </c>
      <c r="S75" s="125" t="n">
        <f aca="false">(1-$I$20)*(1-$J$20)*$D$20*$E$20/4*MIN(1,MAX(0,(S$5-$H$20+1)/$T$20))*IF(S$5=$H$20,DelivFactor,IF(AND(S$5&gt;$H$20,S$5&lt;$H$20+$F$20),1,IF(S$5=$H$20+$F$20,1-DelivFactor,0)))</f>
        <v>0</v>
      </c>
      <c r="T75" s="125" t="n">
        <f aca="false">(1-$I$20)*(1-$J$20)*$D$20*$E$20/4*MIN(1,MAX(0,(T$5-$H$20+1)/$T$20))*IF(T$5=$H$20,DelivFactor,IF(AND(T$5&gt;$H$20,T$5&lt;$H$20+$F$20),1,IF(T$5=$H$20+$F$20,1-DelivFactor,0)))</f>
        <v>12.0784027777778</v>
      </c>
      <c r="U75" s="125" t="n">
        <f aca="false">(1-$I$20)*(1-$J$20)*$D$20*$E$20/4*MIN(1,MAX(0,(U$5-$H$20+1)/$T$20))*IF(U$5=$H$20,DelivFactor,IF(AND(U$5&gt;$H$20,U$5&lt;$H$20+$F$20),1,IF(U$5=$H$20+$F$20,1-DelivFactor,0)))</f>
        <v>48.3136111111111</v>
      </c>
      <c r="V75" s="125" t="n">
        <f aca="false">(1-$I$20)*(1-$J$20)*$D$20*$E$20/4*MIN(1,MAX(0,(V$5-$H$20+1)/$T$20))*IF(V$5=$H$20,DelivFactor,IF(AND(V$5&gt;$H$20,V$5&lt;$H$20+$F$20),1,IF(V$5=$H$20+$F$20,1-DelivFactor,0)))</f>
        <v>72.4704166666667</v>
      </c>
      <c r="W75" s="125" t="n">
        <f aca="false">(1-$I$20)*(1-$J$20)*$D$20*$E$20/4*MIN(1,MAX(0,(W$5-$H$20+1)/$T$20))*IF(W$5=$H$20,DelivFactor,IF(AND(W$5&gt;$H$20,W$5&lt;$H$20+$F$20),1,IF(W$5=$H$20+$F$20,1-DelivFactor,0)))</f>
        <v>96.6272222222222</v>
      </c>
      <c r="X75" s="125" t="n">
        <f aca="false">(1-$I$20)*(1-$J$20)*$D$20*$E$20/4*MIN(1,MAX(0,(X$5-$H$20+1)/$T$20))*IF(X$5=$H$20,DelivFactor,IF(AND(X$5&gt;$H$20,X$5&lt;$H$20+$F$20),1,IF(X$5=$H$20+$F$20,1-DelivFactor,0)))</f>
        <v>96.6272222222222</v>
      </c>
      <c r="Y75" s="125" t="n">
        <f aca="false">(1-$I$20)*(1-$J$20)*$D$20*$E$20/4*MIN(1,MAX(0,(Y$5-$H$20+1)/$T$20))*IF(Y$5=$H$20,DelivFactor,IF(AND(Y$5&gt;$H$20,Y$5&lt;$H$20+$F$20),1,IF(Y$5=$H$20+$F$20,1-DelivFactor,0)))</f>
        <v>96.6272222222222</v>
      </c>
      <c r="Z75" s="125" t="n">
        <f aca="false">(1-$I$20)*(1-$J$20)*$D$20*$E$20/4*MIN(1,MAX(0,(Z$5-$H$20+1)/$T$20))*IF(Z$5=$H$20,DelivFactor,IF(AND(Z$5&gt;$H$20,Z$5&lt;$H$20+$F$20),1,IF(Z$5=$H$20+$F$20,1-DelivFactor,0)))</f>
        <v>96.6272222222222</v>
      </c>
      <c r="AA75" s="125" t="n">
        <f aca="false">(1-$I$20)*(1-$J$20)*$D$20*$E$20/4*MIN(1,MAX(0,(AA$5-$H$20+1)/$T$20))*IF(AA$5=$H$20,DelivFactor,IF(AND(AA$5&gt;$H$20,AA$5&lt;$H$20+$F$20),1,IF(AA$5=$H$20+$F$20,1-DelivFactor,0)))</f>
        <v>96.6272222222222</v>
      </c>
      <c r="AB75" s="125" t="n">
        <f aca="false">(1-$I$20)*(1-$J$20)*$D$20*$E$20/4*MIN(1,MAX(0,(AB$5-$H$20+1)/$T$20))*IF(AB$5=$H$20,DelivFactor,IF(AND(AB$5&gt;$H$20,AB$5&lt;$H$20+$F$20),1,IF(AB$5=$H$20+$F$20,1-DelivFactor,0)))</f>
        <v>96.6272222222222</v>
      </c>
      <c r="AC75" s="125" t="n">
        <f aca="false">(1-$I$20)*(1-$J$20)*$D$20*$E$20/4*MIN(1,MAX(0,(AC$5-$H$20+1)/$T$20))*IF(AC$5=$H$20,DelivFactor,IF(AND(AC$5&gt;$H$20,AC$5&lt;$H$20+$F$20),1,IF(AC$5=$H$20+$F$20,1-DelivFactor,0)))</f>
        <v>96.6272222222222</v>
      </c>
      <c r="AD75" s="125" t="n">
        <f aca="false">(1-$I$20)*(1-$J$20)*$D$20*$E$20/4*MIN(1,MAX(0,(AD$5-$H$20+1)/$T$20))*IF(AD$5=$H$20,DelivFactor,IF(AND(AD$5&gt;$H$20,AD$5&lt;$H$20+$F$20),1,IF(AD$5=$H$20+$F$20,1-DelivFactor,0)))</f>
        <v>96.6272222222222</v>
      </c>
      <c r="AE75" s="125" t="n">
        <f aca="false">(1-$I$20)*(1-$J$20)*$D$20*$E$20/4*MIN(1,MAX(0,(AE$5-$H$20+1)/$T$20))*IF(AE$5=$H$20,DelivFactor,IF(AND(AE$5&gt;$H$20,AE$5&lt;$H$20+$F$20),1,IF(AE$5=$H$20+$F$20,1-DelivFactor,0)))</f>
        <v>96.6272222222222</v>
      </c>
      <c r="AF75" s="125" t="n">
        <f aca="false">(1-$I$20)*(1-$J$20)*$D$20*$E$20/4*MIN(1,MAX(0,(AF$5-$H$20+1)/$T$20))*IF(AF$5=$H$20,DelivFactor,IF(AND(AF$5&gt;$H$20,AF$5&lt;$H$20+$F$20),1,IF(AF$5=$H$20+$F$20,1-DelivFactor,0)))</f>
        <v>96.6272222222222</v>
      </c>
      <c r="AG75" s="125" t="n">
        <f aca="false">(1-$I$20)*(1-$J$20)*$D$20*$E$20/4*MIN(1,MAX(0,(AG$5-$H$20+1)/$T$20))*IF(AG$5=$H$20,DelivFactor,IF(AND(AG$5&gt;$H$20,AG$5&lt;$H$20+$F$20),1,IF(AG$5=$H$20+$F$20,1-DelivFactor,0)))</f>
        <v>96.6272222222222</v>
      </c>
      <c r="AI75" s="125" t="n">
        <f aca="false">SUMIF($F$7:$AG$7,AI$7,$F75:$AG75)</f>
        <v>0</v>
      </c>
      <c r="AJ75" s="125" t="n">
        <f aca="false">SUMIF($F$7:$AG$7,AJ$7,$F75:$AG75)</f>
        <v>0</v>
      </c>
      <c r="AK75" s="125" t="n">
        <f aca="false">SUMIF($F$7:$AG$7,AK$7,$F75:$AG75)</f>
        <v>0</v>
      </c>
      <c r="AL75" s="125" t="n">
        <f aca="false">SUMIF($F$7:$AG$7,AL$7,$F75:$AG75)</f>
        <v>60.3920138888889</v>
      </c>
      <c r="AM75" s="125" t="n">
        <f aca="false">SUMIF($F$7:$AG$7,AM$7,$F75:$AG75)</f>
        <v>362.352083333333</v>
      </c>
      <c r="AN75" s="125" t="n">
        <f aca="false">SUMIF($F$7:$AG$7,AN$7,$F75:$AG75)</f>
        <v>386.508888888889</v>
      </c>
      <c r="AO75" s="125" t="n">
        <f aca="false">SUMIF($F$7:$AG$7,AO$7,$F75:$AG75)</f>
        <v>386.508888888889</v>
      </c>
    </row>
    <row r="76" customFormat="false" ht="15" hidden="false" customHeight="false" outlineLevel="0" collapsed="false">
      <c r="A76" s="107" t="s">
        <v>1916</v>
      </c>
      <c r="B76" s="22" t="s">
        <v>664</v>
      </c>
      <c r="C76" s="22"/>
      <c r="D76" s="22"/>
      <c r="F76" s="116" t="n">
        <f aca="false">(1-$I$20)*(1-$J$20)*$D$20*AND(F$5&gt;=$H$20,F$5&lt;$H$20+$F$20)</f>
        <v>0</v>
      </c>
      <c r="G76" s="116" t="n">
        <f aca="false">(1-$I$20)*(1-$J$20)*$D$20*AND(G$5&gt;=$H$20,G$5&lt;$H$20+$F$20)</f>
        <v>0</v>
      </c>
      <c r="H76" s="116" t="n">
        <f aca="false">(1-$I$20)*(1-$J$20)*$D$20*AND(H$5&gt;=$H$20,H$5&lt;$H$20+$F$20)</f>
        <v>0</v>
      </c>
      <c r="I76" s="116" t="n">
        <f aca="false">(1-$I$20)*(1-$J$20)*$D$20*AND(I$5&gt;=$H$20,I$5&lt;$H$20+$F$20)</f>
        <v>0</v>
      </c>
      <c r="J76" s="116" t="n">
        <f aca="false">(1-$I$20)*(1-$J$20)*$D$20*AND(J$5&gt;=$H$20,J$5&lt;$H$20+$F$20)</f>
        <v>0</v>
      </c>
      <c r="K76" s="116" t="n">
        <f aca="false">(1-$I$20)*(1-$J$20)*$D$20*AND(K$5&gt;=$H$20,K$5&lt;$H$20+$F$20)</f>
        <v>0</v>
      </c>
      <c r="L76" s="116" t="n">
        <f aca="false">(1-$I$20)*(1-$J$20)*$D$20*AND(L$5&gt;=$H$20,L$5&lt;$H$20+$F$20)</f>
        <v>0</v>
      </c>
      <c r="M76" s="116" t="n">
        <f aca="false">(1-$I$20)*(1-$J$20)*$D$20*AND(M$5&gt;=$H$20,M$5&lt;$H$20+$F$20)</f>
        <v>0</v>
      </c>
      <c r="N76" s="116" t="n">
        <f aca="false">(1-$I$20)*(1-$J$20)*$D$20*AND(N$5&gt;=$H$20,N$5&lt;$H$20+$F$20)</f>
        <v>0</v>
      </c>
      <c r="O76" s="116" t="n">
        <f aca="false">(1-$I$20)*(1-$J$20)*$D$20*AND(O$5&gt;=$H$20,O$5&lt;$H$20+$F$20)</f>
        <v>0</v>
      </c>
      <c r="P76" s="36" t="n">
        <f aca="false">(1-$I$20)*(1-$J$20)*$D$20*AND(P$5&gt;=$H$20,P$5&lt;$H$20+$F$20)</f>
        <v>0</v>
      </c>
      <c r="Q76" s="36" t="n">
        <f aca="false">(1-$I$20)*(1-$J$20)*$D$20*AND(Q$5&gt;=$H$20,Q$5&lt;$H$20+$F$20)</f>
        <v>0</v>
      </c>
      <c r="R76" s="36" t="n">
        <f aca="false">(1-$I$20)*(1-$J$20)*$D$20*AND(R$5&gt;=$H$20,R$5&lt;$H$20+$F$20)</f>
        <v>0</v>
      </c>
      <c r="S76" s="36" t="n">
        <f aca="false">(1-$I$20)*(1-$J$20)*$D$20*AND(S$5&gt;=$H$20,S$5&lt;$H$20+$F$20)</f>
        <v>0</v>
      </c>
      <c r="T76" s="36" t="n">
        <f aca="false">(1-$I$20)*(1-$J$20)*$D$20*AND(T$5&gt;=$H$20,T$5&lt;$H$20+$F$20)</f>
        <v>26.6666666666667</v>
      </c>
      <c r="U76" s="36" t="n">
        <f aca="false">(1-$I$20)*(1-$J$20)*$D$20*AND(U$5&gt;=$H$20,U$5&lt;$H$20+$F$20)</f>
        <v>26.6666666666667</v>
      </c>
      <c r="V76" s="36" t="n">
        <f aca="false">(1-$I$20)*(1-$J$20)*$D$20*AND(V$5&gt;=$H$20,V$5&lt;$H$20+$F$20)</f>
        <v>26.6666666666667</v>
      </c>
      <c r="W76" s="36" t="n">
        <f aca="false">(1-$I$20)*(1-$J$20)*$D$20*AND(W$5&gt;=$H$20,W$5&lt;$H$20+$F$20)</f>
        <v>26.6666666666667</v>
      </c>
      <c r="X76" s="36" t="n">
        <f aca="false">(1-$I$20)*(1-$J$20)*$D$20*AND(X$5&gt;=$H$20,X$5&lt;$H$20+$F$20)</f>
        <v>26.6666666666667</v>
      </c>
      <c r="Y76" s="36" t="n">
        <f aca="false">(1-$I$20)*(1-$J$20)*$D$20*AND(Y$5&gt;=$H$20,Y$5&lt;$H$20+$F$20)</f>
        <v>26.6666666666667</v>
      </c>
      <c r="Z76" s="36" t="n">
        <f aca="false">(1-$I$20)*(1-$J$20)*$D$20*AND(Z$5&gt;=$H$20,Z$5&lt;$H$20+$F$20)</f>
        <v>26.6666666666667</v>
      </c>
      <c r="AA76" s="36" t="n">
        <f aca="false">(1-$I$20)*(1-$J$20)*$D$20*AND(AA$5&gt;=$H$20,AA$5&lt;$H$20+$F$20)</f>
        <v>26.6666666666667</v>
      </c>
      <c r="AB76" s="36" t="n">
        <f aca="false">(1-$I$20)*(1-$J$20)*$D$20*AND(AB$5&gt;=$H$20,AB$5&lt;$H$20+$F$20)</f>
        <v>26.6666666666667</v>
      </c>
      <c r="AC76" s="36" t="n">
        <f aca="false">(1-$I$20)*(1-$J$20)*$D$20*AND(AC$5&gt;=$H$20,AC$5&lt;$H$20+$F$20)</f>
        <v>26.6666666666667</v>
      </c>
      <c r="AD76" s="36" t="n">
        <f aca="false">(1-$I$20)*(1-$J$20)*$D$20*AND(AD$5&gt;=$H$20,AD$5&lt;$H$20+$F$20)</f>
        <v>26.6666666666667</v>
      </c>
      <c r="AE76" s="36" t="n">
        <f aca="false">(1-$I$20)*(1-$J$20)*$D$20*AND(AE$5&gt;=$H$20,AE$5&lt;$H$20+$F$20)</f>
        <v>26.6666666666667</v>
      </c>
      <c r="AF76" s="36" t="n">
        <f aca="false">(1-$I$20)*(1-$J$20)*$D$20*AND(AF$5&gt;=$H$20,AF$5&lt;$H$20+$F$20)</f>
        <v>26.6666666666667</v>
      </c>
      <c r="AG76" s="36" t="n">
        <f aca="false">(1-$I$20)*(1-$J$20)*$D$20*AND(AG$5&gt;=$H$20,AG$5&lt;$H$20+$F$20)</f>
        <v>26.6666666666667</v>
      </c>
      <c r="AI76" s="36" t="n">
        <f aca="false">INDEX($F76:$AG76,1,MATCH(AI$7,$F$7:$AG$7,1))</f>
        <v>0</v>
      </c>
      <c r="AJ76" s="36" t="n">
        <f aca="false">INDEX($F76:$AG76,1,MATCH(AJ$7,$F$7:$AG$7,1))</f>
        <v>0</v>
      </c>
      <c r="AK76" s="36" t="n">
        <f aca="false">INDEX($F76:$AG76,1,MATCH(AK$7,$F$7:$AG$7,1))</f>
        <v>0</v>
      </c>
      <c r="AL76" s="36" t="n">
        <f aca="false">INDEX($F76:$AG76,1,MATCH(AL$7,$F$7:$AG$7,1))</f>
        <v>26.6666666666667</v>
      </c>
      <c r="AM76" s="36" t="n">
        <f aca="false">INDEX($F76:$AG76,1,MATCH(AM$7,$F$7:$AG$7,1))</f>
        <v>26.6666666666667</v>
      </c>
      <c r="AN76" s="36" t="n">
        <f aca="false">INDEX($F76:$AG76,1,MATCH(AN$7,$F$7:$AG$7,1))</f>
        <v>26.6666666666667</v>
      </c>
      <c r="AO76" s="36" t="n">
        <f aca="false">INDEX($F76:$AG76,1,MATCH(AO$7,$F$7:$AG$7,1))</f>
        <v>26.6666666666667</v>
      </c>
    </row>
    <row r="77" customFormat="false" ht="15" hidden="false" customHeight="false" outlineLevel="0" collapsed="false">
      <c r="A77" s="107" t="s">
        <v>1917</v>
      </c>
      <c r="B77" s="22" t="s">
        <v>613</v>
      </c>
      <c r="C77" s="22"/>
      <c r="D77" s="22"/>
      <c r="F77" s="124" t="n">
        <f aca="false">-(1-$I$20)*LD_Pct*$D$20*$E$20/4*AND(F$5&gt;=$G$20,F$5&lt;$H$20)</f>
        <v>-0</v>
      </c>
      <c r="G77" s="124" t="n">
        <f aca="false">-(1-$I$20)*LD_Pct*$D$20*$E$20/4*AND(G$5&gt;=$G$20,G$5&lt;$H$20)</f>
        <v>-0</v>
      </c>
      <c r="H77" s="124" t="n">
        <f aca="false">-(1-$I$20)*LD_Pct*$D$20*$E$20/4*AND(H$5&gt;=$G$20,H$5&lt;$H$20)</f>
        <v>-0</v>
      </c>
      <c r="I77" s="124" t="n">
        <f aca="false">-(1-$I$20)*LD_Pct*$D$20*$E$20/4*AND(I$5&gt;=$G$20,I$5&lt;$H$20)</f>
        <v>-0</v>
      </c>
      <c r="J77" s="124" t="n">
        <f aca="false">-(1-$I$20)*LD_Pct*$D$20*$E$20/4*AND(J$5&gt;=$G$20,J$5&lt;$H$20)</f>
        <v>-0</v>
      </c>
      <c r="K77" s="124" t="n">
        <f aca="false">-(1-$I$20)*LD_Pct*$D$20*$E$20/4*AND(K$5&gt;=$G$20,K$5&lt;$H$20)</f>
        <v>-0</v>
      </c>
      <c r="L77" s="124" t="n">
        <f aca="false">-(1-$I$20)*LD_Pct*$D$20*$E$20/4*AND(L$5&gt;=$G$20,L$5&lt;$H$20)</f>
        <v>-0</v>
      </c>
      <c r="M77" s="124" t="n">
        <f aca="false">-(1-$I$20)*LD_Pct*$D$20*$E$20/4*AND(M$5&gt;=$G$20,M$5&lt;$H$20)</f>
        <v>-0</v>
      </c>
      <c r="N77" s="124" t="n">
        <f aca="false">-(1-$I$20)*LD_Pct*$D$20*$E$20/4*AND(N$5&gt;=$G$20,N$5&lt;$H$20)</f>
        <v>-0</v>
      </c>
      <c r="O77" s="124" t="n">
        <f aca="false">-(1-$I$20)*LD_Pct*$D$20*$E$20/4*AND(O$5&gt;=$G$20,O$5&lt;$H$20)</f>
        <v>-0</v>
      </c>
      <c r="P77" s="125" t="n">
        <f aca="false">-(1-$I$20)*LD_Pct*$D$20*$E$20/4*AND(P$5&gt;=$G$20,P$5&lt;$H$20)</f>
        <v>-0</v>
      </c>
      <c r="Q77" s="125" t="n">
        <f aca="false">-(1-$I$20)*LD_Pct*$D$20*$E$20/4*AND(Q$5&gt;=$G$20,Q$5&lt;$H$20)</f>
        <v>-0</v>
      </c>
      <c r="R77" s="125" t="n">
        <f aca="false">-(1-$I$20)*LD_Pct*$D$20*$E$20/4*AND(R$5&gt;=$G$20,R$5&lt;$H$20)</f>
        <v>-0</v>
      </c>
      <c r="S77" s="125" t="n">
        <f aca="false">-(1-$I$20)*LD_Pct*$D$20*$E$20/4*AND(S$5&gt;=$G$20,S$5&lt;$H$20)</f>
        <v>-0</v>
      </c>
      <c r="T77" s="125" t="n">
        <f aca="false">-(1-$I$20)*LD_Pct*$D$20*$E$20/4*AND(T$5&gt;=$G$20,T$5&lt;$H$20)</f>
        <v>-0</v>
      </c>
      <c r="U77" s="125" t="n">
        <f aca="false">-(1-$I$20)*LD_Pct*$D$20*$E$20/4*AND(U$5&gt;=$G$20,U$5&lt;$H$20)</f>
        <v>-0</v>
      </c>
      <c r="V77" s="125" t="n">
        <f aca="false">-(1-$I$20)*LD_Pct*$D$20*$E$20/4*AND(V$5&gt;=$G$20,V$5&lt;$H$20)</f>
        <v>-0</v>
      </c>
      <c r="W77" s="125" t="n">
        <f aca="false">-(1-$I$20)*LD_Pct*$D$20*$E$20/4*AND(W$5&gt;=$G$20,W$5&lt;$H$20)</f>
        <v>-0</v>
      </c>
      <c r="X77" s="125" t="n">
        <f aca="false">-(1-$I$20)*LD_Pct*$D$20*$E$20/4*AND(X$5&gt;=$G$20,X$5&lt;$H$20)</f>
        <v>-0</v>
      </c>
      <c r="Y77" s="125" t="n">
        <f aca="false">-(1-$I$20)*LD_Pct*$D$20*$E$20/4*AND(Y$5&gt;=$G$20,Y$5&lt;$H$20)</f>
        <v>-0</v>
      </c>
      <c r="Z77" s="125" t="n">
        <f aca="false">-(1-$I$20)*LD_Pct*$D$20*$E$20/4*AND(Z$5&gt;=$G$20,Z$5&lt;$H$20)</f>
        <v>-0</v>
      </c>
      <c r="AA77" s="125" t="n">
        <f aca="false">-(1-$I$20)*LD_Pct*$D$20*$E$20/4*AND(AA$5&gt;=$G$20,AA$5&lt;$H$20)</f>
        <v>-0</v>
      </c>
      <c r="AB77" s="125" t="n">
        <f aca="false">-(1-$I$20)*LD_Pct*$D$20*$E$20/4*AND(AB$5&gt;=$G$20,AB$5&lt;$H$20)</f>
        <v>-0</v>
      </c>
      <c r="AC77" s="125" t="n">
        <f aca="false">-(1-$I$20)*LD_Pct*$D$20*$E$20/4*AND(AC$5&gt;=$G$20,AC$5&lt;$H$20)</f>
        <v>-0</v>
      </c>
      <c r="AD77" s="125" t="n">
        <f aca="false">-(1-$I$20)*LD_Pct*$D$20*$E$20/4*AND(AD$5&gt;=$G$20,AD$5&lt;$H$20)</f>
        <v>-0</v>
      </c>
      <c r="AE77" s="125" t="n">
        <f aca="false">-(1-$I$20)*LD_Pct*$D$20*$E$20/4*AND(AE$5&gt;=$G$20,AE$5&lt;$H$20)</f>
        <v>-0</v>
      </c>
      <c r="AF77" s="125" t="n">
        <f aca="false">-(1-$I$20)*LD_Pct*$D$20*$E$20/4*AND(AF$5&gt;=$G$20,AF$5&lt;$H$20)</f>
        <v>-0</v>
      </c>
      <c r="AG77" s="125" t="n">
        <f aca="false">-(1-$I$20)*LD_Pct*$D$20*$E$20/4*AND(AG$5&gt;=$G$20,AG$5&lt;$H$20)</f>
        <v>-0</v>
      </c>
      <c r="AI77" s="125" t="n">
        <f aca="false">SUMIF($F$7:$AG$7,AI$7,$F77:$AG77)</f>
        <v>0</v>
      </c>
      <c r="AJ77" s="125" t="n">
        <f aca="false">SUMIF($F$7:$AG$7,AJ$7,$F77:$AG77)</f>
        <v>0</v>
      </c>
      <c r="AK77" s="125" t="n">
        <f aca="false">SUMIF($F$7:$AG$7,AK$7,$F77:$AG77)</f>
        <v>0</v>
      </c>
      <c r="AL77" s="125" t="n">
        <f aca="false">SUMIF($F$7:$AG$7,AL$7,$F77:$AG77)</f>
        <v>0</v>
      </c>
      <c r="AM77" s="125" t="n">
        <f aca="false">SUMIF($F$7:$AG$7,AM$7,$F77:$AG77)</f>
        <v>0</v>
      </c>
      <c r="AN77" s="125" t="n">
        <f aca="false">SUMIF($F$7:$AG$7,AN$7,$F77:$AG77)</f>
        <v>0</v>
      </c>
      <c r="AO77" s="125" t="n">
        <f aca="false">SUMIF($F$7:$AG$7,AO$7,$F77:$AG77)</f>
        <v>0</v>
      </c>
    </row>
    <row r="78" customFormat="false" ht="15" hidden="false" customHeight="false" outlineLevel="0" collapsed="false">
      <c r="A78" s="107" t="s">
        <v>1918</v>
      </c>
      <c r="B78" s="22" t="s">
        <v>664</v>
      </c>
      <c r="C78" s="22"/>
      <c r="D78" s="22"/>
      <c r="F78" s="116" t="n">
        <f aca="false">(1-$I$20)*(1-$J$20)*$D$20*(F$5&gt;=$H$20+$F$20)</f>
        <v>0</v>
      </c>
      <c r="G78" s="116" t="n">
        <f aca="false">(1-$I$20)*(1-$J$20)*$D$20*(G$5&gt;=$H$20+$F$20)</f>
        <v>0</v>
      </c>
      <c r="H78" s="116" t="n">
        <f aca="false">(1-$I$20)*(1-$J$20)*$D$20*(H$5&gt;=$H$20+$F$20)</f>
        <v>0</v>
      </c>
      <c r="I78" s="116" t="n">
        <f aca="false">(1-$I$20)*(1-$J$20)*$D$20*(I$5&gt;=$H$20+$F$20)</f>
        <v>0</v>
      </c>
      <c r="J78" s="116" t="n">
        <f aca="false">(1-$I$20)*(1-$J$20)*$D$20*(J$5&gt;=$H$20+$F$20)</f>
        <v>0</v>
      </c>
      <c r="K78" s="116" t="n">
        <f aca="false">(1-$I$20)*(1-$J$20)*$D$20*(K$5&gt;=$H$20+$F$20)</f>
        <v>0</v>
      </c>
      <c r="L78" s="116" t="n">
        <f aca="false">(1-$I$20)*(1-$J$20)*$D$20*(L$5&gt;=$H$20+$F$20)</f>
        <v>0</v>
      </c>
      <c r="M78" s="116" t="n">
        <f aca="false">(1-$I$20)*(1-$J$20)*$D$20*(M$5&gt;=$H$20+$F$20)</f>
        <v>0</v>
      </c>
      <c r="N78" s="116" t="n">
        <f aca="false">(1-$I$20)*(1-$J$20)*$D$20*(N$5&gt;=$H$20+$F$20)</f>
        <v>0</v>
      </c>
      <c r="O78" s="116" t="n">
        <f aca="false">(1-$I$20)*(1-$J$20)*$D$20*(O$5&gt;=$H$20+$F$20)</f>
        <v>0</v>
      </c>
      <c r="P78" s="36" t="n">
        <f aca="false">(1-$I$20)*(1-$J$20)*$D$20*(P$5&gt;=$H$20+$F$20)</f>
        <v>0</v>
      </c>
      <c r="Q78" s="36" t="n">
        <f aca="false">(1-$I$20)*(1-$J$20)*$D$20*(Q$5&gt;=$H$20+$F$20)</f>
        <v>0</v>
      </c>
      <c r="R78" s="36" t="n">
        <f aca="false">(1-$I$20)*(1-$J$20)*$D$20*(R$5&gt;=$H$20+$F$20)</f>
        <v>0</v>
      </c>
      <c r="S78" s="36" t="n">
        <f aca="false">(1-$I$20)*(1-$J$20)*$D$20*(S$5&gt;=$H$20+$F$20)</f>
        <v>0</v>
      </c>
      <c r="T78" s="36" t="n">
        <f aca="false">(1-$I$20)*(1-$J$20)*$D$20*(T$5&gt;=$H$20+$F$20)</f>
        <v>0</v>
      </c>
      <c r="U78" s="36" t="n">
        <f aca="false">(1-$I$20)*(1-$J$20)*$D$20*(U$5&gt;=$H$20+$F$20)</f>
        <v>0</v>
      </c>
      <c r="V78" s="36" t="n">
        <f aca="false">(1-$I$20)*(1-$J$20)*$D$20*(V$5&gt;=$H$20+$F$20)</f>
        <v>0</v>
      </c>
      <c r="W78" s="36" t="n">
        <f aca="false">(1-$I$20)*(1-$J$20)*$D$20*(W$5&gt;=$H$20+$F$20)</f>
        <v>0</v>
      </c>
      <c r="X78" s="36" t="n">
        <f aca="false">(1-$I$20)*(1-$J$20)*$D$20*(X$5&gt;=$H$20+$F$20)</f>
        <v>0</v>
      </c>
      <c r="Y78" s="36" t="n">
        <f aca="false">(1-$I$20)*(1-$J$20)*$D$20*(Y$5&gt;=$H$20+$F$20)</f>
        <v>0</v>
      </c>
      <c r="Z78" s="36" t="n">
        <f aca="false">(1-$I$20)*(1-$J$20)*$D$20*(Z$5&gt;=$H$20+$F$20)</f>
        <v>0</v>
      </c>
      <c r="AA78" s="36" t="n">
        <f aca="false">(1-$I$20)*(1-$J$20)*$D$20*(AA$5&gt;=$H$20+$F$20)</f>
        <v>0</v>
      </c>
      <c r="AB78" s="36" t="n">
        <f aca="false">(1-$I$20)*(1-$J$20)*$D$20*(AB$5&gt;=$H$20+$F$20)</f>
        <v>0</v>
      </c>
      <c r="AC78" s="36" t="n">
        <f aca="false">(1-$I$20)*(1-$J$20)*$D$20*(AC$5&gt;=$H$20+$F$20)</f>
        <v>0</v>
      </c>
      <c r="AD78" s="36" t="n">
        <f aca="false">(1-$I$20)*(1-$J$20)*$D$20*(AD$5&gt;=$H$20+$F$20)</f>
        <v>0</v>
      </c>
      <c r="AE78" s="36" t="n">
        <f aca="false">(1-$I$20)*(1-$J$20)*$D$20*(AE$5&gt;=$H$20+$F$20)</f>
        <v>0</v>
      </c>
      <c r="AF78" s="36" t="n">
        <f aca="false">(1-$I$20)*(1-$J$20)*$D$20*(AF$5&gt;=$H$20+$F$20)</f>
        <v>0</v>
      </c>
      <c r="AG78" s="36" t="n">
        <f aca="false">(1-$I$20)*(1-$J$20)*$D$20*(AG$5&gt;=$H$20+$F$20)</f>
        <v>0</v>
      </c>
      <c r="AI78" s="36" t="n">
        <f aca="false">INDEX($F78:$AG78,1,MATCH(AI$7,$F$7:$AG$7,1))</f>
        <v>0</v>
      </c>
      <c r="AJ78" s="36" t="n">
        <f aca="false">INDEX($F78:$AG78,1,MATCH(AJ$7,$F$7:$AG$7,1))</f>
        <v>0</v>
      </c>
      <c r="AK78" s="36" t="n">
        <f aca="false">INDEX($F78:$AG78,1,MATCH(AK$7,$F$7:$AG$7,1))</f>
        <v>0</v>
      </c>
      <c r="AL78" s="36" t="n">
        <f aca="false">INDEX($F78:$AG78,1,MATCH(AL$7,$F$7:$AG$7,1))</f>
        <v>0</v>
      </c>
      <c r="AM78" s="36" t="n">
        <f aca="false">INDEX($F78:$AG78,1,MATCH(AM$7,$F$7:$AG$7,1))</f>
        <v>0</v>
      </c>
      <c r="AN78" s="36" t="n">
        <f aca="false">INDEX($F78:$AG78,1,MATCH(AN$7,$F$7:$AG$7,1))</f>
        <v>0</v>
      </c>
      <c r="AO78" s="36" t="n">
        <f aca="false">INDEX($F78:$AG78,1,MATCH(AO$7,$F$7:$AG$7,1))</f>
        <v>0</v>
      </c>
    </row>
    <row r="79" customFormat="false" ht="15" hidden="false" customHeight="false" outlineLevel="0" collapsed="false">
      <c r="A79" s="107" t="s">
        <v>1919</v>
      </c>
      <c r="B79" s="22" t="s">
        <v>613</v>
      </c>
      <c r="C79" s="22"/>
      <c r="D79" s="22" t="s">
        <v>1879</v>
      </c>
      <c r="F79" s="124" t="n">
        <f aca="false">F78*CHOOSE(MATCH($C$20,{"H";"B";"N"},0),GPUMW_H*ODc_H,GPUMW_B*ODc_B,GPUMW_N*ODc_N)*ResidUtil*Timeline!F$9*INDEX(Curve,1,MAX(1,MIN(8,INT((F$5-$H$20)/4)+1)))/1000000</f>
        <v>0</v>
      </c>
      <c r="G79" s="124" t="n">
        <f aca="false">G78*CHOOSE(MATCH($C$20,{"H";"B";"N"},0),GPUMW_H*ODc_H,GPUMW_B*ODc_B,GPUMW_N*ODc_N)*ResidUtil*Timeline!G$9*INDEX(Curve,1,MAX(1,MIN(8,INT((G$5-$H$20)/4)+1)))/1000000</f>
        <v>0</v>
      </c>
      <c r="H79" s="124" t="n">
        <f aca="false">H78*CHOOSE(MATCH($C$20,{"H";"B";"N"},0),GPUMW_H*ODc_H,GPUMW_B*ODc_B,GPUMW_N*ODc_N)*ResidUtil*Timeline!H$9*INDEX(Curve,1,MAX(1,MIN(8,INT((H$5-$H$20)/4)+1)))/1000000</f>
        <v>0</v>
      </c>
      <c r="I79" s="124" t="n">
        <f aca="false">I78*CHOOSE(MATCH($C$20,{"H";"B";"N"},0),GPUMW_H*ODc_H,GPUMW_B*ODc_B,GPUMW_N*ODc_N)*ResidUtil*Timeline!I$9*INDEX(Curve,1,MAX(1,MIN(8,INT((I$5-$H$20)/4)+1)))/1000000</f>
        <v>0</v>
      </c>
      <c r="J79" s="124" t="n">
        <f aca="false">J78*CHOOSE(MATCH($C$20,{"H";"B";"N"},0),GPUMW_H*ODc_H,GPUMW_B*ODc_B,GPUMW_N*ODc_N)*ResidUtil*Timeline!J$9*INDEX(Curve,1,MAX(1,MIN(8,INT((J$5-$H$20)/4)+1)))/1000000</f>
        <v>0</v>
      </c>
      <c r="K79" s="124" t="n">
        <f aca="false">K78*CHOOSE(MATCH($C$20,{"H";"B";"N"},0),GPUMW_H*ODc_H,GPUMW_B*ODc_B,GPUMW_N*ODc_N)*ResidUtil*Timeline!K$9*INDEX(Curve,1,MAX(1,MIN(8,INT((K$5-$H$20)/4)+1)))/1000000</f>
        <v>0</v>
      </c>
      <c r="L79" s="124" t="n">
        <f aca="false">L78*CHOOSE(MATCH($C$20,{"H";"B";"N"},0),GPUMW_H*ODc_H,GPUMW_B*ODc_B,GPUMW_N*ODc_N)*ResidUtil*Timeline!L$9*INDEX(Curve,1,MAX(1,MIN(8,INT((L$5-$H$20)/4)+1)))/1000000</f>
        <v>0</v>
      </c>
      <c r="M79" s="124" t="n">
        <f aca="false">M78*CHOOSE(MATCH($C$20,{"H";"B";"N"},0),GPUMW_H*ODc_H,GPUMW_B*ODc_B,GPUMW_N*ODc_N)*ResidUtil*Timeline!M$9*INDEX(Curve,1,MAX(1,MIN(8,INT((M$5-$H$20)/4)+1)))/1000000</f>
        <v>0</v>
      </c>
      <c r="N79" s="124" t="n">
        <f aca="false">N78*CHOOSE(MATCH($C$20,{"H";"B";"N"},0),GPUMW_H*ODc_H,GPUMW_B*ODc_B,GPUMW_N*ODc_N)*ResidUtil*Timeline!N$9*INDEX(Curve,1,MAX(1,MIN(8,INT((N$5-$H$20)/4)+1)))/1000000</f>
        <v>0</v>
      </c>
      <c r="O79" s="124" t="n">
        <f aca="false">O78*CHOOSE(MATCH($C$20,{"H";"B";"N"},0),GPUMW_H*ODc_H,GPUMW_B*ODc_B,GPUMW_N*ODc_N)*ResidUtil*Timeline!O$9*INDEX(Curve,1,MAX(1,MIN(8,INT((O$5-$H$20)/4)+1)))/1000000</f>
        <v>0</v>
      </c>
      <c r="P79" s="125" t="n">
        <f aca="false">P78*CHOOSE(MATCH($C$20,{"H";"B";"N"},0),GPUMW_H*ODc_H,GPUMW_B*ODc_B,GPUMW_N*ODc_N)*ResidUtil*Timeline!P$9*INDEX(Curve,1,MAX(1,MIN(8,INT((P$5-$H$20)/4)+1)))/1000000</f>
        <v>0</v>
      </c>
      <c r="Q79" s="125" t="n">
        <f aca="false">Q78*CHOOSE(MATCH($C$20,{"H";"B";"N"},0),GPUMW_H*ODc_H,GPUMW_B*ODc_B,GPUMW_N*ODc_N)*ResidUtil*Timeline!Q$9*INDEX(Curve,1,MAX(1,MIN(8,INT((Q$5-$H$20)/4)+1)))/1000000</f>
        <v>0</v>
      </c>
      <c r="R79" s="125" t="n">
        <f aca="false">R78*CHOOSE(MATCH($C$20,{"H";"B";"N"},0),GPUMW_H*ODc_H,GPUMW_B*ODc_B,GPUMW_N*ODc_N)*ResidUtil*Timeline!R$9*INDEX(Curve,1,MAX(1,MIN(8,INT((R$5-$H$20)/4)+1)))/1000000</f>
        <v>0</v>
      </c>
      <c r="S79" s="125" t="n">
        <f aca="false">S78*CHOOSE(MATCH($C$20,{"H";"B";"N"},0),GPUMW_H*ODc_H,GPUMW_B*ODc_B,GPUMW_N*ODc_N)*ResidUtil*Timeline!S$9*INDEX(Curve,1,MAX(1,MIN(8,INT((S$5-$H$20)/4)+1)))/1000000</f>
        <v>0</v>
      </c>
      <c r="T79" s="125" t="n">
        <f aca="false">T78*CHOOSE(MATCH($C$20,{"H";"B";"N"},0),GPUMW_H*ODc_H,GPUMW_B*ODc_B,GPUMW_N*ODc_N)*ResidUtil*Timeline!T$9*INDEX(Curve,1,MAX(1,MIN(8,INT((T$5-$H$20)/4)+1)))/1000000</f>
        <v>0</v>
      </c>
      <c r="U79" s="125" t="n">
        <f aca="false">U78*CHOOSE(MATCH($C$20,{"H";"B";"N"},0),GPUMW_H*ODc_H,GPUMW_B*ODc_B,GPUMW_N*ODc_N)*ResidUtil*Timeline!U$9*INDEX(Curve,1,MAX(1,MIN(8,INT((U$5-$H$20)/4)+1)))/1000000</f>
        <v>0</v>
      </c>
      <c r="V79" s="125" t="n">
        <f aca="false">V78*CHOOSE(MATCH($C$20,{"H";"B";"N"},0),GPUMW_H*ODc_H,GPUMW_B*ODc_B,GPUMW_N*ODc_N)*ResidUtil*Timeline!V$9*INDEX(Curve,1,MAX(1,MIN(8,INT((V$5-$H$20)/4)+1)))/1000000</f>
        <v>0</v>
      </c>
      <c r="W79" s="125" t="n">
        <f aca="false">W78*CHOOSE(MATCH($C$20,{"H";"B";"N"},0),GPUMW_H*ODc_H,GPUMW_B*ODc_B,GPUMW_N*ODc_N)*ResidUtil*Timeline!W$9*INDEX(Curve,1,MAX(1,MIN(8,INT((W$5-$H$20)/4)+1)))/1000000</f>
        <v>0</v>
      </c>
      <c r="X79" s="125" t="n">
        <f aca="false">X78*CHOOSE(MATCH($C$20,{"H";"B";"N"},0),GPUMW_H*ODc_H,GPUMW_B*ODc_B,GPUMW_N*ODc_N)*ResidUtil*Timeline!X$9*INDEX(Curve,1,MAX(1,MIN(8,INT((X$5-$H$20)/4)+1)))/1000000</f>
        <v>0</v>
      </c>
      <c r="Y79" s="125" t="n">
        <f aca="false">Y78*CHOOSE(MATCH($C$20,{"H";"B";"N"},0),GPUMW_H*ODc_H,GPUMW_B*ODc_B,GPUMW_N*ODc_N)*ResidUtil*Timeline!Y$9*INDEX(Curve,1,MAX(1,MIN(8,INT((Y$5-$H$20)/4)+1)))/1000000</f>
        <v>0</v>
      </c>
      <c r="Z79" s="125" t="n">
        <f aca="false">Z78*CHOOSE(MATCH($C$20,{"H";"B";"N"},0),GPUMW_H*ODc_H,GPUMW_B*ODc_B,GPUMW_N*ODc_N)*ResidUtil*Timeline!Z$9*INDEX(Curve,1,MAX(1,MIN(8,INT((Z$5-$H$20)/4)+1)))/1000000</f>
        <v>0</v>
      </c>
      <c r="AA79" s="125" t="n">
        <f aca="false">AA78*CHOOSE(MATCH($C$20,{"H";"B";"N"},0),GPUMW_H*ODc_H,GPUMW_B*ODc_B,GPUMW_N*ODc_N)*ResidUtil*Timeline!AA$9*INDEX(Curve,1,MAX(1,MIN(8,INT((AA$5-$H$20)/4)+1)))/1000000</f>
        <v>0</v>
      </c>
      <c r="AB79" s="125" t="n">
        <f aca="false">AB78*CHOOSE(MATCH($C$20,{"H";"B";"N"},0),GPUMW_H*ODc_H,GPUMW_B*ODc_B,GPUMW_N*ODc_N)*ResidUtil*Timeline!AB$9*INDEX(Curve,1,MAX(1,MIN(8,INT((AB$5-$H$20)/4)+1)))/1000000</f>
        <v>0</v>
      </c>
      <c r="AC79" s="125" t="n">
        <f aca="false">AC78*CHOOSE(MATCH($C$20,{"H";"B";"N"},0),GPUMW_H*ODc_H,GPUMW_B*ODc_B,GPUMW_N*ODc_N)*ResidUtil*Timeline!AC$9*INDEX(Curve,1,MAX(1,MIN(8,INT((AC$5-$H$20)/4)+1)))/1000000</f>
        <v>0</v>
      </c>
      <c r="AD79" s="125" t="n">
        <f aca="false">AD78*CHOOSE(MATCH($C$20,{"H";"B";"N"},0),GPUMW_H*ODc_H,GPUMW_B*ODc_B,GPUMW_N*ODc_N)*ResidUtil*Timeline!AD$9*INDEX(Curve,1,MAX(1,MIN(8,INT((AD$5-$H$20)/4)+1)))/1000000</f>
        <v>0</v>
      </c>
      <c r="AE79" s="125" t="n">
        <f aca="false">AE78*CHOOSE(MATCH($C$20,{"H";"B";"N"},0),GPUMW_H*ODc_H,GPUMW_B*ODc_B,GPUMW_N*ODc_N)*ResidUtil*Timeline!AE$9*INDEX(Curve,1,MAX(1,MIN(8,INT((AE$5-$H$20)/4)+1)))/1000000</f>
        <v>0</v>
      </c>
      <c r="AF79" s="125" t="n">
        <f aca="false">AF78*CHOOSE(MATCH($C$20,{"H";"B";"N"},0),GPUMW_H*ODc_H,GPUMW_B*ODc_B,GPUMW_N*ODc_N)*ResidUtil*Timeline!AF$9*INDEX(Curve,1,MAX(1,MIN(8,INT((AF$5-$H$20)/4)+1)))/1000000</f>
        <v>0</v>
      </c>
      <c r="AG79" s="125" t="n">
        <f aca="false">AG78*CHOOSE(MATCH($C$20,{"H";"B";"N"},0),GPUMW_H*ODc_H,GPUMW_B*ODc_B,GPUMW_N*ODc_N)*ResidUtil*Timeline!AG$9*INDEX(Curve,1,MAX(1,MIN(8,INT((AG$5-$H$20)/4)+1)))/1000000</f>
        <v>0</v>
      </c>
      <c r="AI79" s="125" t="n">
        <f aca="false">SUMIF($F$7:$AG$7,AI$7,$F79:$AG79)</f>
        <v>0</v>
      </c>
      <c r="AJ79" s="125" t="n">
        <f aca="false">SUMIF($F$7:$AG$7,AJ$7,$F79:$AG79)</f>
        <v>0</v>
      </c>
      <c r="AK79" s="125" t="n">
        <f aca="false">SUMIF($F$7:$AG$7,AK$7,$F79:$AG79)</f>
        <v>0</v>
      </c>
      <c r="AL79" s="125" t="n">
        <f aca="false">SUMIF($F$7:$AG$7,AL$7,$F79:$AG79)</f>
        <v>0</v>
      </c>
      <c r="AM79" s="125" t="n">
        <f aca="false">SUMIF($F$7:$AG$7,AM$7,$F79:$AG79)</f>
        <v>0</v>
      </c>
      <c r="AN79" s="125" t="n">
        <f aca="false">SUMIF($F$7:$AG$7,AN$7,$F79:$AG79)</f>
        <v>0</v>
      </c>
      <c r="AO79" s="125" t="n">
        <f aca="false">SUMIF($F$7:$AG$7,AO$7,$F79:$AG79)</f>
        <v>0</v>
      </c>
    </row>
    <row r="80" customFormat="false" ht="15" hidden="false" customHeight="false" outlineLevel="0" collapsed="false">
      <c r="A80" s="107" t="s">
        <v>1920</v>
      </c>
      <c r="B80" s="22" t="s">
        <v>613</v>
      </c>
      <c r="C80" s="22"/>
      <c r="D80" s="22"/>
      <c r="F80" s="124" t="n">
        <f aca="false">(1-$I$21)*(1-$J$21)*$D$21*$E$21/4*MIN(1,MAX(0,(F$5-$H$21+1)/$T$21))*IF(F$5=$H$21,DelivFactor,IF(AND(F$5&gt;$H$21,F$5&lt;$H$21+$F$21),1,IF(F$5=$H$21+$F$21,1-DelivFactor,0)))</f>
        <v>0</v>
      </c>
      <c r="G80" s="124" t="n">
        <f aca="false">(1-$I$21)*(1-$J$21)*$D$21*$E$21/4*MIN(1,MAX(0,(G$5-$H$21+1)/$T$21))*IF(G$5=$H$21,DelivFactor,IF(AND(G$5&gt;$H$21,G$5&lt;$H$21+$F$21),1,IF(G$5=$H$21+$F$21,1-DelivFactor,0)))</f>
        <v>0</v>
      </c>
      <c r="H80" s="124" t="n">
        <f aca="false">(1-$I$21)*(1-$J$21)*$D$21*$E$21/4*MIN(1,MAX(0,(H$5-$H$21+1)/$T$21))*IF(H$5=$H$21,DelivFactor,IF(AND(H$5&gt;$H$21,H$5&lt;$H$21+$F$21),1,IF(H$5=$H$21+$F$21,1-DelivFactor,0)))</f>
        <v>0</v>
      </c>
      <c r="I80" s="124" t="n">
        <f aca="false">(1-$I$21)*(1-$J$21)*$D$21*$E$21/4*MIN(1,MAX(0,(I$5-$H$21+1)/$T$21))*IF(I$5=$H$21,DelivFactor,IF(AND(I$5&gt;$H$21,I$5&lt;$H$21+$F$21),1,IF(I$5=$H$21+$F$21,1-DelivFactor,0)))</f>
        <v>0</v>
      </c>
      <c r="J80" s="124" t="n">
        <f aca="false">(1-$I$21)*(1-$J$21)*$D$21*$E$21/4*MIN(1,MAX(0,(J$5-$H$21+1)/$T$21))*IF(J$5=$H$21,DelivFactor,IF(AND(J$5&gt;$H$21,J$5&lt;$H$21+$F$21),1,IF(J$5=$H$21+$F$21,1-DelivFactor,0)))</f>
        <v>0</v>
      </c>
      <c r="K80" s="124" t="n">
        <f aca="false">(1-$I$21)*(1-$J$21)*$D$21*$E$21/4*MIN(1,MAX(0,(K$5-$H$21+1)/$T$21))*IF(K$5=$H$21,DelivFactor,IF(AND(K$5&gt;$H$21,K$5&lt;$H$21+$F$21),1,IF(K$5=$H$21+$F$21,1-DelivFactor,0)))</f>
        <v>0</v>
      </c>
      <c r="L80" s="124" t="n">
        <f aca="false">(1-$I$21)*(1-$J$21)*$D$21*$E$21/4*MIN(1,MAX(0,(L$5-$H$21+1)/$T$21))*IF(L$5=$H$21,DelivFactor,IF(AND(L$5&gt;$H$21,L$5&lt;$H$21+$F$21),1,IF(L$5=$H$21+$F$21,1-DelivFactor,0)))</f>
        <v>0</v>
      </c>
      <c r="M80" s="124" t="n">
        <f aca="false">(1-$I$21)*(1-$J$21)*$D$21*$E$21/4*MIN(1,MAX(0,(M$5-$H$21+1)/$T$21))*IF(M$5=$H$21,DelivFactor,IF(AND(M$5&gt;$H$21,M$5&lt;$H$21+$F$21),1,IF(M$5=$H$21+$F$21,1-DelivFactor,0)))</f>
        <v>0</v>
      </c>
      <c r="N80" s="124" t="n">
        <f aca="false">(1-$I$21)*(1-$J$21)*$D$21*$E$21/4*MIN(1,MAX(0,(N$5-$H$21+1)/$T$21))*IF(N$5=$H$21,DelivFactor,IF(AND(N$5&gt;$H$21,N$5&lt;$H$21+$F$21),1,IF(N$5=$H$21+$F$21,1-DelivFactor,0)))</f>
        <v>0</v>
      </c>
      <c r="O80" s="124" t="n">
        <f aca="false">(1-$I$21)*(1-$J$21)*$D$21*$E$21/4*MIN(1,MAX(0,(O$5-$H$21+1)/$T$21))*IF(O$5=$H$21,DelivFactor,IF(AND(O$5&gt;$H$21,O$5&lt;$H$21+$F$21),1,IF(O$5=$H$21+$F$21,1-DelivFactor,0)))</f>
        <v>0</v>
      </c>
      <c r="P80" s="125" t="n">
        <f aca="false">(1-$I$21)*(1-$J$21)*$D$21*$E$21/4*MIN(1,MAX(0,(P$5-$H$21+1)/$T$21))*IF(P$5=$H$21,DelivFactor,IF(AND(P$5&gt;$H$21,P$5&lt;$H$21+$F$21),1,IF(P$5=$H$21+$F$21,1-DelivFactor,0)))</f>
        <v>0</v>
      </c>
      <c r="Q80" s="125" t="n">
        <f aca="false">(1-$I$21)*(1-$J$21)*$D$21*$E$21/4*MIN(1,MAX(0,(Q$5-$H$21+1)/$T$21))*IF(Q$5=$H$21,DelivFactor,IF(AND(Q$5&gt;$H$21,Q$5&lt;$H$21+$F$21),1,IF(Q$5=$H$21+$F$21,1-DelivFactor,0)))</f>
        <v>0</v>
      </c>
      <c r="R80" s="125" t="n">
        <f aca="false">(1-$I$21)*(1-$J$21)*$D$21*$E$21/4*MIN(1,MAX(0,(R$5-$H$21+1)/$T$21))*IF(R$5=$H$21,DelivFactor,IF(AND(R$5&gt;$H$21,R$5&lt;$H$21+$F$21),1,IF(R$5=$H$21+$F$21,1-DelivFactor,0)))</f>
        <v>0</v>
      </c>
      <c r="S80" s="125" t="n">
        <f aca="false">(1-$I$21)*(1-$J$21)*$D$21*$E$21/4*MIN(1,MAX(0,(S$5-$H$21+1)/$T$21))*IF(S$5=$H$21,DelivFactor,IF(AND(S$5&gt;$H$21,S$5&lt;$H$21+$F$21),1,IF(S$5=$H$21+$F$21,1-DelivFactor,0)))</f>
        <v>0</v>
      </c>
      <c r="T80" s="125" t="n">
        <f aca="false">(1-$I$21)*(1-$J$21)*$D$21*$E$21/4*MIN(1,MAX(0,(T$5-$H$21+1)/$T$21))*IF(T$5=$H$21,DelivFactor,IF(AND(T$5&gt;$H$21,T$5&lt;$H$21+$F$21),1,IF(T$5=$H$21+$F$21,1-DelivFactor,0)))</f>
        <v>0</v>
      </c>
      <c r="U80" s="125" t="n">
        <f aca="false">(1-$I$21)*(1-$J$21)*$D$21*$E$21/4*MIN(1,MAX(0,(U$5-$H$21+1)/$T$21))*IF(U$5=$H$21,DelivFactor,IF(AND(U$5&gt;$H$21,U$5&lt;$H$21+$F$21),1,IF(U$5=$H$21+$F$21,1-DelivFactor,0)))</f>
        <v>0</v>
      </c>
      <c r="V80" s="125" t="n">
        <f aca="false">(1-$I$21)*(1-$J$21)*$D$21*$E$21/4*MIN(1,MAX(0,(V$5-$H$21+1)/$T$21))*IF(V$5=$H$21,DelivFactor,IF(AND(V$5&gt;$H$21,V$5&lt;$H$21+$F$21),1,IF(V$5=$H$21+$F$21,1-DelivFactor,0)))</f>
        <v>0</v>
      </c>
      <c r="W80" s="125" t="n">
        <f aca="false">(1-$I$21)*(1-$J$21)*$D$21*$E$21/4*MIN(1,MAX(0,(W$5-$H$21+1)/$T$21))*IF(W$5=$H$21,DelivFactor,IF(AND(W$5&gt;$H$21,W$5&lt;$H$21+$F$21),1,IF(W$5=$H$21+$F$21,1-DelivFactor,0)))</f>
        <v>0</v>
      </c>
      <c r="X80" s="125" t="n">
        <f aca="false">(1-$I$21)*(1-$J$21)*$D$21*$E$21/4*MIN(1,MAX(0,(X$5-$H$21+1)/$T$21))*IF(X$5=$H$21,DelivFactor,IF(AND(X$5&gt;$H$21,X$5&lt;$H$21+$F$21),1,IF(X$5=$H$21+$F$21,1-DelivFactor,0)))</f>
        <v>0</v>
      </c>
      <c r="Y80" s="125" t="n">
        <f aca="false">(1-$I$21)*(1-$J$21)*$D$21*$E$21/4*MIN(1,MAX(0,(Y$5-$H$21+1)/$T$21))*IF(Y$5=$H$21,DelivFactor,IF(AND(Y$5&gt;$H$21,Y$5&lt;$H$21+$F$21),1,IF(Y$5=$H$21+$F$21,1-DelivFactor,0)))</f>
        <v>0</v>
      </c>
      <c r="Z80" s="125" t="n">
        <f aca="false">(1-$I$21)*(1-$J$21)*$D$21*$E$21/4*MIN(1,MAX(0,(Z$5-$H$21+1)/$T$21))*IF(Z$5=$H$21,DelivFactor,IF(AND(Z$5&gt;$H$21,Z$5&lt;$H$21+$F$21),1,IF(Z$5=$H$21+$F$21,1-DelivFactor,0)))</f>
        <v>0</v>
      </c>
      <c r="AA80" s="125" t="n">
        <f aca="false">(1-$I$21)*(1-$J$21)*$D$21*$E$21/4*MIN(1,MAX(0,(AA$5-$H$21+1)/$T$21))*IF(AA$5=$H$21,DelivFactor,IF(AND(AA$5&gt;$H$21,AA$5&lt;$H$21+$F$21),1,IF(AA$5=$H$21+$F$21,1-DelivFactor,0)))</f>
        <v>0</v>
      </c>
      <c r="AB80" s="125" t="n">
        <f aca="false">(1-$I$21)*(1-$J$21)*$D$21*$E$21/4*MIN(1,MAX(0,(AB$5-$H$21+1)/$T$21))*IF(AB$5=$H$21,DelivFactor,IF(AND(AB$5&gt;$H$21,AB$5&lt;$H$21+$F$21),1,IF(AB$5=$H$21+$F$21,1-DelivFactor,0)))</f>
        <v>0</v>
      </c>
      <c r="AC80" s="125" t="n">
        <f aca="false">(1-$I$21)*(1-$J$21)*$D$21*$E$21/4*MIN(1,MAX(0,(AC$5-$H$21+1)/$T$21))*IF(AC$5=$H$21,DelivFactor,IF(AND(AC$5&gt;$H$21,AC$5&lt;$H$21+$F$21),1,IF(AC$5=$H$21+$F$21,1-DelivFactor,0)))</f>
        <v>0</v>
      </c>
      <c r="AD80" s="125" t="n">
        <f aca="false">(1-$I$21)*(1-$J$21)*$D$21*$E$21/4*MIN(1,MAX(0,(AD$5-$H$21+1)/$T$21))*IF(AD$5=$H$21,DelivFactor,IF(AND(AD$5&gt;$H$21,AD$5&lt;$H$21+$F$21),1,IF(AD$5=$H$21+$F$21,1-DelivFactor,0)))</f>
        <v>0</v>
      </c>
      <c r="AE80" s="125" t="n">
        <f aca="false">(1-$I$21)*(1-$J$21)*$D$21*$E$21/4*MIN(1,MAX(0,(AE$5-$H$21+1)/$T$21))*IF(AE$5=$H$21,DelivFactor,IF(AND(AE$5&gt;$H$21,AE$5&lt;$H$21+$F$21),1,IF(AE$5=$H$21+$F$21,1-DelivFactor,0)))</f>
        <v>0</v>
      </c>
      <c r="AF80" s="125" t="n">
        <f aca="false">(1-$I$21)*(1-$J$21)*$D$21*$E$21/4*MIN(1,MAX(0,(AF$5-$H$21+1)/$T$21))*IF(AF$5=$H$21,DelivFactor,IF(AND(AF$5&gt;$H$21,AF$5&lt;$H$21+$F$21),1,IF(AF$5=$H$21+$F$21,1-DelivFactor,0)))</f>
        <v>0</v>
      </c>
      <c r="AG80" s="125" t="n">
        <f aca="false">(1-$I$21)*(1-$J$21)*$D$21*$E$21/4*MIN(1,MAX(0,(AG$5-$H$21+1)/$T$21))*IF(AG$5=$H$21,DelivFactor,IF(AND(AG$5&gt;$H$21,AG$5&lt;$H$21+$F$21),1,IF(AG$5=$H$21+$F$21,1-DelivFactor,0)))</f>
        <v>0</v>
      </c>
      <c r="AI80" s="125" t="n">
        <f aca="false">SUMIF($F$7:$AG$7,AI$7,$F80:$AG80)</f>
        <v>0</v>
      </c>
      <c r="AJ80" s="125" t="n">
        <f aca="false">SUMIF($F$7:$AG$7,AJ$7,$F80:$AG80)</f>
        <v>0</v>
      </c>
      <c r="AK80" s="125" t="n">
        <f aca="false">SUMIF($F$7:$AG$7,AK$7,$F80:$AG80)</f>
        <v>0</v>
      </c>
      <c r="AL80" s="125" t="n">
        <f aca="false">SUMIF($F$7:$AG$7,AL$7,$F80:$AG80)</f>
        <v>0</v>
      </c>
      <c r="AM80" s="125" t="n">
        <f aca="false">SUMIF($F$7:$AG$7,AM$7,$F80:$AG80)</f>
        <v>0</v>
      </c>
      <c r="AN80" s="125" t="n">
        <f aca="false">SUMIF($F$7:$AG$7,AN$7,$F80:$AG80)</f>
        <v>0</v>
      </c>
      <c r="AO80" s="125" t="n">
        <f aca="false">SUMIF($F$7:$AG$7,AO$7,$F80:$AG80)</f>
        <v>0</v>
      </c>
    </row>
    <row r="81" customFormat="false" ht="15" hidden="false" customHeight="false" outlineLevel="0" collapsed="false">
      <c r="A81" s="107" t="s">
        <v>1921</v>
      </c>
      <c r="B81" s="22" t="s">
        <v>664</v>
      </c>
      <c r="C81" s="22"/>
      <c r="D81" s="22"/>
      <c r="F81" s="116" t="n">
        <f aca="false">(1-$I$21)*(1-$J$21)*$D$21*AND(F$5&gt;=$H$21,F$5&lt;$H$21+$F$21)</f>
        <v>0</v>
      </c>
      <c r="G81" s="116" t="n">
        <f aca="false">(1-$I$21)*(1-$J$21)*$D$21*AND(G$5&gt;=$H$21,G$5&lt;$H$21+$F$21)</f>
        <v>0</v>
      </c>
      <c r="H81" s="116" t="n">
        <f aca="false">(1-$I$21)*(1-$J$21)*$D$21*AND(H$5&gt;=$H$21,H$5&lt;$H$21+$F$21)</f>
        <v>0</v>
      </c>
      <c r="I81" s="116" t="n">
        <f aca="false">(1-$I$21)*(1-$J$21)*$D$21*AND(I$5&gt;=$H$21,I$5&lt;$H$21+$F$21)</f>
        <v>0</v>
      </c>
      <c r="J81" s="116" t="n">
        <f aca="false">(1-$I$21)*(1-$J$21)*$D$21*AND(J$5&gt;=$H$21,J$5&lt;$H$21+$F$21)</f>
        <v>0</v>
      </c>
      <c r="K81" s="116" t="n">
        <f aca="false">(1-$I$21)*(1-$J$21)*$D$21*AND(K$5&gt;=$H$21,K$5&lt;$H$21+$F$21)</f>
        <v>0</v>
      </c>
      <c r="L81" s="116" t="n">
        <f aca="false">(1-$I$21)*(1-$J$21)*$D$21*AND(L$5&gt;=$H$21,L$5&lt;$H$21+$F$21)</f>
        <v>0</v>
      </c>
      <c r="M81" s="116" t="n">
        <f aca="false">(1-$I$21)*(1-$J$21)*$D$21*AND(M$5&gt;=$H$21,M$5&lt;$H$21+$F$21)</f>
        <v>0</v>
      </c>
      <c r="N81" s="116" t="n">
        <f aca="false">(1-$I$21)*(1-$J$21)*$D$21*AND(N$5&gt;=$H$21,N$5&lt;$H$21+$F$21)</f>
        <v>0</v>
      </c>
      <c r="O81" s="116" t="n">
        <f aca="false">(1-$I$21)*(1-$J$21)*$D$21*AND(O$5&gt;=$H$21,O$5&lt;$H$21+$F$21)</f>
        <v>0</v>
      </c>
      <c r="P81" s="36" t="n">
        <f aca="false">(1-$I$21)*(1-$J$21)*$D$21*AND(P$5&gt;=$H$21,P$5&lt;$H$21+$F$21)</f>
        <v>0</v>
      </c>
      <c r="Q81" s="36" t="n">
        <f aca="false">(1-$I$21)*(1-$J$21)*$D$21*AND(Q$5&gt;=$H$21,Q$5&lt;$H$21+$F$21)</f>
        <v>0</v>
      </c>
      <c r="R81" s="36" t="n">
        <f aca="false">(1-$I$21)*(1-$J$21)*$D$21*AND(R$5&gt;=$H$21,R$5&lt;$H$21+$F$21)</f>
        <v>0</v>
      </c>
      <c r="S81" s="36" t="n">
        <f aca="false">(1-$I$21)*(1-$J$21)*$D$21*AND(S$5&gt;=$H$21,S$5&lt;$H$21+$F$21)</f>
        <v>0</v>
      </c>
      <c r="T81" s="36" t="n">
        <f aca="false">(1-$I$21)*(1-$J$21)*$D$21*AND(T$5&gt;=$H$21,T$5&lt;$H$21+$F$21)</f>
        <v>0</v>
      </c>
      <c r="U81" s="36" t="n">
        <f aca="false">(1-$I$21)*(1-$J$21)*$D$21*AND(U$5&gt;=$H$21,U$5&lt;$H$21+$F$21)</f>
        <v>0</v>
      </c>
      <c r="V81" s="36" t="n">
        <f aca="false">(1-$I$21)*(1-$J$21)*$D$21*AND(V$5&gt;=$H$21,V$5&lt;$H$21+$F$21)</f>
        <v>0</v>
      </c>
      <c r="W81" s="36" t="n">
        <f aca="false">(1-$I$21)*(1-$J$21)*$D$21*AND(W$5&gt;=$H$21,W$5&lt;$H$21+$F$21)</f>
        <v>0</v>
      </c>
      <c r="X81" s="36" t="n">
        <f aca="false">(1-$I$21)*(1-$J$21)*$D$21*AND(X$5&gt;=$H$21,X$5&lt;$H$21+$F$21)</f>
        <v>0</v>
      </c>
      <c r="Y81" s="36" t="n">
        <f aca="false">(1-$I$21)*(1-$J$21)*$D$21*AND(Y$5&gt;=$H$21,Y$5&lt;$H$21+$F$21)</f>
        <v>0</v>
      </c>
      <c r="Z81" s="36" t="n">
        <f aca="false">(1-$I$21)*(1-$J$21)*$D$21*AND(Z$5&gt;=$H$21,Z$5&lt;$H$21+$F$21)</f>
        <v>0</v>
      </c>
      <c r="AA81" s="36" t="n">
        <f aca="false">(1-$I$21)*(1-$J$21)*$D$21*AND(AA$5&gt;=$H$21,AA$5&lt;$H$21+$F$21)</f>
        <v>0</v>
      </c>
      <c r="AB81" s="36" t="n">
        <f aca="false">(1-$I$21)*(1-$J$21)*$D$21*AND(AB$5&gt;=$H$21,AB$5&lt;$H$21+$F$21)</f>
        <v>0</v>
      </c>
      <c r="AC81" s="36" t="n">
        <f aca="false">(1-$I$21)*(1-$J$21)*$D$21*AND(AC$5&gt;=$H$21,AC$5&lt;$H$21+$F$21)</f>
        <v>0</v>
      </c>
      <c r="AD81" s="36" t="n">
        <f aca="false">(1-$I$21)*(1-$J$21)*$D$21*AND(AD$5&gt;=$H$21,AD$5&lt;$H$21+$F$21)</f>
        <v>0</v>
      </c>
      <c r="AE81" s="36" t="n">
        <f aca="false">(1-$I$21)*(1-$J$21)*$D$21*AND(AE$5&gt;=$H$21,AE$5&lt;$H$21+$F$21)</f>
        <v>0</v>
      </c>
      <c r="AF81" s="36" t="n">
        <f aca="false">(1-$I$21)*(1-$J$21)*$D$21*AND(AF$5&gt;=$H$21,AF$5&lt;$H$21+$F$21)</f>
        <v>0</v>
      </c>
      <c r="AG81" s="36" t="n">
        <f aca="false">(1-$I$21)*(1-$J$21)*$D$21*AND(AG$5&gt;=$H$21,AG$5&lt;$H$21+$F$21)</f>
        <v>0</v>
      </c>
      <c r="AI81" s="36" t="n">
        <f aca="false">INDEX($F81:$AG81,1,MATCH(AI$7,$F$7:$AG$7,1))</f>
        <v>0</v>
      </c>
      <c r="AJ81" s="36" t="n">
        <f aca="false">INDEX($F81:$AG81,1,MATCH(AJ$7,$F$7:$AG$7,1))</f>
        <v>0</v>
      </c>
      <c r="AK81" s="36" t="n">
        <f aca="false">INDEX($F81:$AG81,1,MATCH(AK$7,$F$7:$AG$7,1))</f>
        <v>0</v>
      </c>
      <c r="AL81" s="36" t="n">
        <f aca="false">INDEX($F81:$AG81,1,MATCH(AL$7,$F$7:$AG$7,1))</f>
        <v>0</v>
      </c>
      <c r="AM81" s="36" t="n">
        <f aca="false">INDEX($F81:$AG81,1,MATCH(AM$7,$F$7:$AG$7,1))</f>
        <v>0</v>
      </c>
      <c r="AN81" s="36" t="n">
        <f aca="false">INDEX($F81:$AG81,1,MATCH(AN$7,$F$7:$AG$7,1))</f>
        <v>0</v>
      </c>
      <c r="AO81" s="36" t="n">
        <f aca="false">INDEX($F81:$AG81,1,MATCH(AO$7,$F$7:$AG$7,1))</f>
        <v>0</v>
      </c>
    </row>
    <row r="82" customFormat="false" ht="15" hidden="false" customHeight="false" outlineLevel="0" collapsed="false">
      <c r="A82" s="107" t="s">
        <v>1922</v>
      </c>
      <c r="B82" s="22" t="s">
        <v>613</v>
      </c>
      <c r="C82" s="22"/>
      <c r="D82" s="22"/>
      <c r="F82" s="124" t="n">
        <f aca="false">-(1-$I$21)*LD_Pct*$D$21*$E$21/4*AND(F$5&gt;=$G$21,F$5&lt;$H$21)</f>
        <v>-0</v>
      </c>
      <c r="G82" s="124" t="n">
        <f aca="false">-(1-$I$21)*LD_Pct*$D$21*$E$21/4*AND(G$5&gt;=$G$21,G$5&lt;$H$21)</f>
        <v>-0</v>
      </c>
      <c r="H82" s="124" t="n">
        <f aca="false">-(1-$I$21)*LD_Pct*$D$21*$E$21/4*AND(H$5&gt;=$G$21,H$5&lt;$H$21)</f>
        <v>-0</v>
      </c>
      <c r="I82" s="124" t="n">
        <f aca="false">-(1-$I$21)*LD_Pct*$D$21*$E$21/4*AND(I$5&gt;=$G$21,I$5&lt;$H$21)</f>
        <v>-0</v>
      </c>
      <c r="J82" s="124" t="n">
        <f aca="false">-(1-$I$21)*LD_Pct*$D$21*$E$21/4*AND(J$5&gt;=$G$21,J$5&lt;$H$21)</f>
        <v>-0</v>
      </c>
      <c r="K82" s="124" t="n">
        <f aca="false">-(1-$I$21)*LD_Pct*$D$21*$E$21/4*AND(K$5&gt;=$G$21,K$5&lt;$H$21)</f>
        <v>-0</v>
      </c>
      <c r="L82" s="124" t="n">
        <f aca="false">-(1-$I$21)*LD_Pct*$D$21*$E$21/4*AND(L$5&gt;=$G$21,L$5&lt;$H$21)</f>
        <v>-0</v>
      </c>
      <c r="M82" s="124" t="n">
        <f aca="false">-(1-$I$21)*LD_Pct*$D$21*$E$21/4*AND(M$5&gt;=$G$21,M$5&lt;$H$21)</f>
        <v>-0</v>
      </c>
      <c r="N82" s="124" t="n">
        <f aca="false">-(1-$I$21)*LD_Pct*$D$21*$E$21/4*AND(N$5&gt;=$G$21,N$5&lt;$H$21)</f>
        <v>-0</v>
      </c>
      <c r="O82" s="124" t="n">
        <f aca="false">-(1-$I$21)*LD_Pct*$D$21*$E$21/4*AND(O$5&gt;=$G$21,O$5&lt;$H$21)</f>
        <v>-0</v>
      </c>
      <c r="P82" s="125" t="n">
        <f aca="false">-(1-$I$21)*LD_Pct*$D$21*$E$21/4*AND(P$5&gt;=$G$21,P$5&lt;$H$21)</f>
        <v>-0</v>
      </c>
      <c r="Q82" s="125" t="n">
        <f aca="false">-(1-$I$21)*LD_Pct*$D$21*$E$21/4*AND(Q$5&gt;=$G$21,Q$5&lt;$H$21)</f>
        <v>-0</v>
      </c>
      <c r="R82" s="125" t="n">
        <f aca="false">-(1-$I$21)*LD_Pct*$D$21*$E$21/4*AND(R$5&gt;=$G$21,R$5&lt;$H$21)</f>
        <v>-0</v>
      </c>
      <c r="S82" s="125" t="n">
        <f aca="false">-(1-$I$21)*LD_Pct*$D$21*$E$21/4*AND(S$5&gt;=$G$21,S$5&lt;$H$21)</f>
        <v>-0</v>
      </c>
      <c r="T82" s="125" t="n">
        <f aca="false">-(1-$I$21)*LD_Pct*$D$21*$E$21/4*AND(T$5&gt;=$G$21,T$5&lt;$H$21)</f>
        <v>-0</v>
      </c>
      <c r="U82" s="125" t="n">
        <f aca="false">-(1-$I$21)*LD_Pct*$D$21*$E$21/4*AND(U$5&gt;=$G$21,U$5&lt;$H$21)</f>
        <v>-0</v>
      </c>
      <c r="V82" s="125" t="n">
        <f aca="false">-(1-$I$21)*LD_Pct*$D$21*$E$21/4*AND(V$5&gt;=$G$21,V$5&lt;$H$21)</f>
        <v>-0</v>
      </c>
      <c r="W82" s="125" t="n">
        <f aca="false">-(1-$I$21)*LD_Pct*$D$21*$E$21/4*AND(W$5&gt;=$G$21,W$5&lt;$H$21)</f>
        <v>-0</v>
      </c>
      <c r="X82" s="125" t="n">
        <f aca="false">-(1-$I$21)*LD_Pct*$D$21*$E$21/4*AND(X$5&gt;=$G$21,X$5&lt;$H$21)</f>
        <v>-0</v>
      </c>
      <c r="Y82" s="125" t="n">
        <f aca="false">-(1-$I$21)*LD_Pct*$D$21*$E$21/4*AND(Y$5&gt;=$G$21,Y$5&lt;$H$21)</f>
        <v>-0</v>
      </c>
      <c r="Z82" s="125" t="n">
        <f aca="false">-(1-$I$21)*LD_Pct*$D$21*$E$21/4*AND(Z$5&gt;=$G$21,Z$5&lt;$H$21)</f>
        <v>-0</v>
      </c>
      <c r="AA82" s="125" t="n">
        <f aca="false">-(1-$I$21)*LD_Pct*$D$21*$E$21/4*AND(AA$5&gt;=$G$21,AA$5&lt;$H$21)</f>
        <v>-0</v>
      </c>
      <c r="AB82" s="125" t="n">
        <f aca="false">-(1-$I$21)*LD_Pct*$D$21*$E$21/4*AND(AB$5&gt;=$G$21,AB$5&lt;$H$21)</f>
        <v>-0</v>
      </c>
      <c r="AC82" s="125" t="n">
        <f aca="false">-(1-$I$21)*LD_Pct*$D$21*$E$21/4*AND(AC$5&gt;=$G$21,AC$5&lt;$H$21)</f>
        <v>-0</v>
      </c>
      <c r="AD82" s="125" t="n">
        <f aca="false">-(1-$I$21)*LD_Pct*$D$21*$E$21/4*AND(AD$5&gt;=$G$21,AD$5&lt;$H$21)</f>
        <v>-0</v>
      </c>
      <c r="AE82" s="125" t="n">
        <f aca="false">-(1-$I$21)*LD_Pct*$D$21*$E$21/4*AND(AE$5&gt;=$G$21,AE$5&lt;$H$21)</f>
        <v>-0</v>
      </c>
      <c r="AF82" s="125" t="n">
        <f aca="false">-(1-$I$21)*LD_Pct*$D$21*$E$21/4*AND(AF$5&gt;=$G$21,AF$5&lt;$H$21)</f>
        <v>-0</v>
      </c>
      <c r="AG82" s="125" t="n">
        <f aca="false">-(1-$I$21)*LD_Pct*$D$21*$E$21/4*AND(AG$5&gt;=$G$21,AG$5&lt;$H$21)</f>
        <v>-0</v>
      </c>
      <c r="AI82" s="125" t="n">
        <f aca="false">SUMIF($F$7:$AG$7,AI$7,$F82:$AG82)</f>
        <v>0</v>
      </c>
      <c r="AJ82" s="125" t="n">
        <f aca="false">SUMIF($F$7:$AG$7,AJ$7,$F82:$AG82)</f>
        <v>0</v>
      </c>
      <c r="AK82" s="125" t="n">
        <f aca="false">SUMIF($F$7:$AG$7,AK$7,$F82:$AG82)</f>
        <v>0</v>
      </c>
      <c r="AL82" s="125" t="n">
        <f aca="false">SUMIF($F$7:$AG$7,AL$7,$F82:$AG82)</f>
        <v>0</v>
      </c>
      <c r="AM82" s="125" t="n">
        <f aca="false">SUMIF($F$7:$AG$7,AM$7,$F82:$AG82)</f>
        <v>0</v>
      </c>
      <c r="AN82" s="125" t="n">
        <f aca="false">SUMIF($F$7:$AG$7,AN$7,$F82:$AG82)</f>
        <v>0</v>
      </c>
      <c r="AO82" s="125" t="n">
        <f aca="false">SUMIF($F$7:$AG$7,AO$7,$F82:$AG82)</f>
        <v>0</v>
      </c>
    </row>
    <row r="83" customFormat="false" ht="15" hidden="false" customHeight="false" outlineLevel="0" collapsed="false">
      <c r="A83" s="107" t="s">
        <v>1923</v>
      </c>
      <c r="B83" s="22" t="s">
        <v>664</v>
      </c>
      <c r="C83" s="22"/>
      <c r="D83" s="22"/>
      <c r="F83" s="116" t="n">
        <f aca="false">(1-$I$21)*(1-$J$21)*$D$21*(F$5&gt;=$H$21+$F$21)</f>
        <v>0</v>
      </c>
      <c r="G83" s="116" t="n">
        <f aca="false">(1-$I$21)*(1-$J$21)*$D$21*(G$5&gt;=$H$21+$F$21)</f>
        <v>0</v>
      </c>
      <c r="H83" s="116" t="n">
        <f aca="false">(1-$I$21)*(1-$J$21)*$D$21*(H$5&gt;=$H$21+$F$21)</f>
        <v>0</v>
      </c>
      <c r="I83" s="116" t="n">
        <f aca="false">(1-$I$21)*(1-$J$21)*$D$21*(I$5&gt;=$H$21+$F$21)</f>
        <v>0</v>
      </c>
      <c r="J83" s="116" t="n">
        <f aca="false">(1-$I$21)*(1-$J$21)*$D$21*(J$5&gt;=$H$21+$F$21)</f>
        <v>0</v>
      </c>
      <c r="K83" s="116" t="n">
        <f aca="false">(1-$I$21)*(1-$J$21)*$D$21*(K$5&gt;=$H$21+$F$21)</f>
        <v>0</v>
      </c>
      <c r="L83" s="116" t="n">
        <f aca="false">(1-$I$21)*(1-$J$21)*$D$21*(L$5&gt;=$H$21+$F$21)</f>
        <v>0</v>
      </c>
      <c r="M83" s="116" t="n">
        <f aca="false">(1-$I$21)*(1-$J$21)*$D$21*(M$5&gt;=$H$21+$F$21)</f>
        <v>0</v>
      </c>
      <c r="N83" s="116" t="n">
        <f aca="false">(1-$I$21)*(1-$J$21)*$D$21*(N$5&gt;=$H$21+$F$21)</f>
        <v>0</v>
      </c>
      <c r="O83" s="116" t="n">
        <f aca="false">(1-$I$21)*(1-$J$21)*$D$21*(O$5&gt;=$H$21+$F$21)</f>
        <v>0</v>
      </c>
      <c r="P83" s="36" t="n">
        <f aca="false">(1-$I$21)*(1-$J$21)*$D$21*(P$5&gt;=$H$21+$F$21)</f>
        <v>0</v>
      </c>
      <c r="Q83" s="36" t="n">
        <f aca="false">(1-$I$21)*(1-$J$21)*$D$21*(Q$5&gt;=$H$21+$F$21)</f>
        <v>0</v>
      </c>
      <c r="R83" s="36" t="n">
        <f aca="false">(1-$I$21)*(1-$J$21)*$D$21*(R$5&gt;=$H$21+$F$21)</f>
        <v>0</v>
      </c>
      <c r="S83" s="36" t="n">
        <f aca="false">(1-$I$21)*(1-$J$21)*$D$21*(S$5&gt;=$H$21+$F$21)</f>
        <v>0</v>
      </c>
      <c r="T83" s="36" t="n">
        <f aca="false">(1-$I$21)*(1-$J$21)*$D$21*(T$5&gt;=$H$21+$F$21)</f>
        <v>0</v>
      </c>
      <c r="U83" s="36" t="n">
        <f aca="false">(1-$I$21)*(1-$J$21)*$D$21*(U$5&gt;=$H$21+$F$21)</f>
        <v>0</v>
      </c>
      <c r="V83" s="36" t="n">
        <f aca="false">(1-$I$21)*(1-$J$21)*$D$21*(V$5&gt;=$H$21+$F$21)</f>
        <v>0</v>
      </c>
      <c r="W83" s="36" t="n">
        <f aca="false">(1-$I$21)*(1-$J$21)*$D$21*(W$5&gt;=$H$21+$F$21)</f>
        <v>0</v>
      </c>
      <c r="X83" s="36" t="n">
        <f aca="false">(1-$I$21)*(1-$J$21)*$D$21*(X$5&gt;=$H$21+$F$21)</f>
        <v>0</v>
      </c>
      <c r="Y83" s="36" t="n">
        <f aca="false">(1-$I$21)*(1-$J$21)*$D$21*(Y$5&gt;=$H$21+$F$21)</f>
        <v>0</v>
      </c>
      <c r="Z83" s="36" t="n">
        <f aca="false">(1-$I$21)*(1-$J$21)*$D$21*(Z$5&gt;=$H$21+$F$21)</f>
        <v>0</v>
      </c>
      <c r="AA83" s="36" t="n">
        <f aca="false">(1-$I$21)*(1-$J$21)*$D$21*(AA$5&gt;=$H$21+$F$21)</f>
        <v>0</v>
      </c>
      <c r="AB83" s="36" t="n">
        <f aca="false">(1-$I$21)*(1-$J$21)*$D$21*(AB$5&gt;=$H$21+$F$21)</f>
        <v>0</v>
      </c>
      <c r="AC83" s="36" t="n">
        <f aca="false">(1-$I$21)*(1-$J$21)*$D$21*(AC$5&gt;=$H$21+$F$21)</f>
        <v>0</v>
      </c>
      <c r="AD83" s="36" t="n">
        <f aca="false">(1-$I$21)*(1-$J$21)*$D$21*(AD$5&gt;=$H$21+$F$21)</f>
        <v>0</v>
      </c>
      <c r="AE83" s="36" t="n">
        <f aca="false">(1-$I$21)*(1-$J$21)*$D$21*(AE$5&gt;=$H$21+$F$21)</f>
        <v>0</v>
      </c>
      <c r="AF83" s="36" t="n">
        <f aca="false">(1-$I$21)*(1-$J$21)*$D$21*(AF$5&gt;=$H$21+$F$21)</f>
        <v>0</v>
      </c>
      <c r="AG83" s="36" t="n">
        <f aca="false">(1-$I$21)*(1-$J$21)*$D$21*(AG$5&gt;=$H$21+$F$21)</f>
        <v>0</v>
      </c>
      <c r="AI83" s="36" t="n">
        <f aca="false">INDEX($F83:$AG83,1,MATCH(AI$7,$F$7:$AG$7,1))</f>
        <v>0</v>
      </c>
      <c r="AJ83" s="36" t="n">
        <f aca="false">INDEX($F83:$AG83,1,MATCH(AJ$7,$F$7:$AG$7,1))</f>
        <v>0</v>
      </c>
      <c r="AK83" s="36" t="n">
        <f aca="false">INDEX($F83:$AG83,1,MATCH(AK$7,$F$7:$AG$7,1))</f>
        <v>0</v>
      </c>
      <c r="AL83" s="36" t="n">
        <f aca="false">INDEX($F83:$AG83,1,MATCH(AL$7,$F$7:$AG$7,1))</f>
        <v>0</v>
      </c>
      <c r="AM83" s="36" t="n">
        <f aca="false">INDEX($F83:$AG83,1,MATCH(AM$7,$F$7:$AG$7,1))</f>
        <v>0</v>
      </c>
      <c r="AN83" s="36" t="n">
        <f aca="false">INDEX($F83:$AG83,1,MATCH(AN$7,$F$7:$AG$7,1))</f>
        <v>0</v>
      </c>
      <c r="AO83" s="36" t="n">
        <f aca="false">INDEX($F83:$AG83,1,MATCH(AO$7,$F$7:$AG$7,1))</f>
        <v>0</v>
      </c>
    </row>
    <row r="84" customFormat="false" ht="15" hidden="false" customHeight="false" outlineLevel="0" collapsed="false">
      <c r="A84" s="107" t="s">
        <v>1924</v>
      </c>
      <c r="B84" s="22" t="s">
        <v>613</v>
      </c>
      <c r="C84" s="22"/>
      <c r="D84" s="22" t="s">
        <v>1879</v>
      </c>
      <c r="F84" s="124" t="n">
        <f aca="false">F83*CHOOSE(MATCH($C$21,{"H";"B";"N"},0),GPUMW_H*ODc_H,GPUMW_B*ODc_B,GPUMW_N*ODc_N)*ResidUtil*Timeline!F$9*INDEX(Curve,1,MAX(1,MIN(8,INT((F$5-$H$21)/4)+1)))/1000000</f>
        <v>0</v>
      </c>
      <c r="G84" s="124" t="n">
        <f aca="false">G83*CHOOSE(MATCH($C$21,{"H";"B";"N"},0),GPUMW_H*ODc_H,GPUMW_B*ODc_B,GPUMW_N*ODc_N)*ResidUtil*Timeline!G$9*INDEX(Curve,1,MAX(1,MIN(8,INT((G$5-$H$21)/4)+1)))/1000000</f>
        <v>0</v>
      </c>
      <c r="H84" s="124" t="n">
        <f aca="false">H83*CHOOSE(MATCH($C$21,{"H";"B";"N"},0),GPUMW_H*ODc_H,GPUMW_B*ODc_B,GPUMW_N*ODc_N)*ResidUtil*Timeline!H$9*INDEX(Curve,1,MAX(1,MIN(8,INT((H$5-$H$21)/4)+1)))/1000000</f>
        <v>0</v>
      </c>
      <c r="I84" s="124" t="n">
        <f aca="false">I83*CHOOSE(MATCH($C$21,{"H";"B";"N"},0),GPUMW_H*ODc_H,GPUMW_B*ODc_B,GPUMW_N*ODc_N)*ResidUtil*Timeline!I$9*INDEX(Curve,1,MAX(1,MIN(8,INT((I$5-$H$21)/4)+1)))/1000000</f>
        <v>0</v>
      </c>
      <c r="J84" s="124" t="n">
        <f aca="false">J83*CHOOSE(MATCH($C$21,{"H";"B";"N"},0),GPUMW_H*ODc_H,GPUMW_B*ODc_B,GPUMW_N*ODc_N)*ResidUtil*Timeline!J$9*INDEX(Curve,1,MAX(1,MIN(8,INT((J$5-$H$21)/4)+1)))/1000000</f>
        <v>0</v>
      </c>
      <c r="K84" s="124" t="n">
        <f aca="false">K83*CHOOSE(MATCH($C$21,{"H";"B";"N"},0),GPUMW_H*ODc_H,GPUMW_B*ODc_B,GPUMW_N*ODc_N)*ResidUtil*Timeline!K$9*INDEX(Curve,1,MAX(1,MIN(8,INT((K$5-$H$21)/4)+1)))/1000000</f>
        <v>0</v>
      </c>
      <c r="L84" s="124" t="n">
        <f aca="false">L83*CHOOSE(MATCH($C$21,{"H";"B";"N"},0),GPUMW_H*ODc_H,GPUMW_B*ODc_B,GPUMW_N*ODc_N)*ResidUtil*Timeline!L$9*INDEX(Curve,1,MAX(1,MIN(8,INT((L$5-$H$21)/4)+1)))/1000000</f>
        <v>0</v>
      </c>
      <c r="M84" s="124" t="n">
        <f aca="false">M83*CHOOSE(MATCH($C$21,{"H";"B";"N"},0),GPUMW_H*ODc_H,GPUMW_B*ODc_B,GPUMW_N*ODc_N)*ResidUtil*Timeline!M$9*INDEX(Curve,1,MAX(1,MIN(8,INT((M$5-$H$21)/4)+1)))/1000000</f>
        <v>0</v>
      </c>
      <c r="N84" s="124" t="n">
        <f aca="false">N83*CHOOSE(MATCH($C$21,{"H";"B";"N"},0),GPUMW_H*ODc_H,GPUMW_B*ODc_B,GPUMW_N*ODc_N)*ResidUtil*Timeline!N$9*INDEX(Curve,1,MAX(1,MIN(8,INT((N$5-$H$21)/4)+1)))/1000000</f>
        <v>0</v>
      </c>
      <c r="O84" s="124" t="n">
        <f aca="false">O83*CHOOSE(MATCH($C$21,{"H";"B";"N"},0),GPUMW_H*ODc_H,GPUMW_B*ODc_B,GPUMW_N*ODc_N)*ResidUtil*Timeline!O$9*INDEX(Curve,1,MAX(1,MIN(8,INT((O$5-$H$21)/4)+1)))/1000000</f>
        <v>0</v>
      </c>
      <c r="P84" s="125" t="n">
        <f aca="false">P83*CHOOSE(MATCH($C$21,{"H";"B";"N"},0),GPUMW_H*ODc_H,GPUMW_B*ODc_B,GPUMW_N*ODc_N)*ResidUtil*Timeline!P$9*INDEX(Curve,1,MAX(1,MIN(8,INT((P$5-$H$21)/4)+1)))/1000000</f>
        <v>0</v>
      </c>
      <c r="Q84" s="125" t="n">
        <f aca="false">Q83*CHOOSE(MATCH($C$21,{"H";"B";"N"},0),GPUMW_H*ODc_H,GPUMW_B*ODc_B,GPUMW_N*ODc_N)*ResidUtil*Timeline!Q$9*INDEX(Curve,1,MAX(1,MIN(8,INT((Q$5-$H$21)/4)+1)))/1000000</f>
        <v>0</v>
      </c>
      <c r="R84" s="125" t="n">
        <f aca="false">R83*CHOOSE(MATCH($C$21,{"H";"B";"N"},0),GPUMW_H*ODc_H,GPUMW_B*ODc_B,GPUMW_N*ODc_N)*ResidUtil*Timeline!R$9*INDEX(Curve,1,MAX(1,MIN(8,INT((R$5-$H$21)/4)+1)))/1000000</f>
        <v>0</v>
      </c>
      <c r="S84" s="125" t="n">
        <f aca="false">S83*CHOOSE(MATCH($C$21,{"H";"B";"N"},0),GPUMW_H*ODc_H,GPUMW_B*ODc_B,GPUMW_N*ODc_N)*ResidUtil*Timeline!S$9*INDEX(Curve,1,MAX(1,MIN(8,INT((S$5-$H$21)/4)+1)))/1000000</f>
        <v>0</v>
      </c>
      <c r="T84" s="125" t="n">
        <f aca="false">T83*CHOOSE(MATCH($C$21,{"H";"B";"N"},0),GPUMW_H*ODc_H,GPUMW_B*ODc_B,GPUMW_N*ODc_N)*ResidUtil*Timeline!T$9*INDEX(Curve,1,MAX(1,MIN(8,INT((T$5-$H$21)/4)+1)))/1000000</f>
        <v>0</v>
      </c>
      <c r="U84" s="125" t="n">
        <f aca="false">U83*CHOOSE(MATCH($C$21,{"H";"B";"N"},0),GPUMW_H*ODc_H,GPUMW_B*ODc_B,GPUMW_N*ODc_N)*ResidUtil*Timeline!U$9*INDEX(Curve,1,MAX(1,MIN(8,INT((U$5-$H$21)/4)+1)))/1000000</f>
        <v>0</v>
      </c>
      <c r="V84" s="125" t="n">
        <f aca="false">V83*CHOOSE(MATCH($C$21,{"H";"B";"N"},0),GPUMW_H*ODc_H,GPUMW_B*ODc_B,GPUMW_N*ODc_N)*ResidUtil*Timeline!V$9*INDEX(Curve,1,MAX(1,MIN(8,INT((V$5-$H$21)/4)+1)))/1000000</f>
        <v>0</v>
      </c>
      <c r="W84" s="125" t="n">
        <f aca="false">W83*CHOOSE(MATCH($C$21,{"H";"B";"N"},0),GPUMW_H*ODc_H,GPUMW_B*ODc_B,GPUMW_N*ODc_N)*ResidUtil*Timeline!W$9*INDEX(Curve,1,MAX(1,MIN(8,INT((W$5-$H$21)/4)+1)))/1000000</f>
        <v>0</v>
      </c>
      <c r="X84" s="125" t="n">
        <f aca="false">X83*CHOOSE(MATCH($C$21,{"H";"B";"N"},0),GPUMW_H*ODc_H,GPUMW_B*ODc_B,GPUMW_N*ODc_N)*ResidUtil*Timeline!X$9*INDEX(Curve,1,MAX(1,MIN(8,INT((X$5-$H$21)/4)+1)))/1000000</f>
        <v>0</v>
      </c>
      <c r="Y84" s="125" t="n">
        <f aca="false">Y83*CHOOSE(MATCH($C$21,{"H";"B";"N"},0),GPUMW_H*ODc_H,GPUMW_B*ODc_B,GPUMW_N*ODc_N)*ResidUtil*Timeline!Y$9*INDEX(Curve,1,MAX(1,MIN(8,INT((Y$5-$H$21)/4)+1)))/1000000</f>
        <v>0</v>
      </c>
      <c r="Z84" s="125" t="n">
        <f aca="false">Z83*CHOOSE(MATCH($C$21,{"H";"B";"N"},0),GPUMW_H*ODc_H,GPUMW_B*ODc_B,GPUMW_N*ODc_N)*ResidUtil*Timeline!Z$9*INDEX(Curve,1,MAX(1,MIN(8,INT((Z$5-$H$21)/4)+1)))/1000000</f>
        <v>0</v>
      </c>
      <c r="AA84" s="125" t="n">
        <f aca="false">AA83*CHOOSE(MATCH($C$21,{"H";"B";"N"},0),GPUMW_H*ODc_H,GPUMW_B*ODc_B,GPUMW_N*ODc_N)*ResidUtil*Timeline!AA$9*INDEX(Curve,1,MAX(1,MIN(8,INT((AA$5-$H$21)/4)+1)))/1000000</f>
        <v>0</v>
      </c>
      <c r="AB84" s="125" t="n">
        <f aca="false">AB83*CHOOSE(MATCH($C$21,{"H";"B";"N"},0),GPUMW_H*ODc_H,GPUMW_B*ODc_B,GPUMW_N*ODc_N)*ResidUtil*Timeline!AB$9*INDEX(Curve,1,MAX(1,MIN(8,INT((AB$5-$H$21)/4)+1)))/1000000</f>
        <v>0</v>
      </c>
      <c r="AC84" s="125" t="n">
        <f aca="false">AC83*CHOOSE(MATCH($C$21,{"H";"B";"N"},0),GPUMW_H*ODc_H,GPUMW_B*ODc_B,GPUMW_N*ODc_N)*ResidUtil*Timeline!AC$9*INDEX(Curve,1,MAX(1,MIN(8,INT((AC$5-$H$21)/4)+1)))/1000000</f>
        <v>0</v>
      </c>
      <c r="AD84" s="125" t="n">
        <f aca="false">AD83*CHOOSE(MATCH($C$21,{"H";"B";"N"},0),GPUMW_H*ODc_H,GPUMW_B*ODc_B,GPUMW_N*ODc_N)*ResidUtil*Timeline!AD$9*INDEX(Curve,1,MAX(1,MIN(8,INT((AD$5-$H$21)/4)+1)))/1000000</f>
        <v>0</v>
      </c>
      <c r="AE84" s="125" t="n">
        <f aca="false">AE83*CHOOSE(MATCH($C$21,{"H";"B";"N"},0),GPUMW_H*ODc_H,GPUMW_B*ODc_B,GPUMW_N*ODc_N)*ResidUtil*Timeline!AE$9*INDEX(Curve,1,MAX(1,MIN(8,INT((AE$5-$H$21)/4)+1)))/1000000</f>
        <v>0</v>
      </c>
      <c r="AF84" s="125" t="n">
        <f aca="false">AF83*CHOOSE(MATCH($C$21,{"H";"B";"N"},0),GPUMW_H*ODc_H,GPUMW_B*ODc_B,GPUMW_N*ODc_N)*ResidUtil*Timeline!AF$9*INDEX(Curve,1,MAX(1,MIN(8,INT((AF$5-$H$21)/4)+1)))/1000000</f>
        <v>0</v>
      </c>
      <c r="AG84" s="125" t="n">
        <f aca="false">AG83*CHOOSE(MATCH($C$21,{"H";"B";"N"},0),GPUMW_H*ODc_H,GPUMW_B*ODc_B,GPUMW_N*ODc_N)*ResidUtil*Timeline!AG$9*INDEX(Curve,1,MAX(1,MIN(8,INT((AG$5-$H$21)/4)+1)))/1000000</f>
        <v>0</v>
      </c>
      <c r="AI84" s="125" t="n">
        <f aca="false">SUMIF($F$7:$AG$7,AI$7,$F84:$AG84)</f>
        <v>0</v>
      </c>
      <c r="AJ84" s="125" t="n">
        <f aca="false">SUMIF($F$7:$AG$7,AJ$7,$F84:$AG84)</f>
        <v>0</v>
      </c>
      <c r="AK84" s="125" t="n">
        <f aca="false">SUMIF($F$7:$AG$7,AK$7,$F84:$AG84)</f>
        <v>0</v>
      </c>
      <c r="AL84" s="125" t="n">
        <f aca="false">SUMIF($F$7:$AG$7,AL$7,$F84:$AG84)</f>
        <v>0</v>
      </c>
      <c r="AM84" s="125" t="n">
        <f aca="false">SUMIF($F$7:$AG$7,AM$7,$F84:$AG84)</f>
        <v>0</v>
      </c>
      <c r="AN84" s="125" t="n">
        <f aca="false">SUMIF($F$7:$AG$7,AN$7,$F84:$AG84)</f>
        <v>0</v>
      </c>
      <c r="AO84" s="125" t="n">
        <f aca="false">SUMIF($F$7:$AG$7,AO$7,$F84:$AG84)</f>
        <v>0</v>
      </c>
    </row>
    <row r="85" customFormat="false" ht="15" hidden="false" customHeight="false" outlineLevel="0" collapsed="false">
      <c r="A85" s="107" t="s">
        <v>1925</v>
      </c>
      <c r="B85" s="22" t="s">
        <v>613</v>
      </c>
      <c r="C85" s="22"/>
      <c r="D85" s="22"/>
      <c r="F85" s="124" t="n">
        <f aca="false">(1-$I$22)*(1-$J$22)*$D$22*$E$22/4*MIN(1,MAX(0,(F$5-$H$22+1)/$T$22))*IF(F$5=$H$22,DelivFactor,IF(AND(F$5&gt;$H$22,F$5&lt;$H$22+$F$22),1,IF(F$5=$H$22+$F$22,1-DelivFactor,0)))</f>
        <v>0</v>
      </c>
      <c r="G85" s="124" t="n">
        <f aca="false">(1-$I$22)*(1-$J$22)*$D$22*$E$22/4*MIN(1,MAX(0,(G$5-$H$22+1)/$T$22))*IF(G$5=$H$22,DelivFactor,IF(AND(G$5&gt;$H$22,G$5&lt;$H$22+$F$22),1,IF(G$5=$H$22+$F$22,1-DelivFactor,0)))</f>
        <v>0</v>
      </c>
      <c r="H85" s="124" t="n">
        <f aca="false">(1-$I$22)*(1-$J$22)*$D$22*$E$22/4*MIN(1,MAX(0,(H$5-$H$22+1)/$T$22))*IF(H$5=$H$22,DelivFactor,IF(AND(H$5&gt;$H$22,H$5&lt;$H$22+$F$22),1,IF(H$5=$H$22+$F$22,1-DelivFactor,0)))</f>
        <v>0</v>
      </c>
      <c r="I85" s="124" t="n">
        <f aca="false">(1-$I$22)*(1-$J$22)*$D$22*$E$22/4*MIN(1,MAX(0,(I$5-$H$22+1)/$T$22))*IF(I$5=$H$22,DelivFactor,IF(AND(I$5&gt;$H$22,I$5&lt;$H$22+$F$22),1,IF(I$5=$H$22+$F$22,1-DelivFactor,0)))</f>
        <v>0</v>
      </c>
      <c r="J85" s="124" t="n">
        <f aca="false">(1-$I$22)*(1-$J$22)*$D$22*$E$22/4*MIN(1,MAX(0,(J$5-$H$22+1)/$T$22))*IF(J$5=$H$22,DelivFactor,IF(AND(J$5&gt;$H$22,J$5&lt;$H$22+$F$22),1,IF(J$5=$H$22+$F$22,1-DelivFactor,0)))</f>
        <v>0</v>
      </c>
      <c r="K85" s="124" t="n">
        <f aca="false">(1-$I$22)*(1-$J$22)*$D$22*$E$22/4*MIN(1,MAX(0,(K$5-$H$22+1)/$T$22))*IF(K$5=$H$22,DelivFactor,IF(AND(K$5&gt;$H$22,K$5&lt;$H$22+$F$22),1,IF(K$5=$H$22+$F$22,1-DelivFactor,0)))</f>
        <v>0</v>
      </c>
      <c r="L85" s="124" t="n">
        <f aca="false">(1-$I$22)*(1-$J$22)*$D$22*$E$22/4*MIN(1,MAX(0,(L$5-$H$22+1)/$T$22))*IF(L$5=$H$22,DelivFactor,IF(AND(L$5&gt;$H$22,L$5&lt;$H$22+$F$22),1,IF(L$5=$H$22+$F$22,1-DelivFactor,0)))</f>
        <v>0</v>
      </c>
      <c r="M85" s="124" t="n">
        <f aca="false">(1-$I$22)*(1-$J$22)*$D$22*$E$22/4*MIN(1,MAX(0,(M$5-$H$22+1)/$T$22))*IF(M$5=$H$22,DelivFactor,IF(AND(M$5&gt;$H$22,M$5&lt;$H$22+$F$22),1,IF(M$5=$H$22+$F$22,1-DelivFactor,0)))</f>
        <v>0</v>
      </c>
      <c r="N85" s="124" t="n">
        <f aca="false">(1-$I$22)*(1-$J$22)*$D$22*$E$22/4*MIN(1,MAX(0,(N$5-$H$22+1)/$T$22))*IF(N$5=$H$22,DelivFactor,IF(AND(N$5&gt;$H$22,N$5&lt;$H$22+$F$22),1,IF(N$5=$H$22+$F$22,1-DelivFactor,0)))</f>
        <v>0</v>
      </c>
      <c r="O85" s="124" t="n">
        <f aca="false">(1-$I$22)*(1-$J$22)*$D$22*$E$22/4*MIN(1,MAX(0,(O$5-$H$22+1)/$T$22))*IF(O$5=$H$22,DelivFactor,IF(AND(O$5&gt;$H$22,O$5&lt;$H$22+$F$22),1,IF(O$5=$H$22+$F$22,1-DelivFactor,0)))</f>
        <v>0</v>
      </c>
      <c r="P85" s="125" t="n">
        <f aca="false">(1-$I$22)*(1-$J$22)*$D$22*$E$22/4*MIN(1,MAX(0,(P$5-$H$22+1)/$T$22))*IF(P$5=$H$22,DelivFactor,IF(AND(P$5&gt;$H$22,P$5&lt;$H$22+$F$22),1,IF(P$5=$H$22+$F$22,1-DelivFactor,0)))</f>
        <v>0</v>
      </c>
      <c r="Q85" s="125" t="n">
        <f aca="false">(1-$I$22)*(1-$J$22)*$D$22*$E$22/4*MIN(1,MAX(0,(Q$5-$H$22+1)/$T$22))*IF(Q$5=$H$22,DelivFactor,IF(AND(Q$5&gt;$H$22,Q$5&lt;$H$22+$F$22),1,IF(Q$5=$H$22+$F$22,1-DelivFactor,0)))</f>
        <v>0</v>
      </c>
      <c r="R85" s="125" t="n">
        <f aca="false">(1-$I$22)*(1-$J$22)*$D$22*$E$22/4*MIN(1,MAX(0,(R$5-$H$22+1)/$T$22))*IF(R$5=$H$22,DelivFactor,IF(AND(R$5&gt;$H$22,R$5&lt;$H$22+$F$22),1,IF(R$5=$H$22+$F$22,1-DelivFactor,0)))</f>
        <v>0</v>
      </c>
      <c r="S85" s="125" t="n">
        <f aca="false">(1-$I$22)*(1-$J$22)*$D$22*$E$22/4*MIN(1,MAX(0,(S$5-$H$22+1)/$T$22))*IF(S$5=$H$22,DelivFactor,IF(AND(S$5&gt;$H$22,S$5&lt;$H$22+$F$22),1,IF(S$5=$H$22+$F$22,1-DelivFactor,0)))</f>
        <v>0</v>
      </c>
      <c r="T85" s="125" t="n">
        <f aca="false">(1-$I$22)*(1-$J$22)*$D$22*$E$22/4*MIN(1,MAX(0,(T$5-$H$22+1)/$T$22))*IF(T$5=$H$22,DelivFactor,IF(AND(T$5&gt;$H$22,T$5&lt;$H$22+$F$22),1,IF(T$5=$H$22+$F$22,1-DelivFactor,0)))</f>
        <v>0</v>
      </c>
      <c r="U85" s="125" t="n">
        <f aca="false">(1-$I$22)*(1-$J$22)*$D$22*$E$22/4*MIN(1,MAX(0,(U$5-$H$22+1)/$T$22))*IF(U$5=$H$22,DelivFactor,IF(AND(U$5&gt;$H$22,U$5&lt;$H$22+$F$22),1,IF(U$5=$H$22+$F$22,1-DelivFactor,0)))</f>
        <v>0</v>
      </c>
      <c r="V85" s="125" t="n">
        <f aca="false">(1-$I$22)*(1-$J$22)*$D$22*$E$22/4*MIN(1,MAX(0,(V$5-$H$22+1)/$T$22))*IF(V$5=$H$22,DelivFactor,IF(AND(V$5&gt;$H$22,V$5&lt;$H$22+$F$22),1,IF(V$5=$H$22+$F$22,1-DelivFactor,0)))</f>
        <v>0</v>
      </c>
      <c r="W85" s="125" t="n">
        <f aca="false">(1-$I$22)*(1-$J$22)*$D$22*$E$22/4*MIN(1,MAX(0,(W$5-$H$22+1)/$T$22))*IF(W$5=$H$22,DelivFactor,IF(AND(W$5&gt;$H$22,W$5&lt;$H$22+$F$22),1,IF(W$5=$H$22+$F$22,1-DelivFactor,0)))</f>
        <v>0</v>
      </c>
      <c r="X85" s="125" t="n">
        <f aca="false">(1-$I$22)*(1-$J$22)*$D$22*$E$22/4*MIN(1,MAX(0,(X$5-$H$22+1)/$T$22))*IF(X$5=$H$22,DelivFactor,IF(AND(X$5&gt;$H$22,X$5&lt;$H$22+$F$22),1,IF(X$5=$H$22+$F$22,1-DelivFactor,0)))</f>
        <v>0</v>
      </c>
      <c r="Y85" s="125" t="n">
        <f aca="false">(1-$I$22)*(1-$J$22)*$D$22*$E$22/4*MIN(1,MAX(0,(Y$5-$H$22+1)/$T$22))*IF(Y$5=$H$22,DelivFactor,IF(AND(Y$5&gt;$H$22,Y$5&lt;$H$22+$F$22),1,IF(Y$5=$H$22+$F$22,1-DelivFactor,0)))</f>
        <v>0</v>
      </c>
      <c r="Z85" s="125" t="n">
        <f aca="false">(1-$I$22)*(1-$J$22)*$D$22*$E$22/4*MIN(1,MAX(0,(Z$5-$H$22+1)/$T$22))*IF(Z$5=$H$22,DelivFactor,IF(AND(Z$5&gt;$H$22,Z$5&lt;$H$22+$F$22),1,IF(Z$5=$H$22+$F$22,1-DelivFactor,0)))</f>
        <v>0</v>
      </c>
      <c r="AA85" s="125" t="n">
        <f aca="false">(1-$I$22)*(1-$J$22)*$D$22*$E$22/4*MIN(1,MAX(0,(AA$5-$H$22+1)/$T$22))*IF(AA$5=$H$22,DelivFactor,IF(AND(AA$5&gt;$H$22,AA$5&lt;$H$22+$F$22),1,IF(AA$5=$H$22+$F$22,1-DelivFactor,0)))</f>
        <v>0</v>
      </c>
      <c r="AB85" s="125" t="n">
        <f aca="false">(1-$I$22)*(1-$J$22)*$D$22*$E$22/4*MIN(1,MAX(0,(AB$5-$H$22+1)/$T$22))*IF(AB$5=$H$22,DelivFactor,IF(AND(AB$5&gt;$H$22,AB$5&lt;$H$22+$F$22),1,IF(AB$5=$H$22+$F$22,1-DelivFactor,0)))</f>
        <v>0</v>
      </c>
      <c r="AC85" s="125" t="n">
        <f aca="false">(1-$I$22)*(1-$J$22)*$D$22*$E$22/4*MIN(1,MAX(0,(AC$5-$H$22+1)/$T$22))*IF(AC$5=$H$22,DelivFactor,IF(AND(AC$5&gt;$H$22,AC$5&lt;$H$22+$F$22),1,IF(AC$5=$H$22+$F$22,1-DelivFactor,0)))</f>
        <v>0</v>
      </c>
      <c r="AD85" s="125" t="n">
        <f aca="false">(1-$I$22)*(1-$J$22)*$D$22*$E$22/4*MIN(1,MAX(0,(AD$5-$H$22+1)/$T$22))*IF(AD$5=$H$22,DelivFactor,IF(AND(AD$5&gt;$H$22,AD$5&lt;$H$22+$F$22),1,IF(AD$5=$H$22+$F$22,1-DelivFactor,0)))</f>
        <v>0</v>
      </c>
      <c r="AE85" s="125" t="n">
        <f aca="false">(1-$I$22)*(1-$J$22)*$D$22*$E$22/4*MIN(1,MAX(0,(AE$5-$H$22+1)/$T$22))*IF(AE$5=$H$22,DelivFactor,IF(AND(AE$5&gt;$H$22,AE$5&lt;$H$22+$F$22),1,IF(AE$5=$H$22+$F$22,1-DelivFactor,0)))</f>
        <v>0</v>
      </c>
      <c r="AF85" s="125" t="n">
        <f aca="false">(1-$I$22)*(1-$J$22)*$D$22*$E$22/4*MIN(1,MAX(0,(AF$5-$H$22+1)/$T$22))*IF(AF$5=$H$22,DelivFactor,IF(AND(AF$5&gt;$H$22,AF$5&lt;$H$22+$F$22),1,IF(AF$5=$H$22+$F$22,1-DelivFactor,0)))</f>
        <v>0</v>
      </c>
      <c r="AG85" s="125" t="n">
        <f aca="false">(1-$I$22)*(1-$J$22)*$D$22*$E$22/4*MIN(1,MAX(0,(AG$5-$H$22+1)/$T$22))*IF(AG$5=$H$22,DelivFactor,IF(AND(AG$5&gt;$H$22,AG$5&lt;$H$22+$F$22),1,IF(AG$5=$H$22+$F$22,1-DelivFactor,0)))</f>
        <v>0</v>
      </c>
      <c r="AI85" s="125" t="n">
        <f aca="false">SUMIF($F$7:$AG$7,AI$7,$F85:$AG85)</f>
        <v>0</v>
      </c>
      <c r="AJ85" s="125" t="n">
        <f aca="false">SUMIF($F$7:$AG$7,AJ$7,$F85:$AG85)</f>
        <v>0</v>
      </c>
      <c r="AK85" s="125" t="n">
        <f aca="false">SUMIF($F$7:$AG$7,AK$7,$F85:$AG85)</f>
        <v>0</v>
      </c>
      <c r="AL85" s="125" t="n">
        <f aca="false">SUMIF($F$7:$AG$7,AL$7,$F85:$AG85)</f>
        <v>0</v>
      </c>
      <c r="AM85" s="125" t="n">
        <f aca="false">SUMIF($F$7:$AG$7,AM$7,$F85:$AG85)</f>
        <v>0</v>
      </c>
      <c r="AN85" s="125" t="n">
        <f aca="false">SUMIF($F$7:$AG$7,AN$7,$F85:$AG85)</f>
        <v>0</v>
      </c>
      <c r="AO85" s="125" t="n">
        <f aca="false">SUMIF($F$7:$AG$7,AO$7,$F85:$AG85)</f>
        <v>0</v>
      </c>
    </row>
    <row r="86" customFormat="false" ht="15" hidden="false" customHeight="false" outlineLevel="0" collapsed="false">
      <c r="A86" s="107" t="s">
        <v>1926</v>
      </c>
      <c r="B86" s="22" t="s">
        <v>664</v>
      </c>
      <c r="C86" s="22"/>
      <c r="D86" s="22"/>
      <c r="F86" s="116" t="n">
        <f aca="false">(1-$I$22)*(1-$J$22)*$D$22*AND(F$5&gt;=$H$22,F$5&lt;$H$22+$F$22)</f>
        <v>0</v>
      </c>
      <c r="G86" s="116" t="n">
        <f aca="false">(1-$I$22)*(1-$J$22)*$D$22*AND(G$5&gt;=$H$22,G$5&lt;$H$22+$F$22)</f>
        <v>0</v>
      </c>
      <c r="H86" s="116" t="n">
        <f aca="false">(1-$I$22)*(1-$J$22)*$D$22*AND(H$5&gt;=$H$22,H$5&lt;$H$22+$F$22)</f>
        <v>0</v>
      </c>
      <c r="I86" s="116" t="n">
        <f aca="false">(1-$I$22)*(1-$J$22)*$D$22*AND(I$5&gt;=$H$22,I$5&lt;$H$22+$F$22)</f>
        <v>0</v>
      </c>
      <c r="J86" s="116" t="n">
        <f aca="false">(1-$I$22)*(1-$J$22)*$D$22*AND(J$5&gt;=$H$22,J$5&lt;$H$22+$F$22)</f>
        <v>0</v>
      </c>
      <c r="K86" s="116" t="n">
        <f aca="false">(1-$I$22)*(1-$J$22)*$D$22*AND(K$5&gt;=$H$22,K$5&lt;$H$22+$F$22)</f>
        <v>0</v>
      </c>
      <c r="L86" s="116" t="n">
        <f aca="false">(1-$I$22)*(1-$J$22)*$D$22*AND(L$5&gt;=$H$22,L$5&lt;$H$22+$F$22)</f>
        <v>0</v>
      </c>
      <c r="M86" s="116" t="n">
        <f aca="false">(1-$I$22)*(1-$J$22)*$D$22*AND(M$5&gt;=$H$22,M$5&lt;$H$22+$F$22)</f>
        <v>0</v>
      </c>
      <c r="N86" s="116" t="n">
        <f aca="false">(1-$I$22)*(1-$J$22)*$D$22*AND(N$5&gt;=$H$22,N$5&lt;$H$22+$F$22)</f>
        <v>0</v>
      </c>
      <c r="O86" s="116" t="n">
        <f aca="false">(1-$I$22)*(1-$J$22)*$D$22*AND(O$5&gt;=$H$22,O$5&lt;$H$22+$F$22)</f>
        <v>0</v>
      </c>
      <c r="P86" s="36" t="n">
        <f aca="false">(1-$I$22)*(1-$J$22)*$D$22*AND(P$5&gt;=$H$22,P$5&lt;$H$22+$F$22)</f>
        <v>0</v>
      </c>
      <c r="Q86" s="36" t="n">
        <f aca="false">(1-$I$22)*(1-$J$22)*$D$22*AND(Q$5&gt;=$H$22,Q$5&lt;$H$22+$F$22)</f>
        <v>0</v>
      </c>
      <c r="R86" s="36" t="n">
        <f aca="false">(1-$I$22)*(1-$J$22)*$D$22*AND(R$5&gt;=$H$22,R$5&lt;$H$22+$F$22)</f>
        <v>0</v>
      </c>
      <c r="S86" s="36" t="n">
        <f aca="false">(1-$I$22)*(1-$J$22)*$D$22*AND(S$5&gt;=$H$22,S$5&lt;$H$22+$F$22)</f>
        <v>0</v>
      </c>
      <c r="T86" s="36" t="n">
        <f aca="false">(1-$I$22)*(1-$J$22)*$D$22*AND(T$5&gt;=$H$22,T$5&lt;$H$22+$F$22)</f>
        <v>0</v>
      </c>
      <c r="U86" s="36" t="n">
        <f aca="false">(1-$I$22)*(1-$J$22)*$D$22*AND(U$5&gt;=$H$22,U$5&lt;$H$22+$F$22)</f>
        <v>0</v>
      </c>
      <c r="V86" s="36" t="n">
        <f aca="false">(1-$I$22)*(1-$J$22)*$D$22*AND(V$5&gt;=$H$22,V$5&lt;$H$22+$F$22)</f>
        <v>0</v>
      </c>
      <c r="W86" s="36" t="n">
        <f aca="false">(1-$I$22)*(1-$J$22)*$D$22*AND(W$5&gt;=$H$22,W$5&lt;$H$22+$F$22)</f>
        <v>0</v>
      </c>
      <c r="X86" s="36" t="n">
        <f aca="false">(1-$I$22)*(1-$J$22)*$D$22*AND(X$5&gt;=$H$22,X$5&lt;$H$22+$F$22)</f>
        <v>0</v>
      </c>
      <c r="Y86" s="36" t="n">
        <f aca="false">(1-$I$22)*(1-$J$22)*$D$22*AND(Y$5&gt;=$H$22,Y$5&lt;$H$22+$F$22)</f>
        <v>0</v>
      </c>
      <c r="Z86" s="36" t="n">
        <f aca="false">(1-$I$22)*(1-$J$22)*$D$22*AND(Z$5&gt;=$H$22,Z$5&lt;$H$22+$F$22)</f>
        <v>0</v>
      </c>
      <c r="AA86" s="36" t="n">
        <f aca="false">(1-$I$22)*(1-$J$22)*$D$22*AND(AA$5&gt;=$H$22,AA$5&lt;$H$22+$F$22)</f>
        <v>0</v>
      </c>
      <c r="AB86" s="36" t="n">
        <f aca="false">(1-$I$22)*(1-$J$22)*$D$22*AND(AB$5&gt;=$H$22,AB$5&lt;$H$22+$F$22)</f>
        <v>0</v>
      </c>
      <c r="AC86" s="36" t="n">
        <f aca="false">(1-$I$22)*(1-$J$22)*$D$22*AND(AC$5&gt;=$H$22,AC$5&lt;$H$22+$F$22)</f>
        <v>0</v>
      </c>
      <c r="AD86" s="36" t="n">
        <f aca="false">(1-$I$22)*(1-$J$22)*$D$22*AND(AD$5&gt;=$H$22,AD$5&lt;$H$22+$F$22)</f>
        <v>0</v>
      </c>
      <c r="AE86" s="36" t="n">
        <f aca="false">(1-$I$22)*(1-$J$22)*$D$22*AND(AE$5&gt;=$H$22,AE$5&lt;$H$22+$F$22)</f>
        <v>0</v>
      </c>
      <c r="AF86" s="36" t="n">
        <f aca="false">(1-$I$22)*(1-$J$22)*$D$22*AND(AF$5&gt;=$H$22,AF$5&lt;$H$22+$F$22)</f>
        <v>0</v>
      </c>
      <c r="AG86" s="36" t="n">
        <f aca="false">(1-$I$22)*(1-$J$22)*$D$22*AND(AG$5&gt;=$H$22,AG$5&lt;$H$22+$F$22)</f>
        <v>0</v>
      </c>
      <c r="AI86" s="36" t="n">
        <f aca="false">INDEX($F86:$AG86,1,MATCH(AI$7,$F$7:$AG$7,1))</f>
        <v>0</v>
      </c>
      <c r="AJ86" s="36" t="n">
        <f aca="false">INDEX($F86:$AG86,1,MATCH(AJ$7,$F$7:$AG$7,1))</f>
        <v>0</v>
      </c>
      <c r="AK86" s="36" t="n">
        <f aca="false">INDEX($F86:$AG86,1,MATCH(AK$7,$F$7:$AG$7,1))</f>
        <v>0</v>
      </c>
      <c r="AL86" s="36" t="n">
        <f aca="false">INDEX($F86:$AG86,1,MATCH(AL$7,$F$7:$AG$7,1))</f>
        <v>0</v>
      </c>
      <c r="AM86" s="36" t="n">
        <f aca="false">INDEX($F86:$AG86,1,MATCH(AM$7,$F$7:$AG$7,1))</f>
        <v>0</v>
      </c>
      <c r="AN86" s="36" t="n">
        <f aca="false">INDEX($F86:$AG86,1,MATCH(AN$7,$F$7:$AG$7,1))</f>
        <v>0</v>
      </c>
      <c r="AO86" s="36" t="n">
        <f aca="false">INDEX($F86:$AG86,1,MATCH(AO$7,$F$7:$AG$7,1))</f>
        <v>0</v>
      </c>
    </row>
    <row r="87" customFormat="false" ht="15" hidden="false" customHeight="false" outlineLevel="0" collapsed="false">
      <c r="A87" s="107" t="s">
        <v>1927</v>
      </c>
      <c r="B87" s="22" t="s">
        <v>613</v>
      </c>
      <c r="C87" s="22"/>
      <c r="D87" s="22"/>
      <c r="F87" s="124" t="n">
        <f aca="false">-(1-$I$22)*LD_Pct*$D$22*$E$22/4*AND(F$5&gt;=$G$22,F$5&lt;$H$22)</f>
        <v>-0</v>
      </c>
      <c r="G87" s="124" t="n">
        <f aca="false">-(1-$I$22)*LD_Pct*$D$22*$E$22/4*AND(G$5&gt;=$G$22,G$5&lt;$H$22)</f>
        <v>-0</v>
      </c>
      <c r="H87" s="124" t="n">
        <f aca="false">-(1-$I$22)*LD_Pct*$D$22*$E$22/4*AND(H$5&gt;=$G$22,H$5&lt;$H$22)</f>
        <v>-0</v>
      </c>
      <c r="I87" s="124" t="n">
        <f aca="false">-(1-$I$22)*LD_Pct*$D$22*$E$22/4*AND(I$5&gt;=$G$22,I$5&lt;$H$22)</f>
        <v>-0</v>
      </c>
      <c r="J87" s="124" t="n">
        <f aca="false">-(1-$I$22)*LD_Pct*$D$22*$E$22/4*AND(J$5&gt;=$G$22,J$5&lt;$H$22)</f>
        <v>-0</v>
      </c>
      <c r="K87" s="124" t="n">
        <f aca="false">-(1-$I$22)*LD_Pct*$D$22*$E$22/4*AND(K$5&gt;=$G$22,K$5&lt;$H$22)</f>
        <v>-0</v>
      </c>
      <c r="L87" s="124" t="n">
        <f aca="false">-(1-$I$22)*LD_Pct*$D$22*$E$22/4*AND(L$5&gt;=$G$22,L$5&lt;$H$22)</f>
        <v>-0</v>
      </c>
      <c r="M87" s="124" t="n">
        <f aca="false">-(1-$I$22)*LD_Pct*$D$22*$E$22/4*AND(M$5&gt;=$G$22,M$5&lt;$H$22)</f>
        <v>-0</v>
      </c>
      <c r="N87" s="124" t="n">
        <f aca="false">-(1-$I$22)*LD_Pct*$D$22*$E$22/4*AND(N$5&gt;=$G$22,N$5&lt;$H$22)</f>
        <v>-0</v>
      </c>
      <c r="O87" s="124" t="n">
        <f aca="false">-(1-$I$22)*LD_Pct*$D$22*$E$22/4*AND(O$5&gt;=$G$22,O$5&lt;$H$22)</f>
        <v>-0</v>
      </c>
      <c r="P87" s="125" t="n">
        <f aca="false">-(1-$I$22)*LD_Pct*$D$22*$E$22/4*AND(P$5&gt;=$G$22,P$5&lt;$H$22)</f>
        <v>-0</v>
      </c>
      <c r="Q87" s="125" t="n">
        <f aca="false">-(1-$I$22)*LD_Pct*$D$22*$E$22/4*AND(Q$5&gt;=$G$22,Q$5&lt;$H$22)</f>
        <v>-0</v>
      </c>
      <c r="R87" s="125" t="n">
        <f aca="false">-(1-$I$22)*LD_Pct*$D$22*$E$22/4*AND(R$5&gt;=$G$22,R$5&lt;$H$22)</f>
        <v>-0</v>
      </c>
      <c r="S87" s="125" t="n">
        <f aca="false">-(1-$I$22)*LD_Pct*$D$22*$E$22/4*AND(S$5&gt;=$G$22,S$5&lt;$H$22)</f>
        <v>-0</v>
      </c>
      <c r="T87" s="125" t="n">
        <f aca="false">-(1-$I$22)*LD_Pct*$D$22*$E$22/4*AND(T$5&gt;=$G$22,T$5&lt;$H$22)</f>
        <v>-0</v>
      </c>
      <c r="U87" s="125" t="n">
        <f aca="false">-(1-$I$22)*LD_Pct*$D$22*$E$22/4*AND(U$5&gt;=$G$22,U$5&lt;$H$22)</f>
        <v>-0</v>
      </c>
      <c r="V87" s="125" t="n">
        <f aca="false">-(1-$I$22)*LD_Pct*$D$22*$E$22/4*AND(V$5&gt;=$G$22,V$5&lt;$H$22)</f>
        <v>-0</v>
      </c>
      <c r="W87" s="125" t="n">
        <f aca="false">-(1-$I$22)*LD_Pct*$D$22*$E$22/4*AND(W$5&gt;=$G$22,W$5&lt;$H$22)</f>
        <v>-0</v>
      </c>
      <c r="X87" s="125" t="n">
        <f aca="false">-(1-$I$22)*LD_Pct*$D$22*$E$22/4*AND(X$5&gt;=$G$22,X$5&lt;$H$22)</f>
        <v>-0</v>
      </c>
      <c r="Y87" s="125" t="n">
        <f aca="false">-(1-$I$22)*LD_Pct*$D$22*$E$22/4*AND(Y$5&gt;=$G$22,Y$5&lt;$H$22)</f>
        <v>-0</v>
      </c>
      <c r="Z87" s="125" t="n">
        <f aca="false">-(1-$I$22)*LD_Pct*$D$22*$E$22/4*AND(Z$5&gt;=$G$22,Z$5&lt;$H$22)</f>
        <v>-0</v>
      </c>
      <c r="AA87" s="125" t="n">
        <f aca="false">-(1-$I$22)*LD_Pct*$D$22*$E$22/4*AND(AA$5&gt;=$G$22,AA$5&lt;$H$22)</f>
        <v>-0</v>
      </c>
      <c r="AB87" s="125" t="n">
        <f aca="false">-(1-$I$22)*LD_Pct*$D$22*$E$22/4*AND(AB$5&gt;=$G$22,AB$5&lt;$H$22)</f>
        <v>-0</v>
      </c>
      <c r="AC87" s="125" t="n">
        <f aca="false">-(1-$I$22)*LD_Pct*$D$22*$E$22/4*AND(AC$5&gt;=$G$22,AC$5&lt;$H$22)</f>
        <v>-0</v>
      </c>
      <c r="AD87" s="125" t="n">
        <f aca="false">-(1-$I$22)*LD_Pct*$D$22*$E$22/4*AND(AD$5&gt;=$G$22,AD$5&lt;$H$22)</f>
        <v>-0</v>
      </c>
      <c r="AE87" s="125" t="n">
        <f aca="false">-(1-$I$22)*LD_Pct*$D$22*$E$22/4*AND(AE$5&gt;=$G$22,AE$5&lt;$H$22)</f>
        <v>-0</v>
      </c>
      <c r="AF87" s="125" t="n">
        <f aca="false">-(1-$I$22)*LD_Pct*$D$22*$E$22/4*AND(AF$5&gt;=$G$22,AF$5&lt;$H$22)</f>
        <v>-0</v>
      </c>
      <c r="AG87" s="125" t="n">
        <f aca="false">-(1-$I$22)*LD_Pct*$D$22*$E$22/4*AND(AG$5&gt;=$G$22,AG$5&lt;$H$22)</f>
        <v>-0</v>
      </c>
      <c r="AI87" s="125" t="n">
        <f aca="false">SUMIF($F$7:$AG$7,AI$7,$F87:$AG87)</f>
        <v>0</v>
      </c>
      <c r="AJ87" s="125" t="n">
        <f aca="false">SUMIF($F$7:$AG$7,AJ$7,$F87:$AG87)</f>
        <v>0</v>
      </c>
      <c r="AK87" s="125" t="n">
        <f aca="false">SUMIF($F$7:$AG$7,AK$7,$F87:$AG87)</f>
        <v>0</v>
      </c>
      <c r="AL87" s="125" t="n">
        <f aca="false">SUMIF($F$7:$AG$7,AL$7,$F87:$AG87)</f>
        <v>0</v>
      </c>
      <c r="AM87" s="125" t="n">
        <f aca="false">SUMIF($F$7:$AG$7,AM$7,$F87:$AG87)</f>
        <v>0</v>
      </c>
      <c r="AN87" s="125" t="n">
        <f aca="false">SUMIF($F$7:$AG$7,AN$7,$F87:$AG87)</f>
        <v>0</v>
      </c>
      <c r="AO87" s="125" t="n">
        <f aca="false">SUMIF($F$7:$AG$7,AO$7,$F87:$AG87)</f>
        <v>0</v>
      </c>
    </row>
    <row r="88" customFormat="false" ht="15" hidden="false" customHeight="false" outlineLevel="0" collapsed="false">
      <c r="A88" s="107" t="s">
        <v>1928</v>
      </c>
      <c r="B88" s="22" t="s">
        <v>664</v>
      </c>
      <c r="C88" s="22"/>
      <c r="D88" s="22"/>
      <c r="F88" s="116" t="n">
        <f aca="false">(1-$I$22)*(1-$J$22)*$D$22*(F$5&gt;=$H$22+$F$22)</f>
        <v>0</v>
      </c>
      <c r="G88" s="116" t="n">
        <f aca="false">(1-$I$22)*(1-$J$22)*$D$22*(G$5&gt;=$H$22+$F$22)</f>
        <v>0</v>
      </c>
      <c r="H88" s="116" t="n">
        <f aca="false">(1-$I$22)*(1-$J$22)*$D$22*(H$5&gt;=$H$22+$F$22)</f>
        <v>0</v>
      </c>
      <c r="I88" s="116" t="n">
        <f aca="false">(1-$I$22)*(1-$J$22)*$D$22*(I$5&gt;=$H$22+$F$22)</f>
        <v>0</v>
      </c>
      <c r="J88" s="116" t="n">
        <f aca="false">(1-$I$22)*(1-$J$22)*$D$22*(J$5&gt;=$H$22+$F$22)</f>
        <v>0</v>
      </c>
      <c r="K88" s="116" t="n">
        <f aca="false">(1-$I$22)*(1-$J$22)*$D$22*(K$5&gt;=$H$22+$F$22)</f>
        <v>0</v>
      </c>
      <c r="L88" s="116" t="n">
        <f aca="false">(1-$I$22)*(1-$J$22)*$D$22*(L$5&gt;=$H$22+$F$22)</f>
        <v>0</v>
      </c>
      <c r="M88" s="116" t="n">
        <f aca="false">(1-$I$22)*(1-$J$22)*$D$22*(M$5&gt;=$H$22+$F$22)</f>
        <v>0</v>
      </c>
      <c r="N88" s="116" t="n">
        <f aca="false">(1-$I$22)*(1-$J$22)*$D$22*(N$5&gt;=$H$22+$F$22)</f>
        <v>0</v>
      </c>
      <c r="O88" s="116" t="n">
        <f aca="false">(1-$I$22)*(1-$J$22)*$D$22*(O$5&gt;=$H$22+$F$22)</f>
        <v>0</v>
      </c>
      <c r="P88" s="36" t="n">
        <f aca="false">(1-$I$22)*(1-$J$22)*$D$22*(P$5&gt;=$H$22+$F$22)</f>
        <v>0</v>
      </c>
      <c r="Q88" s="36" t="n">
        <f aca="false">(1-$I$22)*(1-$J$22)*$D$22*(Q$5&gt;=$H$22+$F$22)</f>
        <v>0</v>
      </c>
      <c r="R88" s="36" t="n">
        <f aca="false">(1-$I$22)*(1-$J$22)*$D$22*(R$5&gt;=$H$22+$F$22)</f>
        <v>0</v>
      </c>
      <c r="S88" s="36" t="n">
        <f aca="false">(1-$I$22)*(1-$J$22)*$D$22*(S$5&gt;=$H$22+$F$22)</f>
        <v>0</v>
      </c>
      <c r="T88" s="36" t="n">
        <f aca="false">(1-$I$22)*(1-$J$22)*$D$22*(T$5&gt;=$H$22+$F$22)</f>
        <v>0</v>
      </c>
      <c r="U88" s="36" t="n">
        <f aca="false">(1-$I$22)*(1-$J$22)*$D$22*(U$5&gt;=$H$22+$F$22)</f>
        <v>0</v>
      </c>
      <c r="V88" s="36" t="n">
        <f aca="false">(1-$I$22)*(1-$J$22)*$D$22*(V$5&gt;=$H$22+$F$22)</f>
        <v>0</v>
      </c>
      <c r="W88" s="36" t="n">
        <f aca="false">(1-$I$22)*(1-$J$22)*$D$22*(W$5&gt;=$H$22+$F$22)</f>
        <v>0</v>
      </c>
      <c r="X88" s="36" t="n">
        <f aca="false">(1-$I$22)*(1-$J$22)*$D$22*(X$5&gt;=$H$22+$F$22)</f>
        <v>0</v>
      </c>
      <c r="Y88" s="36" t="n">
        <f aca="false">(1-$I$22)*(1-$J$22)*$D$22*(Y$5&gt;=$H$22+$F$22)</f>
        <v>0</v>
      </c>
      <c r="Z88" s="36" t="n">
        <f aca="false">(1-$I$22)*(1-$J$22)*$D$22*(Z$5&gt;=$H$22+$F$22)</f>
        <v>0</v>
      </c>
      <c r="AA88" s="36" t="n">
        <f aca="false">(1-$I$22)*(1-$J$22)*$D$22*(AA$5&gt;=$H$22+$F$22)</f>
        <v>0</v>
      </c>
      <c r="AB88" s="36" t="n">
        <f aca="false">(1-$I$22)*(1-$J$22)*$D$22*(AB$5&gt;=$H$22+$F$22)</f>
        <v>0</v>
      </c>
      <c r="AC88" s="36" t="n">
        <f aca="false">(1-$I$22)*(1-$J$22)*$D$22*(AC$5&gt;=$H$22+$F$22)</f>
        <v>0</v>
      </c>
      <c r="AD88" s="36" t="n">
        <f aca="false">(1-$I$22)*(1-$J$22)*$D$22*(AD$5&gt;=$H$22+$F$22)</f>
        <v>0</v>
      </c>
      <c r="AE88" s="36" t="n">
        <f aca="false">(1-$I$22)*(1-$J$22)*$D$22*(AE$5&gt;=$H$22+$F$22)</f>
        <v>0</v>
      </c>
      <c r="AF88" s="36" t="n">
        <f aca="false">(1-$I$22)*(1-$J$22)*$D$22*(AF$5&gt;=$H$22+$F$22)</f>
        <v>0</v>
      </c>
      <c r="AG88" s="36" t="n">
        <f aca="false">(1-$I$22)*(1-$J$22)*$D$22*(AG$5&gt;=$H$22+$F$22)</f>
        <v>0</v>
      </c>
      <c r="AI88" s="36" t="n">
        <f aca="false">INDEX($F88:$AG88,1,MATCH(AI$7,$F$7:$AG$7,1))</f>
        <v>0</v>
      </c>
      <c r="AJ88" s="36" t="n">
        <f aca="false">INDEX($F88:$AG88,1,MATCH(AJ$7,$F$7:$AG$7,1))</f>
        <v>0</v>
      </c>
      <c r="AK88" s="36" t="n">
        <f aca="false">INDEX($F88:$AG88,1,MATCH(AK$7,$F$7:$AG$7,1))</f>
        <v>0</v>
      </c>
      <c r="AL88" s="36" t="n">
        <f aca="false">INDEX($F88:$AG88,1,MATCH(AL$7,$F$7:$AG$7,1))</f>
        <v>0</v>
      </c>
      <c r="AM88" s="36" t="n">
        <f aca="false">INDEX($F88:$AG88,1,MATCH(AM$7,$F$7:$AG$7,1))</f>
        <v>0</v>
      </c>
      <c r="AN88" s="36" t="n">
        <f aca="false">INDEX($F88:$AG88,1,MATCH(AN$7,$F$7:$AG$7,1))</f>
        <v>0</v>
      </c>
      <c r="AO88" s="36" t="n">
        <f aca="false">INDEX($F88:$AG88,1,MATCH(AO$7,$F$7:$AG$7,1))</f>
        <v>0</v>
      </c>
    </row>
    <row r="89" customFormat="false" ht="15" hidden="false" customHeight="false" outlineLevel="0" collapsed="false">
      <c r="A89" s="107" t="s">
        <v>1929</v>
      </c>
      <c r="B89" s="22" t="s">
        <v>613</v>
      </c>
      <c r="C89" s="22"/>
      <c r="D89" s="22" t="s">
        <v>1879</v>
      </c>
      <c r="F89" s="124" t="n">
        <f aca="false">F88*CHOOSE(MATCH($C$22,{"H";"B";"N"},0),GPUMW_H*ODc_H,GPUMW_B*ODc_B,GPUMW_N*ODc_N)*ResidUtil*Timeline!F$9*INDEX(Curve,1,MAX(1,MIN(8,INT((F$5-$H$22)/4)+1)))/1000000</f>
        <v>0</v>
      </c>
      <c r="G89" s="124" t="n">
        <f aca="false">G88*CHOOSE(MATCH($C$22,{"H";"B";"N"},0),GPUMW_H*ODc_H,GPUMW_B*ODc_B,GPUMW_N*ODc_N)*ResidUtil*Timeline!G$9*INDEX(Curve,1,MAX(1,MIN(8,INT((G$5-$H$22)/4)+1)))/1000000</f>
        <v>0</v>
      </c>
      <c r="H89" s="124" t="n">
        <f aca="false">H88*CHOOSE(MATCH($C$22,{"H";"B";"N"},0),GPUMW_H*ODc_H,GPUMW_B*ODc_B,GPUMW_N*ODc_N)*ResidUtil*Timeline!H$9*INDEX(Curve,1,MAX(1,MIN(8,INT((H$5-$H$22)/4)+1)))/1000000</f>
        <v>0</v>
      </c>
      <c r="I89" s="124" t="n">
        <f aca="false">I88*CHOOSE(MATCH($C$22,{"H";"B";"N"},0),GPUMW_H*ODc_H,GPUMW_B*ODc_B,GPUMW_N*ODc_N)*ResidUtil*Timeline!I$9*INDEX(Curve,1,MAX(1,MIN(8,INT((I$5-$H$22)/4)+1)))/1000000</f>
        <v>0</v>
      </c>
      <c r="J89" s="124" t="n">
        <f aca="false">J88*CHOOSE(MATCH($C$22,{"H";"B";"N"},0),GPUMW_H*ODc_H,GPUMW_B*ODc_B,GPUMW_N*ODc_N)*ResidUtil*Timeline!J$9*INDEX(Curve,1,MAX(1,MIN(8,INT((J$5-$H$22)/4)+1)))/1000000</f>
        <v>0</v>
      </c>
      <c r="K89" s="124" t="n">
        <f aca="false">K88*CHOOSE(MATCH($C$22,{"H";"B";"N"},0),GPUMW_H*ODc_H,GPUMW_B*ODc_B,GPUMW_N*ODc_N)*ResidUtil*Timeline!K$9*INDEX(Curve,1,MAX(1,MIN(8,INT((K$5-$H$22)/4)+1)))/1000000</f>
        <v>0</v>
      </c>
      <c r="L89" s="124" t="n">
        <f aca="false">L88*CHOOSE(MATCH($C$22,{"H";"B";"N"},0),GPUMW_H*ODc_H,GPUMW_B*ODc_B,GPUMW_N*ODc_N)*ResidUtil*Timeline!L$9*INDEX(Curve,1,MAX(1,MIN(8,INT((L$5-$H$22)/4)+1)))/1000000</f>
        <v>0</v>
      </c>
      <c r="M89" s="124" t="n">
        <f aca="false">M88*CHOOSE(MATCH($C$22,{"H";"B";"N"},0),GPUMW_H*ODc_H,GPUMW_B*ODc_B,GPUMW_N*ODc_N)*ResidUtil*Timeline!M$9*INDEX(Curve,1,MAX(1,MIN(8,INT((M$5-$H$22)/4)+1)))/1000000</f>
        <v>0</v>
      </c>
      <c r="N89" s="124" t="n">
        <f aca="false">N88*CHOOSE(MATCH($C$22,{"H";"B";"N"},0),GPUMW_H*ODc_H,GPUMW_B*ODc_B,GPUMW_N*ODc_N)*ResidUtil*Timeline!N$9*INDEX(Curve,1,MAX(1,MIN(8,INT((N$5-$H$22)/4)+1)))/1000000</f>
        <v>0</v>
      </c>
      <c r="O89" s="124" t="n">
        <f aca="false">O88*CHOOSE(MATCH($C$22,{"H";"B";"N"},0),GPUMW_H*ODc_H,GPUMW_B*ODc_B,GPUMW_N*ODc_N)*ResidUtil*Timeline!O$9*INDEX(Curve,1,MAX(1,MIN(8,INT((O$5-$H$22)/4)+1)))/1000000</f>
        <v>0</v>
      </c>
      <c r="P89" s="125" t="n">
        <f aca="false">P88*CHOOSE(MATCH($C$22,{"H";"B";"N"},0),GPUMW_H*ODc_H,GPUMW_B*ODc_B,GPUMW_N*ODc_N)*ResidUtil*Timeline!P$9*INDEX(Curve,1,MAX(1,MIN(8,INT((P$5-$H$22)/4)+1)))/1000000</f>
        <v>0</v>
      </c>
      <c r="Q89" s="125" t="n">
        <f aca="false">Q88*CHOOSE(MATCH($C$22,{"H";"B";"N"},0),GPUMW_H*ODc_H,GPUMW_B*ODc_B,GPUMW_N*ODc_N)*ResidUtil*Timeline!Q$9*INDEX(Curve,1,MAX(1,MIN(8,INT((Q$5-$H$22)/4)+1)))/1000000</f>
        <v>0</v>
      </c>
      <c r="R89" s="125" t="n">
        <f aca="false">R88*CHOOSE(MATCH($C$22,{"H";"B";"N"},0),GPUMW_H*ODc_H,GPUMW_B*ODc_B,GPUMW_N*ODc_N)*ResidUtil*Timeline!R$9*INDEX(Curve,1,MAX(1,MIN(8,INT((R$5-$H$22)/4)+1)))/1000000</f>
        <v>0</v>
      </c>
      <c r="S89" s="125" t="n">
        <f aca="false">S88*CHOOSE(MATCH($C$22,{"H";"B";"N"},0),GPUMW_H*ODc_H,GPUMW_B*ODc_B,GPUMW_N*ODc_N)*ResidUtil*Timeline!S$9*INDEX(Curve,1,MAX(1,MIN(8,INT((S$5-$H$22)/4)+1)))/1000000</f>
        <v>0</v>
      </c>
      <c r="T89" s="125" t="n">
        <f aca="false">T88*CHOOSE(MATCH($C$22,{"H";"B";"N"},0),GPUMW_H*ODc_H,GPUMW_B*ODc_B,GPUMW_N*ODc_N)*ResidUtil*Timeline!T$9*INDEX(Curve,1,MAX(1,MIN(8,INT((T$5-$H$22)/4)+1)))/1000000</f>
        <v>0</v>
      </c>
      <c r="U89" s="125" t="n">
        <f aca="false">U88*CHOOSE(MATCH($C$22,{"H";"B";"N"},0),GPUMW_H*ODc_H,GPUMW_B*ODc_B,GPUMW_N*ODc_N)*ResidUtil*Timeline!U$9*INDEX(Curve,1,MAX(1,MIN(8,INT((U$5-$H$22)/4)+1)))/1000000</f>
        <v>0</v>
      </c>
      <c r="V89" s="125" t="n">
        <f aca="false">V88*CHOOSE(MATCH($C$22,{"H";"B";"N"},0),GPUMW_H*ODc_H,GPUMW_B*ODc_B,GPUMW_N*ODc_N)*ResidUtil*Timeline!V$9*INDEX(Curve,1,MAX(1,MIN(8,INT((V$5-$H$22)/4)+1)))/1000000</f>
        <v>0</v>
      </c>
      <c r="W89" s="125" t="n">
        <f aca="false">W88*CHOOSE(MATCH($C$22,{"H";"B";"N"},0),GPUMW_H*ODc_H,GPUMW_B*ODc_B,GPUMW_N*ODc_N)*ResidUtil*Timeline!W$9*INDEX(Curve,1,MAX(1,MIN(8,INT((W$5-$H$22)/4)+1)))/1000000</f>
        <v>0</v>
      </c>
      <c r="X89" s="125" t="n">
        <f aca="false">X88*CHOOSE(MATCH($C$22,{"H";"B";"N"},0),GPUMW_H*ODc_H,GPUMW_B*ODc_B,GPUMW_N*ODc_N)*ResidUtil*Timeline!X$9*INDEX(Curve,1,MAX(1,MIN(8,INT((X$5-$H$22)/4)+1)))/1000000</f>
        <v>0</v>
      </c>
      <c r="Y89" s="125" t="n">
        <f aca="false">Y88*CHOOSE(MATCH($C$22,{"H";"B";"N"},0),GPUMW_H*ODc_H,GPUMW_B*ODc_B,GPUMW_N*ODc_N)*ResidUtil*Timeline!Y$9*INDEX(Curve,1,MAX(1,MIN(8,INT((Y$5-$H$22)/4)+1)))/1000000</f>
        <v>0</v>
      </c>
      <c r="Z89" s="125" t="n">
        <f aca="false">Z88*CHOOSE(MATCH($C$22,{"H";"B";"N"},0),GPUMW_H*ODc_H,GPUMW_B*ODc_B,GPUMW_N*ODc_N)*ResidUtil*Timeline!Z$9*INDEX(Curve,1,MAX(1,MIN(8,INT((Z$5-$H$22)/4)+1)))/1000000</f>
        <v>0</v>
      </c>
      <c r="AA89" s="125" t="n">
        <f aca="false">AA88*CHOOSE(MATCH($C$22,{"H";"B";"N"},0),GPUMW_H*ODc_H,GPUMW_B*ODc_B,GPUMW_N*ODc_N)*ResidUtil*Timeline!AA$9*INDEX(Curve,1,MAX(1,MIN(8,INT((AA$5-$H$22)/4)+1)))/1000000</f>
        <v>0</v>
      </c>
      <c r="AB89" s="125" t="n">
        <f aca="false">AB88*CHOOSE(MATCH($C$22,{"H";"B";"N"},0),GPUMW_H*ODc_H,GPUMW_B*ODc_B,GPUMW_N*ODc_N)*ResidUtil*Timeline!AB$9*INDEX(Curve,1,MAX(1,MIN(8,INT((AB$5-$H$22)/4)+1)))/1000000</f>
        <v>0</v>
      </c>
      <c r="AC89" s="125" t="n">
        <f aca="false">AC88*CHOOSE(MATCH($C$22,{"H";"B";"N"},0),GPUMW_H*ODc_H,GPUMW_B*ODc_B,GPUMW_N*ODc_N)*ResidUtil*Timeline!AC$9*INDEX(Curve,1,MAX(1,MIN(8,INT((AC$5-$H$22)/4)+1)))/1000000</f>
        <v>0</v>
      </c>
      <c r="AD89" s="125" t="n">
        <f aca="false">AD88*CHOOSE(MATCH($C$22,{"H";"B";"N"},0),GPUMW_H*ODc_H,GPUMW_B*ODc_B,GPUMW_N*ODc_N)*ResidUtil*Timeline!AD$9*INDEX(Curve,1,MAX(1,MIN(8,INT((AD$5-$H$22)/4)+1)))/1000000</f>
        <v>0</v>
      </c>
      <c r="AE89" s="125" t="n">
        <f aca="false">AE88*CHOOSE(MATCH($C$22,{"H";"B";"N"},0),GPUMW_H*ODc_H,GPUMW_B*ODc_B,GPUMW_N*ODc_N)*ResidUtil*Timeline!AE$9*INDEX(Curve,1,MAX(1,MIN(8,INT((AE$5-$H$22)/4)+1)))/1000000</f>
        <v>0</v>
      </c>
      <c r="AF89" s="125" t="n">
        <f aca="false">AF88*CHOOSE(MATCH($C$22,{"H";"B";"N"},0),GPUMW_H*ODc_H,GPUMW_B*ODc_B,GPUMW_N*ODc_N)*ResidUtil*Timeline!AF$9*INDEX(Curve,1,MAX(1,MIN(8,INT((AF$5-$H$22)/4)+1)))/1000000</f>
        <v>0</v>
      </c>
      <c r="AG89" s="125" t="n">
        <f aca="false">AG88*CHOOSE(MATCH($C$22,{"H";"B";"N"},0),GPUMW_H*ODc_H,GPUMW_B*ODc_B,GPUMW_N*ODc_N)*ResidUtil*Timeline!AG$9*INDEX(Curve,1,MAX(1,MIN(8,INT((AG$5-$H$22)/4)+1)))/1000000</f>
        <v>0</v>
      </c>
      <c r="AI89" s="125" t="n">
        <f aca="false">SUMIF($F$7:$AG$7,AI$7,$F89:$AG89)</f>
        <v>0</v>
      </c>
      <c r="AJ89" s="125" t="n">
        <f aca="false">SUMIF($F$7:$AG$7,AJ$7,$F89:$AG89)</f>
        <v>0</v>
      </c>
      <c r="AK89" s="125" t="n">
        <f aca="false">SUMIF($F$7:$AG$7,AK$7,$F89:$AG89)</f>
        <v>0</v>
      </c>
      <c r="AL89" s="125" t="n">
        <f aca="false">SUMIF($F$7:$AG$7,AL$7,$F89:$AG89)</f>
        <v>0</v>
      </c>
      <c r="AM89" s="125" t="n">
        <f aca="false">SUMIF($F$7:$AG$7,AM$7,$F89:$AG89)</f>
        <v>0</v>
      </c>
      <c r="AN89" s="125" t="n">
        <f aca="false">SUMIF($F$7:$AG$7,AN$7,$F89:$AG89)</f>
        <v>0</v>
      </c>
      <c r="AO89" s="125" t="n">
        <f aca="false">SUMIF($F$7:$AG$7,AO$7,$F89:$AG89)</f>
        <v>0</v>
      </c>
    </row>
    <row r="90" customFormat="false" ht="15" hidden="false" customHeight="false" outlineLevel="0" collapsed="false">
      <c r="A90" s="107" t="s">
        <v>1930</v>
      </c>
      <c r="B90" s="22" t="s">
        <v>613</v>
      </c>
      <c r="C90" s="22"/>
      <c r="D90" s="22"/>
      <c r="F90" s="124" t="n">
        <f aca="false">(1-$I$23)*(1-$J$23)*$D$23*$E$23/4*MIN(1,MAX(0,(F$5-$H$23+1)/$T$23))*IF(F$5=$H$23,DelivFactor,IF(AND(F$5&gt;$H$23,F$5&lt;$H$23+$F$23),1,IF(F$5=$H$23+$F$23,1-DelivFactor,0)))</f>
        <v>0</v>
      </c>
      <c r="G90" s="124" t="n">
        <f aca="false">(1-$I$23)*(1-$J$23)*$D$23*$E$23/4*MIN(1,MAX(0,(G$5-$H$23+1)/$T$23))*IF(G$5=$H$23,DelivFactor,IF(AND(G$5&gt;$H$23,G$5&lt;$H$23+$F$23),1,IF(G$5=$H$23+$F$23,1-DelivFactor,0)))</f>
        <v>0</v>
      </c>
      <c r="H90" s="124" t="n">
        <f aca="false">(1-$I$23)*(1-$J$23)*$D$23*$E$23/4*MIN(1,MAX(0,(H$5-$H$23+1)/$T$23))*IF(H$5=$H$23,DelivFactor,IF(AND(H$5&gt;$H$23,H$5&lt;$H$23+$F$23),1,IF(H$5=$H$23+$F$23,1-DelivFactor,0)))</f>
        <v>0</v>
      </c>
      <c r="I90" s="124" t="n">
        <f aca="false">(1-$I$23)*(1-$J$23)*$D$23*$E$23/4*MIN(1,MAX(0,(I$5-$H$23+1)/$T$23))*IF(I$5=$H$23,DelivFactor,IF(AND(I$5&gt;$H$23,I$5&lt;$H$23+$F$23),1,IF(I$5=$H$23+$F$23,1-DelivFactor,0)))</f>
        <v>0</v>
      </c>
      <c r="J90" s="124" t="n">
        <f aca="false">(1-$I$23)*(1-$J$23)*$D$23*$E$23/4*MIN(1,MAX(0,(J$5-$H$23+1)/$T$23))*IF(J$5=$H$23,DelivFactor,IF(AND(J$5&gt;$H$23,J$5&lt;$H$23+$F$23),1,IF(J$5=$H$23+$F$23,1-DelivFactor,0)))</f>
        <v>0</v>
      </c>
      <c r="K90" s="124" t="n">
        <f aca="false">(1-$I$23)*(1-$J$23)*$D$23*$E$23/4*MIN(1,MAX(0,(K$5-$H$23+1)/$T$23))*IF(K$5=$H$23,DelivFactor,IF(AND(K$5&gt;$H$23,K$5&lt;$H$23+$F$23),1,IF(K$5=$H$23+$F$23,1-DelivFactor,0)))</f>
        <v>0</v>
      </c>
      <c r="L90" s="124" t="n">
        <f aca="false">(1-$I$23)*(1-$J$23)*$D$23*$E$23/4*MIN(1,MAX(0,(L$5-$H$23+1)/$T$23))*IF(L$5=$H$23,DelivFactor,IF(AND(L$5&gt;$H$23,L$5&lt;$H$23+$F$23),1,IF(L$5=$H$23+$F$23,1-DelivFactor,0)))</f>
        <v>0</v>
      </c>
      <c r="M90" s="124" t="n">
        <f aca="false">(1-$I$23)*(1-$J$23)*$D$23*$E$23/4*MIN(1,MAX(0,(M$5-$H$23+1)/$T$23))*IF(M$5=$H$23,DelivFactor,IF(AND(M$5&gt;$H$23,M$5&lt;$H$23+$F$23),1,IF(M$5=$H$23+$F$23,1-DelivFactor,0)))</f>
        <v>36.00875</v>
      </c>
      <c r="N90" s="124" t="n">
        <f aca="false">(1-$I$23)*(1-$J$23)*$D$23*$E$23/4*MIN(1,MAX(0,(N$5-$H$23+1)/$T$23))*IF(N$5=$H$23,DelivFactor,IF(AND(N$5&gt;$H$23,N$5&lt;$H$23+$F$23),1,IF(N$5=$H$23+$F$23,1-DelivFactor,0)))</f>
        <v>72.0175</v>
      </c>
      <c r="O90" s="124" t="n">
        <f aca="false">(1-$I$23)*(1-$J$23)*$D$23*$E$23/4*MIN(1,MAX(0,(O$5-$H$23+1)/$T$23))*IF(O$5=$H$23,DelivFactor,IF(AND(O$5&gt;$H$23,O$5&lt;$H$23+$F$23),1,IF(O$5=$H$23+$F$23,1-DelivFactor,0)))</f>
        <v>72.0175</v>
      </c>
      <c r="P90" s="125" t="n">
        <f aca="false">(1-$I$23)*(1-$J$23)*$D$23*$E$23/4*MIN(1,MAX(0,(P$5-$H$23+1)/$T$23))*IF(P$5=$H$23,DelivFactor,IF(AND(P$5&gt;$H$23,P$5&lt;$H$23+$F$23),1,IF(P$5=$H$23+$F$23,1-DelivFactor,0)))</f>
        <v>72.0175</v>
      </c>
      <c r="Q90" s="125" t="n">
        <f aca="false">(1-$I$23)*(1-$J$23)*$D$23*$E$23/4*MIN(1,MAX(0,(Q$5-$H$23+1)/$T$23))*IF(Q$5=$H$23,DelivFactor,IF(AND(Q$5&gt;$H$23,Q$5&lt;$H$23+$F$23),1,IF(Q$5=$H$23+$F$23,1-DelivFactor,0)))</f>
        <v>72.0175</v>
      </c>
      <c r="R90" s="125" t="n">
        <f aca="false">(1-$I$23)*(1-$J$23)*$D$23*$E$23/4*MIN(1,MAX(0,(R$5-$H$23+1)/$T$23))*IF(R$5=$H$23,DelivFactor,IF(AND(R$5&gt;$H$23,R$5&lt;$H$23+$F$23),1,IF(R$5=$H$23+$F$23,1-DelivFactor,0)))</f>
        <v>72.0175</v>
      </c>
      <c r="S90" s="125" t="n">
        <f aca="false">(1-$I$23)*(1-$J$23)*$D$23*$E$23/4*MIN(1,MAX(0,(S$5-$H$23+1)/$T$23))*IF(S$5=$H$23,DelivFactor,IF(AND(S$5&gt;$H$23,S$5&lt;$H$23+$F$23),1,IF(S$5=$H$23+$F$23,1-DelivFactor,0)))</f>
        <v>72.0175</v>
      </c>
      <c r="T90" s="125" t="n">
        <f aca="false">(1-$I$23)*(1-$J$23)*$D$23*$E$23/4*MIN(1,MAX(0,(T$5-$H$23+1)/$T$23))*IF(T$5=$H$23,DelivFactor,IF(AND(T$5&gt;$H$23,T$5&lt;$H$23+$F$23),1,IF(T$5=$H$23+$F$23,1-DelivFactor,0)))</f>
        <v>72.0175</v>
      </c>
      <c r="U90" s="125" t="n">
        <f aca="false">(1-$I$23)*(1-$J$23)*$D$23*$E$23/4*MIN(1,MAX(0,(U$5-$H$23+1)/$T$23))*IF(U$5=$H$23,DelivFactor,IF(AND(U$5&gt;$H$23,U$5&lt;$H$23+$F$23),1,IF(U$5=$H$23+$F$23,1-DelivFactor,0)))</f>
        <v>72.0175</v>
      </c>
      <c r="V90" s="125" t="n">
        <f aca="false">(1-$I$23)*(1-$J$23)*$D$23*$E$23/4*MIN(1,MAX(0,(V$5-$H$23+1)/$T$23))*IF(V$5=$H$23,DelivFactor,IF(AND(V$5&gt;$H$23,V$5&lt;$H$23+$F$23),1,IF(V$5=$H$23+$F$23,1-DelivFactor,0)))</f>
        <v>72.0175</v>
      </c>
      <c r="W90" s="125" t="n">
        <f aca="false">(1-$I$23)*(1-$J$23)*$D$23*$E$23/4*MIN(1,MAX(0,(W$5-$H$23+1)/$T$23))*IF(W$5=$H$23,DelivFactor,IF(AND(W$5&gt;$H$23,W$5&lt;$H$23+$F$23),1,IF(W$5=$H$23+$F$23,1-DelivFactor,0)))</f>
        <v>72.0175</v>
      </c>
      <c r="X90" s="125" t="n">
        <f aca="false">(1-$I$23)*(1-$J$23)*$D$23*$E$23/4*MIN(1,MAX(0,(X$5-$H$23+1)/$T$23))*IF(X$5=$H$23,DelivFactor,IF(AND(X$5&gt;$H$23,X$5&lt;$H$23+$F$23),1,IF(X$5=$H$23+$F$23,1-DelivFactor,0)))</f>
        <v>72.0175</v>
      </c>
      <c r="Y90" s="125" t="n">
        <f aca="false">(1-$I$23)*(1-$J$23)*$D$23*$E$23/4*MIN(1,MAX(0,(Y$5-$H$23+1)/$T$23))*IF(Y$5=$H$23,DelivFactor,IF(AND(Y$5&gt;$H$23,Y$5&lt;$H$23+$F$23),1,IF(Y$5=$H$23+$F$23,1-DelivFactor,0)))</f>
        <v>72.0175</v>
      </c>
      <c r="Z90" s="125" t="n">
        <f aca="false">(1-$I$23)*(1-$J$23)*$D$23*$E$23/4*MIN(1,MAX(0,(Z$5-$H$23+1)/$T$23))*IF(Z$5=$H$23,DelivFactor,IF(AND(Z$5&gt;$H$23,Z$5&lt;$H$23+$F$23),1,IF(Z$5=$H$23+$F$23,1-DelivFactor,0)))</f>
        <v>72.0175</v>
      </c>
      <c r="AA90" s="125" t="n">
        <f aca="false">(1-$I$23)*(1-$J$23)*$D$23*$E$23/4*MIN(1,MAX(0,(AA$5-$H$23+1)/$T$23))*IF(AA$5=$H$23,DelivFactor,IF(AND(AA$5&gt;$H$23,AA$5&lt;$H$23+$F$23),1,IF(AA$5=$H$23+$F$23,1-DelivFactor,0)))</f>
        <v>72.0175</v>
      </c>
      <c r="AB90" s="125" t="n">
        <f aca="false">(1-$I$23)*(1-$J$23)*$D$23*$E$23/4*MIN(1,MAX(0,(AB$5-$H$23+1)/$T$23))*IF(AB$5=$H$23,DelivFactor,IF(AND(AB$5&gt;$H$23,AB$5&lt;$H$23+$F$23),1,IF(AB$5=$H$23+$F$23,1-DelivFactor,0)))</f>
        <v>72.0175</v>
      </c>
      <c r="AC90" s="125" t="n">
        <f aca="false">(1-$I$23)*(1-$J$23)*$D$23*$E$23/4*MIN(1,MAX(0,(AC$5-$H$23+1)/$T$23))*IF(AC$5=$H$23,DelivFactor,IF(AND(AC$5&gt;$H$23,AC$5&lt;$H$23+$F$23),1,IF(AC$5=$H$23+$F$23,1-DelivFactor,0)))</f>
        <v>72.0175</v>
      </c>
      <c r="AD90" s="125" t="n">
        <f aca="false">(1-$I$23)*(1-$J$23)*$D$23*$E$23/4*MIN(1,MAX(0,(AD$5-$H$23+1)/$T$23))*IF(AD$5=$H$23,DelivFactor,IF(AND(AD$5&gt;$H$23,AD$5&lt;$H$23+$F$23),1,IF(AD$5=$H$23+$F$23,1-DelivFactor,0)))</f>
        <v>72.0175</v>
      </c>
      <c r="AE90" s="125" t="n">
        <f aca="false">(1-$I$23)*(1-$J$23)*$D$23*$E$23/4*MIN(1,MAX(0,(AE$5-$H$23+1)/$T$23))*IF(AE$5=$H$23,DelivFactor,IF(AND(AE$5&gt;$H$23,AE$5&lt;$H$23+$F$23),1,IF(AE$5=$H$23+$F$23,1-DelivFactor,0)))</f>
        <v>72.0175</v>
      </c>
      <c r="AF90" s="125" t="n">
        <f aca="false">(1-$I$23)*(1-$J$23)*$D$23*$E$23/4*MIN(1,MAX(0,(AF$5-$H$23+1)/$T$23))*IF(AF$5=$H$23,DelivFactor,IF(AND(AF$5&gt;$H$23,AF$5&lt;$H$23+$F$23),1,IF(AF$5=$H$23+$F$23,1-DelivFactor,0)))</f>
        <v>72.0175</v>
      </c>
      <c r="AG90" s="125" t="n">
        <f aca="false">(1-$I$23)*(1-$J$23)*$D$23*$E$23/4*MIN(1,MAX(0,(AG$5-$H$23+1)/$T$23))*IF(AG$5=$H$23,DelivFactor,IF(AND(AG$5&gt;$H$23,AG$5&lt;$H$23+$F$23),1,IF(AG$5=$H$23+$F$23,1-DelivFactor,0)))</f>
        <v>36.00875</v>
      </c>
      <c r="AI90" s="125" t="n">
        <f aca="false">SUMIF($F$7:$AG$7,AI$7,$F90:$AG90)</f>
        <v>0</v>
      </c>
      <c r="AJ90" s="125" t="n">
        <f aca="false">SUMIF($F$7:$AG$7,AJ$7,$F90:$AG90)</f>
        <v>36.00875</v>
      </c>
      <c r="AK90" s="125" t="n">
        <f aca="false">SUMIF($F$7:$AG$7,AK$7,$F90:$AG90)</f>
        <v>288.07</v>
      </c>
      <c r="AL90" s="125" t="n">
        <f aca="false">SUMIF($F$7:$AG$7,AL$7,$F90:$AG90)</f>
        <v>288.07</v>
      </c>
      <c r="AM90" s="125" t="n">
        <f aca="false">SUMIF($F$7:$AG$7,AM$7,$F90:$AG90)</f>
        <v>288.07</v>
      </c>
      <c r="AN90" s="125" t="n">
        <f aca="false">SUMIF($F$7:$AG$7,AN$7,$F90:$AG90)</f>
        <v>288.07</v>
      </c>
      <c r="AO90" s="125" t="n">
        <f aca="false">SUMIF($F$7:$AG$7,AO$7,$F90:$AG90)</f>
        <v>252.06125</v>
      </c>
    </row>
    <row r="91" customFormat="false" ht="15" hidden="false" customHeight="false" outlineLevel="0" collapsed="false">
      <c r="A91" s="107" t="s">
        <v>1931</v>
      </c>
      <c r="B91" s="22" t="s">
        <v>664</v>
      </c>
      <c r="C91" s="22"/>
      <c r="D91" s="22"/>
      <c r="F91" s="116" t="n">
        <f aca="false">(1-$I$23)*(1-$J$23)*$D$23*AND(F$5&gt;=$H$23,F$5&lt;$H$23+$F$23)</f>
        <v>0</v>
      </c>
      <c r="G91" s="116" t="n">
        <f aca="false">(1-$I$23)*(1-$J$23)*$D$23*AND(G$5&gt;=$H$23,G$5&lt;$H$23+$F$23)</f>
        <v>0</v>
      </c>
      <c r="H91" s="116" t="n">
        <f aca="false">(1-$I$23)*(1-$J$23)*$D$23*AND(H$5&gt;=$H$23,H$5&lt;$H$23+$F$23)</f>
        <v>0</v>
      </c>
      <c r="I91" s="116" t="n">
        <f aca="false">(1-$I$23)*(1-$J$23)*$D$23*AND(I$5&gt;=$H$23,I$5&lt;$H$23+$F$23)</f>
        <v>0</v>
      </c>
      <c r="J91" s="116" t="n">
        <f aca="false">(1-$I$23)*(1-$J$23)*$D$23*AND(J$5&gt;=$H$23,J$5&lt;$H$23+$F$23)</f>
        <v>0</v>
      </c>
      <c r="K91" s="116" t="n">
        <f aca="false">(1-$I$23)*(1-$J$23)*$D$23*AND(K$5&gt;=$H$23,K$5&lt;$H$23+$F$23)</f>
        <v>0</v>
      </c>
      <c r="L91" s="116" t="n">
        <f aca="false">(1-$I$23)*(1-$J$23)*$D$23*AND(L$5&gt;=$H$23,L$5&lt;$H$23+$F$23)</f>
        <v>0</v>
      </c>
      <c r="M91" s="116" t="n">
        <f aca="false">(1-$I$23)*(1-$J$23)*$D$23*AND(M$5&gt;=$H$23,M$5&lt;$H$23+$F$23)</f>
        <v>24.0058333333333</v>
      </c>
      <c r="N91" s="116" t="n">
        <f aca="false">(1-$I$23)*(1-$J$23)*$D$23*AND(N$5&gt;=$H$23,N$5&lt;$H$23+$F$23)</f>
        <v>24.0058333333333</v>
      </c>
      <c r="O91" s="116" t="n">
        <f aca="false">(1-$I$23)*(1-$J$23)*$D$23*AND(O$5&gt;=$H$23,O$5&lt;$H$23+$F$23)</f>
        <v>24.0058333333333</v>
      </c>
      <c r="P91" s="36" t="n">
        <f aca="false">(1-$I$23)*(1-$J$23)*$D$23*AND(P$5&gt;=$H$23,P$5&lt;$H$23+$F$23)</f>
        <v>24.0058333333333</v>
      </c>
      <c r="Q91" s="36" t="n">
        <f aca="false">(1-$I$23)*(1-$J$23)*$D$23*AND(Q$5&gt;=$H$23,Q$5&lt;$H$23+$F$23)</f>
        <v>24.0058333333333</v>
      </c>
      <c r="R91" s="36" t="n">
        <f aca="false">(1-$I$23)*(1-$J$23)*$D$23*AND(R$5&gt;=$H$23,R$5&lt;$H$23+$F$23)</f>
        <v>24.0058333333333</v>
      </c>
      <c r="S91" s="36" t="n">
        <f aca="false">(1-$I$23)*(1-$J$23)*$D$23*AND(S$5&gt;=$H$23,S$5&lt;$H$23+$F$23)</f>
        <v>24.0058333333333</v>
      </c>
      <c r="T91" s="36" t="n">
        <f aca="false">(1-$I$23)*(1-$J$23)*$D$23*AND(T$5&gt;=$H$23,T$5&lt;$H$23+$F$23)</f>
        <v>24.0058333333333</v>
      </c>
      <c r="U91" s="36" t="n">
        <f aca="false">(1-$I$23)*(1-$J$23)*$D$23*AND(U$5&gt;=$H$23,U$5&lt;$H$23+$F$23)</f>
        <v>24.0058333333333</v>
      </c>
      <c r="V91" s="36" t="n">
        <f aca="false">(1-$I$23)*(1-$J$23)*$D$23*AND(V$5&gt;=$H$23,V$5&lt;$H$23+$F$23)</f>
        <v>24.0058333333333</v>
      </c>
      <c r="W91" s="36" t="n">
        <f aca="false">(1-$I$23)*(1-$J$23)*$D$23*AND(W$5&gt;=$H$23,W$5&lt;$H$23+$F$23)</f>
        <v>24.0058333333333</v>
      </c>
      <c r="X91" s="36" t="n">
        <f aca="false">(1-$I$23)*(1-$J$23)*$D$23*AND(X$5&gt;=$H$23,X$5&lt;$H$23+$F$23)</f>
        <v>24.0058333333333</v>
      </c>
      <c r="Y91" s="36" t="n">
        <f aca="false">(1-$I$23)*(1-$J$23)*$D$23*AND(Y$5&gt;=$H$23,Y$5&lt;$H$23+$F$23)</f>
        <v>24.0058333333333</v>
      </c>
      <c r="Z91" s="36" t="n">
        <f aca="false">(1-$I$23)*(1-$J$23)*$D$23*AND(Z$5&gt;=$H$23,Z$5&lt;$H$23+$F$23)</f>
        <v>24.0058333333333</v>
      </c>
      <c r="AA91" s="36" t="n">
        <f aca="false">(1-$I$23)*(1-$J$23)*$D$23*AND(AA$5&gt;=$H$23,AA$5&lt;$H$23+$F$23)</f>
        <v>24.0058333333333</v>
      </c>
      <c r="AB91" s="36" t="n">
        <f aca="false">(1-$I$23)*(1-$J$23)*$D$23*AND(AB$5&gt;=$H$23,AB$5&lt;$H$23+$F$23)</f>
        <v>24.0058333333333</v>
      </c>
      <c r="AC91" s="36" t="n">
        <f aca="false">(1-$I$23)*(1-$J$23)*$D$23*AND(AC$5&gt;=$H$23,AC$5&lt;$H$23+$F$23)</f>
        <v>24.0058333333333</v>
      </c>
      <c r="AD91" s="36" t="n">
        <f aca="false">(1-$I$23)*(1-$J$23)*$D$23*AND(AD$5&gt;=$H$23,AD$5&lt;$H$23+$F$23)</f>
        <v>24.0058333333333</v>
      </c>
      <c r="AE91" s="36" t="n">
        <f aca="false">(1-$I$23)*(1-$J$23)*$D$23*AND(AE$5&gt;=$H$23,AE$5&lt;$H$23+$F$23)</f>
        <v>24.0058333333333</v>
      </c>
      <c r="AF91" s="36" t="n">
        <f aca="false">(1-$I$23)*(1-$J$23)*$D$23*AND(AF$5&gt;=$H$23,AF$5&lt;$H$23+$F$23)</f>
        <v>24.0058333333333</v>
      </c>
      <c r="AG91" s="36" t="n">
        <f aca="false">(1-$I$23)*(1-$J$23)*$D$23*AND(AG$5&gt;=$H$23,AG$5&lt;$H$23+$F$23)</f>
        <v>0</v>
      </c>
      <c r="AI91" s="36" t="n">
        <f aca="false">INDEX($F91:$AG91,1,MATCH(AI$7,$F$7:$AG$7,1))</f>
        <v>0</v>
      </c>
      <c r="AJ91" s="36" t="n">
        <f aca="false">INDEX($F91:$AG91,1,MATCH(AJ$7,$F$7:$AG$7,1))</f>
        <v>24.0058333333333</v>
      </c>
      <c r="AK91" s="36" t="n">
        <f aca="false">INDEX($F91:$AG91,1,MATCH(AK$7,$F$7:$AG$7,1))</f>
        <v>24.0058333333333</v>
      </c>
      <c r="AL91" s="36" t="n">
        <f aca="false">INDEX($F91:$AG91,1,MATCH(AL$7,$F$7:$AG$7,1))</f>
        <v>24.0058333333333</v>
      </c>
      <c r="AM91" s="36" t="n">
        <f aca="false">INDEX($F91:$AG91,1,MATCH(AM$7,$F$7:$AG$7,1))</f>
        <v>24.0058333333333</v>
      </c>
      <c r="AN91" s="36" t="n">
        <f aca="false">INDEX($F91:$AG91,1,MATCH(AN$7,$F$7:$AG$7,1))</f>
        <v>24.0058333333333</v>
      </c>
      <c r="AO91" s="36" t="n">
        <f aca="false">INDEX($F91:$AG91,1,MATCH(AO$7,$F$7:$AG$7,1))</f>
        <v>0</v>
      </c>
    </row>
    <row r="92" customFormat="false" ht="15" hidden="false" customHeight="false" outlineLevel="0" collapsed="false">
      <c r="A92" s="107" t="s">
        <v>1932</v>
      </c>
      <c r="B92" s="22" t="s">
        <v>613</v>
      </c>
      <c r="C92" s="22"/>
      <c r="D92" s="22"/>
      <c r="F92" s="124" t="n">
        <f aca="false">-(1-$I$23)*LD_Pct*$D$23*$E$23/4*AND(F$5&gt;=$G$23,F$5&lt;$H$23)</f>
        <v>-0</v>
      </c>
      <c r="G92" s="124" t="n">
        <f aca="false">-(1-$I$23)*LD_Pct*$D$23*$E$23/4*AND(G$5&gt;=$G$23,G$5&lt;$H$23)</f>
        <v>-0</v>
      </c>
      <c r="H92" s="124" t="n">
        <f aca="false">-(1-$I$23)*LD_Pct*$D$23*$E$23/4*AND(H$5&gt;=$G$23,H$5&lt;$H$23)</f>
        <v>-0</v>
      </c>
      <c r="I92" s="124" t="n">
        <f aca="false">-(1-$I$23)*LD_Pct*$D$23*$E$23/4*AND(I$5&gt;=$G$23,I$5&lt;$H$23)</f>
        <v>-0</v>
      </c>
      <c r="J92" s="124" t="n">
        <f aca="false">-(1-$I$23)*LD_Pct*$D$23*$E$23/4*AND(J$5&gt;=$G$23,J$5&lt;$H$23)</f>
        <v>-0</v>
      </c>
      <c r="K92" s="124" t="n">
        <f aca="false">-(1-$I$23)*LD_Pct*$D$23*$E$23/4*AND(K$5&gt;=$G$23,K$5&lt;$H$23)</f>
        <v>-0</v>
      </c>
      <c r="L92" s="124" t="n">
        <f aca="false">-(1-$I$23)*LD_Pct*$D$23*$E$23/4*AND(L$5&gt;=$G$23,L$5&lt;$H$23)</f>
        <v>-0</v>
      </c>
      <c r="M92" s="124" t="n">
        <f aca="false">-(1-$I$23)*LD_Pct*$D$23*$E$23/4*AND(M$5&gt;=$G$23,M$5&lt;$H$23)</f>
        <v>-0</v>
      </c>
      <c r="N92" s="124" t="n">
        <f aca="false">-(1-$I$23)*LD_Pct*$D$23*$E$23/4*AND(N$5&gt;=$G$23,N$5&lt;$H$23)</f>
        <v>-0</v>
      </c>
      <c r="O92" s="124" t="n">
        <f aca="false">-(1-$I$23)*LD_Pct*$D$23*$E$23/4*AND(O$5&gt;=$G$23,O$5&lt;$H$23)</f>
        <v>-0</v>
      </c>
      <c r="P92" s="125" t="n">
        <f aca="false">-(1-$I$23)*LD_Pct*$D$23*$E$23/4*AND(P$5&gt;=$G$23,P$5&lt;$H$23)</f>
        <v>-0</v>
      </c>
      <c r="Q92" s="125" t="n">
        <f aca="false">-(1-$I$23)*LD_Pct*$D$23*$E$23/4*AND(Q$5&gt;=$G$23,Q$5&lt;$H$23)</f>
        <v>-0</v>
      </c>
      <c r="R92" s="125" t="n">
        <f aca="false">-(1-$I$23)*LD_Pct*$D$23*$E$23/4*AND(R$5&gt;=$G$23,R$5&lt;$H$23)</f>
        <v>-0</v>
      </c>
      <c r="S92" s="125" t="n">
        <f aca="false">-(1-$I$23)*LD_Pct*$D$23*$E$23/4*AND(S$5&gt;=$G$23,S$5&lt;$H$23)</f>
        <v>-0</v>
      </c>
      <c r="T92" s="125" t="n">
        <f aca="false">-(1-$I$23)*LD_Pct*$D$23*$E$23/4*AND(T$5&gt;=$G$23,T$5&lt;$H$23)</f>
        <v>-0</v>
      </c>
      <c r="U92" s="125" t="n">
        <f aca="false">-(1-$I$23)*LD_Pct*$D$23*$E$23/4*AND(U$5&gt;=$G$23,U$5&lt;$H$23)</f>
        <v>-0</v>
      </c>
      <c r="V92" s="125" t="n">
        <f aca="false">-(1-$I$23)*LD_Pct*$D$23*$E$23/4*AND(V$5&gt;=$G$23,V$5&lt;$H$23)</f>
        <v>-0</v>
      </c>
      <c r="W92" s="125" t="n">
        <f aca="false">-(1-$I$23)*LD_Pct*$D$23*$E$23/4*AND(W$5&gt;=$G$23,W$5&lt;$H$23)</f>
        <v>-0</v>
      </c>
      <c r="X92" s="125" t="n">
        <f aca="false">-(1-$I$23)*LD_Pct*$D$23*$E$23/4*AND(X$5&gt;=$G$23,X$5&lt;$H$23)</f>
        <v>-0</v>
      </c>
      <c r="Y92" s="125" t="n">
        <f aca="false">-(1-$I$23)*LD_Pct*$D$23*$E$23/4*AND(Y$5&gt;=$G$23,Y$5&lt;$H$23)</f>
        <v>-0</v>
      </c>
      <c r="Z92" s="125" t="n">
        <f aca="false">-(1-$I$23)*LD_Pct*$D$23*$E$23/4*AND(Z$5&gt;=$G$23,Z$5&lt;$H$23)</f>
        <v>-0</v>
      </c>
      <c r="AA92" s="125" t="n">
        <f aca="false">-(1-$I$23)*LD_Pct*$D$23*$E$23/4*AND(AA$5&gt;=$G$23,AA$5&lt;$H$23)</f>
        <v>-0</v>
      </c>
      <c r="AB92" s="125" t="n">
        <f aca="false">-(1-$I$23)*LD_Pct*$D$23*$E$23/4*AND(AB$5&gt;=$G$23,AB$5&lt;$H$23)</f>
        <v>-0</v>
      </c>
      <c r="AC92" s="125" t="n">
        <f aca="false">-(1-$I$23)*LD_Pct*$D$23*$E$23/4*AND(AC$5&gt;=$G$23,AC$5&lt;$H$23)</f>
        <v>-0</v>
      </c>
      <c r="AD92" s="125" t="n">
        <f aca="false">-(1-$I$23)*LD_Pct*$D$23*$E$23/4*AND(AD$5&gt;=$G$23,AD$5&lt;$H$23)</f>
        <v>-0</v>
      </c>
      <c r="AE92" s="125" t="n">
        <f aca="false">-(1-$I$23)*LD_Pct*$D$23*$E$23/4*AND(AE$5&gt;=$G$23,AE$5&lt;$H$23)</f>
        <v>-0</v>
      </c>
      <c r="AF92" s="125" t="n">
        <f aca="false">-(1-$I$23)*LD_Pct*$D$23*$E$23/4*AND(AF$5&gt;=$G$23,AF$5&lt;$H$23)</f>
        <v>-0</v>
      </c>
      <c r="AG92" s="125" t="n">
        <f aca="false">-(1-$I$23)*LD_Pct*$D$23*$E$23/4*AND(AG$5&gt;=$G$23,AG$5&lt;$H$23)</f>
        <v>-0</v>
      </c>
      <c r="AI92" s="125" t="n">
        <f aca="false">SUMIF($F$7:$AG$7,AI$7,$F92:$AG92)</f>
        <v>0</v>
      </c>
      <c r="AJ92" s="125" t="n">
        <f aca="false">SUMIF($F$7:$AG$7,AJ$7,$F92:$AG92)</f>
        <v>0</v>
      </c>
      <c r="AK92" s="125" t="n">
        <f aca="false">SUMIF($F$7:$AG$7,AK$7,$F92:$AG92)</f>
        <v>0</v>
      </c>
      <c r="AL92" s="125" t="n">
        <f aca="false">SUMIF($F$7:$AG$7,AL$7,$F92:$AG92)</f>
        <v>0</v>
      </c>
      <c r="AM92" s="125" t="n">
        <f aca="false">SUMIF($F$7:$AG$7,AM$7,$F92:$AG92)</f>
        <v>0</v>
      </c>
      <c r="AN92" s="125" t="n">
        <f aca="false">SUMIF($F$7:$AG$7,AN$7,$F92:$AG92)</f>
        <v>0</v>
      </c>
      <c r="AO92" s="125" t="n">
        <f aca="false">SUMIF($F$7:$AG$7,AO$7,$F92:$AG92)</f>
        <v>0</v>
      </c>
    </row>
    <row r="93" customFormat="false" ht="15" hidden="false" customHeight="false" outlineLevel="0" collapsed="false">
      <c r="A93" s="107" t="s">
        <v>1933</v>
      </c>
      <c r="B93" s="22" t="s">
        <v>664</v>
      </c>
      <c r="C93" s="22"/>
      <c r="D93" s="22"/>
      <c r="F93" s="116" t="n">
        <f aca="false">(1-$I$23)*(1-$J$23)*$D$23*(F$5&gt;=$H$23+$F$23)</f>
        <v>0</v>
      </c>
      <c r="G93" s="116" t="n">
        <f aca="false">(1-$I$23)*(1-$J$23)*$D$23*(G$5&gt;=$H$23+$F$23)</f>
        <v>0</v>
      </c>
      <c r="H93" s="116" t="n">
        <f aca="false">(1-$I$23)*(1-$J$23)*$D$23*(H$5&gt;=$H$23+$F$23)</f>
        <v>0</v>
      </c>
      <c r="I93" s="116" t="n">
        <f aca="false">(1-$I$23)*(1-$J$23)*$D$23*(I$5&gt;=$H$23+$F$23)</f>
        <v>0</v>
      </c>
      <c r="J93" s="116" t="n">
        <f aca="false">(1-$I$23)*(1-$J$23)*$D$23*(J$5&gt;=$H$23+$F$23)</f>
        <v>0</v>
      </c>
      <c r="K93" s="116" t="n">
        <f aca="false">(1-$I$23)*(1-$J$23)*$D$23*(K$5&gt;=$H$23+$F$23)</f>
        <v>0</v>
      </c>
      <c r="L93" s="116" t="n">
        <f aca="false">(1-$I$23)*(1-$J$23)*$D$23*(L$5&gt;=$H$23+$F$23)</f>
        <v>0</v>
      </c>
      <c r="M93" s="116" t="n">
        <f aca="false">(1-$I$23)*(1-$J$23)*$D$23*(M$5&gt;=$H$23+$F$23)</f>
        <v>0</v>
      </c>
      <c r="N93" s="116" t="n">
        <f aca="false">(1-$I$23)*(1-$J$23)*$D$23*(N$5&gt;=$H$23+$F$23)</f>
        <v>0</v>
      </c>
      <c r="O93" s="116" t="n">
        <f aca="false">(1-$I$23)*(1-$J$23)*$D$23*(O$5&gt;=$H$23+$F$23)</f>
        <v>0</v>
      </c>
      <c r="P93" s="36" t="n">
        <f aca="false">(1-$I$23)*(1-$J$23)*$D$23*(P$5&gt;=$H$23+$F$23)</f>
        <v>0</v>
      </c>
      <c r="Q93" s="36" t="n">
        <f aca="false">(1-$I$23)*(1-$J$23)*$D$23*(Q$5&gt;=$H$23+$F$23)</f>
        <v>0</v>
      </c>
      <c r="R93" s="36" t="n">
        <f aca="false">(1-$I$23)*(1-$J$23)*$D$23*(R$5&gt;=$H$23+$F$23)</f>
        <v>0</v>
      </c>
      <c r="S93" s="36" t="n">
        <f aca="false">(1-$I$23)*(1-$J$23)*$D$23*(S$5&gt;=$H$23+$F$23)</f>
        <v>0</v>
      </c>
      <c r="T93" s="36" t="n">
        <f aca="false">(1-$I$23)*(1-$J$23)*$D$23*(T$5&gt;=$H$23+$F$23)</f>
        <v>0</v>
      </c>
      <c r="U93" s="36" t="n">
        <f aca="false">(1-$I$23)*(1-$J$23)*$D$23*(U$5&gt;=$H$23+$F$23)</f>
        <v>0</v>
      </c>
      <c r="V93" s="36" t="n">
        <f aca="false">(1-$I$23)*(1-$J$23)*$D$23*(V$5&gt;=$H$23+$F$23)</f>
        <v>0</v>
      </c>
      <c r="W93" s="36" t="n">
        <f aca="false">(1-$I$23)*(1-$J$23)*$D$23*(W$5&gt;=$H$23+$F$23)</f>
        <v>0</v>
      </c>
      <c r="X93" s="36" t="n">
        <f aca="false">(1-$I$23)*(1-$J$23)*$D$23*(X$5&gt;=$H$23+$F$23)</f>
        <v>0</v>
      </c>
      <c r="Y93" s="36" t="n">
        <f aca="false">(1-$I$23)*(1-$J$23)*$D$23*(Y$5&gt;=$H$23+$F$23)</f>
        <v>0</v>
      </c>
      <c r="Z93" s="36" t="n">
        <f aca="false">(1-$I$23)*(1-$J$23)*$D$23*(Z$5&gt;=$H$23+$F$23)</f>
        <v>0</v>
      </c>
      <c r="AA93" s="36" t="n">
        <f aca="false">(1-$I$23)*(1-$J$23)*$D$23*(AA$5&gt;=$H$23+$F$23)</f>
        <v>0</v>
      </c>
      <c r="AB93" s="36" t="n">
        <f aca="false">(1-$I$23)*(1-$J$23)*$D$23*(AB$5&gt;=$H$23+$F$23)</f>
        <v>0</v>
      </c>
      <c r="AC93" s="36" t="n">
        <f aca="false">(1-$I$23)*(1-$J$23)*$D$23*(AC$5&gt;=$H$23+$F$23)</f>
        <v>0</v>
      </c>
      <c r="AD93" s="36" t="n">
        <f aca="false">(1-$I$23)*(1-$J$23)*$D$23*(AD$5&gt;=$H$23+$F$23)</f>
        <v>0</v>
      </c>
      <c r="AE93" s="36" t="n">
        <f aca="false">(1-$I$23)*(1-$J$23)*$D$23*(AE$5&gt;=$H$23+$F$23)</f>
        <v>0</v>
      </c>
      <c r="AF93" s="36" t="n">
        <f aca="false">(1-$I$23)*(1-$J$23)*$D$23*(AF$5&gt;=$H$23+$F$23)</f>
        <v>0</v>
      </c>
      <c r="AG93" s="36" t="n">
        <f aca="false">(1-$I$23)*(1-$J$23)*$D$23*(AG$5&gt;=$H$23+$F$23)</f>
        <v>24.0058333333333</v>
      </c>
      <c r="AI93" s="36" t="n">
        <f aca="false">INDEX($F93:$AG93,1,MATCH(AI$7,$F$7:$AG$7,1))</f>
        <v>0</v>
      </c>
      <c r="AJ93" s="36" t="n">
        <f aca="false">INDEX($F93:$AG93,1,MATCH(AJ$7,$F$7:$AG$7,1))</f>
        <v>0</v>
      </c>
      <c r="AK93" s="36" t="n">
        <f aca="false">INDEX($F93:$AG93,1,MATCH(AK$7,$F$7:$AG$7,1))</f>
        <v>0</v>
      </c>
      <c r="AL93" s="36" t="n">
        <f aca="false">INDEX($F93:$AG93,1,MATCH(AL$7,$F$7:$AG$7,1))</f>
        <v>0</v>
      </c>
      <c r="AM93" s="36" t="n">
        <f aca="false">INDEX($F93:$AG93,1,MATCH(AM$7,$F$7:$AG$7,1))</f>
        <v>0</v>
      </c>
      <c r="AN93" s="36" t="n">
        <f aca="false">INDEX($F93:$AG93,1,MATCH(AN$7,$F$7:$AG$7,1))</f>
        <v>0</v>
      </c>
      <c r="AO93" s="36" t="n">
        <f aca="false">INDEX($F93:$AG93,1,MATCH(AO$7,$F$7:$AG$7,1))</f>
        <v>24.0058333333333</v>
      </c>
    </row>
    <row r="94" customFormat="false" ht="15" hidden="false" customHeight="false" outlineLevel="0" collapsed="false">
      <c r="A94" s="107" t="s">
        <v>1934</v>
      </c>
      <c r="B94" s="22" t="s">
        <v>613</v>
      </c>
      <c r="C94" s="22"/>
      <c r="D94" s="22" t="s">
        <v>1879</v>
      </c>
      <c r="F94" s="124" t="n">
        <f aca="false">F93*CHOOSE(MATCH($C$23,{"H";"B";"N"},0),GPUMW_H*ODc_H,GPUMW_B*ODc_B,GPUMW_N*ODc_N)*ResidUtil*Timeline!F$9*INDEX(Curve,1,MAX(1,MIN(8,INT((F$5-$H$23)/4)+1)))/1000000</f>
        <v>0</v>
      </c>
      <c r="G94" s="124" t="n">
        <f aca="false">G93*CHOOSE(MATCH($C$23,{"H";"B";"N"},0),GPUMW_H*ODc_H,GPUMW_B*ODc_B,GPUMW_N*ODc_N)*ResidUtil*Timeline!G$9*INDEX(Curve,1,MAX(1,MIN(8,INT((G$5-$H$23)/4)+1)))/1000000</f>
        <v>0</v>
      </c>
      <c r="H94" s="124" t="n">
        <f aca="false">H93*CHOOSE(MATCH($C$23,{"H";"B";"N"},0),GPUMW_H*ODc_H,GPUMW_B*ODc_B,GPUMW_N*ODc_N)*ResidUtil*Timeline!H$9*INDEX(Curve,1,MAX(1,MIN(8,INT((H$5-$H$23)/4)+1)))/1000000</f>
        <v>0</v>
      </c>
      <c r="I94" s="124" t="n">
        <f aca="false">I93*CHOOSE(MATCH($C$23,{"H";"B";"N"},0),GPUMW_H*ODc_H,GPUMW_B*ODc_B,GPUMW_N*ODc_N)*ResidUtil*Timeline!I$9*INDEX(Curve,1,MAX(1,MIN(8,INT((I$5-$H$23)/4)+1)))/1000000</f>
        <v>0</v>
      </c>
      <c r="J94" s="124" t="n">
        <f aca="false">J93*CHOOSE(MATCH($C$23,{"H";"B";"N"},0),GPUMW_H*ODc_H,GPUMW_B*ODc_B,GPUMW_N*ODc_N)*ResidUtil*Timeline!J$9*INDEX(Curve,1,MAX(1,MIN(8,INT((J$5-$H$23)/4)+1)))/1000000</f>
        <v>0</v>
      </c>
      <c r="K94" s="124" t="n">
        <f aca="false">K93*CHOOSE(MATCH($C$23,{"H";"B";"N"},0),GPUMW_H*ODc_H,GPUMW_B*ODc_B,GPUMW_N*ODc_N)*ResidUtil*Timeline!K$9*INDEX(Curve,1,MAX(1,MIN(8,INT((K$5-$H$23)/4)+1)))/1000000</f>
        <v>0</v>
      </c>
      <c r="L94" s="124" t="n">
        <f aca="false">L93*CHOOSE(MATCH($C$23,{"H";"B";"N"},0),GPUMW_H*ODc_H,GPUMW_B*ODc_B,GPUMW_N*ODc_N)*ResidUtil*Timeline!L$9*INDEX(Curve,1,MAX(1,MIN(8,INT((L$5-$H$23)/4)+1)))/1000000</f>
        <v>0</v>
      </c>
      <c r="M94" s="124" t="n">
        <f aca="false">M93*CHOOSE(MATCH($C$23,{"H";"B";"N"},0),GPUMW_H*ODc_H,GPUMW_B*ODc_B,GPUMW_N*ODc_N)*ResidUtil*Timeline!M$9*INDEX(Curve,1,MAX(1,MIN(8,INT((M$5-$H$23)/4)+1)))/1000000</f>
        <v>0</v>
      </c>
      <c r="N94" s="124" t="n">
        <f aca="false">N93*CHOOSE(MATCH($C$23,{"H";"B";"N"},0),GPUMW_H*ODc_H,GPUMW_B*ODc_B,GPUMW_N*ODc_N)*ResidUtil*Timeline!N$9*INDEX(Curve,1,MAX(1,MIN(8,INT((N$5-$H$23)/4)+1)))/1000000</f>
        <v>0</v>
      </c>
      <c r="O94" s="124" t="n">
        <f aca="false">O93*CHOOSE(MATCH($C$23,{"H";"B";"N"},0),GPUMW_H*ODc_H,GPUMW_B*ODc_B,GPUMW_N*ODc_N)*ResidUtil*Timeline!O$9*INDEX(Curve,1,MAX(1,MIN(8,INT((O$5-$H$23)/4)+1)))/1000000</f>
        <v>0</v>
      </c>
      <c r="P94" s="125" t="n">
        <f aca="false">P93*CHOOSE(MATCH($C$23,{"H";"B";"N"},0),GPUMW_H*ODc_H,GPUMW_B*ODc_B,GPUMW_N*ODc_N)*ResidUtil*Timeline!P$9*INDEX(Curve,1,MAX(1,MIN(8,INT((P$5-$H$23)/4)+1)))/1000000</f>
        <v>0</v>
      </c>
      <c r="Q94" s="125" t="n">
        <f aca="false">Q93*CHOOSE(MATCH($C$23,{"H";"B";"N"},0),GPUMW_H*ODc_H,GPUMW_B*ODc_B,GPUMW_N*ODc_N)*ResidUtil*Timeline!Q$9*INDEX(Curve,1,MAX(1,MIN(8,INT((Q$5-$H$23)/4)+1)))/1000000</f>
        <v>0</v>
      </c>
      <c r="R94" s="125" t="n">
        <f aca="false">R93*CHOOSE(MATCH($C$23,{"H";"B";"N"},0),GPUMW_H*ODc_H,GPUMW_B*ODc_B,GPUMW_N*ODc_N)*ResidUtil*Timeline!R$9*INDEX(Curve,1,MAX(1,MIN(8,INT((R$5-$H$23)/4)+1)))/1000000</f>
        <v>0</v>
      </c>
      <c r="S94" s="125" t="n">
        <f aca="false">S93*CHOOSE(MATCH($C$23,{"H";"B";"N"},0),GPUMW_H*ODc_H,GPUMW_B*ODc_B,GPUMW_N*ODc_N)*ResidUtil*Timeline!S$9*INDEX(Curve,1,MAX(1,MIN(8,INT((S$5-$H$23)/4)+1)))/1000000</f>
        <v>0</v>
      </c>
      <c r="T94" s="125" t="n">
        <f aca="false">T93*CHOOSE(MATCH($C$23,{"H";"B";"N"},0),GPUMW_H*ODc_H,GPUMW_B*ODc_B,GPUMW_N*ODc_N)*ResidUtil*Timeline!T$9*INDEX(Curve,1,MAX(1,MIN(8,INT((T$5-$H$23)/4)+1)))/1000000</f>
        <v>0</v>
      </c>
      <c r="U94" s="125" t="n">
        <f aca="false">U93*CHOOSE(MATCH($C$23,{"H";"B";"N"},0),GPUMW_H*ODc_H,GPUMW_B*ODc_B,GPUMW_N*ODc_N)*ResidUtil*Timeline!U$9*INDEX(Curve,1,MAX(1,MIN(8,INT((U$5-$H$23)/4)+1)))/1000000</f>
        <v>0</v>
      </c>
      <c r="V94" s="125" t="n">
        <f aca="false">V93*CHOOSE(MATCH($C$23,{"H";"B";"N"},0),GPUMW_H*ODc_H,GPUMW_B*ODc_B,GPUMW_N*ODc_N)*ResidUtil*Timeline!V$9*INDEX(Curve,1,MAX(1,MIN(8,INT((V$5-$H$23)/4)+1)))/1000000</f>
        <v>0</v>
      </c>
      <c r="W94" s="125" t="n">
        <f aca="false">W93*CHOOSE(MATCH($C$23,{"H";"B";"N"},0),GPUMW_H*ODc_H,GPUMW_B*ODc_B,GPUMW_N*ODc_N)*ResidUtil*Timeline!W$9*INDEX(Curve,1,MAX(1,MIN(8,INT((W$5-$H$23)/4)+1)))/1000000</f>
        <v>0</v>
      </c>
      <c r="X94" s="125" t="n">
        <f aca="false">X93*CHOOSE(MATCH($C$23,{"H";"B";"N"},0),GPUMW_H*ODc_H,GPUMW_B*ODc_B,GPUMW_N*ODc_N)*ResidUtil*Timeline!X$9*INDEX(Curve,1,MAX(1,MIN(8,INT((X$5-$H$23)/4)+1)))/1000000</f>
        <v>0</v>
      </c>
      <c r="Y94" s="125" t="n">
        <f aca="false">Y93*CHOOSE(MATCH($C$23,{"H";"B";"N"},0),GPUMW_H*ODc_H,GPUMW_B*ODc_B,GPUMW_N*ODc_N)*ResidUtil*Timeline!Y$9*INDEX(Curve,1,MAX(1,MIN(8,INT((Y$5-$H$23)/4)+1)))/1000000</f>
        <v>0</v>
      </c>
      <c r="Z94" s="125" t="n">
        <f aca="false">Z93*CHOOSE(MATCH($C$23,{"H";"B";"N"},0),GPUMW_H*ODc_H,GPUMW_B*ODc_B,GPUMW_N*ODc_N)*ResidUtil*Timeline!Z$9*INDEX(Curve,1,MAX(1,MIN(8,INT((Z$5-$H$23)/4)+1)))/1000000</f>
        <v>0</v>
      </c>
      <c r="AA94" s="125" t="n">
        <f aca="false">AA93*CHOOSE(MATCH($C$23,{"H";"B";"N"},0),GPUMW_H*ODc_H,GPUMW_B*ODc_B,GPUMW_N*ODc_N)*ResidUtil*Timeline!AA$9*INDEX(Curve,1,MAX(1,MIN(8,INT((AA$5-$H$23)/4)+1)))/1000000</f>
        <v>0</v>
      </c>
      <c r="AB94" s="125" t="n">
        <f aca="false">AB93*CHOOSE(MATCH($C$23,{"H";"B";"N"},0),GPUMW_H*ODc_H,GPUMW_B*ODc_B,GPUMW_N*ODc_N)*ResidUtil*Timeline!AB$9*INDEX(Curve,1,MAX(1,MIN(8,INT((AB$5-$H$23)/4)+1)))/1000000</f>
        <v>0</v>
      </c>
      <c r="AC94" s="125" t="n">
        <f aca="false">AC93*CHOOSE(MATCH($C$23,{"H";"B";"N"},0),GPUMW_H*ODc_H,GPUMW_B*ODc_B,GPUMW_N*ODc_N)*ResidUtil*Timeline!AC$9*INDEX(Curve,1,MAX(1,MIN(8,INT((AC$5-$H$23)/4)+1)))/1000000</f>
        <v>0</v>
      </c>
      <c r="AD94" s="125" t="n">
        <f aca="false">AD93*CHOOSE(MATCH($C$23,{"H";"B";"N"},0),GPUMW_H*ODc_H,GPUMW_B*ODc_B,GPUMW_N*ODc_N)*ResidUtil*Timeline!AD$9*INDEX(Curve,1,MAX(1,MIN(8,INT((AD$5-$H$23)/4)+1)))/1000000</f>
        <v>0</v>
      </c>
      <c r="AE94" s="125" t="n">
        <f aca="false">AE93*CHOOSE(MATCH($C$23,{"H";"B";"N"},0),GPUMW_H*ODc_H,GPUMW_B*ODc_B,GPUMW_N*ODc_N)*ResidUtil*Timeline!AE$9*INDEX(Curve,1,MAX(1,MIN(8,INT((AE$5-$H$23)/4)+1)))/1000000</f>
        <v>0</v>
      </c>
      <c r="AF94" s="125" t="n">
        <f aca="false">AF93*CHOOSE(MATCH($C$23,{"H";"B";"N"},0),GPUMW_H*ODc_H,GPUMW_B*ODc_B,GPUMW_N*ODc_N)*ResidUtil*Timeline!AF$9*INDEX(Curve,1,MAX(1,MIN(8,INT((AF$5-$H$23)/4)+1)))/1000000</f>
        <v>0</v>
      </c>
      <c r="AG94" s="125" t="n">
        <f aca="false">AG93*CHOOSE(MATCH($C$23,{"H";"B";"N"},0),GPUMW_H*ODc_H,GPUMW_B*ODc_B,GPUMW_N*ODc_N)*ResidUtil*Timeline!AG$9*INDEX(Curve,1,MAX(1,MIN(8,INT((AG$5-$H$23)/4)+1)))/1000000</f>
        <v>97.5412365785</v>
      </c>
      <c r="AI94" s="125" t="n">
        <f aca="false">SUMIF($F$7:$AG$7,AI$7,$F94:$AG94)</f>
        <v>0</v>
      </c>
      <c r="AJ94" s="125" t="n">
        <f aca="false">SUMIF($F$7:$AG$7,AJ$7,$F94:$AG94)</f>
        <v>0</v>
      </c>
      <c r="AK94" s="125" t="n">
        <f aca="false">SUMIF($F$7:$AG$7,AK$7,$F94:$AG94)</f>
        <v>0</v>
      </c>
      <c r="AL94" s="125" t="n">
        <f aca="false">SUMIF($F$7:$AG$7,AL$7,$F94:$AG94)</f>
        <v>0</v>
      </c>
      <c r="AM94" s="125" t="n">
        <f aca="false">SUMIF($F$7:$AG$7,AM$7,$F94:$AG94)</f>
        <v>0</v>
      </c>
      <c r="AN94" s="125" t="n">
        <f aca="false">SUMIF($F$7:$AG$7,AN$7,$F94:$AG94)</f>
        <v>0</v>
      </c>
      <c r="AO94" s="125" t="n">
        <f aca="false">SUMIF($F$7:$AG$7,AO$7,$F94:$AG94)</f>
        <v>97.5412365785</v>
      </c>
    </row>
    <row r="95" customFormat="false" ht="15" hidden="false" customHeight="false" outlineLevel="0" collapsed="false">
      <c r="A95" s="107" t="s">
        <v>1935</v>
      </c>
      <c r="B95" s="22" t="s">
        <v>613</v>
      </c>
      <c r="C95" s="22"/>
      <c r="D95" s="22"/>
      <c r="F95" s="124" t="n">
        <f aca="false">(1-$I$24)*(1-$J$24)*$D$24*$E$24/4*MIN(1,MAX(0,(F$5-$H$24+1)/$T$24))*IF(F$5=$H$24,DelivFactor,IF(AND(F$5&gt;$H$24,F$5&lt;$H$24+$F$24),1,IF(F$5=$H$24+$F$24,1-DelivFactor,0)))</f>
        <v>0</v>
      </c>
      <c r="G95" s="124" t="n">
        <f aca="false">(1-$I$24)*(1-$J$24)*$D$24*$E$24/4*MIN(1,MAX(0,(G$5-$H$24+1)/$T$24))*IF(G$5=$H$24,DelivFactor,IF(AND(G$5&gt;$H$24,G$5&lt;$H$24+$F$24),1,IF(G$5=$H$24+$F$24,1-DelivFactor,0)))</f>
        <v>0</v>
      </c>
      <c r="H95" s="124" t="n">
        <f aca="false">(1-$I$24)*(1-$J$24)*$D$24*$E$24/4*MIN(1,MAX(0,(H$5-$H$24+1)/$T$24))*IF(H$5=$H$24,DelivFactor,IF(AND(H$5&gt;$H$24,H$5&lt;$H$24+$F$24),1,IF(H$5=$H$24+$F$24,1-DelivFactor,0)))</f>
        <v>0</v>
      </c>
      <c r="I95" s="124" t="n">
        <f aca="false">(1-$I$24)*(1-$J$24)*$D$24*$E$24/4*MIN(1,MAX(0,(I$5-$H$24+1)/$T$24))*IF(I$5=$H$24,DelivFactor,IF(AND(I$5&gt;$H$24,I$5&lt;$H$24+$F$24),1,IF(I$5=$H$24+$F$24,1-DelivFactor,0)))</f>
        <v>0</v>
      </c>
      <c r="J95" s="124" t="n">
        <f aca="false">(1-$I$24)*(1-$J$24)*$D$24*$E$24/4*MIN(1,MAX(0,(J$5-$H$24+1)/$T$24))*IF(J$5=$H$24,DelivFactor,IF(AND(J$5&gt;$H$24,J$5&lt;$H$24+$F$24),1,IF(J$5=$H$24+$F$24,1-DelivFactor,0)))</f>
        <v>0</v>
      </c>
      <c r="K95" s="124" t="n">
        <f aca="false">(1-$I$24)*(1-$J$24)*$D$24*$E$24/4*MIN(1,MAX(0,(K$5-$H$24+1)/$T$24))*IF(K$5=$H$24,DelivFactor,IF(AND(K$5&gt;$H$24,K$5&lt;$H$24+$F$24),1,IF(K$5=$H$24+$F$24,1-DelivFactor,0)))</f>
        <v>0</v>
      </c>
      <c r="L95" s="124" t="n">
        <f aca="false">(1-$I$24)*(1-$J$24)*$D$24*$E$24/4*MIN(1,MAX(0,(L$5-$H$24+1)/$T$24))*IF(L$5=$H$24,DelivFactor,IF(AND(L$5&gt;$H$24,L$5&lt;$H$24+$F$24),1,IF(L$5=$H$24+$F$24,1-DelivFactor,0)))</f>
        <v>0</v>
      </c>
      <c r="M95" s="124" t="n">
        <f aca="false">(1-$I$24)*(1-$J$24)*$D$24*$E$24/4*MIN(1,MAX(0,(M$5-$H$24+1)/$T$24))*IF(M$5=$H$24,DelivFactor,IF(AND(M$5&gt;$H$24,M$5&lt;$H$24+$F$24),1,IF(M$5=$H$24+$F$24,1-DelivFactor,0)))</f>
        <v>0</v>
      </c>
      <c r="N95" s="124" t="n">
        <f aca="false">(1-$I$24)*(1-$J$24)*$D$24*$E$24/4*MIN(1,MAX(0,(N$5-$H$24+1)/$T$24))*IF(N$5=$H$24,DelivFactor,IF(AND(N$5&gt;$H$24,N$5&lt;$H$24+$F$24),1,IF(N$5=$H$24+$F$24,1-DelivFactor,0)))</f>
        <v>36.00875</v>
      </c>
      <c r="O95" s="124" t="n">
        <f aca="false">(1-$I$24)*(1-$J$24)*$D$24*$E$24/4*MIN(1,MAX(0,(O$5-$H$24+1)/$T$24))*IF(O$5=$H$24,DelivFactor,IF(AND(O$5&gt;$H$24,O$5&lt;$H$24+$F$24),1,IF(O$5=$H$24+$F$24,1-DelivFactor,0)))</f>
        <v>72.0175</v>
      </c>
      <c r="P95" s="125" t="n">
        <f aca="false">(1-$I$24)*(1-$J$24)*$D$24*$E$24/4*MIN(1,MAX(0,(P$5-$H$24+1)/$T$24))*IF(P$5=$H$24,DelivFactor,IF(AND(P$5&gt;$H$24,P$5&lt;$H$24+$F$24),1,IF(P$5=$H$24+$F$24,1-DelivFactor,0)))</f>
        <v>72.0175</v>
      </c>
      <c r="Q95" s="125" t="n">
        <f aca="false">(1-$I$24)*(1-$J$24)*$D$24*$E$24/4*MIN(1,MAX(0,(Q$5-$H$24+1)/$T$24))*IF(Q$5=$H$24,DelivFactor,IF(AND(Q$5&gt;$H$24,Q$5&lt;$H$24+$F$24),1,IF(Q$5=$H$24+$F$24,1-DelivFactor,0)))</f>
        <v>72.0175</v>
      </c>
      <c r="R95" s="125" t="n">
        <f aca="false">(1-$I$24)*(1-$J$24)*$D$24*$E$24/4*MIN(1,MAX(0,(R$5-$H$24+1)/$T$24))*IF(R$5=$H$24,DelivFactor,IF(AND(R$5&gt;$H$24,R$5&lt;$H$24+$F$24),1,IF(R$5=$H$24+$F$24,1-DelivFactor,0)))</f>
        <v>72.0175</v>
      </c>
      <c r="S95" s="125" t="n">
        <f aca="false">(1-$I$24)*(1-$J$24)*$D$24*$E$24/4*MIN(1,MAX(0,(S$5-$H$24+1)/$T$24))*IF(S$5=$H$24,DelivFactor,IF(AND(S$5&gt;$H$24,S$5&lt;$H$24+$F$24),1,IF(S$5=$H$24+$F$24,1-DelivFactor,0)))</f>
        <v>72.0175</v>
      </c>
      <c r="T95" s="125" t="n">
        <f aca="false">(1-$I$24)*(1-$J$24)*$D$24*$E$24/4*MIN(1,MAX(0,(T$5-$H$24+1)/$T$24))*IF(T$5=$H$24,DelivFactor,IF(AND(T$5&gt;$H$24,T$5&lt;$H$24+$F$24),1,IF(T$5=$H$24+$F$24,1-DelivFactor,0)))</f>
        <v>72.0175</v>
      </c>
      <c r="U95" s="125" t="n">
        <f aca="false">(1-$I$24)*(1-$J$24)*$D$24*$E$24/4*MIN(1,MAX(0,(U$5-$H$24+1)/$T$24))*IF(U$5=$H$24,DelivFactor,IF(AND(U$5&gt;$H$24,U$5&lt;$H$24+$F$24),1,IF(U$5=$H$24+$F$24,1-DelivFactor,0)))</f>
        <v>72.0175</v>
      </c>
      <c r="V95" s="125" t="n">
        <f aca="false">(1-$I$24)*(1-$J$24)*$D$24*$E$24/4*MIN(1,MAX(0,(V$5-$H$24+1)/$T$24))*IF(V$5=$H$24,DelivFactor,IF(AND(V$5&gt;$H$24,V$5&lt;$H$24+$F$24),1,IF(V$5=$H$24+$F$24,1-DelivFactor,0)))</f>
        <v>72.0175</v>
      </c>
      <c r="W95" s="125" t="n">
        <f aca="false">(1-$I$24)*(1-$J$24)*$D$24*$E$24/4*MIN(1,MAX(0,(W$5-$H$24+1)/$T$24))*IF(W$5=$H$24,DelivFactor,IF(AND(W$5&gt;$H$24,W$5&lt;$H$24+$F$24),1,IF(W$5=$H$24+$F$24,1-DelivFactor,0)))</f>
        <v>72.0175</v>
      </c>
      <c r="X95" s="125" t="n">
        <f aca="false">(1-$I$24)*(1-$J$24)*$D$24*$E$24/4*MIN(1,MAX(0,(X$5-$H$24+1)/$T$24))*IF(X$5=$H$24,DelivFactor,IF(AND(X$5&gt;$H$24,X$5&lt;$H$24+$F$24),1,IF(X$5=$H$24+$F$24,1-DelivFactor,0)))</f>
        <v>72.0175</v>
      </c>
      <c r="Y95" s="125" t="n">
        <f aca="false">(1-$I$24)*(1-$J$24)*$D$24*$E$24/4*MIN(1,MAX(0,(Y$5-$H$24+1)/$T$24))*IF(Y$5=$H$24,DelivFactor,IF(AND(Y$5&gt;$H$24,Y$5&lt;$H$24+$F$24),1,IF(Y$5=$H$24+$F$24,1-DelivFactor,0)))</f>
        <v>72.0175</v>
      </c>
      <c r="Z95" s="125" t="n">
        <f aca="false">(1-$I$24)*(1-$J$24)*$D$24*$E$24/4*MIN(1,MAX(0,(Z$5-$H$24+1)/$T$24))*IF(Z$5=$H$24,DelivFactor,IF(AND(Z$5&gt;$H$24,Z$5&lt;$H$24+$F$24),1,IF(Z$5=$H$24+$F$24,1-DelivFactor,0)))</f>
        <v>72.0175</v>
      </c>
      <c r="AA95" s="125" t="n">
        <f aca="false">(1-$I$24)*(1-$J$24)*$D$24*$E$24/4*MIN(1,MAX(0,(AA$5-$H$24+1)/$T$24))*IF(AA$5=$H$24,DelivFactor,IF(AND(AA$5&gt;$H$24,AA$5&lt;$H$24+$F$24),1,IF(AA$5=$H$24+$F$24,1-DelivFactor,0)))</f>
        <v>72.0175</v>
      </c>
      <c r="AB95" s="125" t="n">
        <f aca="false">(1-$I$24)*(1-$J$24)*$D$24*$E$24/4*MIN(1,MAX(0,(AB$5-$H$24+1)/$T$24))*IF(AB$5=$H$24,DelivFactor,IF(AND(AB$5&gt;$H$24,AB$5&lt;$H$24+$F$24),1,IF(AB$5=$H$24+$F$24,1-DelivFactor,0)))</f>
        <v>72.0175</v>
      </c>
      <c r="AC95" s="125" t="n">
        <f aca="false">(1-$I$24)*(1-$J$24)*$D$24*$E$24/4*MIN(1,MAX(0,(AC$5-$H$24+1)/$T$24))*IF(AC$5=$H$24,DelivFactor,IF(AND(AC$5&gt;$H$24,AC$5&lt;$H$24+$F$24),1,IF(AC$5=$H$24+$F$24,1-DelivFactor,0)))</f>
        <v>72.0175</v>
      </c>
      <c r="AD95" s="125" t="n">
        <f aca="false">(1-$I$24)*(1-$J$24)*$D$24*$E$24/4*MIN(1,MAX(0,(AD$5-$H$24+1)/$T$24))*IF(AD$5=$H$24,DelivFactor,IF(AND(AD$5&gt;$H$24,AD$5&lt;$H$24+$F$24),1,IF(AD$5=$H$24+$F$24,1-DelivFactor,0)))</f>
        <v>72.0175</v>
      </c>
      <c r="AE95" s="125" t="n">
        <f aca="false">(1-$I$24)*(1-$J$24)*$D$24*$E$24/4*MIN(1,MAX(0,(AE$5-$H$24+1)/$T$24))*IF(AE$5=$H$24,DelivFactor,IF(AND(AE$5&gt;$H$24,AE$5&lt;$H$24+$F$24),1,IF(AE$5=$H$24+$F$24,1-DelivFactor,0)))</f>
        <v>72.0175</v>
      </c>
      <c r="AF95" s="125" t="n">
        <f aca="false">(1-$I$24)*(1-$J$24)*$D$24*$E$24/4*MIN(1,MAX(0,(AF$5-$H$24+1)/$T$24))*IF(AF$5=$H$24,DelivFactor,IF(AND(AF$5&gt;$H$24,AF$5&lt;$H$24+$F$24),1,IF(AF$5=$H$24+$F$24,1-DelivFactor,0)))</f>
        <v>72.0175</v>
      </c>
      <c r="AG95" s="125" t="n">
        <f aca="false">(1-$I$24)*(1-$J$24)*$D$24*$E$24/4*MIN(1,MAX(0,(AG$5-$H$24+1)/$T$24))*IF(AG$5=$H$24,DelivFactor,IF(AND(AG$5&gt;$H$24,AG$5&lt;$H$24+$F$24),1,IF(AG$5=$H$24+$F$24,1-DelivFactor,0)))</f>
        <v>72.0175</v>
      </c>
      <c r="AI95" s="125" t="n">
        <f aca="false">SUMIF($F$7:$AG$7,AI$7,$F95:$AG95)</f>
        <v>0</v>
      </c>
      <c r="AJ95" s="125" t="n">
        <f aca="false">SUMIF($F$7:$AG$7,AJ$7,$F95:$AG95)</f>
        <v>0</v>
      </c>
      <c r="AK95" s="125" t="n">
        <f aca="false">SUMIF($F$7:$AG$7,AK$7,$F95:$AG95)</f>
        <v>252.06125</v>
      </c>
      <c r="AL95" s="125" t="n">
        <f aca="false">SUMIF($F$7:$AG$7,AL$7,$F95:$AG95)</f>
        <v>288.07</v>
      </c>
      <c r="AM95" s="125" t="n">
        <f aca="false">SUMIF($F$7:$AG$7,AM$7,$F95:$AG95)</f>
        <v>288.07</v>
      </c>
      <c r="AN95" s="125" t="n">
        <f aca="false">SUMIF($F$7:$AG$7,AN$7,$F95:$AG95)</f>
        <v>288.07</v>
      </c>
      <c r="AO95" s="125" t="n">
        <f aca="false">SUMIF($F$7:$AG$7,AO$7,$F95:$AG95)</f>
        <v>288.07</v>
      </c>
    </row>
    <row r="96" customFormat="false" ht="15" hidden="false" customHeight="false" outlineLevel="0" collapsed="false">
      <c r="A96" s="107" t="s">
        <v>1936</v>
      </c>
      <c r="B96" s="22" t="s">
        <v>664</v>
      </c>
      <c r="C96" s="22"/>
      <c r="D96" s="22"/>
      <c r="F96" s="116" t="n">
        <f aca="false">(1-$I$24)*(1-$J$24)*$D$24*AND(F$5&gt;=$H$24,F$5&lt;$H$24+$F$24)</f>
        <v>0</v>
      </c>
      <c r="G96" s="116" t="n">
        <f aca="false">(1-$I$24)*(1-$J$24)*$D$24*AND(G$5&gt;=$H$24,G$5&lt;$H$24+$F$24)</f>
        <v>0</v>
      </c>
      <c r="H96" s="116" t="n">
        <f aca="false">(1-$I$24)*(1-$J$24)*$D$24*AND(H$5&gt;=$H$24,H$5&lt;$H$24+$F$24)</f>
        <v>0</v>
      </c>
      <c r="I96" s="116" t="n">
        <f aca="false">(1-$I$24)*(1-$J$24)*$D$24*AND(I$5&gt;=$H$24,I$5&lt;$H$24+$F$24)</f>
        <v>0</v>
      </c>
      <c r="J96" s="116" t="n">
        <f aca="false">(1-$I$24)*(1-$J$24)*$D$24*AND(J$5&gt;=$H$24,J$5&lt;$H$24+$F$24)</f>
        <v>0</v>
      </c>
      <c r="K96" s="116" t="n">
        <f aca="false">(1-$I$24)*(1-$J$24)*$D$24*AND(K$5&gt;=$H$24,K$5&lt;$H$24+$F$24)</f>
        <v>0</v>
      </c>
      <c r="L96" s="116" t="n">
        <f aca="false">(1-$I$24)*(1-$J$24)*$D$24*AND(L$5&gt;=$H$24,L$5&lt;$H$24+$F$24)</f>
        <v>0</v>
      </c>
      <c r="M96" s="116" t="n">
        <f aca="false">(1-$I$24)*(1-$J$24)*$D$24*AND(M$5&gt;=$H$24,M$5&lt;$H$24+$F$24)</f>
        <v>0</v>
      </c>
      <c r="N96" s="116" t="n">
        <f aca="false">(1-$I$24)*(1-$J$24)*$D$24*AND(N$5&gt;=$H$24,N$5&lt;$H$24+$F$24)</f>
        <v>24.0058333333333</v>
      </c>
      <c r="O96" s="116" t="n">
        <f aca="false">(1-$I$24)*(1-$J$24)*$D$24*AND(O$5&gt;=$H$24,O$5&lt;$H$24+$F$24)</f>
        <v>24.0058333333333</v>
      </c>
      <c r="P96" s="36" t="n">
        <f aca="false">(1-$I$24)*(1-$J$24)*$D$24*AND(P$5&gt;=$H$24,P$5&lt;$H$24+$F$24)</f>
        <v>24.0058333333333</v>
      </c>
      <c r="Q96" s="36" t="n">
        <f aca="false">(1-$I$24)*(1-$J$24)*$D$24*AND(Q$5&gt;=$H$24,Q$5&lt;$H$24+$F$24)</f>
        <v>24.0058333333333</v>
      </c>
      <c r="R96" s="36" t="n">
        <f aca="false">(1-$I$24)*(1-$J$24)*$D$24*AND(R$5&gt;=$H$24,R$5&lt;$H$24+$F$24)</f>
        <v>24.0058333333333</v>
      </c>
      <c r="S96" s="36" t="n">
        <f aca="false">(1-$I$24)*(1-$J$24)*$D$24*AND(S$5&gt;=$H$24,S$5&lt;$H$24+$F$24)</f>
        <v>24.0058333333333</v>
      </c>
      <c r="T96" s="36" t="n">
        <f aca="false">(1-$I$24)*(1-$J$24)*$D$24*AND(T$5&gt;=$H$24,T$5&lt;$H$24+$F$24)</f>
        <v>24.0058333333333</v>
      </c>
      <c r="U96" s="36" t="n">
        <f aca="false">(1-$I$24)*(1-$J$24)*$D$24*AND(U$5&gt;=$H$24,U$5&lt;$H$24+$F$24)</f>
        <v>24.0058333333333</v>
      </c>
      <c r="V96" s="36" t="n">
        <f aca="false">(1-$I$24)*(1-$J$24)*$D$24*AND(V$5&gt;=$H$24,V$5&lt;$H$24+$F$24)</f>
        <v>24.0058333333333</v>
      </c>
      <c r="W96" s="36" t="n">
        <f aca="false">(1-$I$24)*(1-$J$24)*$D$24*AND(W$5&gt;=$H$24,W$5&lt;$H$24+$F$24)</f>
        <v>24.0058333333333</v>
      </c>
      <c r="X96" s="36" t="n">
        <f aca="false">(1-$I$24)*(1-$J$24)*$D$24*AND(X$5&gt;=$H$24,X$5&lt;$H$24+$F$24)</f>
        <v>24.0058333333333</v>
      </c>
      <c r="Y96" s="36" t="n">
        <f aca="false">(1-$I$24)*(1-$J$24)*$D$24*AND(Y$5&gt;=$H$24,Y$5&lt;$H$24+$F$24)</f>
        <v>24.0058333333333</v>
      </c>
      <c r="Z96" s="36" t="n">
        <f aca="false">(1-$I$24)*(1-$J$24)*$D$24*AND(Z$5&gt;=$H$24,Z$5&lt;$H$24+$F$24)</f>
        <v>24.0058333333333</v>
      </c>
      <c r="AA96" s="36" t="n">
        <f aca="false">(1-$I$24)*(1-$J$24)*$D$24*AND(AA$5&gt;=$H$24,AA$5&lt;$H$24+$F$24)</f>
        <v>24.0058333333333</v>
      </c>
      <c r="AB96" s="36" t="n">
        <f aca="false">(1-$I$24)*(1-$J$24)*$D$24*AND(AB$5&gt;=$H$24,AB$5&lt;$H$24+$F$24)</f>
        <v>24.0058333333333</v>
      </c>
      <c r="AC96" s="36" t="n">
        <f aca="false">(1-$I$24)*(1-$J$24)*$D$24*AND(AC$5&gt;=$H$24,AC$5&lt;$H$24+$F$24)</f>
        <v>24.0058333333333</v>
      </c>
      <c r="AD96" s="36" t="n">
        <f aca="false">(1-$I$24)*(1-$J$24)*$D$24*AND(AD$5&gt;=$H$24,AD$5&lt;$H$24+$F$24)</f>
        <v>24.0058333333333</v>
      </c>
      <c r="AE96" s="36" t="n">
        <f aca="false">(1-$I$24)*(1-$J$24)*$D$24*AND(AE$5&gt;=$H$24,AE$5&lt;$H$24+$F$24)</f>
        <v>24.0058333333333</v>
      </c>
      <c r="AF96" s="36" t="n">
        <f aca="false">(1-$I$24)*(1-$J$24)*$D$24*AND(AF$5&gt;=$H$24,AF$5&lt;$H$24+$F$24)</f>
        <v>24.0058333333333</v>
      </c>
      <c r="AG96" s="36" t="n">
        <f aca="false">(1-$I$24)*(1-$J$24)*$D$24*AND(AG$5&gt;=$H$24,AG$5&lt;$H$24+$F$24)</f>
        <v>24.0058333333333</v>
      </c>
      <c r="AI96" s="36" t="n">
        <f aca="false">INDEX($F96:$AG96,1,MATCH(AI$7,$F$7:$AG$7,1))</f>
        <v>0</v>
      </c>
      <c r="AJ96" s="36" t="n">
        <f aca="false">INDEX($F96:$AG96,1,MATCH(AJ$7,$F$7:$AG$7,1))</f>
        <v>0</v>
      </c>
      <c r="AK96" s="36" t="n">
        <f aca="false">INDEX($F96:$AG96,1,MATCH(AK$7,$F$7:$AG$7,1))</f>
        <v>24.0058333333333</v>
      </c>
      <c r="AL96" s="36" t="n">
        <f aca="false">INDEX($F96:$AG96,1,MATCH(AL$7,$F$7:$AG$7,1))</f>
        <v>24.0058333333333</v>
      </c>
      <c r="AM96" s="36" t="n">
        <f aca="false">INDEX($F96:$AG96,1,MATCH(AM$7,$F$7:$AG$7,1))</f>
        <v>24.0058333333333</v>
      </c>
      <c r="AN96" s="36" t="n">
        <f aca="false">INDEX($F96:$AG96,1,MATCH(AN$7,$F$7:$AG$7,1))</f>
        <v>24.0058333333333</v>
      </c>
      <c r="AO96" s="36" t="n">
        <f aca="false">INDEX($F96:$AG96,1,MATCH(AO$7,$F$7:$AG$7,1))</f>
        <v>24.0058333333333</v>
      </c>
    </row>
    <row r="97" customFormat="false" ht="15" hidden="false" customHeight="false" outlineLevel="0" collapsed="false">
      <c r="A97" s="107" t="s">
        <v>1937</v>
      </c>
      <c r="B97" s="22" t="s">
        <v>613</v>
      </c>
      <c r="C97" s="22"/>
      <c r="D97" s="22"/>
      <c r="F97" s="124" t="n">
        <f aca="false">-(1-$I$24)*LD_Pct*$D$24*$E$24/4*AND(F$5&gt;=$G$24,F$5&lt;$H$24)</f>
        <v>-0</v>
      </c>
      <c r="G97" s="124" t="n">
        <f aca="false">-(1-$I$24)*LD_Pct*$D$24*$E$24/4*AND(G$5&gt;=$G$24,G$5&lt;$H$24)</f>
        <v>-0</v>
      </c>
      <c r="H97" s="124" t="n">
        <f aca="false">-(1-$I$24)*LD_Pct*$D$24*$E$24/4*AND(H$5&gt;=$G$24,H$5&lt;$H$24)</f>
        <v>-0</v>
      </c>
      <c r="I97" s="124" t="n">
        <f aca="false">-(1-$I$24)*LD_Pct*$D$24*$E$24/4*AND(I$5&gt;=$G$24,I$5&lt;$H$24)</f>
        <v>-0</v>
      </c>
      <c r="J97" s="124" t="n">
        <f aca="false">-(1-$I$24)*LD_Pct*$D$24*$E$24/4*AND(J$5&gt;=$G$24,J$5&lt;$H$24)</f>
        <v>-0</v>
      </c>
      <c r="K97" s="124" t="n">
        <f aca="false">-(1-$I$24)*LD_Pct*$D$24*$E$24/4*AND(K$5&gt;=$G$24,K$5&lt;$H$24)</f>
        <v>-0</v>
      </c>
      <c r="L97" s="124" t="n">
        <f aca="false">-(1-$I$24)*LD_Pct*$D$24*$E$24/4*AND(L$5&gt;=$G$24,L$5&lt;$H$24)</f>
        <v>-0</v>
      </c>
      <c r="M97" s="124" t="n">
        <f aca="false">-(1-$I$24)*LD_Pct*$D$24*$E$24/4*AND(M$5&gt;=$G$24,M$5&lt;$H$24)</f>
        <v>-0</v>
      </c>
      <c r="N97" s="124" t="n">
        <f aca="false">-(1-$I$24)*LD_Pct*$D$24*$E$24/4*AND(N$5&gt;=$G$24,N$5&lt;$H$24)</f>
        <v>-0</v>
      </c>
      <c r="O97" s="124" t="n">
        <f aca="false">-(1-$I$24)*LD_Pct*$D$24*$E$24/4*AND(O$5&gt;=$G$24,O$5&lt;$H$24)</f>
        <v>-0</v>
      </c>
      <c r="P97" s="125" t="n">
        <f aca="false">-(1-$I$24)*LD_Pct*$D$24*$E$24/4*AND(P$5&gt;=$G$24,P$5&lt;$H$24)</f>
        <v>-0</v>
      </c>
      <c r="Q97" s="125" t="n">
        <f aca="false">-(1-$I$24)*LD_Pct*$D$24*$E$24/4*AND(Q$5&gt;=$G$24,Q$5&lt;$H$24)</f>
        <v>-0</v>
      </c>
      <c r="R97" s="125" t="n">
        <f aca="false">-(1-$I$24)*LD_Pct*$D$24*$E$24/4*AND(R$5&gt;=$G$24,R$5&lt;$H$24)</f>
        <v>-0</v>
      </c>
      <c r="S97" s="125" t="n">
        <f aca="false">-(1-$I$24)*LD_Pct*$D$24*$E$24/4*AND(S$5&gt;=$G$24,S$5&lt;$H$24)</f>
        <v>-0</v>
      </c>
      <c r="T97" s="125" t="n">
        <f aca="false">-(1-$I$24)*LD_Pct*$D$24*$E$24/4*AND(T$5&gt;=$G$24,T$5&lt;$H$24)</f>
        <v>-0</v>
      </c>
      <c r="U97" s="125" t="n">
        <f aca="false">-(1-$I$24)*LD_Pct*$D$24*$E$24/4*AND(U$5&gt;=$G$24,U$5&lt;$H$24)</f>
        <v>-0</v>
      </c>
      <c r="V97" s="125" t="n">
        <f aca="false">-(1-$I$24)*LD_Pct*$D$24*$E$24/4*AND(V$5&gt;=$G$24,V$5&lt;$H$24)</f>
        <v>-0</v>
      </c>
      <c r="W97" s="125" t="n">
        <f aca="false">-(1-$I$24)*LD_Pct*$D$24*$E$24/4*AND(W$5&gt;=$G$24,W$5&lt;$H$24)</f>
        <v>-0</v>
      </c>
      <c r="X97" s="125" t="n">
        <f aca="false">-(1-$I$24)*LD_Pct*$D$24*$E$24/4*AND(X$5&gt;=$G$24,X$5&lt;$H$24)</f>
        <v>-0</v>
      </c>
      <c r="Y97" s="125" t="n">
        <f aca="false">-(1-$I$24)*LD_Pct*$D$24*$E$24/4*AND(Y$5&gt;=$G$24,Y$5&lt;$H$24)</f>
        <v>-0</v>
      </c>
      <c r="Z97" s="125" t="n">
        <f aca="false">-(1-$I$24)*LD_Pct*$D$24*$E$24/4*AND(Z$5&gt;=$G$24,Z$5&lt;$H$24)</f>
        <v>-0</v>
      </c>
      <c r="AA97" s="125" t="n">
        <f aca="false">-(1-$I$24)*LD_Pct*$D$24*$E$24/4*AND(AA$5&gt;=$G$24,AA$5&lt;$H$24)</f>
        <v>-0</v>
      </c>
      <c r="AB97" s="125" t="n">
        <f aca="false">-(1-$I$24)*LD_Pct*$D$24*$E$24/4*AND(AB$5&gt;=$G$24,AB$5&lt;$H$24)</f>
        <v>-0</v>
      </c>
      <c r="AC97" s="125" t="n">
        <f aca="false">-(1-$I$24)*LD_Pct*$D$24*$E$24/4*AND(AC$5&gt;=$G$24,AC$5&lt;$H$24)</f>
        <v>-0</v>
      </c>
      <c r="AD97" s="125" t="n">
        <f aca="false">-(1-$I$24)*LD_Pct*$D$24*$E$24/4*AND(AD$5&gt;=$G$24,AD$5&lt;$H$24)</f>
        <v>-0</v>
      </c>
      <c r="AE97" s="125" t="n">
        <f aca="false">-(1-$I$24)*LD_Pct*$D$24*$E$24/4*AND(AE$5&gt;=$G$24,AE$5&lt;$H$24)</f>
        <v>-0</v>
      </c>
      <c r="AF97" s="125" t="n">
        <f aca="false">-(1-$I$24)*LD_Pct*$D$24*$E$24/4*AND(AF$5&gt;=$G$24,AF$5&lt;$H$24)</f>
        <v>-0</v>
      </c>
      <c r="AG97" s="125" t="n">
        <f aca="false">-(1-$I$24)*LD_Pct*$D$24*$E$24/4*AND(AG$5&gt;=$G$24,AG$5&lt;$H$24)</f>
        <v>-0</v>
      </c>
      <c r="AI97" s="125" t="n">
        <f aca="false">SUMIF($F$7:$AG$7,AI$7,$F97:$AG97)</f>
        <v>0</v>
      </c>
      <c r="AJ97" s="125" t="n">
        <f aca="false">SUMIF($F$7:$AG$7,AJ$7,$F97:$AG97)</f>
        <v>0</v>
      </c>
      <c r="AK97" s="125" t="n">
        <f aca="false">SUMIF($F$7:$AG$7,AK$7,$F97:$AG97)</f>
        <v>0</v>
      </c>
      <c r="AL97" s="125" t="n">
        <f aca="false">SUMIF($F$7:$AG$7,AL$7,$F97:$AG97)</f>
        <v>0</v>
      </c>
      <c r="AM97" s="125" t="n">
        <f aca="false">SUMIF($F$7:$AG$7,AM$7,$F97:$AG97)</f>
        <v>0</v>
      </c>
      <c r="AN97" s="125" t="n">
        <f aca="false">SUMIF($F$7:$AG$7,AN$7,$F97:$AG97)</f>
        <v>0</v>
      </c>
      <c r="AO97" s="125" t="n">
        <f aca="false">SUMIF($F$7:$AG$7,AO$7,$F97:$AG97)</f>
        <v>0</v>
      </c>
    </row>
    <row r="98" customFormat="false" ht="15" hidden="false" customHeight="false" outlineLevel="0" collapsed="false">
      <c r="A98" s="107" t="s">
        <v>1938</v>
      </c>
      <c r="B98" s="22" t="s">
        <v>664</v>
      </c>
      <c r="C98" s="22"/>
      <c r="D98" s="22"/>
      <c r="F98" s="116" t="n">
        <f aca="false">(1-$I$24)*(1-$J$24)*$D$24*(F$5&gt;=$H$24+$F$24)</f>
        <v>0</v>
      </c>
      <c r="G98" s="116" t="n">
        <f aca="false">(1-$I$24)*(1-$J$24)*$D$24*(G$5&gt;=$H$24+$F$24)</f>
        <v>0</v>
      </c>
      <c r="H98" s="116" t="n">
        <f aca="false">(1-$I$24)*(1-$J$24)*$D$24*(H$5&gt;=$H$24+$F$24)</f>
        <v>0</v>
      </c>
      <c r="I98" s="116" t="n">
        <f aca="false">(1-$I$24)*(1-$J$24)*$D$24*(I$5&gt;=$H$24+$F$24)</f>
        <v>0</v>
      </c>
      <c r="J98" s="116" t="n">
        <f aca="false">(1-$I$24)*(1-$J$24)*$D$24*(J$5&gt;=$H$24+$F$24)</f>
        <v>0</v>
      </c>
      <c r="K98" s="116" t="n">
        <f aca="false">(1-$I$24)*(1-$J$24)*$D$24*(K$5&gt;=$H$24+$F$24)</f>
        <v>0</v>
      </c>
      <c r="L98" s="116" t="n">
        <f aca="false">(1-$I$24)*(1-$J$24)*$D$24*(L$5&gt;=$H$24+$F$24)</f>
        <v>0</v>
      </c>
      <c r="M98" s="116" t="n">
        <f aca="false">(1-$I$24)*(1-$J$24)*$D$24*(M$5&gt;=$H$24+$F$24)</f>
        <v>0</v>
      </c>
      <c r="N98" s="116" t="n">
        <f aca="false">(1-$I$24)*(1-$J$24)*$D$24*(N$5&gt;=$H$24+$F$24)</f>
        <v>0</v>
      </c>
      <c r="O98" s="116" t="n">
        <f aca="false">(1-$I$24)*(1-$J$24)*$D$24*(O$5&gt;=$H$24+$F$24)</f>
        <v>0</v>
      </c>
      <c r="P98" s="36" t="n">
        <f aca="false">(1-$I$24)*(1-$J$24)*$D$24*(P$5&gt;=$H$24+$F$24)</f>
        <v>0</v>
      </c>
      <c r="Q98" s="36" t="n">
        <f aca="false">(1-$I$24)*(1-$J$24)*$D$24*(Q$5&gt;=$H$24+$F$24)</f>
        <v>0</v>
      </c>
      <c r="R98" s="36" t="n">
        <f aca="false">(1-$I$24)*(1-$J$24)*$D$24*(R$5&gt;=$H$24+$F$24)</f>
        <v>0</v>
      </c>
      <c r="S98" s="36" t="n">
        <f aca="false">(1-$I$24)*(1-$J$24)*$D$24*(S$5&gt;=$H$24+$F$24)</f>
        <v>0</v>
      </c>
      <c r="T98" s="36" t="n">
        <f aca="false">(1-$I$24)*(1-$J$24)*$D$24*(T$5&gt;=$H$24+$F$24)</f>
        <v>0</v>
      </c>
      <c r="U98" s="36" t="n">
        <f aca="false">(1-$I$24)*(1-$J$24)*$D$24*(U$5&gt;=$H$24+$F$24)</f>
        <v>0</v>
      </c>
      <c r="V98" s="36" t="n">
        <f aca="false">(1-$I$24)*(1-$J$24)*$D$24*(V$5&gt;=$H$24+$F$24)</f>
        <v>0</v>
      </c>
      <c r="W98" s="36" t="n">
        <f aca="false">(1-$I$24)*(1-$J$24)*$D$24*(W$5&gt;=$H$24+$F$24)</f>
        <v>0</v>
      </c>
      <c r="X98" s="36" t="n">
        <f aca="false">(1-$I$24)*(1-$J$24)*$D$24*(X$5&gt;=$H$24+$F$24)</f>
        <v>0</v>
      </c>
      <c r="Y98" s="36" t="n">
        <f aca="false">(1-$I$24)*(1-$J$24)*$D$24*(Y$5&gt;=$H$24+$F$24)</f>
        <v>0</v>
      </c>
      <c r="Z98" s="36" t="n">
        <f aca="false">(1-$I$24)*(1-$J$24)*$D$24*(Z$5&gt;=$H$24+$F$24)</f>
        <v>0</v>
      </c>
      <c r="AA98" s="36" t="n">
        <f aca="false">(1-$I$24)*(1-$J$24)*$D$24*(AA$5&gt;=$H$24+$F$24)</f>
        <v>0</v>
      </c>
      <c r="AB98" s="36" t="n">
        <f aca="false">(1-$I$24)*(1-$J$24)*$D$24*(AB$5&gt;=$H$24+$F$24)</f>
        <v>0</v>
      </c>
      <c r="AC98" s="36" t="n">
        <f aca="false">(1-$I$24)*(1-$J$24)*$D$24*(AC$5&gt;=$H$24+$F$24)</f>
        <v>0</v>
      </c>
      <c r="AD98" s="36" t="n">
        <f aca="false">(1-$I$24)*(1-$J$24)*$D$24*(AD$5&gt;=$H$24+$F$24)</f>
        <v>0</v>
      </c>
      <c r="AE98" s="36" t="n">
        <f aca="false">(1-$I$24)*(1-$J$24)*$D$24*(AE$5&gt;=$H$24+$F$24)</f>
        <v>0</v>
      </c>
      <c r="AF98" s="36" t="n">
        <f aca="false">(1-$I$24)*(1-$J$24)*$D$24*(AF$5&gt;=$H$24+$F$24)</f>
        <v>0</v>
      </c>
      <c r="AG98" s="36" t="n">
        <f aca="false">(1-$I$24)*(1-$J$24)*$D$24*(AG$5&gt;=$H$24+$F$24)</f>
        <v>0</v>
      </c>
      <c r="AI98" s="36" t="n">
        <f aca="false">INDEX($F98:$AG98,1,MATCH(AI$7,$F$7:$AG$7,1))</f>
        <v>0</v>
      </c>
      <c r="AJ98" s="36" t="n">
        <f aca="false">INDEX($F98:$AG98,1,MATCH(AJ$7,$F$7:$AG$7,1))</f>
        <v>0</v>
      </c>
      <c r="AK98" s="36" t="n">
        <f aca="false">INDEX($F98:$AG98,1,MATCH(AK$7,$F$7:$AG$7,1))</f>
        <v>0</v>
      </c>
      <c r="AL98" s="36" t="n">
        <f aca="false">INDEX($F98:$AG98,1,MATCH(AL$7,$F$7:$AG$7,1))</f>
        <v>0</v>
      </c>
      <c r="AM98" s="36" t="n">
        <f aca="false">INDEX($F98:$AG98,1,MATCH(AM$7,$F$7:$AG$7,1))</f>
        <v>0</v>
      </c>
      <c r="AN98" s="36" t="n">
        <f aca="false">INDEX($F98:$AG98,1,MATCH(AN$7,$F$7:$AG$7,1))</f>
        <v>0</v>
      </c>
      <c r="AO98" s="36" t="n">
        <f aca="false">INDEX($F98:$AG98,1,MATCH(AO$7,$F$7:$AG$7,1))</f>
        <v>0</v>
      </c>
    </row>
    <row r="99" customFormat="false" ht="15" hidden="false" customHeight="false" outlineLevel="0" collapsed="false">
      <c r="A99" s="107" t="s">
        <v>1939</v>
      </c>
      <c r="B99" s="22" t="s">
        <v>613</v>
      </c>
      <c r="C99" s="22"/>
      <c r="D99" s="22" t="s">
        <v>1879</v>
      </c>
      <c r="F99" s="124" t="n">
        <f aca="false">F98*CHOOSE(MATCH($C$24,{"H";"B";"N"},0),GPUMW_H*ODc_H,GPUMW_B*ODc_B,GPUMW_N*ODc_N)*ResidUtil*Timeline!F$9*INDEX(Curve,1,MAX(1,MIN(8,INT((F$5-$H$24)/4)+1)))/1000000</f>
        <v>0</v>
      </c>
      <c r="G99" s="124" t="n">
        <f aca="false">G98*CHOOSE(MATCH($C$24,{"H";"B";"N"},0),GPUMW_H*ODc_H,GPUMW_B*ODc_B,GPUMW_N*ODc_N)*ResidUtil*Timeline!G$9*INDEX(Curve,1,MAX(1,MIN(8,INT((G$5-$H$24)/4)+1)))/1000000</f>
        <v>0</v>
      </c>
      <c r="H99" s="124" t="n">
        <f aca="false">H98*CHOOSE(MATCH($C$24,{"H";"B";"N"},0),GPUMW_H*ODc_H,GPUMW_B*ODc_B,GPUMW_N*ODc_N)*ResidUtil*Timeline!H$9*INDEX(Curve,1,MAX(1,MIN(8,INT((H$5-$H$24)/4)+1)))/1000000</f>
        <v>0</v>
      </c>
      <c r="I99" s="124" t="n">
        <f aca="false">I98*CHOOSE(MATCH($C$24,{"H";"B";"N"},0),GPUMW_H*ODc_H,GPUMW_B*ODc_B,GPUMW_N*ODc_N)*ResidUtil*Timeline!I$9*INDEX(Curve,1,MAX(1,MIN(8,INT((I$5-$H$24)/4)+1)))/1000000</f>
        <v>0</v>
      </c>
      <c r="J99" s="124" t="n">
        <f aca="false">J98*CHOOSE(MATCH($C$24,{"H";"B";"N"},0),GPUMW_H*ODc_H,GPUMW_B*ODc_B,GPUMW_N*ODc_N)*ResidUtil*Timeline!J$9*INDEX(Curve,1,MAX(1,MIN(8,INT((J$5-$H$24)/4)+1)))/1000000</f>
        <v>0</v>
      </c>
      <c r="K99" s="124" t="n">
        <f aca="false">K98*CHOOSE(MATCH($C$24,{"H";"B";"N"},0),GPUMW_H*ODc_H,GPUMW_B*ODc_B,GPUMW_N*ODc_N)*ResidUtil*Timeline!K$9*INDEX(Curve,1,MAX(1,MIN(8,INT((K$5-$H$24)/4)+1)))/1000000</f>
        <v>0</v>
      </c>
      <c r="L99" s="124" t="n">
        <f aca="false">L98*CHOOSE(MATCH($C$24,{"H";"B";"N"},0),GPUMW_H*ODc_H,GPUMW_B*ODc_B,GPUMW_N*ODc_N)*ResidUtil*Timeline!L$9*INDEX(Curve,1,MAX(1,MIN(8,INT((L$5-$H$24)/4)+1)))/1000000</f>
        <v>0</v>
      </c>
      <c r="M99" s="124" t="n">
        <f aca="false">M98*CHOOSE(MATCH($C$24,{"H";"B";"N"},0),GPUMW_H*ODc_H,GPUMW_B*ODc_B,GPUMW_N*ODc_N)*ResidUtil*Timeline!M$9*INDEX(Curve,1,MAX(1,MIN(8,INT((M$5-$H$24)/4)+1)))/1000000</f>
        <v>0</v>
      </c>
      <c r="N99" s="124" t="n">
        <f aca="false">N98*CHOOSE(MATCH($C$24,{"H";"B";"N"},0),GPUMW_H*ODc_H,GPUMW_B*ODc_B,GPUMW_N*ODc_N)*ResidUtil*Timeline!N$9*INDEX(Curve,1,MAX(1,MIN(8,INT((N$5-$H$24)/4)+1)))/1000000</f>
        <v>0</v>
      </c>
      <c r="O99" s="124" t="n">
        <f aca="false">O98*CHOOSE(MATCH($C$24,{"H";"B";"N"},0),GPUMW_H*ODc_H,GPUMW_B*ODc_B,GPUMW_N*ODc_N)*ResidUtil*Timeline!O$9*INDEX(Curve,1,MAX(1,MIN(8,INT((O$5-$H$24)/4)+1)))/1000000</f>
        <v>0</v>
      </c>
      <c r="P99" s="125" t="n">
        <f aca="false">P98*CHOOSE(MATCH($C$24,{"H";"B";"N"},0),GPUMW_H*ODc_H,GPUMW_B*ODc_B,GPUMW_N*ODc_N)*ResidUtil*Timeline!P$9*INDEX(Curve,1,MAX(1,MIN(8,INT((P$5-$H$24)/4)+1)))/1000000</f>
        <v>0</v>
      </c>
      <c r="Q99" s="125" t="n">
        <f aca="false">Q98*CHOOSE(MATCH($C$24,{"H";"B";"N"},0),GPUMW_H*ODc_H,GPUMW_B*ODc_B,GPUMW_N*ODc_N)*ResidUtil*Timeline!Q$9*INDEX(Curve,1,MAX(1,MIN(8,INT((Q$5-$H$24)/4)+1)))/1000000</f>
        <v>0</v>
      </c>
      <c r="R99" s="125" t="n">
        <f aca="false">R98*CHOOSE(MATCH($C$24,{"H";"B";"N"},0),GPUMW_H*ODc_H,GPUMW_B*ODc_B,GPUMW_N*ODc_N)*ResidUtil*Timeline!R$9*INDEX(Curve,1,MAX(1,MIN(8,INT((R$5-$H$24)/4)+1)))/1000000</f>
        <v>0</v>
      </c>
      <c r="S99" s="125" t="n">
        <f aca="false">S98*CHOOSE(MATCH($C$24,{"H";"B";"N"},0),GPUMW_H*ODc_H,GPUMW_B*ODc_B,GPUMW_N*ODc_N)*ResidUtil*Timeline!S$9*INDEX(Curve,1,MAX(1,MIN(8,INT((S$5-$H$24)/4)+1)))/1000000</f>
        <v>0</v>
      </c>
      <c r="T99" s="125" t="n">
        <f aca="false">T98*CHOOSE(MATCH($C$24,{"H";"B";"N"},0),GPUMW_H*ODc_H,GPUMW_B*ODc_B,GPUMW_N*ODc_N)*ResidUtil*Timeline!T$9*INDEX(Curve,1,MAX(1,MIN(8,INT((T$5-$H$24)/4)+1)))/1000000</f>
        <v>0</v>
      </c>
      <c r="U99" s="125" t="n">
        <f aca="false">U98*CHOOSE(MATCH($C$24,{"H";"B";"N"},0),GPUMW_H*ODc_H,GPUMW_B*ODc_B,GPUMW_N*ODc_N)*ResidUtil*Timeline!U$9*INDEX(Curve,1,MAX(1,MIN(8,INT((U$5-$H$24)/4)+1)))/1000000</f>
        <v>0</v>
      </c>
      <c r="V99" s="125" t="n">
        <f aca="false">V98*CHOOSE(MATCH($C$24,{"H";"B";"N"},0),GPUMW_H*ODc_H,GPUMW_B*ODc_B,GPUMW_N*ODc_N)*ResidUtil*Timeline!V$9*INDEX(Curve,1,MAX(1,MIN(8,INT((V$5-$H$24)/4)+1)))/1000000</f>
        <v>0</v>
      </c>
      <c r="W99" s="125" t="n">
        <f aca="false">W98*CHOOSE(MATCH($C$24,{"H";"B";"N"},0),GPUMW_H*ODc_H,GPUMW_B*ODc_B,GPUMW_N*ODc_N)*ResidUtil*Timeline!W$9*INDEX(Curve,1,MAX(1,MIN(8,INT((W$5-$H$24)/4)+1)))/1000000</f>
        <v>0</v>
      </c>
      <c r="X99" s="125" t="n">
        <f aca="false">X98*CHOOSE(MATCH($C$24,{"H";"B";"N"},0),GPUMW_H*ODc_H,GPUMW_B*ODc_B,GPUMW_N*ODc_N)*ResidUtil*Timeline!X$9*INDEX(Curve,1,MAX(1,MIN(8,INT((X$5-$H$24)/4)+1)))/1000000</f>
        <v>0</v>
      </c>
      <c r="Y99" s="125" t="n">
        <f aca="false">Y98*CHOOSE(MATCH($C$24,{"H";"B";"N"},0),GPUMW_H*ODc_H,GPUMW_B*ODc_B,GPUMW_N*ODc_N)*ResidUtil*Timeline!Y$9*INDEX(Curve,1,MAX(1,MIN(8,INT((Y$5-$H$24)/4)+1)))/1000000</f>
        <v>0</v>
      </c>
      <c r="Z99" s="125" t="n">
        <f aca="false">Z98*CHOOSE(MATCH($C$24,{"H";"B";"N"},0),GPUMW_H*ODc_H,GPUMW_B*ODc_B,GPUMW_N*ODc_N)*ResidUtil*Timeline!Z$9*INDEX(Curve,1,MAX(1,MIN(8,INT((Z$5-$H$24)/4)+1)))/1000000</f>
        <v>0</v>
      </c>
      <c r="AA99" s="125" t="n">
        <f aca="false">AA98*CHOOSE(MATCH($C$24,{"H";"B";"N"},0),GPUMW_H*ODc_H,GPUMW_B*ODc_B,GPUMW_N*ODc_N)*ResidUtil*Timeline!AA$9*INDEX(Curve,1,MAX(1,MIN(8,INT((AA$5-$H$24)/4)+1)))/1000000</f>
        <v>0</v>
      </c>
      <c r="AB99" s="125" t="n">
        <f aca="false">AB98*CHOOSE(MATCH($C$24,{"H";"B";"N"},0),GPUMW_H*ODc_H,GPUMW_B*ODc_B,GPUMW_N*ODc_N)*ResidUtil*Timeline!AB$9*INDEX(Curve,1,MAX(1,MIN(8,INT((AB$5-$H$24)/4)+1)))/1000000</f>
        <v>0</v>
      </c>
      <c r="AC99" s="125" t="n">
        <f aca="false">AC98*CHOOSE(MATCH($C$24,{"H";"B";"N"},0),GPUMW_H*ODc_H,GPUMW_B*ODc_B,GPUMW_N*ODc_N)*ResidUtil*Timeline!AC$9*INDEX(Curve,1,MAX(1,MIN(8,INT((AC$5-$H$24)/4)+1)))/1000000</f>
        <v>0</v>
      </c>
      <c r="AD99" s="125" t="n">
        <f aca="false">AD98*CHOOSE(MATCH($C$24,{"H";"B";"N"},0),GPUMW_H*ODc_H,GPUMW_B*ODc_B,GPUMW_N*ODc_N)*ResidUtil*Timeline!AD$9*INDEX(Curve,1,MAX(1,MIN(8,INT((AD$5-$H$24)/4)+1)))/1000000</f>
        <v>0</v>
      </c>
      <c r="AE99" s="125" t="n">
        <f aca="false">AE98*CHOOSE(MATCH($C$24,{"H";"B";"N"},0),GPUMW_H*ODc_H,GPUMW_B*ODc_B,GPUMW_N*ODc_N)*ResidUtil*Timeline!AE$9*INDEX(Curve,1,MAX(1,MIN(8,INT((AE$5-$H$24)/4)+1)))/1000000</f>
        <v>0</v>
      </c>
      <c r="AF99" s="125" t="n">
        <f aca="false">AF98*CHOOSE(MATCH($C$24,{"H";"B";"N"},0),GPUMW_H*ODc_H,GPUMW_B*ODc_B,GPUMW_N*ODc_N)*ResidUtil*Timeline!AF$9*INDEX(Curve,1,MAX(1,MIN(8,INT((AF$5-$H$24)/4)+1)))/1000000</f>
        <v>0</v>
      </c>
      <c r="AG99" s="125" t="n">
        <f aca="false">AG98*CHOOSE(MATCH($C$24,{"H";"B";"N"},0),GPUMW_H*ODc_H,GPUMW_B*ODc_B,GPUMW_N*ODc_N)*ResidUtil*Timeline!AG$9*INDEX(Curve,1,MAX(1,MIN(8,INT((AG$5-$H$24)/4)+1)))/1000000</f>
        <v>0</v>
      </c>
      <c r="AI99" s="125" t="n">
        <f aca="false">SUMIF($F$7:$AG$7,AI$7,$F99:$AG99)</f>
        <v>0</v>
      </c>
      <c r="AJ99" s="125" t="n">
        <f aca="false">SUMIF($F$7:$AG$7,AJ$7,$F99:$AG99)</f>
        <v>0</v>
      </c>
      <c r="AK99" s="125" t="n">
        <f aca="false">SUMIF($F$7:$AG$7,AK$7,$F99:$AG99)</f>
        <v>0</v>
      </c>
      <c r="AL99" s="125" t="n">
        <f aca="false">SUMIF($F$7:$AG$7,AL$7,$F99:$AG99)</f>
        <v>0</v>
      </c>
      <c r="AM99" s="125" t="n">
        <f aca="false">SUMIF($F$7:$AG$7,AM$7,$F99:$AG99)</f>
        <v>0</v>
      </c>
      <c r="AN99" s="125" t="n">
        <f aca="false">SUMIF($F$7:$AG$7,AN$7,$F99:$AG99)</f>
        <v>0</v>
      </c>
      <c r="AO99" s="125" t="n">
        <f aca="false">SUMIF($F$7:$AG$7,AO$7,$F99:$AG99)</f>
        <v>0</v>
      </c>
    </row>
    <row r="100" customFormat="false" ht="15" hidden="false" customHeight="false" outlineLevel="0" collapsed="false">
      <c r="A100" s="107" t="s">
        <v>1940</v>
      </c>
      <c r="B100" s="22" t="s">
        <v>613</v>
      </c>
      <c r="C100" s="22"/>
      <c r="D100" s="22"/>
      <c r="F100" s="124" t="n">
        <f aca="false">(1-$I$25)*(1-$J$25)*$D$25*$E$25/4*MIN(1,MAX(0,(F$5-$H$25+1)/$T$25))*IF(F$5=$H$25,DelivFactor,IF(AND(F$5&gt;$H$25,F$5&lt;$H$25+$F$25),1,IF(F$5=$H$25+$F$25,1-DelivFactor,0)))</f>
        <v>0</v>
      </c>
      <c r="G100" s="124" t="n">
        <f aca="false">(1-$I$25)*(1-$J$25)*$D$25*$E$25/4*MIN(1,MAX(0,(G$5-$H$25+1)/$T$25))*IF(G$5=$H$25,DelivFactor,IF(AND(G$5&gt;$H$25,G$5&lt;$H$25+$F$25),1,IF(G$5=$H$25+$F$25,1-DelivFactor,0)))</f>
        <v>0</v>
      </c>
      <c r="H100" s="124" t="n">
        <f aca="false">(1-$I$25)*(1-$J$25)*$D$25*$E$25/4*MIN(1,MAX(0,(H$5-$H$25+1)/$T$25))*IF(H$5=$H$25,DelivFactor,IF(AND(H$5&gt;$H$25,H$5&lt;$H$25+$F$25),1,IF(H$5=$H$25+$F$25,1-DelivFactor,0)))</f>
        <v>0</v>
      </c>
      <c r="I100" s="124" t="n">
        <f aca="false">(1-$I$25)*(1-$J$25)*$D$25*$E$25/4*MIN(1,MAX(0,(I$5-$H$25+1)/$T$25))*IF(I$5=$H$25,DelivFactor,IF(AND(I$5&gt;$H$25,I$5&lt;$H$25+$F$25),1,IF(I$5=$H$25+$F$25,1-DelivFactor,0)))</f>
        <v>0</v>
      </c>
      <c r="J100" s="124" t="n">
        <f aca="false">(1-$I$25)*(1-$J$25)*$D$25*$E$25/4*MIN(1,MAX(0,(J$5-$H$25+1)/$T$25))*IF(J$5=$H$25,DelivFactor,IF(AND(J$5&gt;$H$25,J$5&lt;$H$25+$F$25),1,IF(J$5=$H$25+$F$25,1-DelivFactor,0)))</f>
        <v>0</v>
      </c>
      <c r="K100" s="124" t="n">
        <f aca="false">(1-$I$25)*(1-$J$25)*$D$25*$E$25/4*MIN(1,MAX(0,(K$5-$H$25+1)/$T$25))*IF(K$5=$H$25,DelivFactor,IF(AND(K$5&gt;$H$25,K$5&lt;$H$25+$F$25),1,IF(K$5=$H$25+$F$25,1-DelivFactor,0)))</f>
        <v>0</v>
      </c>
      <c r="L100" s="124" t="n">
        <f aca="false">(1-$I$25)*(1-$J$25)*$D$25*$E$25/4*MIN(1,MAX(0,(L$5-$H$25+1)/$T$25))*IF(L$5=$H$25,DelivFactor,IF(AND(L$5&gt;$H$25,L$5&lt;$H$25+$F$25),1,IF(L$5=$H$25+$F$25,1-DelivFactor,0)))</f>
        <v>0</v>
      </c>
      <c r="M100" s="124" t="n">
        <f aca="false">(1-$I$25)*(1-$J$25)*$D$25*$E$25/4*MIN(1,MAX(0,(M$5-$H$25+1)/$T$25))*IF(M$5=$H$25,DelivFactor,IF(AND(M$5&gt;$H$25,M$5&lt;$H$25+$F$25),1,IF(M$5=$H$25+$F$25,1-DelivFactor,0)))</f>
        <v>0</v>
      </c>
      <c r="N100" s="124" t="n">
        <f aca="false">(1-$I$25)*(1-$J$25)*$D$25*$E$25/4*MIN(1,MAX(0,(N$5-$H$25+1)/$T$25))*IF(N$5=$H$25,DelivFactor,IF(AND(N$5&gt;$H$25,N$5&lt;$H$25+$F$25),1,IF(N$5=$H$25+$F$25,1-DelivFactor,0)))</f>
        <v>0</v>
      </c>
      <c r="O100" s="124" t="n">
        <f aca="false">(1-$I$25)*(1-$J$25)*$D$25*$E$25/4*MIN(1,MAX(0,(O$5-$H$25+1)/$T$25))*IF(O$5=$H$25,DelivFactor,IF(AND(O$5&gt;$H$25,O$5&lt;$H$25+$F$25),1,IF(O$5=$H$25+$F$25,1-DelivFactor,0)))</f>
        <v>0</v>
      </c>
      <c r="P100" s="125" t="n">
        <f aca="false">(1-$I$25)*(1-$J$25)*$D$25*$E$25/4*MIN(1,MAX(0,(P$5-$H$25+1)/$T$25))*IF(P$5=$H$25,DelivFactor,IF(AND(P$5&gt;$H$25,P$5&lt;$H$25+$F$25),1,IF(P$5=$H$25+$F$25,1-DelivFactor,0)))</f>
        <v>0</v>
      </c>
      <c r="Q100" s="125" t="n">
        <f aca="false">(1-$I$25)*(1-$J$25)*$D$25*$E$25/4*MIN(1,MAX(0,(Q$5-$H$25+1)/$T$25))*IF(Q$5=$H$25,DelivFactor,IF(AND(Q$5&gt;$H$25,Q$5&lt;$H$25+$F$25),1,IF(Q$5=$H$25+$F$25,1-DelivFactor,0)))</f>
        <v>0</v>
      </c>
      <c r="R100" s="125" t="n">
        <f aca="false">(1-$I$25)*(1-$J$25)*$D$25*$E$25/4*MIN(1,MAX(0,(R$5-$H$25+1)/$T$25))*IF(R$5=$H$25,DelivFactor,IF(AND(R$5&gt;$H$25,R$5&lt;$H$25+$F$25),1,IF(R$5=$H$25+$F$25,1-DelivFactor,0)))</f>
        <v>0</v>
      </c>
      <c r="S100" s="125" t="n">
        <f aca="false">(1-$I$25)*(1-$J$25)*$D$25*$E$25/4*MIN(1,MAX(0,(S$5-$H$25+1)/$T$25))*IF(S$5=$H$25,DelivFactor,IF(AND(S$5&gt;$H$25,S$5&lt;$H$25+$F$25),1,IF(S$5=$H$25+$F$25,1-DelivFactor,0)))</f>
        <v>0</v>
      </c>
      <c r="T100" s="125" t="n">
        <f aca="false">(1-$I$25)*(1-$J$25)*$D$25*$E$25/4*MIN(1,MAX(0,(T$5-$H$25+1)/$T$25))*IF(T$5=$H$25,DelivFactor,IF(AND(T$5&gt;$H$25,T$5&lt;$H$25+$F$25),1,IF(T$5=$H$25+$F$25,1-DelivFactor,0)))</f>
        <v>150</v>
      </c>
      <c r="U100" s="125" t="n">
        <f aca="false">(1-$I$25)*(1-$J$25)*$D$25*$E$25/4*MIN(1,MAX(0,(U$5-$H$25+1)/$T$25))*IF(U$5=$H$25,DelivFactor,IF(AND(U$5&gt;$H$25,U$5&lt;$H$25+$F$25),1,IF(U$5=$H$25+$F$25,1-DelivFactor,0)))</f>
        <v>300</v>
      </c>
      <c r="V100" s="125" t="n">
        <f aca="false">(1-$I$25)*(1-$J$25)*$D$25*$E$25/4*MIN(1,MAX(0,(V$5-$H$25+1)/$T$25))*IF(V$5=$H$25,DelivFactor,IF(AND(V$5&gt;$H$25,V$5&lt;$H$25+$F$25),1,IF(V$5=$H$25+$F$25,1-DelivFactor,0)))</f>
        <v>300</v>
      </c>
      <c r="W100" s="125" t="n">
        <f aca="false">(1-$I$25)*(1-$J$25)*$D$25*$E$25/4*MIN(1,MAX(0,(W$5-$H$25+1)/$T$25))*IF(W$5=$H$25,DelivFactor,IF(AND(W$5&gt;$H$25,W$5&lt;$H$25+$F$25),1,IF(W$5=$H$25+$F$25,1-DelivFactor,0)))</f>
        <v>300</v>
      </c>
      <c r="X100" s="125" t="n">
        <f aca="false">(1-$I$25)*(1-$J$25)*$D$25*$E$25/4*MIN(1,MAX(0,(X$5-$H$25+1)/$T$25))*IF(X$5=$H$25,DelivFactor,IF(AND(X$5&gt;$H$25,X$5&lt;$H$25+$F$25),1,IF(X$5=$H$25+$F$25,1-DelivFactor,0)))</f>
        <v>300</v>
      </c>
      <c r="Y100" s="125" t="n">
        <f aca="false">(1-$I$25)*(1-$J$25)*$D$25*$E$25/4*MIN(1,MAX(0,(Y$5-$H$25+1)/$T$25))*IF(Y$5=$H$25,DelivFactor,IF(AND(Y$5&gt;$H$25,Y$5&lt;$H$25+$F$25),1,IF(Y$5=$H$25+$F$25,1-DelivFactor,0)))</f>
        <v>300</v>
      </c>
      <c r="Z100" s="125" t="n">
        <f aca="false">(1-$I$25)*(1-$J$25)*$D$25*$E$25/4*MIN(1,MAX(0,(Z$5-$H$25+1)/$T$25))*IF(Z$5=$H$25,DelivFactor,IF(AND(Z$5&gt;$H$25,Z$5&lt;$H$25+$F$25),1,IF(Z$5=$H$25+$F$25,1-DelivFactor,0)))</f>
        <v>300</v>
      </c>
      <c r="AA100" s="125" t="n">
        <f aca="false">(1-$I$25)*(1-$J$25)*$D$25*$E$25/4*MIN(1,MAX(0,(AA$5-$H$25+1)/$T$25))*IF(AA$5=$H$25,DelivFactor,IF(AND(AA$5&gt;$H$25,AA$5&lt;$H$25+$F$25),1,IF(AA$5=$H$25+$F$25,1-DelivFactor,0)))</f>
        <v>300</v>
      </c>
      <c r="AB100" s="125" t="n">
        <f aca="false">(1-$I$25)*(1-$J$25)*$D$25*$E$25/4*MIN(1,MAX(0,(AB$5-$H$25+1)/$T$25))*IF(AB$5=$H$25,DelivFactor,IF(AND(AB$5&gt;$H$25,AB$5&lt;$H$25+$F$25),1,IF(AB$5=$H$25+$F$25,1-DelivFactor,0)))</f>
        <v>300</v>
      </c>
      <c r="AC100" s="125" t="n">
        <f aca="false">(1-$I$25)*(1-$J$25)*$D$25*$E$25/4*MIN(1,MAX(0,(AC$5-$H$25+1)/$T$25))*IF(AC$5=$H$25,DelivFactor,IF(AND(AC$5&gt;$H$25,AC$5&lt;$H$25+$F$25),1,IF(AC$5=$H$25+$F$25,1-DelivFactor,0)))</f>
        <v>300</v>
      </c>
      <c r="AD100" s="125" t="n">
        <f aca="false">(1-$I$25)*(1-$J$25)*$D$25*$E$25/4*MIN(1,MAX(0,(AD$5-$H$25+1)/$T$25))*IF(AD$5=$H$25,DelivFactor,IF(AND(AD$5&gt;$H$25,AD$5&lt;$H$25+$F$25),1,IF(AD$5=$H$25+$F$25,1-DelivFactor,0)))</f>
        <v>300</v>
      </c>
      <c r="AE100" s="125" t="n">
        <f aca="false">(1-$I$25)*(1-$J$25)*$D$25*$E$25/4*MIN(1,MAX(0,(AE$5-$H$25+1)/$T$25))*IF(AE$5=$H$25,DelivFactor,IF(AND(AE$5&gt;$H$25,AE$5&lt;$H$25+$F$25),1,IF(AE$5=$H$25+$F$25,1-DelivFactor,0)))</f>
        <v>300</v>
      </c>
      <c r="AF100" s="125" t="n">
        <f aca="false">(1-$I$25)*(1-$J$25)*$D$25*$E$25/4*MIN(1,MAX(0,(AF$5-$H$25+1)/$T$25))*IF(AF$5=$H$25,DelivFactor,IF(AND(AF$5&gt;$H$25,AF$5&lt;$H$25+$F$25),1,IF(AF$5=$H$25+$F$25,1-DelivFactor,0)))</f>
        <v>300</v>
      </c>
      <c r="AG100" s="125" t="n">
        <f aca="false">(1-$I$25)*(1-$J$25)*$D$25*$E$25/4*MIN(1,MAX(0,(AG$5-$H$25+1)/$T$25))*IF(AG$5=$H$25,DelivFactor,IF(AND(AG$5&gt;$H$25,AG$5&lt;$H$25+$F$25),1,IF(AG$5=$H$25+$F$25,1-DelivFactor,0)))</f>
        <v>300</v>
      </c>
      <c r="AI100" s="125" t="n">
        <f aca="false">SUMIF($F$7:$AG$7,AI$7,$F100:$AG100)</f>
        <v>0</v>
      </c>
      <c r="AJ100" s="125" t="n">
        <f aca="false">SUMIF($F$7:$AG$7,AJ$7,$F100:$AG100)</f>
        <v>0</v>
      </c>
      <c r="AK100" s="125" t="n">
        <f aca="false">SUMIF($F$7:$AG$7,AK$7,$F100:$AG100)</f>
        <v>0</v>
      </c>
      <c r="AL100" s="125" t="n">
        <f aca="false">SUMIF($F$7:$AG$7,AL$7,$F100:$AG100)</f>
        <v>450</v>
      </c>
      <c r="AM100" s="125" t="n">
        <f aca="false">SUMIF($F$7:$AG$7,AM$7,$F100:$AG100)</f>
        <v>1200</v>
      </c>
      <c r="AN100" s="125" t="n">
        <f aca="false">SUMIF($F$7:$AG$7,AN$7,$F100:$AG100)</f>
        <v>1200</v>
      </c>
      <c r="AO100" s="125" t="n">
        <f aca="false">SUMIF($F$7:$AG$7,AO$7,$F100:$AG100)</f>
        <v>1200</v>
      </c>
    </row>
    <row r="101" customFormat="false" ht="15" hidden="false" customHeight="false" outlineLevel="0" collapsed="false">
      <c r="A101" s="107" t="s">
        <v>1941</v>
      </c>
      <c r="B101" s="22" t="s">
        <v>664</v>
      </c>
      <c r="C101" s="22"/>
      <c r="D101" s="22"/>
      <c r="F101" s="116" t="n">
        <f aca="false">(1-$I$25)*(1-$J$25)*$D$25*AND(F$5&gt;=$H$25,F$5&lt;$H$25+$F$25)</f>
        <v>0</v>
      </c>
      <c r="G101" s="116" t="n">
        <f aca="false">(1-$I$25)*(1-$J$25)*$D$25*AND(G$5&gt;=$H$25,G$5&lt;$H$25+$F$25)</f>
        <v>0</v>
      </c>
      <c r="H101" s="116" t="n">
        <f aca="false">(1-$I$25)*(1-$J$25)*$D$25*AND(H$5&gt;=$H$25,H$5&lt;$H$25+$F$25)</f>
        <v>0</v>
      </c>
      <c r="I101" s="116" t="n">
        <f aca="false">(1-$I$25)*(1-$J$25)*$D$25*AND(I$5&gt;=$H$25,I$5&lt;$H$25+$F$25)</f>
        <v>0</v>
      </c>
      <c r="J101" s="116" t="n">
        <f aca="false">(1-$I$25)*(1-$J$25)*$D$25*AND(J$5&gt;=$H$25,J$5&lt;$H$25+$F$25)</f>
        <v>0</v>
      </c>
      <c r="K101" s="116" t="n">
        <f aca="false">(1-$I$25)*(1-$J$25)*$D$25*AND(K$5&gt;=$H$25,K$5&lt;$H$25+$F$25)</f>
        <v>0</v>
      </c>
      <c r="L101" s="116" t="n">
        <f aca="false">(1-$I$25)*(1-$J$25)*$D$25*AND(L$5&gt;=$H$25,L$5&lt;$H$25+$F$25)</f>
        <v>0</v>
      </c>
      <c r="M101" s="116" t="n">
        <f aca="false">(1-$I$25)*(1-$J$25)*$D$25*AND(M$5&gt;=$H$25,M$5&lt;$H$25+$F$25)</f>
        <v>0</v>
      </c>
      <c r="N101" s="116" t="n">
        <f aca="false">(1-$I$25)*(1-$J$25)*$D$25*AND(N$5&gt;=$H$25,N$5&lt;$H$25+$F$25)</f>
        <v>0</v>
      </c>
      <c r="O101" s="116" t="n">
        <f aca="false">(1-$I$25)*(1-$J$25)*$D$25*AND(O$5&gt;=$H$25,O$5&lt;$H$25+$F$25)</f>
        <v>0</v>
      </c>
      <c r="P101" s="36" t="n">
        <f aca="false">(1-$I$25)*(1-$J$25)*$D$25*AND(P$5&gt;=$H$25,P$5&lt;$H$25+$F$25)</f>
        <v>0</v>
      </c>
      <c r="Q101" s="36" t="n">
        <f aca="false">(1-$I$25)*(1-$J$25)*$D$25*AND(Q$5&gt;=$H$25,Q$5&lt;$H$25+$F$25)</f>
        <v>0</v>
      </c>
      <c r="R101" s="36" t="n">
        <f aca="false">(1-$I$25)*(1-$J$25)*$D$25*AND(R$5&gt;=$H$25,R$5&lt;$H$25+$F$25)</f>
        <v>0</v>
      </c>
      <c r="S101" s="36" t="n">
        <f aca="false">(1-$I$25)*(1-$J$25)*$D$25*AND(S$5&gt;=$H$25,S$5&lt;$H$25+$F$25)</f>
        <v>0</v>
      </c>
      <c r="T101" s="36" t="n">
        <f aca="false">(1-$I$25)*(1-$J$25)*$D$25*AND(T$5&gt;=$H$25,T$5&lt;$H$25+$F$25)</f>
        <v>53.3333333333333</v>
      </c>
      <c r="U101" s="36" t="n">
        <f aca="false">(1-$I$25)*(1-$J$25)*$D$25*AND(U$5&gt;=$H$25,U$5&lt;$H$25+$F$25)</f>
        <v>53.3333333333333</v>
      </c>
      <c r="V101" s="36" t="n">
        <f aca="false">(1-$I$25)*(1-$J$25)*$D$25*AND(V$5&gt;=$H$25,V$5&lt;$H$25+$F$25)</f>
        <v>53.3333333333333</v>
      </c>
      <c r="W101" s="36" t="n">
        <f aca="false">(1-$I$25)*(1-$J$25)*$D$25*AND(W$5&gt;=$H$25,W$5&lt;$H$25+$F$25)</f>
        <v>53.3333333333333</v>
      </c>
      <c r="X101" s="36" t="n">
        <f aca="false">(1-$I$25)*(1-$J$25)*$D$25*AND(X$5&gt;=$H$25,X$5&lt;$H$25+$F$25)</f>
        <v>53.3333333333333</v>
      </c>
      <c r="Y101" s="36" t="n">
        <f aca="false">(1-$I$25)*(1-$J$25)*$D$25*AND(Y$5&gt;=$H$25,Y$5&lt;$H$25+$F$25)</f>
        <v>53.3333333333333</v>
      </c>
      <c r="Z101" s="36" t="n">
        <f aca="false">(1-$I$25)*(1-$J$25)*$D$25*AND(Z$5&gt;=$H$25,Z$5&lt;$H$25+$F$25)</f>
        <v>53.3333333333333</v>
      </c>
      <c r="AA101" s="36" t="n">
        <f aca="false">(1-$I$25)*(1-$J$25)*$D$25*AND(AA$5&gt;=$H$25,AA$5&lt;$H$25+$F$25)</f>
        <v>53.3333333333333</v>
      </c>
      <c r="AB101" s="36" t="n">
        <f aca="false">(1-$I$25)*(1-$J$25)*$D$25*AND(AB$5&gt;=$H$25,AB$5&lt;$H$25+$F$25)</f>
        <v>53.3333333333333</v>
      </c>
      <c r="AC101" s="36" t="n">
        <f aca="false">(1-$I$25)*(1-$J$25)*$D$25*AND(AC$5&gt;=$H$25,AC$5&lt;$H$25+$F$25)</f>
        <v>53.3333333333333</v>
      </c>
      <c r="AD101" s="36" t="n">
        <f aca="false">(1-$I$25)*(1-$J$25)*$D$25*AND(AD$5&gt;=$H$25,AD$5&lt;$H$25+$F$25)</f>
        <v>53.3333333333333</v>
      </c>
      <c r="AE101" s="36" t="n">
        <f aca="false">(1-$I$25)*(1-$J$25)*$D$25*AND(AE$5&gt;=$H$25,AE$5&lt;$H$25+$F$25)</f>
        <v>53.3333333333333</v>
      </c>
      <c r="AF101" s="36" t="n">
        <f aca="false">(1-$I$25)*(1-$J$25)*$D$25*AND(AF$5&gt;=$H$25,AF$5&lt;$H$25+$F$25)</f>
        <v>53.3333333333333</v>
      </c>
      <c r="AG101" s="36" t="n">
        <f aca="false">(1-$I$25)*(1-$J$25)*$D$25*AND(AG$5&gt;=$H$25,AG$5&lt;$H$25+$F$25)</f>
        <v>53.3333333333333</v>
      </c>
      <c r="AI101" s="36" t="n">
        <f aca="false">INDEX($F101:$AG101,1,MATCH(AI$7,$F$7:$AG$7,1))</f>
        <v>0</v>
      </c>
      <c r="AJ101" s="36" t="n">
        <f aca="false">INDEX($F101:$AG101,1,MATCH(AJ$7,$F$7:$AG$7,1))</f>
        <v>0</v>
      </c>
      <c r="AK101" s="36" t="n">
        <f aca="false">INDEX($F101:$AG101,1,MATCH(AK$7,$F$7:$AG$7,1))</f>
        <v>0</v>
      </c>
      <c r="AL101" s="36" t="n">
        <f aca="false">INDEX($F101:$AG101,1,MATCH(AL$7,$F$7:$AG$7,1))</f>
        <v>53.3333333333333</v>
      </c>
      <c r="AM101" s="36" t="n">
        <f aca="false">INDEX($F101:$AG101,1,MATCH(AM$7,$F$7:$AG$7,1))</f>
        <v>53.3333333333333</v>
      </c>
      <c r="AN101" s="36" t="n">
        <f aca="false">INDEX($F101:$AG101,1,MATCH(AN$7,$F$7:$AG$7,1))</f>
        <v>53.3333333333333</v>
      </c>
      <c r="AO101" s="36" t="n">
        <f aca="false">INDEX($F101:$AG101,1,MATCH(AO$7,$F$7:$AG$7,1))</f>
        <v>53.3333333333333</v>
      </c>
    </row>
    <row r="102" customFormat="false" ht="15" hidden="false" customHeight="false" outlineLevel="0" collapsed="false">
      <c r="A102" s="107" t="s">
        <v>1942</v>
      </c>
      <c r="B102" s="22" t="s">
        <v>613</v>
      </c>
      <c r="C102" s="22"/>
      <c r="D102" s="22"/>
      <c r="F102" s="124" t="n">
        <f aca="false">-(1-$I$25)*LD_Pct*$D$25*$E$25/4*AND(F$5&gt;=$G$25,F$5&lt;$H$25)</f>
        <v>-0</v>
      </c>
      <c r="G102" s="124" t="n">
        <f aca="false">-(1-$I$25)*LD_Pct*$D$25*$E$25/4*AND(G$5&gt;=$G$25,G$5&lt;$H$25)</f>
        <v>-0</v>
      </c>
      <c r="H102" s="124" t="n">
        <f aca="false">-(1-$I$25)*LD_Pct*$D$25*$E$25/4*AND(H$5&gt;=$G$25,H$5&lt;$H$25)</f>
        <v>-0</v>
      </c>
      <c r="I102" s="124" t="n">
        <f aca="false">-(1-$I$25)*LD_Pct*$D$25*$E$25/4*AND(I$5&gt;=$G$25,I$5&lt;$H$25)</f>
        <v>-0</v>
      </c>
      <c r="J102" s="124" t="n">
        <f aca="false">-(1-$I$25)*LD_Pct*$D$25*$E$25/4*AND(J$5&gt;=$G$25,J$5&lt;$H$25)</f>
        <v>-0</v>
      </c>
      <c r="K102" s="124" t="n">
        <f aca="false">-(1-$I$25)*LD_Pct*$D$25*$E$25/4*AND(K$5&gt;=$G$25,K$5&lt;$H$25)</f>
        <v>-0</v>
      </c>
      <c r="L102" s="124" t="n">
        <f aca="false">-(1-$I$25)*LD_Pct*$D$25*$E$25/4*AND(L$5&gt;=$G$25,L$5&lt;$H$25)</f>
        <v>-0</v>
      </c>
      <c r="M102" s="124" t="n">
        <f aca="false">-(1-$I$25)*LD_Pct*$D$25*$E$25/4*AND(M$5&gt;=$G$25,M$5&lt;$H$25)</f>
        <v>-0</v>
      </c>
      <c r="N102" s="124" t="n">
        <f aca="false">-(1-$I$25)*LD_Pct*$D$25*$E$25/4*AND(N$5&gt;=$G$25,N$5&lt;$H$25)</f>
        <v>-0</v>
      </c>
      <c r="O102" s="124" t="n">
        <f aca="false">-(1-$I$25)*LD_Pct*$D$25*$E$25/4*AND(O$5&gt;=$G$25,O$5&lt;$H$25)</f>
        <v>-0</v>
      </c>
      <c r="P102" s="125" t="n">
        <f aca="false">-(1-$I$25)*LD_Pct*$D$25*$E$25/4*AND(P$5&gt;=$G$25,P$5&lt;$H$25)</f>
        <v>-0</v>
      </c>
      <c r="Q102" s="125" t="n">
        <f aca="false">-(1-$I$25)*LD_Pct*$D$25*$E$25/4*AND(Q$5&gt;=$G$25,Q$5&lt;$H$25)</f>
        <v>-0</v>
      </c>
      <c r="R102" s="125" t="n">
        <f aca="false">-(1-$I$25)*LD_Pct*$D$25*$E$25/4*AND(R$5&gt;=$G$25,R$5&lt;$H$25)</f>
        <v>-0</v>
      </c>
      <c r="S102" s="125" t="n">
        <f aca="false">-(1-$I$25)*LD_Pct*$D$25*$E$25/4*AND(S$5&gt;=$G$25,S$5&lt;$H$25)</f>
        <v>-0</v>
      </c>
      <c r="T102" s="125" t="n">
        <f aca="false">-(1-$I$25)*LD_Pct*$D$25*$E$25/4*AND(T$5&gt;=$G$25,T$5&lt;$H$25)</f>
        <v>-0</v>
      </c>
      <c r="U102" s="125" t="n">
        <f aca="false">-(1-$I$25)*LD_Pct*$D$25*$E$25/4*AND(U$5&gt;=$G$25,U$5&lt;$H$25)</f>
        <v>-0</v>
      </c>
      <c r="V102" s="125" t="n">
        <f aca="false">-(1-$I$25)*LD_Pct*$D$25*$E$25/4*AND(V$5&gt;=$G$25,V$5&lt;$H$25)</f>
        <v>-0</v>
      </c>
      <c r="W102" s="125" t="n">
        <f aca="false">-(1-$I$25)*LD_Pct*$D$25*$E$25/4*AND(W$5&gt;=$G$25,W$5&lt;$H$25)</f>
        <v>-0</v>
      </c>
      <c r="X102" s="125" t="n">
        <f aca="false">-(1-$I$25)*LD_Pct*$D$25*$E$25/4*AND(X$5&gt;=$G$25,X$5&lt;$H$25)</f>
        <v>-0</v>
      </c>
      <c r="Y102" s="125" t="n">
        <f aca="false">-(1-$I$25)*LD_Pct*$D$25*$E$25/4*AND(Y$5&gt;=$G$25,Y$5&lt;$H$25)</f>
        <v>-0</v>
      </c>
      <c r="Z102" s="125" t="n">
        <f aca="false">-(1-$I$25)*LD_Pct*$D$25*$E$25/4*AND(Z$5&gt;=$G$25,Z$5&lt;$H$25)</f>
        <v>-0</v>
      </c>
      <c r="AA102" s="125" t="n">
        <f aca="false">-(1-$I$25)*LD_Pct*$D$25*$E$25/4*AND(AA$5&gt;=$G$25,AA$5&lt;$H$25)</f>
        <v>-0</v>
      </c>
      <c r="AB102" s="125" t="n">
        <f aca="false">-(1-$I$25)*LD_Pct*$D$25*$E$25/4*AND(AB$5&gt;=$G$25,AB$5&lt;$H$25)</f>
        <v>-0</v>
      </c>
      <c r="AC102" s="125" t="n">
        <f aca="false">-(1-$I$25)*LD_Pct*$D$25*$E$25/4*AND(AC$5&gt;=$G$25,AC$5&lt;$H$25)</f>
        <v>-0</v>
      </c>
      <c r="AD102" s="125" t="n">
        <f aca="false">-(1-$I$25)*LD_Pct*$D$25*$E$25/4*AND(AD$5&gt;=$G$25,AD$5&lt;$H$25)</f>
        <v>-0</v>
      </c>
      <c r="AE102" s="125" t="n">
        <f aca="false">-(1-$I$25)*LD_Pct*$D$25*$E$25/4*AND(AE$5&gt;=$G$25,AE$5&lt;$H$25)</f>
        <v>-0</v>
      </c>
      <c r="AF102" s="125" t="n">
        <f aca="false">-(1-$I$25)*LD_Pct*$D$25*$E$25/4*AND(AF$5&gt;=$G$25,AF$5&lt;$H$25)</f>
        <v>-0</v>
      </c>
      <c r="AG102" s="125" t="n">
        <f aca="false">-(1-$I$25)*LD_Pct*$D$25*$E$25/4*AND(AG$5&gt;=$G$25,AG$5&lt;$H$25)</f>
        <v>-0</v>
      </c>
      <c r="AI102" s="125" t="n">
        <f aca="false">SUMIF($F$7:$AG$7,AI$7,$F102:$AG102)</f>
        <v>0</v>
      </c>
      <c r="AJ102" s="125" t="n">
        <f aca="false">SUMIF($F$7:$AG$7,AJ$7,$F102:$AG102)</f>
        <v>0</v>
      </c>
      <c r="AK102" s="125" t="n">
        <f aca="false">SUMIF($F$7:$AG$7,AK$7,$F102:$AG102)</f>
        <v>0</v>
      </c>
      <c r="AL102" s="125" t="n">
        <f aca="false">SUMIF($F$7:$AG$7,AL$7,$F102:$AG102)</f>
        <v>0</v>
      </c>
      <c r="AM102" s="125" t="n">
        <f aca="false">SUMIF($F$7:$AG$7,AM$7,$F102:$AG102)</f>
        <v>0</v>
      </c>
      <c r="AN102" s="125" t="n">
        <f aca="false">SUMIF($F$7:$AG$7,AN$7,$F102:$AG102)</f>
        <v>0</v>
      </c>
      <c r="AO102" s="125" t="n">
        <f aca="false">SUMIF($F$7:$AG$7,AO$7,$F102:$AG102)</f>
        <v>0</v>
      </c>
    </row>
    <row r="103" customFormat="false" ht="15" hidden="false" customHeight="false" outlineLevel="0" collapsed="false">
      <c r="A103" s="107" t="s">
        <v>1943</v>
      </c>
      <c r="B103" s="22" t="s">
        <v>664</v>
      </c>
      <c r="C103" s="22"/>
      <c r="D103" s="22"/>
      <c r="F103" s="116" t="n">
        <f aca="false">(1-$I$25)*(1-$J$25)*$D$25*(F$5&gt;=$H$25+$F$25)</f>
        <v>0</v>
      </c>
      <c r="G103" s="116" t="n">
        <f aca="false">(1-$I$25)*(1-$J$25)*$D$25*(G$5&gt;=$H$25+$F$25)</f>
        <v>0</v>
      </c>
      <c r="H103" s="116" t="n">
        <f aca="false">(1-$I$25)*(1-$J$25)*$D$25*(H$5&gt;=$H$25+$F$25)</f>
        <v>0</v>
      </c>
      <c r="I103" s="116" t="n">
        <f aca="false">(1-$I$25)*(1-$J$25)*$D$25*(I$5&gt;=$H$25+$F$25)</f>
        <v>0</v>
      </c>
      <c r="J103" s="116" t="n">
        <f aca="false">(1-$I$25)*(1-$J$25)*$D$25*(J$5&gt;=$H$25+$F$25)</f>
        <v>0</v>
      </c>
      <c r="K103" s="116" t="n">
        <f aca="false">(1-$I$25)*(1-$J$25)*$D$25*(K$5&gt;=$H$25+$F$25)</f>
        <v>0</v>
      </c>
      <c r="L103" s="116" t="n">
        <f aca="false">(1-$I$25)*(1-$J$25)*$D$25*(L$5&gt;=$H$25+$F$25)</f>
        <v>0</v>
      </c>
      <c r="M103" s="116" t="n">
        <f aca="false">(1-$I$25)*(1-$J$25)*$D$25*(M$5&gt;=$H$25+$F$25)</f>
        <v>0</v>
      </c>
      <c r="N103" s="116" t="n">
        <f aca="false">(1-$I$25)*(1-$J$25)*$D$25*(N$5&gt;=$H$25+$F$25)</f>
        <v>0</v>
      </c>
      <c r="O103" s="116" t="n">
        <f aca="false">(1-$I$25)*(1-$J$25)*$D$25*(O$5&gt;=$H$25+$F$25)</f>
        <v>0</v>
      </c>
      <c r="P103" s="36" t="n">
        <f aca="false">(1-$I$25)*(1-$J$25)*$D$25*(P$5&gt;=$H$25+$F$25)</f>
        <v>0</v>
      </c>
      <c r="Q103" s="36" t="n">
        <f aca="false">(1-$I$25)*(1-$J$25)*$D$25*(Q$5&gt;=$H$25+$F$25)</f>
        <v>0</v>
      </c>
      <c r="R103" s="36" t="n">
        <f aca="false">(1-$I$25)*(1-$J$25)*$D$25*(R$5&gt;=$H$25+$F$25)</f>
        <v>0</v>
      </c>
      <c r="S103" s="36" t="n">
        <f aca="false">(1-$I$25)*(1-$J$25)*$D$25*(S$5&gt;=$H$25+$F$25)</f>
        <v>0</v>
      </c>
      <c r="T103" s="36" t="n">
        <f aca="false">(1-$I$25)*(1-$J$25)*$D$25*(T$5&gt;=$H$25+$F$25)</f>
        <v>0</v>
      </c>
      <c r="U103" s="36" t="n">
        <f aca="false">(1-$I$25)*(1-$J$25)*$D$25*(U$5&gt;=$H$25+$F$25)</f>
        <v>0</v>
      </c>
      <c r="V103" s="36" t="n">
        <f aca="false">(1-$I$25)*(1-$J$25)*$D$25*(V$5&gt;=$H$25+$F$25)</f>
        <v>0</v>
      </c>
      <c r="W103" s="36" t="n">
        <f aca="false">(1-$I$25)*(1-$J$25)*$D$25*(W$5&gt;=$H$25+$F$25)</f>
        <v>0</v>
      </c>
      <c r="X103" s="36" t="n">
        <f aca="false">(1-$I$25)*(1-$J$25)*$D$25*(X$5&gt;=$H$25+$F$25)</f>
        <v>0</v>
      </c>
      <c r="Y103" s="36" t="n">
        <f aca="false">(1-$I$25)*(1-$J$25)*$D$25*(Y$5&gt;=$H$25+$F$25)</f>
        <v>0</v>
      </c>
      <c r="Z103" s="36" t="n">
        <f aca="false">(1-$I$25)*(1-$J$25)*$D$25*(Z$5&gt;=$H$25+$F$25)</f>
        <v>0</v>
      </c>
      <c r="AA103" s="36" t="n">
        <f aca="false">(1-$I$25)*(1-$J$25)*$D$25*(AA$5&gt;=$H$25+$F$25)</f>
        <v>0</v>
      </c>
      <c r="AB103" s="36" t="n">
        <f aca="false">(1-$I$25)*(1-$J$25)*$D$25*(AB$5&gt;=$H$25+$F$25)</f>
        <v>0</v>
      </c>
      <c r="AC103" s="36" t="n">
        <f aca="false">(1-$I$25)*(1-$J$25)*$D$25*(AC$5&gt;=$H$25+$F$25)</f>
        <v>0</v>
      </c>
      <c r="AD103" s="36" t="n">
        <f aca="false">(1-$I$25)*(1-$J$25)*$D$25*(AD$5&gt;=$H$25+$F$25)</f>
        <v>0</v>
      </c>
      <c r="AE103" s="36" t="n">
        <f aca="false">(1-$I$25)*(1-$J$25)*$D$25*(AE$5&gt;=$H$25+$F$25)</f>
        <v>0</v>
      </c>
      <c r="AF103" s="36" t="n">
        <f aca="false">(1-$I$25)*(1-$J$25)*$D$25*(AF$5&gt;=$H$25+$F$25)</f>
        <v>0</v>
      </c>
      <c r="AG103" s="36" t="n">
        <f aca="false">(1-$I$25)*(1-$J$25)*$D$25*(AG$5&gt;=$H$25+$F$25)</f>
        <v>0</v>
      </c>
      <c r="AI103" s="36" t="n">
        <f aca="false">INDEX($F103:$AG103,1,MATCH(AI$7,$F$7:$AG$7,1))</f>
        <v>0</v>
      </c>
      <c r="AJ103" s="36" t="n">
        <f aca="false">INDEX($F103:$AG103,1,MATCH(AJ$7,$F$7:$AG$7,1))</f>
        <v>0</v>
      </c>
      <c r="AK103" s="36" t="n">
        <f aca="false">INDEX($F103:$AG103,1,MATCH(AK$7,$F$7:$AG$7,1))</f>
        <v>0</v>
      </c>
      <c r="AL103" s="36" t="n">
        <f aca="false">INDEX($F103:$AG103,1,MATCH(AL$7,$F$7:$AG$7,1))</f>
        <v>0</v>
      </c>
      <c r="AM103" s="36" t="n">
        <f aca="false">INDEX($F103:$AG103,1,MATCH(AM$7,$F$7:$AG$7,1))</f>
        <v>0</v>
      </c>
      <c r="AN103" s="36" t="n">
        <f aca="false">INDEX($F103:$AG103,1,MATCH(AN$7,$F$7:$AG$7,1))</f>
        <v>0</v>
      </c>
      <c r="AO103" s="36" t="n">
        <f aca="false">INDEX($F103:$AG103,1,MATCH(AO$7,$F$7:$AG$7,1))</f>
        <v>0</v>
      </c>
    </row>
    <row r="104" customFormat="false" ht="15" hidden="false" customHeight="false" outlineLevel="0" collapsed="false">
      <c r="A104" s="107" t="s">
        <v>1944</v>
      </c>
      <c r="B104" s="22" t="s">
        <v>613</v>
      </c>
      <c r="C104" s="22"/>
      <c r="D104" s="22" t="s">
        <v>1879</v>
      </c>
      <c r="F104" s="124" t="n">
        <f aca="false">F103*CHOOSE(MATCH($C$25,{"H";"B";"N"},0),GPUMW_H*ODc_H,GPUMW_B*ODc_B,GPUMW_N*ODc_N)*ResidUtil*Timeline!F$9*INDEX(Curve,1,MAX(1,MIN(8,INT((F$5-$H$25)/4)+1)))/1000000</f>
        <v>0</v>
      </c>
      <c r="G104" s="124" t="n">
        <f aca="false">G103*CHOOSE(MATCH($C$25,{"H";"B";"N"},0),GPUMW_H*ODc_H,GPUMW_B*ODc_B,GPUMW_N*ODc_N)*ResidUtil*Timeline!G$9*INDEX(Curve,1,MAX(1,MIN(8,INT((G$5-$H$25)/4)+1)))/1000000</f>
        <v>0</v>
      </c>
      <c r="H104" s="124" t="n">
        <f aca="false">H103*CHOOSE(MATCH($C$25,{"H";"B";"N"},0),GPUMW_H*ODc_H,GPUMW_B*ODc_B,GPUMW_N*ODc_N)*ResidUtil*Timeline!H$9*INDEX(Curve,1,MAX(1,MIN(8,INT((H$5-$H$25)/4)+1)))/1000000</f>
        <v>0</v>
      </c>
      <c r="I104" s="124" t="n">
        <f aca="false">I103*CHOOSE(MATCH($C$25,{"H";"B";"N"},0),GPUMW_H*ODc_H,GPUMW_B*ODc_B,GPUMW_N*ODc_N)*ResidUtil*Timeline!I$9*INDEX(Curve,1,MAX(1,MIN(8,INT((I$5-$H$25)/4)+1)))/1000000</f>
        <v>0</v>
      </c>
      <c r="J104" s="124" t="n">
        <f aca="false">J103*CHOOSE(MATCH($C$25,{"H";"B";"N"},0),GPUMW_H*ODc_H,GPUMW_B*ODc_B,GPUMW_N*ODc_N)*ResidUtil*Timeline!J$9*INDEX(Curve,1,MAX(1,MIN(8,INT((J$5-$H$25)/4)+1)))/1000000</f>
        <v>0</v>
      </c>
      <c r="K104" s="124" t="n">
        <f aca="false">K103*CHOOSE(MATCH($C$25,{"H";"B";"N"},0),GPUMW_H*ODc_H,GPUMW_B*ODc_B,GPUMW_N*ODc_N)*ResidUtil*Timeline!K$9*INDEX(Curve,1,MAX(1,MIN(8,INT((K$5-$H$25)/4)+1)))/1000000</f>
        <v>0</v>
      </c>
      <c r="L104" s="124" t="n">
        <f aca="false">L103*CHOOSE(MATCH($C$25,{"H";"B";"N"},0),GPUMW_H*ODc_H,GPUMW_B*ODc_B,GPUMW_N*ODc_N)*ResidUtil*Timeline!L$9*INDEX(Curve,1,MAX(1,MIN(8,INT((L$5-$H$25)/4)+1)))/1000000</f>
        <v>0</v>
      </c>
      <c r="M104" s="124" t="n">
        <f aca="false">M103*CHOOSE(MATCH($C$25,{"H";"B";"N"},0),GPUMW_H*ODc_H,GPUMW_B*ODc_B,GPUMW_N*ODc_N)*ResidUtil*Timeline!M$9*INDEX(Curve,1,MAX(1,MIN(8,INT((M$5-$H$25)/4)+1)))/1000000</f>
        <v>0</v>
      </c>
      <c r="N104" s="124" t="n">
        <f aca="false">N103*CHOOSE(MATCH($C$25,{"H";"B";"N"},0),GPUMW_H*ODc_H,GPUMW_B*ODc_B,GPUMW_N*ODc_N)*ResidUtil*Timeline!N$9*INDEX(Curve,1,MAX(1,MIN(8,INT((N$5-$H$25)/4)+1)))/1000000</f>
        <v>0</v>
      </c>
      <c r="O104" s="124" t="n">
        <f aca="false">O103*CHOOSE(MATCH($C$25,{"H";"B";"N"},0),GPUMW_H*ODc_H,GPUMW_B*ODc_B,GPUMW_N*ODc_N)*ResidUtil*Timeline!O$9*INDEX(Curve,1,MAX(1,MIN(8,INT((O$5-$H$25)/4)+1)))/1000000</f>
        <v>0</v>
      </c>
      <c r="P104" s="125" t="n">
        <f aca="false">P103*CHOOSE(MATCH($C$25,{"H";"B";"N"},0),GPUMW_H*ODc_H,GPUMW_B*ODc_B,GPUMW_N*ODc_N)*ResidUtil*Timeline!P$9*INDEX(Curve,1,MAX(1,MIN(8,INT((P$5-$H$25)/4)+1)))/1000000</f>
        <v>0</v>
      </c>
      <c r="Q104" s="125" t="n">
        <f aca="false">Q103*CHOOSE(MATCH($C$25,{"H";"B";"N"},0),GPUMW_H*ODc_H,GPUMW_B*ODc_B,GPUMW_N*ODc_N)*ResidUtil*Timeline!Q$9*INDEX(Curve,1,MAX(1,MIN(8,INT((Q$5-$H$25)/4)+1)))/1000000</f>
        <v>0</v>
      </c>
      <c r="R104" s="125" t="n">
        <f aca="false">R103*CHOOSE(MATCH($C$25,{"H";"B";"N"},0),GPUMW_H*ODc_H,GPUMW_B*ODc_B,GPUMW_N*ODc_N)*ResidUtil*Timeline!R$9*INDEX(Curve,1,MAX(1,MIN(8,INT((R$5-$H$25)/4)+1)))/1000000</f>
        <v>0</v>
      </c>
      <c r="S104" s="125" t="n">
        <f aca="false">S103*CHOOSE(MATCH($C$25,{"H";"B";"N"},0),GPUMW_H*ODc_H,GPUMW_B*ODc_B,GPUMW_N*ODc_N)*ResidUtil*Timeline!S$9*INDEX(Curve,1,MAX(1,MIN(8,INT((S$5-$H$25)/4)+1)))/1000000</f>
        <v>0</v>
      </c>
      <c r="T104" s="125" t="n">
        <f aca="false">T103*CHOOSE(MATCH($C$25,{"H";"B";"N"},0),GPUMW_H*ODc_H,GPUMW_B*ODc_B,GPUMW_N*ODc_N)*ResidUtil*Timeline!T$9*INDEX(Curve,1,MAX(1,MIN(8,INT((T$5-$H$25)/4)+1)))/1000000</f>
        <v>0</v>
      </c>
      <c r="U104" s="125" t="n">
        <f aca="false">U103*CHOOSE(MATCH($C$25,{"H";"B";"N"},0),GPUMW_H*ODc_H,GPUMW_B*ODc_B,GPUMW_N*ODc_N)*ResidUtil*Timeline!U$9*INDEX(Curve,1,MAX(1,MIN(8,INT((U$5-$H$25)/4)+1)))/1000000</f>
        <v>0</v>
      </c>
      <c r="V104" s="125" t="n">
        <f aca="false">V103*CHOOSE(MATCH($C$25,{"H";"B";"N"},0),GPUMW_H*ODc_H,GPUMW_B*ODc_B,GPUMW_N*ODc_N)*ResidUtil*Timeline!V$9*INDEX(Curve,1,MAX(1,MIN(8,INT((V$5-$H$25)/4)+1)))/1000000</f>
        <v>0</v>
      </c>
      <c r="W104" s="125" t="n">
        <f aca="false">W103*CHOOSE(MATCH($C$25,{"H";"B";"N"},0),GPUMW_H*ODc_H,GPUMW_B*ODc_B,GPUMW_N*ODc_N)*ResidUtil*Timeline!W$9*INDEX(Curve,1,MAX(1,MIN(8,INT((W$5-$H$25)/4)+1)))/1000000</f>
        <v>0</v>
      </c>
      <c r="X104" s="125" t="n">
        <f aca="false">X103*CHOOSE(MATCH($C$25,{"H";"B";"N"},0),GPUMW_H*ODc_H,GPUMW_B*ODc_B,GPUMW_N*ODc_N)*ResidUtil*Timeline!X$9*INDEX(Curve,1,MAX(1,MIN(8,INT((X$5-$H$25)/4)+1)))/1000000</f>
        <v>0</v>
      </c>
      <c r="Y104" s="125" t="n">
        <f aca="false">Y103*CHOOSE(MATCH($C$25,{"H";"B";"N"},0),GPUMW_H*ODc_H,GPUMW_B*ODc_B,GPUMW_N*ODc_N)*ResidUtil*Timeline!Y$9*INDEX(Curve,1,MAX(1,MIN(8,INT((Y$5-$H$25)/4)+1)))/1000000</f>
        <v>0</v>
      </c>
      <c r="Z104" s="125" t="n">
        <f aca="false">Z103*CHOOSE(MATCH($C$25,{"H";"B";"N"},0),GPUMW_H*ODc_H,GPUMW_B*ODc_B,GPUMW_N*ODc_N)*ResidUtil*Timeline!Z$9*INDEX(Curve,1,MAX(1,MIN(8,INT((Z$5-$H$25)/4)+1)))/1000000</f>
        <v>0</v>
      </c>
      <c r="AA104" s="125" t="n">
        <f aca="false">AA103*CHOOSE(MATCH($C$25,{"H";"B";"N"},0),GPUMW_H*ODc_H,GPUMW_B*ODc_B,GPUMW_N*ODc_N)*ResidUtil*Timeline!AA$9*INDEX(Curve,1,MAX(1,MIN(8,INT((AA$5-$H$25)/4)+1)))/1000000</f>
        <v>0</v>
      </c>
      <c r="AB104" s="125" t="n">
        <f aca="false">AB103*CHOOSE(MATCH($C$25,{"H";"B";"N"},0),GPUMW_H*ODc_H,GPUMW_B*ODc_B,GPUMW_N*ODc_N)*ResidUtil*Timeline!AB$9*INDEX(Curve,1,MAX(1,MIN(8,INT((AB$5-$H$25)/4)+1)))/1000000</f>
        <v>0</v>
      </c>
      <c r="AC104" s="125" t="n">
        <f aca="false">AC103*CHOOSE(MATCH($C$25,{"H";"B";"N"},0),GPUMW_H*ODc_H,GPUMW_B*ODc_B,GPUMW_N*ODc_N)*ResidUtil*Timeline!AC$9*INDEX(Curve,1,MAX(1,MIN(8,INT((AC$5-$H$25)/4)+1)))/1000000</f>
        <v>0</v>
      </c>
      <c r="AD104" s="125" t="n">
        <f aca="false">AD103*CHOOSE(MATCH($C$25,{"H";"B";"N"},0),GPUMW_H*ODc_H,GPUMW_B*ODc_B,GPUMW_N*ODc_N)*ResidUtil*Timeline!AD$9*INDEX(Curve,1,MAX(1,MIN(8,INT((AD$5-$H$25)/4)+1)))/1000000</f>
        <v>0</v>
      </c>
      <c r="AE104" s="125" t="n">
        <f aca="false">AE103*CHOOSE(MATCH($C$25,{"H";"B";"N"},0),GPUMW_H*ODc_H,GPUMW_B*ODc_B,GPUMW_N*ODc_N)*ResidUtil*Timeline!AE$9*INDEX(Curve,1,MAX(1,MIN(8,INT((AE$5-$H$25)/4)+1)))/1000000</f>
        <v>0</v>
      </c>
      <c r="AF104" s="125" t="n">
        <f aca="false">AF103*CHOOSE(MATCH($C$25,{"H";"B";"N"},0),GPUMW_H*ODc_H,GPUMW_B*ODc_B,GPUMW_N*ODc_N)*ResidUtil*Timeline!AF$9*INDEX(Curve,1,MAX(1,MIN(8,INT((AF$5-$H$25)/4)+1)))/1000000</f>
        <v>0</v>
      </c>
      <c r="AG104" s="125" t="n">
        <f aca="false">AG103*CHOOSE(MATCH($C$25,{"H";"B";"N"},0),GPUMW_H*ODc_H,GPUMW_B*ODc_B,GPUMW_N*ODc_N)*ResidUtil*Timeline!AG$9*INDEX(Curve,1,MAX(1,MIN(8,INT((AG$5-$H$25)/4)+1)))/1000000</f>
        <v>0</v>
      </c>
      <c r="AI104" s="125" t="n">
        <f aca="false">SUMIF($F$7:$AG$7,AI$7,$F104:$AG104)</f>
        <v>0</v>
      </c>
      <c r="AJ104" s="125" t="n">
        <f aca="false">SUMIF($F$7:$AG$7,AJ$7,$F104:$AG104)</f>
        <v>0</v>
      </c>
      <c r="AK104" s="125" t="n">
        <f aca="false">SUMIF($F$7:$AG$7,AK$7,$F104:$AG104)</f>
        <v>0</v>
      </c>
      <c r="AL104" s="125" t="n">
        <f aca="false">SUMIF($F$7:$AG$7,AL$7,$F104:$AG104)</f>
        <v>0</v>
      </c>
      <c r="AM104" s="125" t="n">
        <f aca="false">SUMIF($F$7:$AG$7,AM$7,$F104:$AG104)</f>
        <v>0</v>
      </c>
      <c r="AN104" s="125" t="n">
        <f aca="false">SUMIF($F$7:$AG$7,AN$7,$F104:$AG104)</f>
        <v>0</v>
      </c>
      <c r="AO104" s="125" t="n">
        <f aca="false">SUMIF($F$7:$AG$7,AO$7,$F104:$AG104)</f>
        <v>0</v>
      </c>
    </row>
    <row r="105" customFormat="false" ht="15" hidden="false" customHeight="false" outlineLevel="0" collapsed="false">
      <c r="A105" s="107" t="s">
        <v>1945</v>
      </c>
      <c r="B105" s="22" t="s">
        <v>613</v>
      </c>
      <c r="C105" s="22"/>
      <c r="D105" s="22"/>
      <c r="F105" s="124" t="n">
        <f aca="false">(1-$I$26)*(1-$J$26)*$D$26*$E$26/4*MIN(1,MAX(0,(F$5-$H$26+1)/$T$26))*IF(F$5=$H$26,DelivFactor,IF(AND(F$5&gt;$H$26,F$5&lt;$H$26+$F$26),1,IF(F$5=$H$26+$F$26,1-DelivFactor,0)))</f>
        <v>0</v>
      </c>
      <c r="G105" s="124" t="n">
        <f aca="false">(1-$I$26)*(1-$J$26)*$D$26*$E$26/4*MIN(1,MAX(0,(G$5-$H$26+1)/$T$26))*IF(G$5=$H$26,DelivFactor,IF(AND(G$5&gt;$H$26,G$5&lt;$H$26+$F$26),1,IF(G$5=$H$26+$F$26,1-DelivFactor,0)))</f>
        <v>0</v>
      </c>
      <c r="H105" s="124" t="n">
        <f aca="false">(1-$I$26)*(1-$J$26)*$D$26*$E$26/4*MIN(1,MAX(0,(H$5-$H$26+1)/$T$26))*IF(H$5=$H$26,DelivFactor,IF(AND(H$5&gt;$H$26,H$5&lt;$H$26+$F$26),1,IF(H$5=$H$26+$F$26,1-DelivFactor,0)))</f>
        <v>0</v>
      </c>
      <c r="I105" s="124" t="n">
        <f aca="false">(1-$I$26)*(1-$J$26)*$D$26*$E$26/4*MIN(1,MAX(0,(I$5-$H$26+1)/$T$26))*IF(I$5=$H$26,DelivFactor,IF(AND(I$5&gt;$H$26,I$5&lt;$H$26+$F$26),1,IF(I$5=$H$26+$F$26,1-DelivFactor,0)))</f>
        <v>0</v>
      </c>
      <c r="J105" s="124" t="n">
        <f aca="false">(1-$I$26)*(1-$J$26)*$D$26*$E$26/4*MIN(1,MAX(0,(J$5-$H$26+1)/$T$26))*IF(J$5=$H$26,DelivFactor,IF(AND(J$5&gt;$H$26,J$5&lt;$H$26+$F$26),1,IF(J$5=$H$26+$F$26,1-DelivFactor,0)))</f>
        <v>0</v>
      </c>
      <c r="K105" s="124" t="n">
        <f aca="false">(1-$I$26)*(1-$J$26)*$D$26*$E$26/4*MIN(1,MAX(0,(K$5-$H$26+1)/$T$26))*IF(K$5=$H$26,DelivFactor,IF(AND(K$5&gt;$H$26,K$5&lt;$H$26+$F$26),1,IF(K$5=$H$26+$F$26,1-DelivFactor,0)))</f>
        <v>0</v>
      </c>
      <c r="L105" s="124" t="n">
        <f aca="false">(1-$I$26)*(1-$J$26)*$D$26*$E$26/4*MIN(1,MAX(0,(L$5-$H$26+1)/$T$26))*IF(L$5=$H$26,DelivFactor,IF(AND(L$5&gt;$H$26,L$5&lt;$H$26+$F$26),1,IF(L$5=$H$26+$F$26,1-DelivFactor,0)))</f>
        <v>0</v>
      </c>
      <c r="M105" s="124" t="n">
        <f aca="false">(1-$I$26)*(1-$J$26)*$D$26*$E$26/4*MIN(1,MAX(0,(M$5-$H$26+1)/$T$26))*IF(M$5=$H$26,DelivFactor,IF(AND(M$5&gt;$H$26,M$5&lt;$H$26+$F$26),1,IF(M$5=$H$26+$F$26,1-DelivFactor,0)))</f>
        <v>0</v>
      </c>
      <c r="N105" s="124" t="n">
        <f aca="false">(1-$I$26)*(1-$J$26)*$D$26*$E$26/4*MIN(1,MAX(0,(N$5-$H$26+1)/$T$26))*IF(N$5=$H$26,DelivFactor,IF(AND(N$5&gt;$H$26,N$5&lt;$H$26+$F$26),1,IF(N$5=$H$26+$F$26,1-DelivFactor,0)))</f>
        <v>0</v>
      </c>
      <c r="O105" s="124" t="n">
        <f aca="false">(1-$I$26)*(1-$J$26)*$D$26*$E$26/4*MIN(1,MAX(0,(O$5-$H$26+1)/$T$26))*IF(O$5=$H$26,DelivFactor,IF(AND(O$5&gt;$H$26,O$5&lt;$H$26+$F$26),1,IF(O$5=$H$26+$F$26,1-DelivFactor,0)))</f>
        <v>0</v>
      </c>
      <c r="P105" s="125" t="n">
        <f aca="false">(1-$I$26)*(1-$J$26)*$D$26*$E$26/4*MIN(1,MAX(0,(P$5-$H$26+1)/$T$26))*IF(P$5=$H$26,DelivFactor,IF(AND(P$5&gt;$H$26,P$5&lt;$H$26+$F$26),1,IF(P$5=$H$26+$F$26,1-DelivFactor,0)))</f>
        <v>0</v>
      </c>
      <c r="Q105" s="125" t="n">
        <f aca="false">(1-$I$26)*(1-$J$26)*$D$26*$E$26/4*MIN(1,MAX(0,(Q$5-$H$26+1)/$T$26))*IF(Q$5=$H$26,DelivFactor,IF(AND(Q$5&gt;$H$26,Q$5&lt;$H$26+$F$26),1,IF(Q$5=$H$26+$F$26,1-DelivFactor,0)))</f>
        <v>0</v>
      </c>
      <c r="R105" s="125" t="n">
        <f aca="false">(1-$I$26)*(1-$J$26)*$D$26*$E$26/4*MIN(1,MAX(0,(R$5-$H$26+1)/$T$26))*IF(R$5=$H$26,DelivFactor,IF(AND(R$5&gt;$H$26,R$5&lt;$H$26+$F$26),1,IF(R$5=$H$26+$F$26,1-DelivFactor,0)))</f>
        <v>0</v>
      </c>
      <c r="S105" s="125" t="n">
        <f aca="false">(1-$I$26)*(1-$J$26)*$D$26*$E$26/4*MIN(1,MAX(0,(S$5-$H$26+1)/$T$26))*IF(S$5=$H$26,DelivFactor,IF(AND(S$5&gt;$H$26,S$5&lt;$H$26+$F$26),1,IF(S$5=$H$26+$F$26,1-DelivFactor,0)))</f>
        <v>0</v>
      </c>
      <c r="T105" s="125" t="n">
        <f aca="false">(1-$I$26)*(1-$J$26)*$D$26*$E$26/4*MIN(1,MAX(0,(T$5-$H$26+1)/$T$26))*IF(T$5=$H$26,DelivFactor,IF(AND(T$5&gt;$H$26,T$5&lt;$H$26+$F$26),1,IF(T$5=$H$26+$F$26,1-DelivFactor,0)))</f>
        <v>0</v>
      </c>
      <c r="U105" s="125" t="n">
        <f aca="false">(1-$I$26)*(1-$J$26)*$D$26*$E$26/4*MIN(1,MAX(0,(U$5-$H$26+1)/$T$26))*IF(U$5=$H$26,DelivFactor,IF(AND(U$5&gt;$H$26,U$5&lt;$H$26+$F$26),1,IF(U$5=$H$26+$F$26,1-DelivFactor,0)))</f>
        <v>150</v>
      </c>
      <c r="V105" s="125" t="n">
        <f aca="false">(1-$I$26)*(1-$J$26)*$D$26*$E$26/4*MIN(1,MAX(0,(V$5-$H$26+1)/$T$26))*IF(V$5=$H$26,DelivFactor,IF(AND(V$5&gt;$H$26,V$5&lt;$H$26+$F$26),1,IF(V$5=$H$26+$F$26,1-DelivFactor,0)))</f>
        <v>300</v>
      </c>
      <c r="W105" s="125" t="n">
        <f aca="false">(1-$I$26)*(1-$J$26)*$D$26*$E$26/4*MIN(1,MAX(0,(W$5-$H$26+1)/$T$26))*IF(W$5=$H$26,DelivFactor,IF(AND(W$5&gt;$H$26,W$5&lt;$H$26+$F$26),1,IF(W$5=$H$26+$F$26,1-DelivFactor,0)))</f>
        <v>300</v>
      </c>
      <c r="X105" s="125" t="n">
        <f aca="false">(1-$I$26)*(1-$J$26)*$D$26*$E$26/4*MIN(1,MAX(0,(X$5-$H$26+1)/$T$26))*IF(X$5=$H$26,DelivFactor,IF(AND(X$5&gt;$H$26,X$5&lt;$H$26+$F$26),1,IF(X$5=$H$26+$F$26,1-DelivFactor,0)))</f>
        <v>300</v>
      </c>
      <c r="Y105" s="125" t="n">
        <f aca="false">(1-$I$26)*(1-$J$26)*$D$26*$E$26/4*MIN(1,MAX(0,(Y$5-$H$26+1)/$T$26))*IF(Y$5=$H$26,DelivFactor,IF(AND(Y$5&gt;$H$26,Y$5&lt;$H$26+$F$26),1,IF(Y$5=$H$26+$F$26,1-DelivFactor,0)))</f>
        <v>300</v>
      </c>
      <c r="Z105" s="125" t="n">
        <f aca="false">(1-$I$26)*(1-$J$26)*$D$26*$E$26/4*MIN(1,MAX(0,(Z$5-$H$26+1)/$T$26))*IF(Z$5=$H$26,DelivFactor,IF(AND(Z$5&gt;$H$26,Z$5&lt;$H$26+$F$26),1,IF(Z$5=$H$26+$F$26,1-DelivFactor,0)))</f>
        <v>300</v>
      </c>
      <c r="AA105" s="125" t="n">
        <f aca="false">(1-$I$26)*(1-$J$26)*$D$26*$E$26/4*MIN(1,MAX(0,(AA$5-$H$26+1)/$T$26))*IF(AA$5=$H$26,DelivFactor,IF(AND(AA$5&gt;$H$26,AA$5&lt;$H$26+$F$26),1,IF(AA$5=$H$26+$F$26,1-DelivFactor,0)))</f>
        <v>300</v>
      </c>
      <c r="AB105" s="125" t="n">
        <f aca="false">(1-$I$26)*(1-$J$26)*$D$26*$E$26/4*MIN(1,MAX(0,(AB$5-$H$26+1)/$T$26))*IF(AB$5=$H$26,DelivFactor,IF(AND(AB$5&gt;$H$26,AB$5&lt;$H$26+$F$26),1,IF(AB$5=$H$26+$F$26,1-DelivFactor,0)))</f>
        <v>300</v>
      </c>
      <c r="AC105" s="125" t="n">
        <f aca="false">(1-$I$26)*(1-$J$26)*$D$26*$E$26/4*MIN(1,MAX(0,(AC$5-$H$26+1)/$T$26))*IF(AC$5=$H$26,DelivFactor,IF(AND(AC$5&gt;$H$26,AC$5&lt;$H$26+$F$26),1,IF(AC$5=$H$26+$F$26,1-DelivFactor,0)))</f>
        <v>300</v>
      </c>
      <c r="AD105" s="125" t="n">
        <f aca="false">(1-$I$26)*(1-$J$26)*$D$26*$E$26/4*MIN(1,MAX(0,(AD$5-$H$26+1)/$T$26))*IF(AD$5=$H$26,DelivFactor,IF(AND(AD$5&gt;$H$26,AD$5&lt;$H$26+$F$26),1,IF(AD$5=$H$26+$F$26,1-DelivFactor,0)))</f>
        <v>300</v>
      </c>
      <c r="AE105" s="125" t="n">
        <f aca="false">(1-$I$26)*(1-$J$26)*$D$26*$E$26/4*MIN(1,MAX(0,(AE$5-$H$26+1)/$T$26))*IF(AE$5=$H$26,DelivFactor,IF(AND(AE$5&gt;$H$26,AE$5&lt;$H$26+$F$26),1,IF(AE$5=$H$26+$F$26,1-DelivFactor,0)))</f>
        <v>300</v>
      </c>
      <c r="AF105" s="125" t="n">
        <f aca="false">(1-$I$26)*(1-$J$26)*$D$26*$E$26/4*MIN(1,MAX(0,(AF$5-$H$26+1)/$T$26))*IF(AF$5=$H$26,DelivFactor,IF(AND(AF$5&gt;$H$26,AF$5&lt;$H$26+$F$26),1,IF(AF$5=$H$26+$F$26,1-DelivFactor,0)))</f>
        <v>300</v>
      </c>
      <c r="AG105" s="125" t="n">
        <f aca="false">(1-$I$26)*(1-$J$26)*$D$26*$E$26/4*MIN(1,MAX(0,(AG$5-$H$26+1)/$T$26))*IF(AG$5=$H$26,DelivFactor,IF(AND(AG$5&gt;$H$26,AG$5&lt;$H$26+$F$26),1,IF(AG$5=$H$26+$F$26,1-DelivFactor,0)))</f>
        <v>300</v>
      </c>
      <c r="AI105" s="125" t="n">
        <f aca="false">SUMIF($F$7:$AG$7,AI$7,$F105:$AG105)</f>
        <v>0</v>
      </c>
      <c r="AJ105" s="125" t="n">
        <f aca="false">SUMIF($F$7:$AG$7,AJ$7,$F105:$AG105)</f>
        <v>0</v>
      </c>
      <c r="AK105" s="125" t="n">
        <f aca="false">SUMIF($F$7:$AG$7,AK$7,$F105:$AG105)</f>
        <v>0</v>
      </c>
      <c r="AL105" s="125" t="n">
        <f aca="false">SUMIF($F$7:$AG$7,AL$7,$F105:$AG105)</f>
        <v>150</v>
      </c>
      <c r="AM105" s="125" t="n">
        <f aca="false">SUMIF($F$7:$AG$7,AM$7,$F105:$AG105)</f>
        <v>1200</v>
      </c>
      <c r="AN105" s="125" t="n">
        <f aca="false">SUMIF($F$7:$AG$7,AN$7,$F105:$AG105)</f>
        <v>1200</v>
      </c>
      <c r="AO105" s="125" t="n">
        <f aca="false">SUMIF($F$7:$AG$7,AO$7,$F105:$AG105)</f>
        <v>1200</v>
      </c>
    </row>
    <row r="106" customFormat="false" ht="15" hidden="false" customHeight="false" outlineLevel="0" collapsed="false">
      <c r="A106" s="107" t="s">
        <v>1946</v>
      </c>
      <c r="B106" s="22" t="s">
        <v>664</v>
      </c>
      <c r="C106" s="22"/>
      <c r="D106" s="22"/>
      <c r="F106" s="116" t="n">
        <f aca="false">(1-$I$26)*(1-$J$26)*$D$26*AND(F$5&gt;=$H$26,F$5&lt;$H$26+$F$26)</f>
        <v>0</v>
      </c>
      <c r="G106" s="116" t="n">
        <f aca="false">(1-$I$26)*(1-$J$26)*$D$26*AND(G$5&gt;=$H$26,G$5&lt;$H$26+$F$26)</f>
        <v>0</v>
      </c>
      <c r="H106" s="116" t="n">
        <f aca="false">(1-$I$26)*(1-$J$26)*$D$26*AND(H$5&gt;=$H$26,H$5&lt;$H$26+$F$26)</f>
        <v>0</v>
      </c>
      <c r="I106" s="116" t="n">
        <f aca="false">(1-$I$26)*(1-$J$26)*$D$26*AND(I$5&gt;=$H$26,I$5&lt;$H$26+$F$26)</f>
        <v>0</v>
      </c>
      <c r="J106" s="116" t="n">
        <f aca="false">(1-$I$26)*(1-$J$26)*$D$26*AND(J$5&gt;=$H$26,J$5&lt;$H$26+$F$26)</f>
        <v>0</v>
      </c>
      <c r="K106" s="116" t="n">
        <f aca="false">(1-$I$26)*(1-$J$26)*$D$26*AND(K$5&gt;=$H$26,K$5&lt;$H$26+$F$26)</f>
        <v>0</v>
      </c>
      <c r="L106" s="116" t="n">
        <f aca="false">(1-$I$26)*(1-$J$26)*$D$26*AND(L$5&gt;=$H$26,L$5&lt;$H$26+$F$26)</f>
        <v>0</v>
      </c>
      <c r="M106" s="116" t="n">
        <f aca="false">(1-$I$26)*(1-$J$26)*$D$26*AND(M$5&gt;=$H$26,M$5&lt;$H$26+$F$26)</f>
        <v>0</v>
      </c>
      <c r="N106" s="116" t="n">
        <f aca="false">(1-$I$26)*(1-$J$26)*$D$26*AND(N$5&gt;=$H$26,N$5&lt;$H$26+$F$26)</f>
        <v>0</v>
      </c>
      <c r="O106" s="116" t="n">
        <f aca="false">(1-$I$26)*(1-$J$26)*$D$26*AND(O$5&gt;=$H$26,O$5&lt;$H$26+$F$26)</f>
        <v>0</v>
      </c>
      <c r="P106" s="36" t="n">
        <f aca="false">(1-$I$26)*(1-$J$26)*$D$26*AND(P$5&gt;=$H$26,P$5&lt;$H$26+$F$26)</f>
        <v>0</v>
      </c>
      <c r="Q106" s="36" t="n">
        <f aca="false">(1-$I$26)*(1-$J$26)*$D$26*AND(Q$5&gt;=$H$26,Q$5&lt;$H$26+$F$26)</f>
        <v>0</v>
      </c>
      <c r="R106" s="36" t="n">
        <f aca="false">(1-$I$26)*(1-$J$26)*$D$26*AND(R$5&gt;=$H$26,R$5&lt;$H$26+$F$26)</f>
        <v>0</v>
      </c>
      <c r="S106" s="36" t="n">
        <f aca="false">(1-$I$26)*(1-$J$26)*$D$26*AND(S$5&gt;=$H$26,S$5&lt;$H$26+$F$26)</f>
        <v>0</v>
      </c>
      <c r="T106" s="36" t="n">
        <f aca="false">(1-$I$26)*(1-$J$26)*$D$26*AND(T$5&gt;=$H$26,T$5&lt;$H$26+$F$26)</f>
        <v>0</v>
      </c>
      <c r="U106" s="36" t="n">
        <f aca="false">(1-$I$26)*(1-$J$26)*$D$26*AND(U$5&gt;=$H$26,U$5&lt;$H$26+$F$26)</f>
        <v>53.3333333333333</v>
      </c>
      <c r="V106" s="36" t="n">
        <f aca="false">(1-$I$26)*(1-$J$26)*$D$26*AND(V$5&gt;=$H$26,V$5&lt;$H$26+$F$26)</f>
        <v>53.3333333333333</v>
      </c>
      <c r="W106" s="36" t="n">
        <f aca="false">(1-$I$26)*(1-$J$26)*$D$26*AND(W$5&gt;=$H$26,W$5&lt;$H$26+$F$26)</f>
        <v>53.3333333333333</v>
      </c>
      <c r="X106" s="36" t="n">
        <f aca="false">(1-$I$26)*(1-$J$26)*$D$26*AND(X$5&gt;=$H$26,X$5&lt;$H$26+$F$26)</f>
        <v>53.3333333333333</v>
      </c>
      <c r="Y106" s="36" t="n">
        <f aca="false">(1-$I$26)*(1-$J$26)*$D$26*AND(Y$5&gt;=$H$26,Y$5&lt;$H$26+$F$26)</f>
        <v>53.3333333333333</v>
      </c>
      <c r="Z106" s="36" t="n">
        <f aca="false">(1-$I$26)*(1-$J$26)*$D$26*AND(Z$5&gt;=$H$26,Z$5&lt;$H$26+$F$26)</f>
        <v>53.3333333333333</v>
      </c>
      <c r="AA106" s="36" t="n">
        <f aca="false">(1-$I$26)*(1-$J$26)*$D$26*AND(AA$5&gt;=$H$26,AA$5&lt;$H$26+$F$26)</f>
        <v>53.3333333333333</v>
      </c>
      <c r="AB106" s="36" t="n">
        <f aca="false">(1-$I$26)*(1-$J$26)*$D$26*AND(AB$5&gt;=$H$26,AB$5&lt;$H$26+$F$26)</f>
        <v>53.3333333333333</v>
      </c>
      <c r="AC106" s="36" t="n">
        <f aca="false">(1-$I$26)*(1-$J$26)*$D$26*AND(AC$5&gt;=$H$26,AC$5&lt;$H$26+$F$26)</f>
        <v>53.3333333333333</v>
      </c>
      <c r="AD106" s="36" t="n">
        <f aca="false">(1-$I$26)*(1-$J$26)*$D$26*AND(AD$5&gt;=$H$26,AD$5&lt;$H$26+$F$26)</f>
        <v>53.3333333333333</v>
      </c>
      <c r="AE106" s="36" t="n">
        <f aca="false">(1-$I$26)*(1-$J$26)*$D$26*AND(AE$5&gt;=$H$26,AE$5&lt;$H$26+$F$26)</f>
        <v>53.3333333333333</v>
      </c>
      <c r="AF106" s="36" t="n">
        <f aca="false">(1-$I$26)*(1-$J$26)*$D$26*AND(AF$5&gt;=$H$26,AF$5&lt;$H$26+$F$26)</f>
        <v>53.3333333333333</v>
      </c>
      <c r="AG106" s="36" t="n">
        <f aca="false">(1-$I$26)*(1-$J$26)*$D$26*AND(AG$5&gt;=$H$26,AG$5&lt;$H$26+$F$26)</f>
        <v>53.3333333333333</v>
      </c>
      <c r="AI106" s="36" t="n">
        <f aca="false">INDEX($F106:$AG106,1,MATCH(AI$7,$F$7:$AG$7,1))</f>
        <v>0</v>
      </c>
      <c r="AJ106" s="36" t="n">
        <f aca="false">INDEX($F106:$AG106,1,MATCH(AJ$7,$F$7:$AG$7,1))</f>
        <v>0</v>
      </c>
      <c r="AK106" s="36" t="n">
        <f aca="false">INDEX($F106:$AG106,1,MATCH(AK$7,$F$7:$AG$7,1))</f>
        <v>0</v>
      </c>
      <c r="AL106" s="36" t="n">
        <f aca="false">INDEX($F106:$AG106,1,MATCH(AL$7,$F$7:$AG$7,1))</f>
        <v>53.3333333333333</v>
      </c>
      <c r="AM106" s="36" t="n">
        <f aca="false">INDEX($F106:$AG106,1,MATCH(AM$7,$F$7:$AG$7,1))</f>
        <v>53.3333333333333</v>
      </c>
      <c r="AN106" s="36" t="n">
        <f aca="false">INDEX($F106:$AG106,1,MATCH(AN$7,$F$7:$AG$7,1))</f>
        <v>53.3333333333333</v>
      </c>
      <c r="AO106" s="36" t="n">
        <f aca="false">INDEX($F106:$AG106,1,MATCH(AO$7,$F$7:$AG$7,1))</f>
        <v>53.3333333333333</v>
      </c>
    </row>
    <row r="107" customFormat="false" ht="15" hidden="false" customHeight="false" outlineLevel="0" collapsed="false">
      <c r="A107" s="107" t="s">
        <v>1947</v>
      </c>
      <c r="B107" s="22" t="s">
        <v>613</v>
      </c>
      <c r="C107" s="22"/>
      <c r="D107" s="22"/>
      <c r="F107" s="124" t="n">
        <f aca="false">-(1-$I$26)*LD_Pct*$D$26*$E$26/4*AND(F$5&gt;=$G$26,F$5&lt;$H$26)</f>
        <v>-0</v>
      </c>
      <c r="G107" s="124" t="n">
        <f aca="false">-(1-$I$26)*LD_Pct*$D$26*$E$26/4*AND(G$5&gt;=$G$26,G$5&lt;$H$26)</f>
        <v>-0</v>
      </c>
      <c r="H107" s="124" t="n">
        <f aca="false">-(1-$I$26)*LD_Pct*$D$26*$E$26/4*AND(H$5&gt;=$G$26,H$5&lt;$H$26)</f>
        <v>-0</v>
      </c>
      <c r="I107" s="124" t="n">
        <f aca="false">-(1-$I$26)*LD_Pct*$D$26*$E$26/4*AND(I$5&gt;=$G$26,I$5&lt;$H$26)</f>
        <v>-0</v>
      </c>
      <c r="J107" s="124" t="n">
        <f aca="false">-(1-$I$26)*LD_Pct*$D$26*$E$26/4*AND(J$5&gt;=$G$26,J$5&lt;$H$26)</f>
        <v>-0</v>
      </c>
      <c r="K107" s="124" t="n">
        <f aca="false">-(1-$I$26)*LD_Pct*$D$26*$E$26/4*AND(K$5&gt;=$G$26,K$5&lt;$H$26)</f>
        <v>-0</v>
      </c>
      <c r="L107" s="124" t="n">
        <f aca="false">-(1-$I$26)*LD_Pct*$D$26*$E$26/4*AND(L$5&gt;=$G$26,L$5&lt;$H$26)</f>
        <v>-0</v>
      </c>
      <c r="M107" s="124" t="n">
        <f aca="false">-(1-$I$26)*LD_Pct*$D$26*$E$26/4*AND(M$5&gt;=$G$26,M$5&lt;$H$26)</f>
        <v>-0</v>
      </c>
      <c r="N107" s="124" t="n">
        <f aca="false">-(1-$I$26)*LD_Pct*$D$26*$E$26/4*AND(N$5&gt;=$G$26,N$5&lt;$H$26)</f>
        <v>-0</v>
      </c>
      <c r="O107" s="124" t="n">
        <f aca="false">-(1-$I$26)*LD_Pct*$D$26*$E$26/4*AND(O$5&gt;=$G$26,O$5&lt;$H$26)</f>
        <v>-0</v>
      </c>
      <c r="P107" s="125" t="n">
        <f aca="false">-(1-$I$26)*LD_Pct*$D$26*$E$26/4*AND(P$5&gt;=$G$26,P$5&lt;$H$26)</f>
        <v>-0</v>
      </c>
      <c r="Q107" s="125" t="n">
        <f aca="false">-(1-$I$26)*LD_Pct*$D$26*$E$26/4*AND(Q$5&gt;=$G$26,Q$5&lt;$H$26)</f>
        <v>-0</v>
      </c>
      <c r="R107" s="125" t="n">
        <f aca="false">-(1-$I$26)*LD_Pct*$D$26*$E$26/4*AND(R$5&gt;=$G$26,R$5&lt;$H$26)</f>
        <v>-0</v>
      </c>
      <c r="S107" s="125" t="n">
        <f aca="false">-(1-$I$26)*LD_Pct*$D$26*$E$26/4*AND(S$5&gt;=$G$26,S$5&lt;$H$26)</f>
        <v>-0</v>
      </c>
      <c r="T107" s="125" t="n">
        <f aca="false">-(1-$I$26)*LD_Pct*$D$26*$E$26/4*AND(T$5&gt;=$G$26,T$5&lt;$H$26)</f>
        <v>-0</v>
      </c>
      <c r="U107" s="125" t="n">
        <f aca="false">-(1-$I$26)*LD_Pct*$D$26*$E$26/4*AND(U$5&gt;=$G$26,U$5&lt;$H$26)</f>
        <v>-0</v>
      </c>
      <c r="V107" s="125" t="n">
        <f aca="false">-(1-$I$26)*LD_Pct*$D$26*$E$26/4*AND(V$5&gt;=$G$26,V$5&lt;$H$26)</f>
        <v>-0</v>
      </c>
      <c r="W107" s="125" t="n">
        <f aca="false">-(1-$I$26)*LD_Pct*$D$26*$E$26/4*AND(W$5&gt;=$G$26,W$5&lt;$H$26)</f>
        <v>-0</v>
      </c>
      <c r="X107" s="125" t="n">
        <f aca="false">-(1-$I$26)*LD_Pct*$D$26*$E$26/4*AND(X$5&gt;=$G$26,X$5&lt;$H$26)</f>
        <v>-0</v>
      </c>
      <c r="Y107" s="125" t="n">
        <f aca="false">-(1-$I$26)*LD_Pct*$D$26*$E$26/4*AND(Y$5&gt;=$G$26,Y$5&lt;$H$26)</f>
        <v>-0</v>
      </c>
      <c r="Z107" s="125" t="n">
        <f aca="false">-(1-$I$26)*LD_Pct*$D$26*$E$26/4*AND(Z$5&gt;=$G$26,Z$5&lt;$H$26)</f>
        <v>-0</v>
      </c>
      <c r="AA107" s="125" t="n">
        <f aca="false">-(1-$I$26)*LD_Pct*$D$26*$E$26/4*AND(AA$5&gt;=$G$26,AA$5&lt;$H$26)</f>
        <v>-0</v>
      </c>
      <c r="AB107" s="125" t="n">
        <f aca="false">-(1-$I$26)*LD_Pct*$D$26*$E$26/4*AND(AB$5&gt;=$G$26,AB$5&lt;$H$26)</f>
        <v>-0</v>
      </c>
      <c r="AC107" s="125" t="n">
        <f aca="false">-(1-$I$26)*LD_Pct*$D$26*$E$26/4*AND(AC$5&gt;=$G$26,AC$5&lt;$H$26)</f>
        <v>-0</v>
      </c>
      <c r="AD107" s="125" t="n">
        <f aca="false">-(1-$I$26)*LD_Pct*$D$26*$E$26/4*AND(AD$5&gt;=$G$26,AD$5&lt;$H$26)</f>
        <v>-0</v>
      </c>
      <c r="AE107" s="125" t="n">
        <f aca="false">-(1-$I$26)*LD_Pct*$D$26*$E$26/4*AND(AE$5&gt;=$G$26,AE$5&lt;$H$26)</f>
        <v>-0</v>
      </c>
      <c r="AF107" s="125" t="n">
        <f aca="false">-(1-$I$26)*LD_Pct*$D$26*$E$26/4*AND(AF$5&gt;=$G$26,AF$5&lt;$H$26)</f>
        <v>-0</v>
      </c>
      <c r="AG107" s="125" t="n">
        <f aca="false">-(1-$I$26)*LD_Pct*$D$26*$E$26/4*AND(AG$5&gt;=$G$26,AG$5&lt;$H$26)</f>
        <v>-0</v>
      </c>
      <c r="AI107" s="125" t="n">
        <f aca="false">SUMIF($F$7:$AG$7,AI$7,$F107:$AG107)</f>
        <v>0</v>
      </c>
      <c r="AJ107" s="125" t="n">
        <f aca="false">SUMIF($F$7:$AG$7,AJ$7,$F107:$AG107)</f>
        <v>0</v>
      </c>
      <c r="AK107" s="125" t="n">
        <f aca="false">SUMIF($F$7:$AG$7,AK$7,$F107:$AG107)</f>
        <v>0</v>
      </c>
      <c r="AL107" s="125" t="n">
        <f aca="false">SUMIF($F$7:$AG$7,AL$7,$F107:$AG107)</f>
        <v>0</v>
      </c>
      <c r="AM107" s="125" t="n">
        <f aca="false">SUMIF($F$7:$AG$7,AM$7,$F107:$AG107)</f>
        <v>0</v>
      </c>
      <c r="AN107" s="125" t="n">
        <f aca="false">SUMIF($F$7:$AG$7,AN$7,$F107:$AG107)</f>
        <v>0</v>
      </c>
      <c r="AO107" s="125" t="n">
        <f aca="false">SUMIF($F$7:$AG$7,AO$7,$F107:$AG107)</f>
        <v>0</v>
      </c>
    </row>
    <row r="108" customFormat="false" ht="15" hidden="false" customHeight="false" outlineLevel="0" collapsed="false">
      <c r="A108" s="107" t="s">
        <v>1948</v>
      </c>
      <c r="B108" s="22" t="s">
        <v>664</v>
      </c>
      <c r="C108" s="22"/>
      <c r="D108" s="22"/>
      <c r="F108" s="116" t="n">
        <f aca="false">(1-$I$26)*(1-$J$26)*$D$26*(F$5&gt;=$H$26+$F$26)</f>
        <v>0</v>
      </c>
      <c r="G108" s="116" t="n">
        <f aca="false">(1-$I$26)*(1-$J$26)*$D$26*(G$5&gt;=$H$26+$F$26)</f>
        <v>0</v>
      </c>
      <c r="H108" s="116" t="n">
        <f aca="false">(1-$I$26)*(1-$J$26)*$D$26*(H$5&gt;=$H$26+$F$26)</f>
        <v>0</v>
      </c>
      <c r="I108" s="116" t="n">
        <f aca="false">(1-$I$26)*(1-$J$26)*$D$26*(I$5&gt;=$H$26+$F$26)</f>
        <v>0</v>
      </c>
      <c r="J108" s="116" t="n">
        <f aca="false">(1-$I$26)*(1-$J$26)*$D$26*(J$5&gt;=$H$26+$F$26)</f>
        <v>0</v>
      </c>
      <c r="K108" s="116" t="n">
        <f aca="false">(1-$I$26)*(1-$J$26)*$D$26*(K$5&gt;=$H$26+$F$26)</f>
        <v>0</v>
      </c>
      <c r="L108" s="116" t="n">
        <f aca="false">(1-$I$26)*(1-$J$26)*$D$26*(L$5&gt;=$H$26+$F$26)</f>
        <v>0</v>
      </c>
      <c r="M108" s="116" t="n">
        <f aca="false">(1-$I$26)*(1-$J$26)*$D$26*(M$5&gt;=$H$26+$F$26)</f>
        <v>0</v>
      </c>
      <c r="N108" s="116" t="n">
        <f aca="false">(1-$I$26)*(1-$J$26)*$D$26*(N$5&gt;=$H$26+$F$26)</f>
        <v>0</v>
      </c>
      <c r="O108" s="116" t="n">
        <f aca="false">(1-$I$26)*(1-$J$26)*$D$26*(O$5&gt;=$H$26+$F$26)</f>
        <v>0</v>
      </c>
      <c r="P108" s="36" t="n">
        <f aca="false">(1-$I$26)*(1-$J$26)*$D$26*(P$5&gt;=$H$26+$F$26)</f>
        <v>0</v>
      </c>
      <c r="Q108" s="36" t="n">
        <f aca="false">(1-$I$26)*(1-$J$26)*$D$26*(Q$5&gt;=$H$26+$F$26)</f>
        <v>0</v>
      </c>
      <c r="R108" s="36" t="n">
        <f aca="false">(1-$I$26)*(1-$J$26)*$D$26*(R$5&gt;=$H$26+$F$26)</f>
        <v>0</v>
      </c>
      <c r="S108" s="36" t="n">
        <f aca="false">(1-$I$26)*(1-$J$26)*$D$26*(S$5&gt;=$H$26+$F$26)</f>
        <v>0</v>
      </c>
      <c r="T108" s="36" t="n">
        <f aca="false">(1-$I$26)*(1-$J$26)*$D$26*(T$5&gt;=$H$26+$F$26)</f>
        <v>0</v>
      </c>
      <c r="U108" s="36" t="n">
        <f aca="false">(1-$I$26)*(1-$J$26)*$D$26*(U$5&gt;=$H$26+$F$26)</f>
        <v>0</v>
      </c>
      <c r="V108" s="36" t="n">
        <f aca="false">(1-$I$26)*(1-$J$26)*$D$26*(V$5&gt;=$H$26+$F$26)</f>
        <v>0</v>
      </c>
      <c r="W108" s="36" t="n">
        <f aca="false">(1-$I$26)*(1-$J$26)*$D$26*(W$5&gt;=$H$26+$F$26)</f>
        <v>0</v>
      </c>
      <c r="X108" s="36" t="n">
        <f aca="false">(1-$I$26)*(1-$J$26)*$D$26*(X$5&gt;=$H$26+$F$26)</f>
        <v>0</v>
      </c>
      <c r="Y108" s="36" t="n">
        <f aca="false">(1-$I$26)*(1-$J$26)*$D$26*(Y$5&gt;=$H$26+$F$26)</f>
        <v>0</v>
      </c>
      <c r="Z108" s="36" t="n">
        <f aca="false">(1-$I$26)*(1-$J$26)*$D$26*(Z$5&gt;=$H$26+$F$26)</f>
        <v>0</v>
      </c>
      <c r="AA108" s="36" t="n">
        <f aca="false">(1-$I$26)*(1-$J$26)*$D$26*(AA$5&gt;=$H$26+$F$26)</f>
        <v>0</v>
      </c>
      <c r="AB108" s="36" t="n">
        <f aca="false">(1-$I$26)*(1-$J$26)*$D$26*(AB$5&gt;=$H$26+$F$26)</f>
        <v>0</v>
      </c>
      <c r="AC108" s="36" t="n">
        <f aca="false">(1-$I$26)*(1-$J$26)*$D$26*(AC$5&gt;=$H$26+$F$26)</f>
        <v>0</v>
      </c>
      <c r="AD108" s="36" t="n">
        <f aca="false">(1-$I$26)*(1-$J$26)*$D$26*(AD$5&gt;=$H$26+$F$26)</f>
        <v>0</v>
      </c>
      <c r="AE108" s="36" t="n">
        <f aca="false">(1-$I$26)*(1-$J$26)*$D$26*(AE$5&gt;=$H$26+$F$26)</f>
        <v>0</v>
      </c>
      <c r="AF108" s="36" t="n">
        <f aca="false">(1-$I$26)*(1-$J$26)*$D$26*(AF$5&gt;=$H$26+$F$26)</f>
        <v>0</v>
      </c>
      <c r="AG108" s="36" t="n">
        <f aca="false">(1-$I$26)*(1-$J$26)*$D$26*(AG$5&gt;=$H$26+$F$26)</f>
        <v>0</v>
      </c>
      <c r="AI108" s="36" t="n">
        <f aca="false">INDEX($F108:$AG108,1,MATCH(AI$7,$F$7:$AG$7,1))</f>
        <v>0</v>
      </c>
      <c r="AJ108" s="36" t="n">
        <f aca="false">INDEX($F108:$AG108,1,MATCH(AJ$7,$F$7:$AG$7,1))</f>
        <v>0</v>
      </c>
      <c r="AK108" s="36" t="n">
        <f aca="false">INDEX($F108:$AG108,1,MATCH(AK$7,$F$7:$AG$7,1))</f>
        <v>0</v>
      </c>
      <c r="AL108" s="36" t="n">
        <f aca="false">INDEX($F108:$AG108,1,MATCH(AL$7,$F$7:$AG$7,1))</f>
        <v>0</v>
      </c>
      <c r="AM108" s="36" t="n">
        <f aca="false">INDEX($F108:$AG108,1,MATCH(AM$7,$F$7:$AG$7,1))</f>
        <v>0</v>
      </c>
      <c r="AN108" s="36" t="n">
        <f aca="false">INDEX($F108:$AG108,1,MATCH(AN$7,$F$7:$AG$7,1))</f>
        <v>0</v>
      </c>
      <c r="AO108" s="36" t="n">
        <f aca="false">INDEX($F108:$AG108,1,MATCH(AO$7,$F$7:$AG$7,1))</f>
        <v>0</v>
      </c>
    </row>
    <row r="109" customFormat="false" ht="15" hidden="false" customHeight="false" outlineLevel="0" collapsed="false">
      <c r="A109" s="107" t="s">
        <v>1949</v>
      </c>
      <c r="B109" s="22" t="s">
        <v>613</v>
      </c>
      <c r="C109" s="22"/>
      <c r="D109" s="22" t="s">
        <v>1879</v>
      </c>
      <c r="F109" s="124" t="n">
        <f aca="false">F108*CHOOSE(MATCH($C$26,{"H";"B";"N"},0),GPUMW_H*ODc_H,GPUMW_B*ODc_B,GPUMW_N*ODc_N)*ResidUtil*Timeline!F$9*INDEX(Curve,1,MAX(1,MIN(8,INT((F$5-$H$26)/4)+1)))/1000000</f>
        <v>0</v>
      </c>
      <c r="G109" s="124" t="n">
        <f aca="false">G108*CHOOSE(MATCH($C$26,{"H";"B";"N"},0),GPUMW_H*ODc_H,GPUMW_B*ODc_B,GPUMW_N*ODc_N)*ResidUtil*Timeline!G$9*INDEX(Curve,1,MAX(1,MIN(8,INT((G$5-$H$26)/4)+1)))/1000000</f>
        <v>0</v>
      </c>
      <c r="H109" s="124" t="n">
        <f aca="false">H108*CHOOSE(MATCH($C$26,{"H";"B";"N"},0),GPUMW_H*ODc_H,GPUMW_B*ODc_B,GPUMW_N*ODc_N)*ResidUtil*Timeline!H$9*INDEX(Curve,1,MAX(1,MIN(8,INT((H$5-$H$26)/4)+1)))/1000000</f>
        <v>0</v>
      </c>
      <c r="I109" s="124" t="n">
        <f aca="false">I108*CHOOSE(MATCH($C$26,{"H";"B";"N"},0),GPUMW_H*ODc_H,GPUMW_B*ODc_B,GPUMW_N*ODc_N)*ResidUtil*Timeline!I$9*INDEX(Curve,1,MAX(1,MIN(8,INT((I$5-$H$26)/4)+1)))/1000000</f>
        <v>0</v>
      </c>
      <c r="J109" s="124" t="n">
        <f aca="false">J108*CHOOSE(MATCH($C$26,{"H";"B";"N"},0),GPUMW_H*ODc_H,GPUMW_B*ODc_B,GPUMW_N*ODc_N)*ResidUtil*Timeline!J$9*INDEX(Curve,1,MAX(1,MIN(8,INT((J$5-$H$26)/4)+1)))/1000000</f>
        <v>0</v>
      </c>
      <c r="K109" s="124" t="n">
        <f aca="false">K108*CHOOSE(MATCH($C$26,{"H";"B";"N"},0),GPUMW_H*ODc_H,GPUMW_B*ODc_B,GPUMW_N*ODc_N)*ResidUtil*Timeline!K$9*INDEX(Curve,1,MAX(1,MIN(8,INT((K$5-$H$26)/4)+1)))/1000000</f>
        <v>0</v>
      </c>
      <c r="L109" s="124" t="n">
        <f aca="false">L108*CHOOSE(MATCH($C$26,{"H";"B";"N"},0),GPUMW_H*ODc_H,GPUMW_B*ODc_B,GPUMW_N*ODc_N)*ResidUtil*Timeline!L$9*INDEX(Curve,1,MAX(1,MIN(8,INT((L$5-$H$26)/4)+1)))/1000000</f>
        <v>0</v>
      </c>
      <c r="M109" s="124" t="n">
        <f aca="false">M108*CHOOSE(MATCH($C$26,{"H";"B";"N"},0),GPUMW_H*ODc_H,GPUMW_B*ODc_B,GPUMW_N*ODc_N)*ResidUtil*Timeline!M$9*INDEX(Curve,1,MAX(1,MIN(8,INT((M$5-$H$26)/4)+1)))/1000000</f>
        <v>0</v>
      </c>
      <c r="N109" s="124" t="n">
        <f aca="false">N108*CHOOSE(MATCH($C$26,{"H";"B";"N"},0),GPUMW_H*ODc_H,GPUMW_B*ODc_B,GPUMW_N*ODc_N)*ResidUtil*Timeline!N$9*INDEX(Curve,1,MAX(1,MIN(8,INT((N$5-$H$26)/4)+1)))/1000000</f>
        <v>0</v>
      </c>
      <c r="O109" s="124" t="n">
        <f aca="false">O108*CHOOSE(MATCH($C$26,{"H";"B";"N"},0),GPUMW_H*ODc_H,GPUMW_B*ODc_B,GPUMW_N*ODc_N)*ResidUtil*Timeline!O$9*INDEX(Curve,1,MAX(1,MIN(8,INT((O$5-$H$26)/4)+1)))/1000000</f>
        <v>0</v>
      </c>
      <c r="P109" s="125" t="n">
        <f aca="false">P108*CHOOSE(MATCH($C$26,{"H";"B";"N"},0),GPUMW_H*ODc_H,GPUMW_B*ODc_B,GPUMW_N*ODc_N)*ResidUtil*Timeline!P$9*INDEX(Curve,1,MAX(1,MIN(8,INT((P$5-$H$26)/4)+1)))/1000000</f>
        <v>0</v>
      </c>
      <c r="Q109" s="125" t="n">
        <f aca="false">Q108*CHOOSE(MATCH($C$26,{"H";"B";"N"},0),GPUMW_H*ODc_H,GPUMW_B*ODc_B,GPUMW_N*ODc_N)*ResidUtil*Timeline!Q$9*INDEX(Curve,1,MAX(1,MIN(8,INT((Q$5-$H$26)/4)+1)))/1000000</f>
        <v>0</v>
      </c>
      <c r="R109" s="125" t="n">
        <f aca="false">R108*CHOOSE(MATCH($C$26,{"H";"B";"N"},0),GPUMW_H*ODc_H,GPUMW_B*ODc_B,GPUMW_N*ODc_N)*ResidUtil*Timeline!R$9*INDEX(Curve,1,MAX(1,MIN(8,INT((R$5-$H$26)/4)+1)))/1000000</f>
        <v>0</v>
      </c>
      <c r="S109" s="125" t="n">
        <f aca="false">S108*CHOOSE(MATCH($C$26,{"H";"B";"N"},0),GPUMW_H*ODc_H,GPUMW_B*ODc_B,GPUMW_N*ODc_N)*ResidUtil*Timeline!S$9*INDEX(Curve,1,MAX(1,MIN(8,INT((S$5-$H$26)/4)+1)))/1000000</f>
        <v>0</v>
      </c>
      <c r="T109" s="125" t="n">
        <f aca="false">T108*CHOOSE(MATCH($C$26,{"H";"B";"N"},0),GPUMW_H*ODc_H,GPUMW_B*ODc_B,GPUMW_N*ODc_N)*ResidUtil*Timeline!T$9*INDEX(Curve,1,MAX(1,MIN(8,INT((T$5-$H$26)/4)+1)))/1000000</f>
        <v>0</v>
      </c>
      <c r="U109" s="125" t="n">
        <f aca="false">U108*CHOOSE(MATCH($C$26,{"H";"B";"N"},0),GPUMW_H*ODc_H,GPUMW_B*ODc_B,GPUMW_N*ODc_N)*ResidUtil*Timeline!U$9*INDEX(Curve,1,MAX(1,MIN(8,INT((U$5-$H$26)/4)+1)))/1000000</f>
        <v>0</v>
      </c>
      <c r="V109" s="125" t="n">
        <f aca="false">V108*CHOOSE(MATCH($C$26,{"H";"B";"N"},0),GPUMW_H*ODc_H,GPUMW_B*ODc_B,GPUMW_N*ODc_N)*ResidUtil*Timeline!V$9*INDEX(Curve,1,MAX(1,MIN(8,INT((V$5-$H$26)/4)+1)))/1000000</f>
        <v>0</v>
      </c>
      <c r="W109" s="125" t="n">
        <f aca="false">W108*CHOOSE(MATCH($C$26,{"H";"B";"N"},0),GPUMW_H*ODc_H,GPUMW_B*ODc_B,GPUMW_N*ODc_N)*ResidUtil*Timeline!W$9*INDEX(Curve,1,MAX(1,MIN(8,INT((W$5-$H$26)/4)+1)))/1000000</f>
        <v>0</v>
      </c>
      <c r="X109" s="125" t="n">
        <f aca="false">X108*CHOOSE(MATCH($C$26,{"H";"B";"N"},0),GPUMW_H*ODc_H,GPUMW_B*ODc_B,GPUMW_N*ODc_N)*ResidUtil*Timeline!X$9*INDEX(Curve,1,MAX(1,MIN(8,INT((X$5-$H$26)/4)+1)))/1000000</f>
        <v>0</v>
      </c>
      <c r="Y109" s="125" t="n">
        <f aca="false">Y108*CHOOSE(MATCH($C$26,{"H";"B";"N"},0),GPUMW_H*ODc_H,GPUMW_B*ODc_B,GPUMW_N*ODc_N)*ResidUtil*Timeline!Y$9*INDEX(Curve,1,MAX(1,MIN(8,INT((Y$5-$H$26)/4)+1)))/1000000</f>
        <v>0</v>
      </c>
      <c r="Z109" s="125" t="n">
        <f aca="false">Z108*CHOOSE(MATCH($C$26,{"H";"B";"N"},0),GPUMW_H*ODc_H,GPUMW_B*ODc_B,GPUMW_N*ODc_N)*ResidUtil*Timeline!Z$9*INDEX(Curve,1,MAX(1,MIN(8,INT((Z$5-$H$26)/4)+1)))/1000000</f>
        <v>0</v>
      </c>
      <c r="AA109" s="125" t="n">
        <f aca="false">AA108*CHOOSE(MATCH($C$26,{"H";"B";"N"},0),GPUMW_H*ODc_H,GPUMW_B*ODc_B,GPUMW_N*ODc_N)*ResidUtil*Timeline!AA$9*INDEX(Curve,1,MAX(1,MIN(8,INT((AA$5-$H$26)/4)+1)))/1000000</f>
        <v>0</v>
      </c>
      <c r="AB109" s="125" t="n">
        <f aca="false">AB108*CHOOSE(MATCH($C$26,{"H";"B";"N"},0),GPUMW_H*ODc_H,GPUMW_B*ODc_B,GPUMW_N*ODc_N)*ResidUtil*Timeline!AB$9*INDEX(Curve,1,MAX(1,MIN(8,INT((AB$5-$H$26)/4)+1)))/1000000</f>
        <v>0</v>
      </c>
      <c r="AC109" s="125" t="n">
        <f aca="false">AC108*CHOOSE(MATCH($C$26,{"H";"B";"N"},0),GPUMW_H*ODc_H,GPUMW_B*ODc_B,GPUMW_N*ODc_N)*ResidUtil*Timeline!AC$9*INDEX(Curve,1,MAX(1,MIN(8,INT((AC$5-$H$26)/4)+1)))/1000000</f>
        <v>0</v>
      </c>
      <c r="AD109" s="125" t="n">
        <f aca="false">AD108*CHOOSE(MATCH($C$26,{"H";"B";"N"},0),GPUMW_H*ODc_H,GPUMW_B*ODc_B,GPUMW_N*ODc_N)*ResidUtil*Timeline!AD$9*INDEX(Curve,1,MAX(1,MIN(8,INT((AD$5-$H$26)/4)+1)))/1000000</f>
        <v>0</v>
      </c>
      <c r="AE109" s="125" t="n">
        <f aca="false">AE108*CHOOSE(MATCH($C$26,{"H";"B";"N"},0),GPUMW_H*ODc_H,GPUMW_B*ODc_B,GPUMW_N*ODc_N)*ResidUtil*Timeline!AE$9*INDEX(Curve,1,MAX(1,MIN(8,INT((AE$5-$H$26)/4)+1)))/1000000</f>
        <v>0</v>
      </c>
      <c r="AF109" s="125" t="n">
        <f aca="false">AF108*CHOOSE(MATCH($C$26,{"H";"B";"N"},0),GPUMW_H*ODc_H,GPUMW_B*ODc_B,GPUMW_N*ODc_N)*ResidUtil*Timeline!AF$9*INDEX(Curve,1,MAX(1,MIN(8,INT((AF$5-$H$26)/4)+1)))/1000000</f>
        <v>0</v>
      </c>
      <c r="AG109" s="125" t="n">
        <f aca="false">AG108*CHOOSE(MATCH($C$26,{"H";"B";"N"},0),GPUMW_H*ODc_H,GPUMW_B*ODc_B,GPUMW_N*ODc_N)*ResidUtil*Timeline!AG$9*INDEX(Curve,1,MAX(1,MIN(8,INT((AG$5-$H$26)/4)+1)))/1000000</f>
        <v>0</v>
      </c>
      <c r="AI109" s="125" t="n">
        <f aca="false">SUMIF($F$7:$AG$7,AI$7,$F109:$AG109)</f>
        <v>0</v>
      </c>
      <c r="AJ109" s="125" t="n">
        <f aca="false">SUMIF($F$7:$AG$7,AJ$7,$F109:$AG109)</f>
        <v>0</v>
      </c>
      <c r="AK109" s="125" t="n">
        <f aca="false">SUMIF($F$7:$AG$7,AK$7,$F109:$AG109)</f>
        <v>0</v>
      </c>
      <c r="AL109" s="125" t="n">
        <f aca="false">SUMIF($F$7:$AG$7,AL$7,$F109:$AG109)</f>
        <v>0</v>
      </c>
      <c r="AM109" s="125" t="n">
        <f aca="false">SUMIF($F$7:$AG$7,AM$7,$F109:$AG109)</f>
        <v>0</v>
      </c>
      <c r="AN109" s="125" t="n">
        <f aca="false">SUMIF($F$7:$AG$7,AN$7,$F109:$AG109)</f>
        <v>0</v>
      </c>
      <c r="AO109" s="125" t="n">
        <f aca="false">SUMIF($F$7:$AG$7,AO$7,$F109:$AG109)</f>
        <v>0</v>
      </c>
    </row>
    <row r="110" customFormat="false" ht="15" hidden="false" customHeight="false" outlineLevel="0" collapsed="false">
      <c r="A110" s="107" t="s">
        <v>1950</v>
      </c>
      <c r="B110" s="22" t="s">
        <v>613</v>
      </c>
      <c r="C110" s="22"/>
      <c r="D110" s="22"/>
      <c r="F110" s="124" t="n">
        <f aca="false">(1-$I$27)*(1-$J$27)*$D$27*$E$27/4*MIN(1,MAX(0,(F$5-$H$27+1)/$T$27))*IF(F$5=$H$27,DelivFactor,IF(AND(F$5&gt;$H$27,F$5&lt;$H$27+$F$27),1,IF(F$5=$H$27+$F$27,1-DelivFactor,0)))</f>
        <v>0</v>
      </c>
      <c r="G110" s="124" t="n">
        <f aca="false">(1-$I$27)*(1-$J$27)*$D$27*$E$27/4*MIN(1,MAX(0,(G$5-$H$27+1)/$T$27))*IF(G$5=$H$27,DelivFactor,IF(AND(G$5&gt;$H$27,G$5&lt;$H$27+$F$27),1,IF(G$5=$H$27+$F$27,1-DelivFactor,0)))</f>
        <v>0</v>
      </c>
      <c r="H110" s="124" t="n">
        <f aca="false">(1-$I$27)*(1-$J$27)*$D$27*$E$27/4*MIN(1,MAX(0,(H$5-$H$27+1)/$T$27))*IF(H$5=$H$27,DelivFactor,IF(AND(H$5&gt;$H$27,H$5&lt;$H$27+$F$27),1,IF(H$5=$H$27+$F$27,1-DelivFactor,0)))</f>
        <v>0</v>
      </c>
      <c r="I110" s="124" t="n">
        <f aca="false">(1-$I$27)*(1-$J$27)*$D$27*$E$27/4*MIN(1,MAX(0,(I$5-$H$27+1)/$T$27))*IF(I$5=$H$27,DelivFactor,IF(AND(I$5&gt;$H$27,I$5&lt;$H$27+$F$27),1,IF(I$5=$H$27+$F$27,1-DelivFactor,0)))</f>
        <v>0</v>
      </c>
      <c r="J110" s="124" t="n">
        <f aca="false">(1-$I$27)*(1-$J$27)*$D$27*$E$27/4*MIN(1,MAX(0,(J$5-$H$27+1)/$T$27))*IF(J$5=$H$27,DelivFactor,IF(AND(J$5&gt;$H$27,J$5&lt;$H$27+$F$27),1,IF(J$5=$H$27+$F$27,1-DelivFactor,0)))</f>
        <v>0</v>
      </c>
      <c r="K110" s="124" t="n">
        <f aca="false">(1-$I$27)*(1-$J$27)*$D$27*$E$27/4*MIN(1,MAX(0,(K$5-$H$27+1)/$T$27))*IF(K$5=$H$27,DelivFactor,IF(AND(K$5&gt;$H$27,K$5&lt;$H$27+$F$27),1,IF(K$5=$H$27+$F$27,1-DelivFactor,0)))</f>
        <v>0</v>
      </c>
      <c r="L110" s="124" t="n">
        <f aca="false">(1-$I$27)*(1-$J$27)*$D$27*$E$27/4*MIN(1,MAX(0,(L$5-$H$27+1)/$T$27))*IF(L$5=$H$27,DelivFactor,IF(AND(L$5&gt;$H$27,L$5&lt;$H$27+$F$27),1,IF(L$5=$H$27+$F$27,1-DelivFactor,0)))</f>
        <v>0</v>
      </c>
      <c r="M110" s="124" t="n">
        <f aca="false">(1-$I$27)*(1-$J$27)*$D$27*$E$27/4*MIN(1,MAX(0,(M$5-$H$27+1)/$T$27))*IF(M$5=$H$27,DelivFactor,IF(AND(M$5&gt;$H$27,M$5&lt;$H$27+$F$27),1,IF(M$5=$H$27+$F$27,1-DelivFactor,0)))</f>
        <v>0</v>
      </c>
      <c r="N110" s="124" t="n">
        <f aca="false">(1-$I$27)*(1-$J$27)*$D$27*$E$27/4*MIN(1,MAX(0,(N$5-$H$27+1)/$T$27))*IF(N$5=$H$27,DelivFactor,IF(AND(N$5&gt;$H$27,N$5&lt;$H$27+$F$27),1,IF(N$5=$H$27+$F$27,1-DelivFactor,0)))</f>
        <v>0</v>
      </c>
      <c r="O110" s="124" t="n">
        <f aca="false">(1-$I$27)*(1-$J$27)*$D$27*$E$27/4*MIN(1,MAX(0,(O$5-$H$27+1)/$T$27))*IF(O$5=$H$27,DelivFactor,IF(AND(O$5&gt;$H$27,O$5&lt;$H$27+$F$27),1,IF(O$5=$H$27+$F$27,1-DelivFactor,0)))</f>
        <v>0</v>
      </c>
      <c r="P110" s="125" t="n">
        <f aca="false">(1-$I$27)*(1-$J$27)*$D$27*$E$27/4*MIN(1,MAX(0,(P$5-$H$27+1)/$T$27))*IF(P$5=$H$27,DelivFactor,IF(AND(P$5&gt;$H$27,P$5&lt;$H$27+$F$27),1,IF(P$5=$H$27+$F$27,1-DelivFactor,0)))</f>
        <v>0</v>
      </c>
      <c r="Q110" s="125" t="n">
        <f aca="false">(1-$I$27)*(1-$J$27)*$D$27*$E$27/4*MIN(1,MAX(0,(Q$5-$H$27+1)/$T$27))*IF(Q$5=$H$27,DelivFactor,IF(AND(Q$5&gt;$H$27,Q$5&lt;$H$27+$F$27),1,IF(Q$5=$H$27+$F$27,1-DelivFactor,0)))</f>
        <v>0</v>
      </c>
      <c r="R110" s="125" t="n">
        <f aca="false">(1-$I$27)*(1-$J$27)*$D$27*$E$27/4*MIN(1,MAX(0,(R$5-$H$27+1)/$T$27))*IF(R$5=$H$27,DelivFactor,IF(AND(R$5&gt;$H$27,R$5&lt;$H$27+$F$27),1,IF(R$5=$H$27+$F$27,1-DelivFactor,0)))</f>
        <v>0</v>
      </c>
      <c r="S110" s="125" t="n">
        <f aca="false">(1-$I$27)*(1-$J$27)*$D$27*$E$27/4*MIN(1,MAX(0,(S$5-$H$27+1)/$T$27))*IF(S$5=$H$27,DelivFactor,IF(AND(S$5&gt;$H$27,S$5&lt;$H$27+$F$27),1,IF(S$5=$H$27+$F$27,1-DelivFactor,0)))</f>
        <v>0</v>
      </c>
      <c r="T110" s="125" t="n">
        <f aca="false">(1-$I$27)*(1-$J$27)*$D$27*$E$27/4*MIN(1,MAX(0,(T$5-$H$27+1)/$T$27))*IF(T$5=$H$27,DelivFactor,IF(AND(T$5&gt;$H$27,T$5&lt;$H$27+$F$27),1,IF(T$5=$H$27+$F$27,1-DelivFactor,0)))</f>
        <v>0</v>
      </c>
      <c r="U110" s="125" t="n">
        <f aca="false">(1-$I$27)*(1-$J$27)*$D$27*$E$27/4*MIN(1,MAX(0,(U$5-$H$27+1)/$T$27))*IF(U$5=$H$27,DelivFactor,IF(AND(U$5&gt;$H$27,U$5&lt;$H$27+$F$27),1,IF(U$5=$H$27+$F$27,1-DelivFactor,0)))</f>
        <v>0</v>
      </c>
      <c r="V110" s="125" t="n">
        <f aca="false">(1-$I$27)*(1-$J$27)*$D$27*$E$27/4*MIN(1,MAX(0,(V$5-$H$27+1)/$T$27))*IF(V$5=$H$27,DelivFactor,IF(AND(V$5&gt;$H$27,V$5&lt;$H$27+$F$27),1,IF(V$5=$H$27+$F$27,1-DelivFactor,0)))</f>
        <v>0</v>
      </c>
      <c r="W110" s="125" t="n">
        <f aca="false">(1-$I$27)*(1-$J$27)*$D$27*$E$27/4*MIN(1,MAX(0,(W$5-$H$27+1)/$T$27))*IF(W$5=$H$27,DelivFactor,IF(AND(W$5&gt;$H$27,W$5&lt;$H$27+$F$27),1,IF(W$5=$H$27+$F$27,1-DelivFactor,0)))</f>
        <v>0</v>
      </c>
      <c r="X110" s="125" t="n">
        <f aca="false">(1-$I$27)*(1-$J$27)*$D$27*$E$27/4*MIN(1,MAX(0,(X$5-$H$27+1)/$T$27))*IF(X$5=$H$27,DelivFactor,IF(AND(X$5&gt;$H$27,X$5&lt;$H$27+$F$27),1,IF(X$5=$H$27+$F$27,1-DelivFactor,0)))</f>
        <v>0</v>
      </c>
      <c r="Y110" s="125" t="n">
        <f aca="false">(1-$I$27)*(1-$J$27)*$D$27*$E$27/4*MIN(1,MAX(0,(Y$5-$H$27+1)/$T$27))*IF(Y$5=$H$27,DelivFactor,IF(AND(Y$5&gt;$H$27,Y$5&lt;$H$27+$F$27),1,IF(Y$5=$H$27+$F$27,1-DelivFactor,0)))</f>
        <v>0</v>
      </c>
      <c r="Z110" s="125" t="n">
        <f aca="false">(1-$I$27)*(1-$J$27)*$D$27*$E$27/4*MIN(1,MAX(0,(Z$5-$H$27+1)/$T$27))*IF(Z$5=$H$27,DelivFactor,IF(AND(Z$5&gt;$H$27,Z$5&lt;$H$27+$F$27),1,IF(Z$5=$H$27+$F$27,1-DelivFactor,0)))</f>
        <v>0</v>
      </c>
      <c r="AA110" s="125" t="n">
        <f aca="false">(1-$I$27)*(1-$J$27)*$D$27*$E$27/4*MIN(1,MAX(0,(AA$5-$H$27+1)/$T$27))*IF(AA$5=$H$27,DelivFactor,IF(AND(AA$5&gt;$H$27,AA$5&lt;$H$27+$F$27),1,IF(AA$5=$H$27+$F$27,1-DelivFactor,0)))</f>
        <v>0</v>
      </c>
      <c r="AB110" s="125" t="n">
        <f aca="false">(1-$I$27)*(1-$J$27)*$D$27*$E$27/4*MIN(1,MAX(0,(AB$5-$H$27+1)/$T$27))*IF(AB$5=$H$27,DelivFactor,IF(AND(AB$5&gt;$H$27,AB$5&lt;$H$27+$F$27),1,IF(AB$5=$H$27+$F$27,1-DelivFactor,0)))</f>
        <v>0</v>
      </c>
      <c r="AC110" s="125" t="n">
        <f aca="false">(1-$I$27)*(1-$J$27)*$D$27*$E$27/4*MIN(1,MAX(0,(AC$5-$H$27+1)/$T$27))*IF(AC$5=$H$27,DelivFactor,IF(AND(AC$5&gt;$H$27,AC$5&lt;$H$27+$F$27),1,IF(AC$5=$H$27+$F$27,1-DelivFactor,0)))</f>
        <v>0</v>
      </c>
      <c r="AD110" s="125" t="n">
        <f aca="false">(1-$I$27)*(1-$J$27)*$D$27*$E$27/4*MIN(1,MAX(0,(AD$5-$H$27+1)/$T$27))*IF(AD$5=$H$27,DelivFactor,IF(AND(AD$5&gt;$H$27,AD$5&lt;$H$27+$F$27),1,IF(AD$5=$H$27+$F$27,1-DelivFactor,0)))</f>
        <v>0</v>
      </c>
      <c r="AE110" s="125" t="n">
        <f aca="false">(1-$I$27)*(1-$J$27)*$D$27*$E$27/4*MIN(1,MAX(0,(AE$5-$H$27+1)/$T$27))*IF(AE$5=$H$27,DelivFactor,IF(AND(AE$5&gt;$H$27,AE$5&lt;$H$27+$F$27),1,IF(AE$5=$H$27+$F$27,1-DelivFactor,0)))</f>
        <v>0</v>
      </c>
      <c r="AF110" s="125" t="n">
        <f aca="false">(1-$I$27)*(1-$J$27)*$D$27*$E$27/4*MIN(1,MAX(0,(AF$5-$H$27+1)/$T$27))*IF(AF$5=$H$27,DelivFactor,IF(AND(AF$5&gt;$H$27,AF$5&lt;$H$27+$F$27),1,IF(AF$5=$H$27+$F$27,1-DelivFactor,0)))</f>
        <v>0</v>
      </c>
      <c r="AG110" s="125" t="n">
        <f aca="false">(1-$I$27)*(1-$J$27)*$D$27*$E$27/4*MIN(1,MAX(0,(AG$5-$H$27+1)/$T$27))*IF(AG$5=$H$27,DelivFactor,IF(AND(AG$5&gt;$H$27,AG$5&lt;$H$27+$F$27),1,IF(AG$5=$H$27+$F$27,1-DelivFactor,0)))</f>
        <v>0</v>
      </c>
      <c r="AI110" s="125" t="n">
        <f aca="false">SUMIF($F$7:$AG$7,AI$7,$F110:$AG110)</f>
        <v>0</v>
      </c>
      <c r="AJ110" s="125" t="n">
        <f aca="false">SUMIF($F$7:$AG$7,AJ$7,$F110:$AG110)</f>
        <v>0</v>
      </c>
      <c r="AK110" s="125" t="n">
        <f aca="false">SUMIF($F$7:$AG$7,AK$7,$F110:$AG110)</f>
        <v>0</v>
      </c>
      <c r="AL110" s="125" t="n">
        <f aca="false">SUMIF($F$7:$AG$7,AL$7,$F110:$AG110)</f>
        <v>0</v>
      </c>
      <c r="AM110" s="125" t="n">
        <f aca="false">SUMIF($F$7:$AG$7,AM$7,$F110:$AG110)</f>
        <v>0</v>
      </c>
      <c r="AN110" s="125" t="n">
        <f aca="false">SUMIF($F$7:$AG$7,AN$7,$F110:$AG110)</f>
        <v>0</v>
      </c>
      <c r="AO110" s="125" t="n">
        <f aca="false">SUMIF($F$7:$AG$7,AO$7,$F110:$AG110)</f>
        <v>0</v>
      </c>
    </row>
    <row r="111" customFormat="false" ht="15" hidden="false" customHeight="false" outlineLevel="0" collapsed="false">
      <c r="A111" s="107" t="s">
        <v>1951</v>
      </c>
      <c r="B111" s="22" t="s">
        <v>664</v>
      </c>
      <c r="C111" s="22"/>
      <c r="D111" s="22"/>
      <c r="F111" s="116" t="n">
        <f aca="false">(1-$I$27)*(1-$J$27)*$D$27*AND(F$5&gt;=$H$27,F$5&lt;$H$27+$F$27)</f>
        <v>0</v>
      </c>
      <c r="G111" s="116" t="n">
        <f aca="false">(1-$I$27)*(1-$J$27)*$D$27*AND(G$5&gt;=$H$27,G$5&lt;$H$27+$F$27)</f>
        <v>0</v>
      </c>
      <c r="H111" s="116" t="n">
        <f aca="false">(1-$I$27)*(1-$J$27)*$D$27*AND(H$5&gt;=$H$27,H$5&lt;$H$27+$F$27)</f>
        <v>0</v>
      </c>
      <c r="I111" s="116" t="n">
        <f aca="false">(1-$I$27)*(1-$J$27)*$D$27*AND(I$5&gt;=$H$27,I$5&lt;$H$27+$F$27)</f>
        <v>0</v>
      </c>
      <c r="J111" s="116" t="n">
        <f aca="false">(1-$I$27)*(1-$J$27)*$D$27*AND(J$5&gt;=$H$27,J$5&lt;$H$27+$F$27)</f>
        <v>0</v>
      </c>
      <c r="K111" s="116" t="n">
        <f aca="false">(1-$I$27)*(1-$J$27)*$D$27*AND(K$5&gt;=$H$27,K$5&lt;$H$27+$F$27)</f>
        <v>0</v>
      </c>
      <c r="L111" s="116" t="n">
        <f aca="false">(1-$I$27)*(1-$J$27)*$D$27*AND(L$5&gt;=$H$27,L$5&lt;$H$27+$F$27)</f>
        <v>0</v>
      </c>
      <c r="M111" s="116" t="n">
        <f aca="false">(1-$I$27)*(1-$J$27)*$D$27*AND(M$5&gt;=$H$27,M$5&lt;$H$27+$F$27)</f>
        <v>0</v>
      </c>
      <c r="N111" s="116" t="n">
        <f aca="false">(1-$I$27)*(1-$J$27)*$D$27*AND(N$5&gt;=$H$27,N$5&lt;$H$27+$F$27)</f>
        <v>0</v>
      </c>
      <c r="O111" s="116" t="n">
        <f aca="false">(1-$I$27)*(1-$J$27)*$D$27*AND(O$5&gt;=$H$27,O$5&lt;$H$27+$F$27)</f>
        <v>0</v>
      </c>
      <c r="P111" s="36" t="n">
        <f aca="false">(1-$I$27)*(1-$J$27)*$D$27*AND(P$5&gt;=$H$27,P$5&lt;$H$27+$F$27)</f>
        <v>0</v>
      </c>
      <c r="Q111" s="36" t="n">
        <f aca="false">(1-$I$27)*(1-$J$27)*$D$27*AND(Q$5&gt;=$H$27,Q$5&lt;$H$27+$F$27)</f>
        <v>0</v>
      </c>
      <c r="R111" s="36" t="n">
        <f aca="false">(1-$I$27)*(1-$J$27)*$D$27*AND(R$5&gt;=$H$27,R$5&lt;$H$27+$F$27)</f>
        <v>0</v>
      </c>
      <c r="S111" s="36" t="n">
        <f aca="false">(1-$I$27)*(1-$J$27)*$D$27*AND(S$5&gt;=$H$27,S$5&lt;$H$27+$F$27)</f>
        <v>0</v>
      </c>
      <c r="T111" s="36" t="n">
        <f aca="false">(1-$I$27)*(1-$J$27)*$D$27*AND(T$5&gt;=$H$27,T$5&lt;$H$27+$F$27)</f>
        <v>0</v>
      </c>
      <c r="U111" s="36" t="n">
        <f aca="false">(1-$I$27)*(1-$J$27)*$D$27*AND(U$5&gt;=$H$27,U$5&lt;$H$27+$F$27)</f>
        <v>0</v>
      </c>
      <c r="V111" s="36" t="n">
        <f aca="false">(1-$I$27)*(1-$J$27)*$D$27*AND(V$5&gt;=$H$27,V$5&lt;$H$27+$F$27)</f>
        <v>0</v>
      </c>
      <c r="W111" s="36" t="n">
        <f aca="false">(1-$I$27)*(1-$J$27)*$D$27*AND(W$5&gt;=$H$27,W$5&lt;$H$27+$F$27)</f>
        <v>0</v>
      </c>
      <c r="X111" s="36" t="n">
        <f aca="false">(1-$I$27)*(1-$J$27)*$D$27*AND(X$5&gt;=$H$27,X$5&lt;$H$27+$F$27)</f>
        <v>0</v>
      </c>
      <c r="Y111" s="36" t="n">
        <f aca="false">(1-$I$27)*(1-$J$27)*$D$27*AND(Y$5&gt;=$H$27,Y$5&lt;$H$27+$F$27)</f>
        <v>0</v>
      </c>
      <c r="Z111" s="36" t="n">
        <f aca="false">(1-$I$27)*(1-$J$27)*$D$27*AND(Z$5&gt;=$H$27,Z$5&lt;$H$27+$F$27)</f>
        <v>0</v>
      </c>
      <c r="AA111" s="36" t="n">
        <f aca="false">(1-$I$27)*(1-$J$27)*$D$27*AND(AA$5&gt;=$H$27,AA$5&lt;$H$27+$F$27)</f>
        <v>0</v>
      </c>
      <c r="AB111" s="36" t="n">
        <f aca="false">(1-$I$27)*(1-$J$27)*$D$27*AND(AB$5&gt;=$H$27,AB$5&lt;$H$27+$F$27)</f>
        <v>0</v>
      </c>
      <c r="AC111" s="36" t="n">
        <f aca="false">(1-$I$27)*(1-$J$27)*$D$27*AND(AC$5&gt;=$H$27,AC$5&lt;$H$27+$F$27)</f>
        <v>0</v>
      </c>
      <c r="AD111" s="36" t="n">
        <f aca="false">(1-$I$27)*(1-$J$27)*$D$27*AND(AD$5&gt;=$H$27,AD$5&lt;$H$27+$F$27)</f>
        <v>0</v>
      </c>
      <c r="AE111" s="36" t="n">
        <f aca="false">(1-$I$27)*(1-$J$27)*$D$27*AND(AE$5&gt;=$H$27,AE$5&lt;$H$27+$F$27)</f>
        <v>0</v>
      </c>
      <c r="AF111" s="36" t="n">
        <f aca="false">(1-$I$27)*(1-$J$27)*$D$27*AND(AF$5&gt;=$H$27,AF$5&lt;$H$27+$F$27)</f>
        <v>0</v>
      </c>
      <c r="AG111" s="36" t="n">
        <f aca="false">(1-$I$27)*(1-$J$27)*$D$27*AND(AG$5&gt;=$H$27,AG$5&lt;$H$27+$F$27)</f>
        <v>0</v>
      </c>
      <c r="AI111" s="36" t="n">
        <f aca="false">INDEX($F111:$AG111,1,MATCH(AI$7,$F$7:$AG$7,1))</f>
        <v>0</v>
      </c>
      <c r="AJ111" s="36" t="n">
        <f aca="false">INDEX($F111:$AG111,1,MATCH(AJ$7,$F$7:$AG$7,1))</f>
        <v>0</v>
      </c>
      <c r="AK111" s="36" t="n">
        <f aca="false">INDEX($F111:$AG111,1,MATCH(AK$7,$F$7:$AG$7,1))</f>
        <v>0</v>
      </c>
      <c r="AL111" s="36" t="n">
        <f aca="false">INDEX($F111:$AG111,1,MATCH(AL$7,$F$7:$AG$7,1))</f>
        <v>0</v>
      </c>
      <c r="AM111" s="36" t="n">
        <f aca="false">INDEX($F111:$AG111,1,MATCH(AM$7,$F$7:$AG$7,1))</f>
        <v>0</v>
      </c>
      <c r="AN111" s="36" t="n">
        <f aca="false">INDEX($F111:$AG111,1,MATCH(AN$7,$F$7:$AG$7,1))</f>
        <v>0</v>
      </c>
      <c r="AO111" s="36" t="n">
        <f aca="false">INDEX($F111:$AG111,1,MATCH(AO$7,$F$7:$AG$7,1))</f>
        <v>0</v>
      </c>
    </row>
    <row r="112" customFormat="false" ht="15" hidden="false" customHeight="false" outlineLevel="0" collapsed="false">
      <c r="A112" s="107" t="s">
        <v>1952</v>
      </c>
      <c r="B112" s="22" t="s">
        <v>613</v>
      </c>
      <c r="C112" s="22"/>
      <c r="D112" s="22"/>
      <c r="F112" s="124" t="n">
        <f aca="false">-(1-$I$27)*LD_Pct*$D$27*$E$27/4*AND(F$5&gt;=$G$27,F$5&lt;$H$27)</f>
        <v>-0</v>
      </c>
      <c r="G112" s="124" t="n">
        <f aca="false">-(1-$I$27)*LD_Pct*$D$27*$E$27/4*AND(G$5&gt;=$G$27,G$5&lt;$H$27)</f>
        <v>-0</v>
      </c>
      <c r="H112" s="124" t="n">
        <f aca="false">-(1-$I$27)*LD_Pct*$D$27*$E$27/4*AND(H$5&gt;=$G$27,H$5&lt;$H$27)</f>
        <v>-0</v>
      </c>
      <c r="I112" s="124" t="n">
        <f aca="false">-(1-$I$27)*LD_Pct*$D$27*$E$27/4*AND(I$5&gt;=$G$27,I$5&lt;$H$27)</f>
        <v>-0</v>
      </c>
      <c r="J112" s="124" t="n">
        <f aca="false">-(1-$I$27)*LD_Pct*$D$27*$E$27/4*AND(J$5&gt;=$G$27,J$5&lt;$H$27)</f>
        <v>-0</v>
      </c>
      <c r="K112" s="124" t="n">
        <f aca="false">-(1-$I$27)*LD_Pct*$D$27*$E$27/4*AND(K$5&gt;=$G$27,K$5&lt;$H$27)</f>
        <v>-0</v>
      </c>
      <c r="L112" s="124" t="n">
        <f aca="false">-(1-$I$27)*LD_Pct*$D$27*$E$27/4*AND(L$5&gt;=$G$27,L$5&lt;$H$27)</f>
        <v>-0</v>
      </c>
      <c r="M112" s="124" t="n">
        <f aca="false">-(1-$I$27)*LD_Pct*$D$27*$E$27/4*AND(M$5&gt;=$G$27,M$5&lt;$H$27)</f>
        <v>-0</v>
      </c>
      <c r="N112" s="124" t="n">
        <f aca="false">-(1-$I$27)*LD_Pct*$D$27*$E$27/4*AND(N$5&gt;=$G$27,N$5&lt;$H$27)</f>
        <v>-0</v>
      </c>
      <c r="O112" s="124" t="n">
        <f aca="false">-(1-$I$27)*LD_Pct*$D$27*$E$27/4*AND(O$5&gt;=$G$27,O$5&lt;$H$27)</f>
        <v>-0</v>
      </c>
      <c r="P112" s="125" t="n">
        <f aca="false">-(1-$I$27)*LD_Pct*$D$27*$E$27/4*AND(P$5&gt;=$G$27,P$5&lt;$H$27)</f>
        <v>-0</v>
      </c>
      <c r="Q112" s="125" t="n">
        <f aca="false">-(1-$I$27)*LD_Pct*$D$27*$E$27/4*AND(Q$5&gt;=$G$27,Q$5&lt;$H$27)</f>
        <v>-0</v>
      </c>
      <c r="R112" s="125" t="n">
        <f aca="false">-(1-$I$27)*LD_Pct*$D$27*$E$27/4*AND(R$5&gt;=$G$27,R$5&lt;$H$27)</f>
        <v>-0</v>
      </c>
      <c r="S112" s="125" t="n">
        <f aca="false">-(1-$I$27)*LD_Pct*$D$27*$E$27/4*AND(S$5&gt;=$G$27,S$5&lt;$H$27)</f>
        <v>-0</v>
      </c>
      <c r="T112" s="125" t="n">
        <f aca="false">-(1-$I$27)*LD_Pct*$D$27*$E$27/4*AND(T$5&gt;=$G$27,T$5&lt;$H$27)</f>
        <v>-0</v>
      </c>
      <c r="U112" s="125" t="n">
        <f aca="false">-(1-$I$27)*LD_Pct*$D$27*$E$27/4*AND(U$5&gt;=$G$27,U$5&lt;$H$27)</f>
        <v>-0</v>
      </c>
      <c r="V112" s="125" t="n">
        <f aca="false">-(1-$I$27)*LD_Pct*$D$27*$E$27/4*AND(V$5&gt;=$G$27,V$5&lt;$H$27)</f>
        <v>-0</v>
      </c>
      <c r="W112" s="125" t="n">
        <f aca="false">-(1-$I$27)*LD_Pct*$D$27*$E$27/4*AND(W$5&gt;=$G$27,W$5&lt;$H$27)</f>
        <v>-0</v>
      </c>
      <c r="X112" s="125" t="n">
        <f aca="false">-(1-$I$27)*LD_Pct*$D$27*$E$27/4*AND(X$5&gt;=$G$27,X$5&lt;$H$27)</f>
        <v>-0</v>
      </c>
      <c r="Y112" s="125" t="n">
        <f aca="false">-(1-$I$27)*LD_Pct*$D$27*$E$27/4*AND(Y$5&gt;=$G$27,Y$5&lt;$H$27)</f>
        <v>-0</v>
      </c>
      <c r="Z112" s="125" t="n">
        <f aca="false">-(1-$I$27)*LD_Pct*$D$27*$E$27/4*AND(Z$5&gt;=$G$27,Z$5&lt;$H$27)</f>
        <v>-0</v>
      </c>
      <c r="AA112" s="125" t="n">
        <f aca="false">-(1-$I$27)*LD_Pct*$D$27*$E$27/4*AND(AA$5&gt;=$G$27,AA$5&lt;$H$27)</f>
        <v>-0</v>
      </c>
      <c r="AB112" s="125" t="n">
        <f aca="false">-(1-$I$27)*LD_Pct*$D$27*$E$27/4*AND(AB$5&gt;=$G$27,AB$5&lt;$H$27)</f>
        <v>-0</v>
      </c>
      <c r="AC112" s="125" t="n">
        <f aca="false">-(1-$I$27)*LD_Pct*$D$27*$E$27/4*AND(AC$5&gt;=$G$27,AC$5&lt;$H$27)</f>
        <v>-0</v>
      </c>
      <c r="AD112" s="125" t="n">
        <f aca="false">-(1-$I$27)*LD_Pct*$D$27*$E$27/4*AND(AD$5&gt;=$G$27,AD$5&lt;$H$27)</f>
        <v>-0</v>
      </c>
      <c r="AE112" s="125" t="n">
        <f aca="false">-(1-$I$27)*LD_Pct*$D$27*$E$27/4*AND(AE$5&gt;=$G$27,AE$5&lt;$H$27)</f>
        <v>-0</v>
      </c>
      <c r="AF112" s="125" t="n">
        <f aca="false">-(1-$I$27)*LD_Pct*$D$27*$E$27/4*AND(AF$5&gt;=$G$27,AF$5&lt;$H$27)</f>
        <v>-0</v>
      </c>
      <c r="AG112" s="125" t="n">
        <f aca="false">-(1-$I$27)*LD_Pct*$D$27*$E$27/4*AND(AG$5&gt;=$G$27,AG$5&lt;$H$27)</f>
        <v>-0</v>
      </c>
      <c r="AI112" s="125" t="n">
        <f aca="false">SUMIF($F$7:$AG$7,AI$7,$F112:$AG112)</f>
        <v>0</v>
      </c>
      <c r="AJ112" s="125" t="n">
        <f aca="false">SUMIF($F$7:$AG$7,AJ$7,$F112:$AG112)</f>
        <v>0</v>
      </c>
      <c r="AK112" s="125" t="n">
        <f aca="false">SUMIF($F$7:$AG$7,AK$7,$F112:$AG112)</f>
        <v>0</v>
      </c>
      <c r="AL112" s="125" t="n">
        <f aca="false">SUMIF($F$7:$AG$7,AL$7,$F112:$AG112)</f>
        <v>0</v>
      </c>
      <c r="AM112" s="125" t="n">
        <f aca="false">SUMIF($F$7:$AG$7,AM$7,$F112:$AG112)</f>
        <v>0</v>
      </c>
      <c r="AN112" s="125" t="n">
        <f aca="false">SUMIF($F$7:$AG$7,AN$7,$F112:$AG112)</f>
        <v>0</v>
      </c>
      <c r="AO112" s="125" t="n">
        <f aca="false">SUMIF($F$7:$AG$7,AO$7,$F112:$AG112)</f>
        <v>0</v>
      </c>
    </row>
    <row r="113" customFormat="false" ht="15" hidden="false" customHeight="false" outlineLevel="0" collapsed="false">
      <c r="A113" s="107" t="s">
        <v>1953</v>
      </c>
      <c r="B113" s="22" t="s">
        <v>664</v>
      </c>
      <c r="C113" s="22"/>
      <c r="D113" s="22"/>
      <c r="F113" s="116" t="n">
        <f aca="false">(1-$I$27)*(1-$J$27)*$D$27*(F$5&gt;=$H$27+$F$27)</f>
        <v>0</v>
      </c>
      <c r="G113" s="116" t="n">
        <f aca="false">(1-$I$27)*(1-$J$27)*$D$27*(G$5&gt;=$H$27+$F$27)</f>
        <v>0</v>
      </c>
      <c r="H113" s="116" t="n">
        <f aca="false">(1-$I$27)*(1-$J$27)*$D$27*(H$5&gt;=$H$27+$F$27)</f>
        <v>0</v>
      </c>
      <c r="I113" s="116" t="n">
        <f aca="false">(1-$I$27)*(1-$J$27)*$D$27*(I$5&gt;=$H$27+$F$27)</f>
        <v>0</v>
      </c>
      <c r="J113" s="116" t="n">
        <f aca="false">(1-$I$27)*(1-$J$27)*$D$27*(J$5&gt;=$H$27+$F$27)</f>
        <v>0</v>
      </c>
      <c r="K113" s="116" t="n">
        <f aca="false">(1-$I$27)*(1-$J$27)*$D$27*(K$5&gt;=$H$27+$F$27)</f>
        <v>0</v>
      </c>
      <c r="L113" s="116" t="n">
        <f aca="false">(1-$I$27)*(1-$J$27)*$D$27*(L$5&gt;=$H$27+$F$27)</f>
        <v>0</v>
      </c>
      <c r="M113" s="116" t="n">
        <f aca="false">(1-$I$27)*(1-$J$27)*$D$27*(M$5&gt;=$H$27+$F$27)</f>
        <v>0</v>
      </c>
      <c r="N113" s="116" t="n">
        <f aca="false">(1-$I$27)*(1-$J$27)*$D$27*(N$5&gt;=$H$27+$F$27)</f>
        <v>0</v>
      </c>
      <c r="O113" s="116" t="n">
        <f aca="false">(1-$I$27)*(1-$J$27)*$D$27*(O$5&gt;=$H$27+$F$27)</f>
        <v>0</v>
      </c>
      <c r="P113" s="36" t="n">
        <f aca="false">(1-$I$27)*(1-$J$27)*$D$27*(P$5&gt;=$H$27+$F$27)</f>
        <v>0</v>
      </c>
      <c r="Q113" s="36" t="n">
        <f aca="false">(1-$I$27)*(1-$J$27)*$D$27*(Q$5&gt;=$H$27+$F$27)</f>
        <v>0</v>
      </c>
      <c r="R113" s="36" t="n">
        <f aca="false">(1-$I$27)*(1-$J$27)*$D$27*(R$5&gt;=$H$27+$F$27)</f>
        <v>0</v>
      </c>
      <c r="S113" s="36" t="n">
        <f aca="false">(1-$I$27)*(1-$J$27)*$D$27*(S$5&gt;=$H$27+$F$27)</f>
        <v>0</v>
      </c>
      <c r="T113" s="36" t="n">
        <f aca="false">(1-$I$27)*(1-$J$27)*$D$27*(T$5&gt;=$H$27+$F$27)</f>
        <v>0</v>
      </c>
      <c r="U113" s="36" t="n">
        <f aca="false">(1-$I$27)*(1-$J$27)*$D$27*(U$5&gt;=$H$27+$F$27)</f>
        <v>0</v>
      </c>
      <c r="V113" s="36" t="n">
        <f aca="false">(1-$I$27)*(1-$J$27)*$D$27*(V$5&gt;=$H$27+$F$27)</f>
        <v>0</v>
      </c>
      <c r="W113" s="36" t="n">
        <f aca="false">(1-$I$27)*(1-$J$27)*$D$27*(W$5&gt;=$H$27+$F$27)</f>
        <v>0</v>
      </c>
      <c r="X113" s="36" t="n">
        <f aca="false">(1-$I$27)*(1-$J$27)*$D$27*(X$5&gt;=$H$27+$F$27)</f>
        <v>0</v>
      </c>
      <c r="Y113" s="36" t="n">
        <f aca="false">(1-$I$27)*(1-$J$27)*$D$27*(Y$5&gt;=$H$27+$F$27)</f>
        <v>0</v>
      </c>
      <c r="Z113" s="36" t="n">
        <f aca="false">(1-$I$27)*(1-$J$27)*$D$27*(Z$5&gt;=$H$27+$F$27)</f>
        <v>0</v>
      </c>
      <c r="AA113" s="36" t="n">
        <f aca="false">(1-$I$27)*(1-$J$27)*$D$27*(AA$5&gt;=$H$27+$F$27)</f>
        <v>0</v>
      </c>
      <c r="AB113" s="36" t="n">
        <f aca="false">(1-$I$27)*(1-$J$27)*$D$27*(AB$5&gt;=$H$27+$F$27)</f>
        <v>0</v>
      </c>
      <c r="AC113" s="36" t="n">
        <f aca="false">(1-$I$27)*(1-$J$27)*$D$27*(AC$5&gt;=$H$27+$F$27)</f>
        <v>0</v>
      </c>
      <c r="AD113" s="36" t="n">
        <f aca="false">(1-$I$27)*(1-$J$27)*$D$27*(AD$5&gt;=$H$27+$F$27)</f>
        <v>0</v>
      </c>
      <c r="AE113" s="36" t="n">
        <f aca="false">(1-$I$27)*(1-$J$27)*$D$27*(AE$5&gt;=$H$27+$F$27)</f>
        <v>0</v>
      </c>
      <c r="AF113" s="36" t="n">
        <f aca="false">(1-$I$27)*(1-$J$27)*$D$27*(AF$5&gt;=$H$27+$F$27)</f>
        <v>0</v>
      </c>
      <c r="AG113" s="36" t="n">
        <f aca="false">(1-$I$27)*(1-$J$27)*$D$27*(AG$5&gt;=$H$27+$F$27)</f>
        <v>0</v>
      </c>
      <c r="AI113" s="36" t="n">
        <f aca="false">INDEX($F113:$AG113,1,MATCH(AI$7,$F$7:$AG$7,1))</f>
        <v>0</v>
      </c>
      <c r="AJ113" s="36" t="n">
        <f aca="false">INDEX($F113:$AG113,1,MATCH(AJ$7,$F$7:$AG$7,1))</f>
        <v>0</v>
      </c>
      <c r="AK113" s="36" t="n">
        <f aca="false">INDEX($F113:$AG113,1,MATCH(AK$7,$F$7:$AG$7,1))</f>
        <v>0</v>
      </c>
      <c r="AL113" s="36" t="n">
        <f aca="false">INDEX($F113:$AG113,1,MATCH(AL$7,$F$7:$AG$7,1))</f>
        <v>0</v>
      </c>
      <c r="AM113" s="36" t="n">
        <f aca="false">INDEX($F113:$AG113,1,MATCH(AM$7,$F$7:$AG$7,1))</f>
        <v>0</v>
      </c>
      <c r="AN113" s="36" t="n">
        <f aca="false">INDEX($F113:$AG113,1,MATCH(AN$7,$F$7:$AG$7,1))</f>
        <v>0</v>
      </c>
      <c r="AO113" s="36" t="n">
        <f aca="false">INDEX($F113:$AG113,1,MATCH(AO$7,$F$7:$AG$7,1))</f>
        <v>0</v>
      </c>
    </row>
    <row r="114" customFormat="false" ht="15" hidden="false" customHeight="false" outlineLevel="0" collapsed="false">
      <c r="A114" s="107" t="s">
        <v>1954</v>
      </c>
      <c r="B114" s="22" t="s">
        <v>613</v>
      </c>
      <c r="C114" s="22"/>
      <c r="D114" s="22" t="s">
        <v>1879</v>
      </c>
      <c r="F114" s="124" t="n">
        <f aca="false">F113*CHOOSE(MATCH($C$27,{"H";"B";"N"},0),GPUMW_H*ODc_H,GPUMW_B*ODc_B,GPUMW_N*ODc_N)*ResidUtil*Timeline!F$9*INDEX(Curve,1,MAX(1,MIN(8,INT((F$5-$H$27)/4)+1)))/1000000</f>
        <v>0</v>
      </c>
      <c r="G114" s="124" t="n">
        <f aca="false">G113*CHOOSE(MATCH($C$27,{"H";"B";"N"},0),GPUMW_H*ODc_H,GPUMW_B*ODc_B,GPUMW_N*ODc_N)*ResidUtil*Timeline!G$9*INDEX(Curve,1,MAX(1,MIN(8,INT((G$5-$H$27)/4)+1)))/1000000</f>
        <v>0</v>
      </c>
      <c r="H114" s="124" t="n">
        <f aca="false">H113*CHOOSE(MATCH($C$27,{"H";"B";"N"},0),GPUMW_H*ODc_H,GPUMW_B*ODc_B,GPUMW_N*ODc_N)*ResidUtil*Timeline!H$9*INDEX(Curve,1,MAX(1,MIN(8,INT((H$5-$H$27)/4)+1)))/1000000</f>
        <v>0</v>
      </c>
      <c r="I114" s="124" t="n">
        <f aca="false">I113*CHOOSE(MATCH($C$27,{"H";"B";"N"},0),GPUMW_H*ODc_H,GPUMW_B*ODc_B,GPUMW_N*ODc_N)*ResidUtil*Timeline!I$9*INDEX(Curve,1,MAX(1,MIN(8,INT((I$5-$H$27)/4)+1)))/1000000</f>
        <v>0</v>
      </c>
      <c r="J114" s="124" t="n">
        <f aca="false">J113*CHOOSE(MATCH($C$27,{"H";"B";"N"},0),GPUMW_H*ODc_H,GPUMW_B*ODc_B,GPUMW_N*ODc_N)*ResidUtil*Timeline!J$9*INDEX(Curve,1,MAX(1,MIN(8,INT((J$5-$H$27)/4)+1)))/1000000</f>
        <v>0</v>
      </c>
      <c r="K114" s="124" t="n">
        <f aca="false">K113*CHOOSE(MATCH($C$27,{"H";"B";"N"},0),GPUMW_H*ODc_H,GPUMW_B*ODc_B,GPUMW_N*ODc_N)*ResidUtil*Timeline!K$9*INDEX(Curve,1,MAX(1,MIN(8,INT((K$5-$H$27)/4)+1)))/1000000</f>
        <v>0</v>
      </c>
      <c r="L114" s="124" t="n">
        <f aca="false">L113*CHOOSE(MATCH($C$27,{"H";"B";"N"},0),GPUMW_H*ODc_H,GPUMW_B*ODc_B,GPUMW_N*ODc_N)*ResidUtil*Timeline!L$9*INDEX(Curve,1,MAX(1,MIN(8,INT((L$5-$H$27)/4)+1)))/1000000</f>
        <v>0</v>
      </c>
      <c r="M114" s="124" t="n">
        <f aca="false">M113*CHOOSE(MATCH($C$27,{"H";"B";"N"},0),GPUMW_H*ODc_H,GPUMW_B*ODc_B,GPUMW_N*ODc_N)*ResidUtil*Timeline!M$9*INDEX(Curve,1,MAX(1,MIN(8,INT((M$5-$H$27)/4)+1)))/1000000</f>
        <v>0</v>
      </c>
      <c r="N114" s="124" t="n">
        <f aca="false">N113*CHOOSE(MATCH($C$27,{"H";"B";"N"},0),GPUMW_H*ODc_H,GPUMW_B*ODc_B,GPUMW_N*ODc_N)*ResidUtil*Timeline!N$9*INDEX(Curve,1,MAX(1,MIN(8,INT((N$5-$H$27)/4)+1)))/1000000</f>
        <v>0</v>
      </c>
      <c r="O114" s="124" t="n">
        <f aca="false">O113*CHOOSE(MATCH($C$27,{"H";"B";"N"},0),GPUMW_H*ODc_H,GPUMW_B*ODc_B,GPUMW_N*ODc_N)*ResidUtil*Timeline!O$9*INDEX(Curve,1,MAX(1,MIN(8,INT((O$5-$H$27)/4)+1)))/1000000</f>
        <v>0</v>
      </c>
      <c r="P114" s="125" t="n">
        <f aca="false">P113*CHOOSE(MATCH($C$27,{"H";"B";"N"},0),GPUMW_H*ODc_H,GPUMW_B*ODc_B,GPUMW_N*ODc_N)*ResidUtil*Timeline!P$9*INDEX(Curve,1,MAX(1,MIN(8,INT((P$5-$H$27)/4)+1)))/1000000</f>
        <v>0</v>
      </c>
      <c r="Q114" s="125" t="n">
        <f aca="false">Q113*CHOOSE(MATCH($C$27,{"H";"B";"N"},0),GPUMW_H*ODc_H,GPUMW_B*ODc_B,GPUMW_N*ODc_N)*ResidUtil*Timeline!Q$9*INDEX(Curve,1,MAX(1,MIN(8,INT((Q$5-$H$27)/4)+1)))/1000000</f>
        <v>0</v>
      </c>
      <c r="R114" s="125" t="n">
        <f aca="false">R113*CHOOSE(MATCH($C$27,{"H";"B";"N"},0),GPUMW_H*ODc_H,GPUMW_B*ODc_B,GPUMW_N*ODc_N)*ResidUtil*Timeline!R$9*INDEX(Curve,1,MAX(1,MIN(8,INT((R$5-$H$27)/4)+1)))/1000000</f>
        <v>0</v>
      </c>
      <c r="S114" s="125" t="n">
        <f aca="false">S113*CHOOSE(MATCH($C$27,{"H";"B";"N"},0),GPUMW_H*ODc_H,GPUMW_B*ODc_B,GPUMW_N*ODc_N)*ResidUtil*Timeline!S$9*INDEX(Curve,1,MAX(1,MIN(8,INT((S$5-$H$27)/4)+1)))/1000000</f>
        <v>0</v>
      </c>
      <c r="T114" s="125" t="n">
        <f aca="false">T113*CHOOSE(MATCH($C$27,{"H";"B";"N"},0),GPUMW_H*ODc_H,GPUMW_B*ODc_B,GPUMW_N*ODc_N)*ResidUtil*Timeline!T$9*INDEX(Curve,1,MAX(1,MIN(8,INT((T$5-$H$27)/4)+1)))/1000000</f>
        <v>0</v>
      </c>
      <c r="U114" s="125" t="n">
        <f aca="false">U113*CHOOSE(MATCH($C$27,{"H";"B";"N"},0),GPUMW_H*ODc_H,GPUMW_B*ODc_B,GPUMW_N*ODc_N)*ResidUtil*Timeline!U$9*INDEX(Curve,1,MAX(1,MIN(8,INT((U$5-$H$27)/4)+1)))/1000000</f>
        <v>0</v>
      </c>
      <c r="V114" s="125" t="n">
        <f aca="false">V113*CHOOSE(MATCH($C$27,{"H";"B";"N"},0),GPUMW_H*ODc_H,GPUMW_B*ODc_B,GPUMW_N*ODc_N)*ResidUtil*Timeline!V$9*INDEX(Curve,1,MAX(1,MIN(8,INT((V$5-$H$27)/4)+1)))/1000000</f>
        <v>0</v>
      </c>
      <c r="W114" s="125" t="n">
        <f aca="false">W113*CHOOSE(MATCH($C$27,{"H";"B";"N"},0),GPUMW_H*ODc_H,GPUMW_B*ODc_B,GPUMW_N*ODc_N)*ResidUtil*Timeline!W$9*INDEX(Curve,1,MAX(1,MIN(8,INT((W$5-$H$27)/4)+1)))/1000000</f>
        <v>0</v>
      </c>
      <c r="X114" s="125" t="n">
        <f aca="false">X113*CHOOSE(MATCH($C$27,{"H";"B";"N"},0),GPUMW_H*ODc_H,GPUMW_B*ODc_B,GPUMW_N*ODc_N)*ResidUtil*Timeline!X$9*INDEX(Curve,1,MAX(1,MIN(8,INT((X$5-$H$27)/4)+1)))/1000000</f>
        <v>0</v>
      </c>
      <c r="Y114" s="125" t="n">
        <f aca="false">Y113*CHOOSE(MATCH($C$27,{"H";"B";"N"},0),GPUMW_H*ODc_H,GPUMW_B*ODc_B,GPUMW_N*ODc_N)*ResidUtil*Timeline!Y$9*INDEX(Curve,1,MAX(1,MIN(8,INT((Y$5-$H$27)/4)+1)))/1000000</f>
        <v>0</v>
      </c>
      <c r="Z114" s="125" t="n">
        <f aca="false">Z113*CHOOSE(MATCH($C$27,{"H";"B";"N"},0),GPUMW_H*ODc_H,GPUMW_B*ODc_B,GPUMW_N*ODc_N)*ResidUtil*Timeline!Z$9*INDEX(Curve,1,MAX(1,MIN(8,INT((Z$5-$H$27)/4)+1)))/1000000</f>
        <v>0</v>
      </c>
      <c r="AA114" s="125" t="n">
        <f aca="false">AA113*CHOOSE(MATCH($C$27,{"H";"B";"N"},0),GPUMW_H*ODc_H,GPUMW_B*ODc_B,GPUMW_N*ODc_N)*ResidUtil*Timeline!AA$9*INDEX(Curve,1,MAX(1,MIN(8,INT((AA$5-$H$27)/4)+1)))/1000000</f>
        <v>0</v>
      </c>
      <c r="AB114" s="125" t="n">
        <f aca="false">AB113*CHOOSE(MATCH($C$27,{"H";"B";"N"},0),GPUMW_H*ODc_H,GPUMW_B*ODc_B,GPUMW_N*ODc_N)*ResidUtil*Timeline!AB$9*INDEX(Curve,1,MAX(1,MIN(8,INT((AB$5-$H$27)/4)+1)))/1000000</f>
        <v>0</v>
      </c>
      <c r="AC114" s="125" t="n">
        <f aca="false">AC113*CHOOSE(MATCH($C$27,{"H";"B";"N"},0),GPUMW_H*ODc_H,GPUMW_B*ODc_B,GPUMW_N*ODc_N)*ResidUtil*Timeline!AC$9*INDEX(Curve,1,MAX(1,MIN(8,INT((AC$5-$H$27)/4)+1)))/1000000</f>
        <v>0</v>
      </c>
      <c r="AD114" s="125" t="n">
        <f aca="false">AD113*CHOOSE(MATCH($C$27,{"H";"B";"N"},0),GPUMW_H*ODc_H,GPUMW_B*ODc_B,GPUMW_N*ODc_N)*ResidUtil*Timeline!AD$9*INDEX(Curve,1,MAX(1,MIN(8,INT((AD$5-$H$27)/4)+1)))/1000000</f>
        <v>0</v>
      </c>
      <c r="AE114" s="125" t="n">
        <f aca="false">AE113*CHOOSE(MATCH($C$27,{"H";"B";"N"},0),GPUMW_H*ODc_H,GPUMW_B*ODc_B,GPUMW_N*ODc_N)*ResidUtil*Timeline!AE$9*INDEX(Curve,1,MAX(1,MIN(8,INT((AE$5-$H$27)/4)+1)))/1000000</f>
        <v>0</v>
      </c>
      <c r="AF114" s="125" t="n">
        <f aca="false">AF113*CHOOSE(MATCH($C$27,{"H";"B";"N"},0),GPUMW_H*ODc_H,GPUMW_B*ODc_B,GPUMW_N*ODc_N)*ResidUtil*Timeline!AF$9*INDEX(Curve,1,MAX(1,MIN(8,INT((AF$5-$H$27)/4)+1)))/1000000</f>
        <v>0</v>
      </c>
      <c r="AG114" s="125" t="n">
        <f aca="false">AG113*CHOOSE(MATCH($C$27,{"H";"B";"N"},0),GPUMW_H*ODc_H,GPUMW_B*ODc_B,GPUMW_N*ODc_N)*ResidUtil*Timeline!AG$9*INDEX(Curve,1,MAX(1,MIN(8,INT((AG$5-$H$27)/4)+1)))/1000000</f>
        <v>0</v>
      </c>
      <c r="AI114" s="125" t="n">
        <f aca="false">SUMIF($F$7:$AG$7,AI$7,$F114:$AG114)</f>
        <v>0</v>
      </c>
      <c r="AJ114" s="125" t="n">
        <f aca="false">SUMIF($F$7:$AG$7,AJ$7,$F114:$AG114)</f>
        <v>0</v>
      </c>
      <c r="AK114" s="125" t="n">
        <f aca="false">SUMIF($F$7:$AG$7,AK$7,$F114:$AG114)</f>
        <v>0</v>
      </c>
      <c r="AL114" s="125" t="n">
        <f aca="false">SUMIF($F$7:$AG$7,AL$7,$F114:$AG114)</f>
        <v>0</v>
      </c>
      <c r="AM114" s="125" t="n">
        <f aca="false">SUMIF($F$7:$AG$7,AM$7,$F114:$AG114)</f>
        <v>0</v>
      </c>
      <c r="AN114" s="125" t="n">
        <f aca="false">SUMIF($F$7:$AG$7,AN$7,$F114:$AG114)</f>
        <v>0</v>
      </c>
      <c r="AO114" s="125" t="n">
        <f aca="false">SUMIF($F$7:$AG$7,AO$7,$F114:$AG114)</f>
        <v>0</v>
      </c>
    </row>
    <row r="115" customFormat="false" ht="15" hidden="false" customHeight="false" outlineLevel="0" collapsed="false">
      <c r="A115" s="107" t="s">
        <v>1955</v>
      </c>
      <c r="B115" s="22" t="s">
        <v>613</v>
      </c>
      <c r="C115" s="22"/>
      <c r="D115" s="22"/>
      <c r="F115" s="124" t="n">
        <f aca="false">(1-$I$28)*(1-$J$28)*$D$28*$E$28/4*MIN(1,MAX(0,(F$5-$H$28+1)/$T$28))*IF(F$5=$H$28,DelivFactor,IF(AND(F$5&gt;$H$28,F$5&lt;$H$28+$F$28),1,IF(F$5=$H$28+$F$28,1-DelivFactor,0)))</f>
        <v>0</v>
      </c>
      <c r="G115" s="124" t="n">
        <f aca="false">(1-$I$28)*(1-$J$28)*$D$28*$E$28/4*MIN(1,MAX(0,(G$5-$H$28+1)/$T$28))*IF(G$5=$H$28,DelivFactor,IF(AND(G$5&gt;$H$28,G$5&lt;$H$28+$F$28),1,IF(G$5=$H$28+$F$28,1-DelivFactor,0)))</f>
        <v>0</v>
      </c>
      <c r="H115" s="124" t="n">
        <f aca="false">(1-$I$28)*(1-$J$28)*$D$28*$E$28/4*MIN(1,MAX(0,(H$5-$H$28+1)/$T$28))*IF(H$5=$H$28,DelivFactor,IF(AND(H$5&gt;$H$28,H$5&lt;$H$28+$F$28),1,IF(H$5=$H$28+$F$28,1-DelivFactor,0)))</f>
        <v>0</v>
      </c>
      <c r="I115" s="124" t="n">
        <f aca="false">(1-$I$28)*(1-$J$28)*$D$28*$E$28/4*MIN(1,MAX(0,(I$5-$H$28+1)/$T$28))*IF(I$5=$H$28,DelivFactor,IF(AND(I$5&gt;$H$28,I$5&lt;$H$28+$F$28),1,IF(I$5=$H$28+$F$28,1-DelivFactor,0)))</f>
        <v>0</v>
      </c>
      <c r="J115" s="124" t="n">
        <f aca="false">(1-$I$28)*(1-$J$28)*$D$28*$E$28/4*MIN(1,MAX(0,(J$5-$H$28+1)/$T$28))*IF(J$5=$H$28,DelivFactor,IF(AND(J$5&gt;$H$28,J$5&lt;$H$28+$F$28),1,IF(J$5=$H$28+$F$28,1-DelivFactor,0)))</f>
        <v>0</v>
      </c>
      <c r="K115" s="124" t="n">
        <f aca="false">(1-$I$28)*(1-$J$28)*$D$28*$E$28/4*MIN(1,MAX(0,(K$5-$H$28+1)/$T$28))*IF(K$5=$H$28,DelivFactor,IF(AND(K$5&gt;$H$28,K$5&lt;$H$28+$F$28),1,IF(K$5=$H$28+$F$28,1-DelivFactor,0)))</f>
        <v>0</v>
      </c>
      <c r="L115" s="124" t="n">
        <f aca="false">(1-$I$28)*(1-$J$28)*$D$28*$E$28/4*MIN(1,MAX(0,(L$5-$H$28+1)/$T$28))*IF(L$5=$H$28,DelivFactor,IF(AND(L$5&gt;$H$28,L$5&lt;$H$28+$F$28),1,IF(L$5=$H$28+$F$28,1-DelivFactor,0)))</f>
        <v>0</v>
      </c>
      <c r="M115" s="124" t="n">
        <f aca="false">(1-$I$28)*(1-$J$28)*$D$28*$E$28/4*MIN(1,MAX(0,(M$5-$H$28+1)/$T$28))*IF(M$5=$H$28,DelivFactor,IF(AND(M$5&gt;$H$28,M$5&lt;$H$28+$F$28),1,IF(M$5=$H$28+$F$28,1-DelivFactor,0)))</f>
        <v>0</v>
      </c>
      <c r="N115" s="124" t="n">
        <f aca="false">(1-$I$28)*(1-$J$28)*$D$28*$E$28/4*MIN(1,MAX(0,(N$5-$H$28+1)/$T$28))*IF(N$5=$H$28,DelivFactor,IF(AND(N$5&gt;$H$28,N$5&lt;$H$28+$F$28),1,IF(N$5=$H$28+$F$28,1-DelivFactor,0)))</f>
        <v>0</v>
      </c>
      <c r="O115" s="124" t="n">
        <f aca="false">(1-$I$28)*(1-$J$28)*$D$28*$E$28/4*MIN(1,MAX(0,(O$5-$H$28+1)/$T$28))*IF(O$5=$H$28,DelivFactor,IF(AND(O$5&gt;$H$28,O$5&lt;$H$28+$F$28),1,IF(O$5=$H$28+$F$28,1-DelivFactor,0)))</f>
        <v>0</v>
      </c>
      <c r="P115" s="125" t="n">
        <f aca="false">(1-$I$28)*(1-$J$28)*$D$28*$E$28/4*MIN(1,MAX(0,(P$5-$H$28+1)/$T$28))*IF(P$5=$H$28,DelivFactor,IF(AND(P$5&gt;$H$28,P$5&lt;$H$28+$F$28),1,IF(P$5=$H$28+$F$28,1-DelivFactor,0)))</f>
        <v>0</v>
      </c>
      <c r="Q115" s="125" t="n">
        <f aca="false">(1-$I$28)*(1-$J$28)*$D$28*$E$28/4*MIN(1,MAX(0,(Q$5-$H$28+1)/$T$28))*IF(Q$5=$H$28,DelivFactor,IF(AND(Q$5&gt;$H$28,Q$5&lt;$H$28+$F$28),1,IF(Q$5=$H$28+$F$28,1-DelivFactor,0)))</f>
        <v>0</v>
      </c>
      <c r="R115" s="125" t="n">
        <f aca="false">(1-$I$28)*(1-$J$28)*$D$28*$E$28/4*MIN(1,MAX(0,(R$5-$H$28+1)/$T$28))*IF(R$5=$H$28,DelivFactor,IF(AND(R$5&gt;$H$28,R$5&lt;$H$28+$F$28),1,IF(R$5=$H$28+$F$28,1-DelivFactor,0)))</f>
        <v>0</v>
      </c>
      <c r="S115" s="125" t="n">
        <f aca="false">(1-$I$28)*(1-$J$28)*$D$28*$E$28/4*MIN(1,MAX(0,(S$5-$H$28+1)/$T$28))*IF(S$5=$H$28,DelivFactor,IF(AND(S$5&gt;$H$28,S$5&lt;$H$28+$F$28),1,IF(S$5=$H$28+$F$28,1-DelivFactor,0)))</f>
        <v>0</v>
      </c>
      <c r="T115" s="125" t="n">
        <f aca="false">(1-$I$28)*(1-$J$28)*$D$28*$E$28/4*MIN(1,MAX(0,(T$5-$H$28+1)/$T$28))*IF(T$5=$H$28,DelivFactor,IF(AND(T$5&gt;$H$28,T$5&lt;$H$28+$F$28),1,IF(T$5=$H$28+$F$28,1-DelivFactor,0)))</f>
        <v>0</v>
      </c>
      <c r="U115" s="125" t="n">
        <f aca="false">(1-$I$28)*(1-$J$28)*$D$28*$E$28/4*MIN(1,MAX(0,(U$5-$H$28+1)/$T$28))*IF(U$5=$H$28,DelivFactor,IF(AND(U$5&gt;$H$28,U$5&lt;$H$28+$F$28),1,IF(U$5=$H$28+$F$28,1-DelivFactor,0)))</f>
        <v>0</v>
      </c>
      <c r="V115" s="125" t="n">
        <f aca="false">(1-$I$28)*(1-$J$28)*$D$28*$E$28/4*MIN(1,MAX(0,(V$5-$H$28+1)/$T$28))*IF(V$5=$H$28,DelivFactor,IF(AND(V$5&gt;$H$28,V$5&lt;$H$28+$F$28),1,IF(V$5=$H$28+$F$28,1-DelivFactor,0)))</f>
        <v>0</v>
      </c>
      <c r="W115" s="125" t="n">
        <f aca="false">(1-$I$28)*(1-$J$28)*$D$28*$E$28/4*MIN(1,MAX(0,(W$5-$H$28+1)/$T$28))*IF(W$5=$H$28,DelivFactor,IF(AND(W$5&gt;$H$28,W$5&lt;$H$28+$F$28),1,IF(W$5=$H$28+$F$28,1-DelivFactor,0)))</f>
        <v>0</v>
      </c>
      <c r="X115" s="125" t="n">
        <f aca="false">(1-$I$28)*(1-$J$28)*$D$28*$E$28/4*MIN(1,MAX(0,(X$5-$H$28+1)/$T$28))*IF(X$5=$H$28,DelivFactor,IF(AND(X$5&gt;$H$28,X$5&lt;$H$28+$F$28),1,IF(X$5=$H$28+$F$28,1-DelivFactor,0)))</f>
        <v>0</v>
      </c>
      <c r="Y115" s="125" t="n">
        <f aca="false">(1-$I$28)*(1-$J$28)*$D$28*$E$28/4*MIN(1,MAX(0,(Y$5-$H$28+1)/$T$28))*IF(Y$5=$H$28,DelivFactor,IF(AND(Y$5&gt;$H$28,Y$5&lt;$H$28+$F$28),1,IF(Y$5=$H$28+$F$28,1-DelivFactor,0)))</f>
        <v>0</v>
      </c>
      <c r="Z115" s="125" t="n">
        <f aca="false">(1-$I$28)*(1-$J$28)*$D$28*$E$28/4*MIN(1,MAX(0,(Z$5-$H$28+1)/$T$28))*IF(Z$5=$H$28,DelivFactor,IF(AND(Z$5&gt;$H$28,Z$5&lt;$H$28+$F$28),1,IF(Z$5=$H$28+$F$28,1-DelivFactor,0)))</f>
        <v>0</v>
      </c>
      <c r="AA115" s="125" t="n">
        <f aca="false">(1-$I$28)*(1-$J$28)*$D$28*$E$28/4*MIN(1,MAX(0,(AA$5-$H$28+1)/$T$28))*IF(AA$5=$H$28,DelivFactor,IF(AND(AA$5&gt;$H$28,AA$5&lt;$H$28+$F$28),1,IF(AA$5=$H$28+$F$28,1-DelivFactor,0)))</f>
        <v>0</v>
      </c>
      <c r="AB115" s="125" t="n">
        <f aca="false">(1-$I$28)*(1-$J$28)*$D$28*$E$28/4*MIN(1,MAX(0,(AB$5-$H$28+1)/$T$28))*IF(AB$5=$H$28,DelivFactor,IF(AND(AB$5&gt;$H$28,AB$5&lt;$H$28+$F$28),1,IF(AB$5=$H$28+$F$28,1-DelivFactor,0)))</f>
        <v>0</v>
      </c>
      <c r="AC115" s="125" t="n">
        <f aca="false">(1-$I$28)*(1-$J$28)*$D$28*$E$28/4*MIN(1,MAX(0,(AC$5-$H$28+1)/$T$28))*IF(AC$5=$H$28,DelivFactor,IF(AND(AC$5&gt;$H$28,AC$5&lt;$H$28+$F$28),1,IF(AC$5=$H$28+$F$28,1-DelivFactor,0)))</f>
        <v>0</v>
      </c>
      <c r="AD115" s="125" t="n">
        <f aca="false">(1-$I$28)*(1-$J$28)*$D$28*$E$28/4*MIN(1,MAX(0,(AD$5-$H$28+1)/$T$28))*IF(AD$5=$H$28,DelivFactor,IF(AND(AD$5&gt;$H$28,AD$5&lt;$H$28+$F$28),1,IF(AD$5=$H$28+$F$28,1-DelivFactor,0)))</f>
        <v>0</v>
      </c>
      <c r="AE115" s="125" t="n">
        <f aca="false">(1-$I$28)*(1-$J$28)*$D$28*$E$28/4*MIN(1,MAX(0,(AE$5-$H$28+1)/$T$28))*IF(AE$5=$H$28,DelivFactor,IF(AND(AE$5&gt;$H$28,AE$5&lt;$H$28+$F$28),1,IF(AE$5=$H$28+$F$28,1-DelivFactor,0)))</f>
        <v>0</v>
      </c>
      <c r="AF115" s="125" t="n">
        <f aca="false">(1-$I$28)*(1-$J$28)*$D$28*$E$28/4*MIN(1,MAX(0,(AF$5-$H$28+1)/$T$28))*IF(AF$5=$H$28,DelivFactor,IF(AND(AF$5&gt;$H$28,AF$5&lt;$H$28+$F$28),1,IF(AF$5=$H$28+$F$28,1-DelivFactor,0)))</f>
        <v>0</v>
      </c>
      <c r="AG115" s="125" t="n">
        <f aca="false">(1-$I$28)*(1-$J$28)*$D$28*$E$28/4*MIN(1,MAX(0,(AG$5-$H$28+1)/$T$28))*IF(AG$5=$H$28,DelivFactor,IF(AND(AG$5&gt;$H$28,AG$5&lt;$H$28+$F$28),1,IF(AG$5=$H$28+$F$28,1-DelivFactor,0)))</f>
        <v>0</v>
      </c>
      <c r="AI115" s="125" t="n">
        <f aca="false">SUMIF($F$7:$AG$7,AI$7,$F115:$AG115)</f>
        <v>0</v>
      </c>
      <c r="AJ115" s="125" t="n">
        <f aca="false">SUMIF($F$7:$AG$7,AJ$7,$F115:$AG115)</f>
        <v>0</v>
      </c>
      <c r="AK115" s="125" t="n">
        <f aca="false">SUMIF($F$7:$AG$7,AK$7,$F115:$AG115)</f>
        <v>0</v>
      </c>
      <c r="AL115" s="125" t="n">
        <f aca="false">SUMIF($F$7:$AG$7,AL$7,$F115:$AG115)</f>
        <v>0</v>
      </c>
      <c r="AM115" s="125" t="n">
        <f aca="false">SUMIF($F$7:$AG$7,AM$7,$F115:$AG115)</f>
        <v>0</v>
      </c>
      <c r="AN115" s="125" t="n">
        <f aca="false">SUMIF($F$7:$AG$7,AN$7,$F115:$AG115)</f>
        <v>0</v>
      </c>
      <c r="AO115" s="125" t="n">
        <f aca="false">SUMIF($F$7:$AG$7,AO$7,$F115:$AG115)</f>
        <v>0</v>
      </c>
    </row>
    <row r="116" customFormat="false" ht="15" hidden="false" customHeight="false" outlineLevel="0" collapsed="false">
      <c r="A116" s="107" t="s">
        <v>1956</v>
      </c>
      <c r="B116" s="22" t="s">
        <v>664</v>
      </c>
      <c r="C116" s="22"/>
      <c r="D116" s="22"/>
      <c r="F116" s="116" t="n">
        <f aca="false">(1-$I$28)*(1-$J$28)*$D$28*AND(F$5&gt;=$H$28,F$5&lt;$H$28+$F$28)</f>
        <v>0</v>
      </c>
      <c r="G116" s="116" t="n">
        <f aca="false">(1-$I$28)*(1-$J$28)*$D$28*AND(G$5&gt;=$H$28,G$5&lt;$H$28+$F$28)</f>
        <v>0</v>
      </c>
      <c r="H116" s="116" t="n">
        <f aca="false">(1-$I$28)*(1-$J$28)*$D$28*AND(H$5&gt;=$H$28,H$5&lt;$H$28+$F$28)</f>
        <v>0</v>
      </c>
      <c r="I116" s="116" t="n">
        <f aca="false">(1-$I$28)*(1-$J$28)*$D$28*AND(I$5&gt;=$H$28,I$5&lt;$H$28+$F$28)</f>
        <v>0</v>
      </c>
      <c r="J116" s="116" t="n">
        <f aca="false">(1-$I$28)*(1-$J$28)*$D$28*AND(J$5&gt;=$H$28,J$5&lt;$H$28+$F$28)</f>
        <v>0</v>
      </c>
      <c r="K116" s="116" t="n">
        <f aca="false">(1-$I$28)*(1-$J$28)*$D$28*AND(K$5&gt;=$H$28,K$5&lt;$H$28+$F$28)</f>
        <v>0</v>
      </c>
      <c r="L116" s="116" t="n">
        <f aca="false">(1-$I$28)*(1-$J$28)*$D$28*AND(L$5&gt;=$H$28,L$5&lt;$H$28+$F$28)</f>
        <v>0</v>
      </c>
      <c r="M116" s="116" t="n">
        <f aca="false">(1-$I$28)*(1-$J$28)*$D$28*AND(M$5&gt;=$H$28,M$5&lt;$H$28+$F$28)</f>
        <v>0</v>
      </c>
      <c r="N116" s="116" t="n">
        <f aca="false">(1-$I$28)*(1-$J$28)*$D$28*AND(N$5&gt;=$H$28,N$5&lt;$H$28+$F$28)</f>
        <v>0</v>
      </c>
      <c r="O116" s="116" t="n">
        <f aca="false">(1-$I$28)*(1-$J$28)*$D$28*AND(O$5&gt;=$H$28,O$5&lt;$H$28+$F$28)</f>
        <v>0</v>
      </c>
      <c r="P116" s="36" t="n">
        <f aca="false">(1-$I$28)*(1-$J$28)*$D$28*AND(P$5&gt;=$H$28,P$5&lt;$H$28+$F$28)</f>
        <v>0</v>
      </c>
      <c r="Q116" s="36" t="n">
        <f aca="false">(1-$I$28)*(1-$J$28)*$D$28*AND(Q$5&gt;=$H$28,Q$5&lt;$H$28+$F$28)</f>
        <v>0</v>
      </c>
      <c r="R116" s="36" t="n">
        <f aca="false">(1-$I$28)*(1-$J$28)*$D$28*AND(R$5&gt;=$H$28,R$5&lt;$H$28+$F$28)</f>
        <v>0</v>
      </c>
      <c r="S116" s="36" t="n">
        <f aca="false">(1-$I$28)*(1-$J$28)*$D$28*AND(S$5&gt;=$H$28,S$5&lt;$H$28+$F$28)</f>
        <v>0</v>
      </c>
      <c r="T116" s="36" t="n">
        <f aca="false">(1-$I$28)*(1-$J$28)*$D$28*AND(T$5&gt;=$H$28,T$5&lt;$H$28+$F$28)</f>
        <v>0</v>
      </c>
      <c r="U116" s="36" t="n">
        <f aca="false">(1-$I$28)*(1-$J$28)*$D$28*AND(U$5&gt;=$H$28,U$5&lt;$H$28+$F$28)</f>
        <v>0</v>
      </c>
      <c r="V116" s="36" t="n">
        <f aca="false">(1-$I$28)*(1-$J$28)*$D$28*AND(V$5&gt;=$H$28,V$5&lt;$H$28+$F$28)</f>
        <v>0</v>
      </c>
      <c r="W116" s="36" t="n">
        <f aca="false">(1-$I$28)*(1-$J$28)*$D$28*AND(W$5&gt;=$H$28,W$5&lt;$H$28+$F$28)</f>
        <v>0</v>
      </c>
      <c r="X116" s="36" t="n">
        <f aca="false">(1-$I$28)*(1-$J$28)*$D$28*AND(X$5&gt;=$H$28,X$5&lt;$H$28+$F$28)</f>
        <v>0</v>
      </c>
      <c r="Y116" s="36" t="n">
        <f aca="false">(1-$I$28)*(1-$J$28)*$D$28*AND(Y$5&gt;=$H$28,Y$5&lt;$H$28+$F$28)</f>
        <v>0</v>
      </c>
      <c r="Z116" s="36" t="n">
        <f aca="false">(1-$I$28)*(1-$J$28)*$D$28*AND(Z$5&gt;=$H$28,Z$5&lt;$H$28+$F$28)</f>
        <v>0</v>
      </c>
      <c r="AA116" s="36" t="n">
        <f aca="false">(1-$I$28)*(1-$J$28)*$D$28*AND(AA$5&gt;=$H$28,AA$5&lt;$H$28+$F$28)</f>
        <v>0</v>
      </c>
      <c r="AB116" s="36" t="n">
        <f aca="false">(1-$I$28)*(1-$J$28)*$D$28*AND(AB$5&gt;=$H$28,AB$5&lt;$H$28+$F$28)</f>
        <v>0</v>
      </c>
      <c r="AC116" s="36" t="n">
        <f aca="false">(1-$I$28)*(1-$J$28)*$D$28*AND(AC$5&gt;=$H$28,AC$5&lt;$H$28+$F$28)</f>
        <v>0</v>
      </c>
      <c r="AD116" s="36" t="n">
        <f aca="false">(1-$I$28)*(1-$J$28)*$D$28*AND(AD$5&gt;=$H$28,AD$5&lt;$H$28+$F$28)</f>
        <v>0</v>
      </c>
      <c r="AE116" s="36" t="n">
        <f aca="false">(1-$I$28)*(1-$J$28)*$D$28*AND(AE$5&gt;=$H$28,AE$5&lt;$H$28+$F$28)</f>
        <v>0</v>
      </c>
      <c r="AF116" s="36" t="n">
        <f aca="false">(1-$I$28)*(1-$J$28)*$D$28*AND(AF$5&gt;=$H$28,AF$5&lt;$H$28+$F$28)</f>
        <v>0</v>
      </c>
      <c r="AG116" s="36" t="n">
        <f aca="false">(1-$I$28)*(1-$J$28)*$D$28*AND(AG$5&gt;=$H$28,AG$5&lt;$H$28+$F$28)</f>
        <v>0</v>
      </c>
      <c r="AI116" s="36" t="n">
        <f aca="false">INDEX($F116:$AG116,1,MATCH(AI$7,$F$7:$AG$7,1))</f>
        <v>0</v>
      </c>
      <c r="AJ116" s="36" t="n">
        <f aca="false">INDEX($F116:$AG116,1,MATCH(AJ$7,$F$7:$AG$7,1))</f>
        <v>0</v>
      </c>
      <c r="AK116" s="36" t="n">
        <f aca="false">INDEX($F116:$AG116,1,MATCH(AK$7,$F$7:$AG$7,1))</f>
        <v>0</v>
      </c>
      <c r="AL116" s="36" t="n">
        <f aca="false">INDEX($F116:$AG116,1,MATCH(AL$7,$F$7:$AG$7,1))</f>
        <v>0</v>
      </c>
      <c r="AM116" s="36" t="n">
        <f aca="false">INDEX($F116:$AG116,1,MATCH(AM$7,$F$7:$AG$7,1))</f>
        <v>0</v>
      </c>
      <c r="AN116" s="36" t="n">
        <f aca="false">INDEX($F116:$AG116,1,MATCH(AN$7,$F$7:$AG$7,1))</f>
        <v>0</v>
      </c>
      <c r="AO116" s="36" t="n">
        <f aca="false">INDEX($F116:$AG116,1,MATCH(AO$7,$F$7:$AG$7,1))</f>
        <v>0</v>
      </c>
    </row>
    <row r="117" customFormat="false" ht="15" hidden="false" customHeight="false" outlineLevel="0" collapsed="false">
      <c r="A117" s="107" t="s">
        <v>1957</v>
      </c>
      <c r="B117" s="22" t="s">
        <v>613</v>
      </c>
      <c r="C117" s="22"/>
      <c r="D117" s="22"/>
      <c r="F117" s="124" t="n">
        <f aca="false">-(1-$I$28)*LD_Pct*$D$28*$E$28/4*AND(F$5&gt;=$G$28,F$5&lt;$H$28)</f>
        <v>-0</v>
      </c>
      <c r="G117" s="124" t="n">
        <f aca="false">-(1-$I$28)*LD_Pct*$D$28*$E$28/4*AND(G$5&gt;=$G$28,G$5&lt;$H$28)</f>
        <v>-0</v>
      </c>
      <c r="H117" s="124" t="n">
        <f aca="false">-(1-$I$28)*LD_Pct*$D$28*$E$28/4*AND(H$5&gt;=$G$28,H$5&lt;$H$28)</f>
        <v>-0</v>
      </c>
      <c r="I117" s="124" t="n">
        <f aca="false">-(1-$I$28)*LD_Pct*$D$28*$E$28/4*AND(I$5&gt;=$G$28,I$5&lt;$H$28)</f>
        <v>-0</v>
      </c>
      <c r="J117" s="124" t="n">
        <f aca="false">-(1-$I$28)*LD_Pct*$D$28*$E$28/4*AND(J$5&gt;=$G$28,J$5&lt;$H$28)</f>
        <v>-0</v>
      </c>
      <c r="K117" s="124" t="n">
        <f aca="false">-(1-$I$28)*LD_Pct*$D$28*$E$28/4*AND(K$5&gt;=$G$28,K$5&lt;$H$28)</f>
        <v>-0</v>
      </c>
      <c r="L117" s="124" t="n">
        <f aca="false">-(1-$I$28)*LD_Pct*$D$28*$E$28/4*AND(L$5&gt;=$G$28,L$5&lt;$H$28)</f>
        <v>-0</v>
      </c>
      <c r="M117" s="124" t="n">
        <f aca="false">-(1-$I$28)*LD_Pct*$D$28*$E$28/4*AND(M$5&gt;=$G$28,M$5&lt;$H$28)</f>
        <v>-0</v>
      </c>
      <c r="N117" s="124" t="n">
        <f aca="false">-(1-$I$28)*LD_Pct*$D$28*$E$28/4*AND(N$5&gt;=$G$28,N$5&lt;$H$28)</f>
        <v>-0</v>
      </c>
      <c r="O117" s="124" t="n">
        <f aca="false">-(1-$I$28)*LD_Pct*$D$28*$E$28/4*AND(O$5&gt;=$G$28,O$5&lt;$H$28)</f>
        <v>-0</v>
      </c>
      <c r="P117" s="125" t="n">
        <f aca="false">-(1-$I$28)*LD_Pct*$D$28*$E$28/4*AND(P$5&gt;=$G$28,P$5&lt;$H$28)</f>
        <v>-0</v>
      </c>
      <c r="Q117" s="125" t="n">
        <f aca="false">-(1-$I$28)*LD_Pct*$D$28*$E$28/4*AND(Q$5&gt;=$G$28,Q$5&lt;$H$28)</f>
        <v>-0</v>
      </c>
      <c r="R117" s="125" t="n">
        <f aca="false">-(1-$I$28)*LD_Pct*$D$28*$E$28/4*AND(R$5&gt;=$G$28,R$5&lt;$H$28)</f>
        <v>-0</v>
      </c>
      <c r="S117" s="125" t="n">
        <f aca="false">-(1-$I$28)*LD_Pct*$D$28*$E$28/4*AND(S$5&gt;=$G$28,S$5&lt;$H$28)</f>
        <v>-0</v>
      </c>
      <c r="T117" s="125" t="n">
        <f aca="false">-(1-$I$28)*LD_Pct*$D$28*$E$28/4*AND(T$5&gt;=$G$28,T$5&lt;$H$28)</f>
        <v>-0</v>
      </c>
      <c r="U117" s="125" t="n">
        <f aca="false">-(1-$I$28)*LD_Pct*$D$28*$E$28/4*AND(U$5&gt;=$G$28,U$5&lt;$H$28)</f>
        <v>-0</v>
      </c>
      <c r="V117" s="125" t="n">
        <f aca="false">-(1-$I$28)*LD_Pct*$D$28*$E$28/4*AND(V$5&gt;=$G$28,V$5&lt;$H$28)</f>
        <v>-0</v>
      </c>
      <c r="W117" s="125" t="n">
        <f aca="false">-(1-$I$28)*LD_Pct*$D$28*$E$28/4*AND(W$5&gt;=$G$28,W$5&lt;$H$28)</f>
        <v>-0</v>
      </c>
      <c r="X117" s="125" t="n">
        <f aca="false">-(1-$I$28)*LD_Pct*$D$28*$E$28/4*AND(X$5&gt;=$G$28,X$5&lt;$H$28)</f>
        <v>-0</v>
      </c>
      <c r="Y117" s="125" t="n">
        <f aca="false">-(1-$I$28)*LD_Pct*$D$28*$E$28/4*AND(Y$5&gt;=$G$28,Y$5&lt;$H$28)</f>
        <v>-0</v>
      </c>
      <c r="Z117" s="125" t="n">
        <f aca="false">-(1-$I$28)*LD_Pct*$D$28*$E$28/4*AND(Z$5&gt;=$G$28,Z$5&lt;$H$28)</f>
        <v>-0</v>
      </c>
      <c r="AA117" s="125" t="n">
        <f aca="false">-(1-$I$28)*LD_Pct*$D$28*$E$28/4*AND(AA$5&gt;=$G$28,AA$5&lt;$H$28)</f>
        <v>-0</v>
      </c>
      <c r="AB117" s="125" t="n">
        <f aca="false">-(1-$I$28)*LD_Pct*$D$28*$E$28/4*AND(AB$5&gt;=$G$28,AB$5&lt;$H$28)</f>
        <v>-0</v>
      </c>
      <c r="AC117" s="125" t="n">
        <f aca="false">-(1-$I$28)*LD_Pct*$D$28*$E$28/4*AND(AC$5&gt;=$G$28,AC$5&lt;$H$28)</f>
        <v>-0</v>
      </c>
      <c r="AD117" s="125" t="n">
        <f aca="false">-(1-$I$28)*LD_Pct*$D$28*$E$28/4*AND(AD$5&gt;=$G$28,AD$5&lt;$H$28)</f>
        <v>-0</v>
      </c>
      <c r="AE117" s="125" t="n">
        <f aca="false">-(1-$I$28)*LD_Pct*$D$28*$E$28/4*AND(AE$5&gt;=$G$28,AE$5&lt;$H$28)</f>
        <v>-0</v>
      </c>
      <c r="AF117" s="125" t="n">
        <f aca="false">-(1-$I$28)*LD_Pct*$D$28*$E$28/4*AND(AF$5&gt;=$G$28,AF$5&lt;$H$28)</f>
        <v>-0</v>
      </c>
      <c r="AG117" s="125" t="n">
        <f aca="false">-(1-$I$28)*LD_Pct*$D$28*$E$28/4*AND(AG$5&gt;=$G$28,AG$5&lt;$H$28)</f>
        <v>-0</v>
      </c>
      <c r="AI117" s="125" t="n">
        <f aca="false">SUMIF($F$7:$AG$7,AI$7,$F117:$AG117)</f>
        <v>0</v>
      </c>
      <c r="AJ117" s="125" t="n">
        <f aca="false">SUMIF($F$7:$AG$7,AJ$7,$F117:$AG117)</f>
        <v>0</v>
      </c>
      <c r="AK117" s="125" t="n">
        <f aca="false">SUMIF($F$7:$AG$7,AK$7,$F117:$AG117)</f>
        <v>0</v>
      </c>
      <c r="AL117" s="125" t="n">
        <f aca="false">SUMIF($F$7:$AG$7,AL$7,$F117:$AG117)</f>
        <v>0</v>
      </c>
      <c r="AM117" s="125" t="n">
        <f aca="false">SUMIF($F$7:$AG$7,AM$7,$F117:$AG117)</f>
        <v>0</v>
      </c>
      <c r="AN117" s="125" t="n">
        <f aca="false">SUMIF($F$7:$AG$7,AN$7,$F117:$AG117)</f>
        <v>0</v>
      </c>
      <c r="AO117" s="125" t="n">
        <f aca="false">SUMIF($F$7:$AG$7,AO$7,$F117:$AG117)</f>
        <v>0</v>
      </c>
    </row>
    <row r="118" customFormat="false" ht="15" hidden="false" customHeight="false" outlineLevel="0" collapsed="false">
      <c r="A118" s="107" t="s">
        <v>1958</v>
      </c>
      <c r="B118" s="22" t="s">
        <v>664</v>
      </c>
      <c r="C118" s="22"/>
      <c r="D118" s="22"/>
      <c r="F118" s="116" t="n">
        <f aca="false">(1-$I$28)*(1-$J$28)*$D$28*(F$5&gt;=$H$28+$F$28)</f>
        <v>0</v>
      </c>
      <c r="G118" s="116" t="n">
        <f aca="false">(1-$I$28)*(1-$J$28)*$D$28*(G$5&gt;=$H$28+$F$28)</f>
        <v>0</v>
      </c>
      <c r="H118" s="116" t="n">
        <f aca="false">(1-$I$28)*(1-$J$28)*$D$28*(H$5&gt;=$H$28+$F$28)</f>
        <v>0</v>
      </c>
      <c r="I118" s="116" t="n">
        <f aca="false">(1-$I$28)*(1-$J$28)*$D$28*(I$5&gt;=$H$28+$F$28)</f>
        <v>0</v>
      </c>
      <c r="J118" s="116" t="n">
        <f aca="false">(1-$I$28)*(1-$J$28)*$D$28*(J$5&gt;=$H$28+$F$28)</f>
        <v>0</v>
      </c>
      <c r="K118" s="116" t="n">
        <f aca="false">(1-$I$28)*(1-$J$28)*$D$28*(K$5&gt;=$H$28+$F$28)</f>
        <v>0</v>
      </c>
      <c r="L118" s="116" t="n">
        <f aca="false">(1-$I$28)*(1-$J$28)*$D$28*(L$5&gt;=$H$28+$F$28)</f>
        <v>0</v>
      </c>
      <c r="M118" s="116" t="n">
        <f aca="false">(1-$I$28)*(1-$J$28)*$D$28*(M$5&gt;=$H$28+$F$28)</f>
        <v>0</v>
      </c>
      <c r="N118" s="116" t="n">
        <f aca="false">(1-$I$28)*(1-$J$28)*$D$28*(N$5&gt;=$H$28+$F$28)</f>
        <v>0</v>
      </c>
      <c r="O118" s="116" t="n">
        <f aca="false">(1-$I$28)*(1-$J$28)*$D$28*(O$5&gt;=$H$28+$F$28)</f>
        <v>0</v>
      </c>
      <c r="P118" s="36" t="n">
        <f aca="false">(1-$I$28)*(1-$J$28)*$D$28*(P$5&gt;=$H$28+$F$28)</f>
        <v>0</v>
      </c>
      <c r="Q118" s="36" t="n">
        <f aca="false">(1-$I$28)*(1-$J$28)*$D$28*(Q$5&gt;=$H$28+$F$28)</f>
        <v>0</v>
      </c>
      <c r="R118" s="36" t="n">
        <f aca="false">(1-$I$28)*(1-$J$28)*$D$28*(R$5&gt;=$H$28+$F$28)</f>
        <v>0</v>
      </c>
      <c r="S118" s="36" t="n">
        <f aca="false">(1-$I$28)*(1-$J$28)*$D$28*(S$5&gt;=$H$28+$F$28)</f>
        <v>0</v>
      </c>
      <c r="T118" s="36" t="n">
        <f aca="false">(1-$I$28)*(1-$J$28)*$D$28*(T$5&gt;=$H$28+$F$28)</f>
        <v>0</v>
      </c>
      <c r="U118" s="36" t="n">
        <f aca="false">(1-$I$28)*(1-$J$28)*$D$28*(U$5&gt;=$H$28+$F$28)</f>
        <v>0</v>
      </c>
      <c r="V118" s="36" t="n">
        <f aca="false">(1-$I$28)*(1-$J$28)*$D$28*(V$5&gt;=$H$28+$F$28)</f>
        <v>0</v>
      </c>
      <c r="W118" s="36" t="n">
        <f aca="false">(1-$I$28)*(1-$J$28)*$D$28*(W$5&gt;=$H$28+$F$28)</f>
        <v>0</v>
      </c>
      <c r="X118" s="36" t="n">
        <f aca="false">(1-$I$28)*(1-$J$28)*$D$28*(X$5&gt;=$H$28+$F$28)</f>
        <v>0</v>
      </c>
      <c r="Y118" s="36" t="n">
        <f aca="false">(1-$I$28)*(1-$J$28)*$D$28*(Y$5&gt;=$H$28+$F$28)</f>
        <v>0</v>
      </c>
      <c r="Z118" s="36" t="n">
        <f aca="false">(1-$I$28)*(1-$J$28)*$D$28*(Z$5&gt;=$H$28+$F$28)</f>
        <v>0</v>
      </c>
      <c r="AA118" s="36" t="n">
        <f aca="false">(1-$I$28)*(1-$J$28)*$D$28*(AA$5&gt;=$H$28+$F$28)</f>
        <v>0</v>
      </c>
      <c r="AB118" s="36" t="n">
        <f aca="false">(1-$I$28)*(1-$J$28)*$D$28*(AB$5&gt;=$H$28+$F$28)</f>
        <v>0</v>
      </c>
      <c r="AC118" s="36" t="n">
        <f aca="false">(1-$I$28)*(1-$J$28)*$D$28*(AC$5&gt;=$H$28+$F$28)</f>
        <v>0</v>
      </c>
      <c r="AD118" s="36" t="n">
        <f aca="false">(1-$I$28)*(1-$J$28)*$D$28*(AD$5&gt;=$H$28+$F$28)</f>
        <v>0</v>
      </c>
      <c r="AE118" s="36" t="n">
        <f aca="false">(1-$I$28)*(1-$J$28)*$D$28*(AE$5&gt;=$H$28+$F$28)</f>
        <v>0</v>
      </c>
      <c r="AF118" s="36" t="n">
        <f aca="false">(1-$I$28)*(1-$J$28)*$D$28*(AF$5&gt;=$H$28+$F$28)</f>
        <v>0</v>
      </c>
      <c r="AG118" s="36" t="n">
        <f aca="false">(1-$I$28)*(1-$J$28)*$D$28*(AG$5&gt;=$H$28+$F$28)</f>
        <v>0</v>
      </c>
      <c r="AI118" s="36" t="n">
        <f aca="false">INDEX($F118:$AG118,1,MATCH(AI$7,$F$7:$AG$7,1))</f>
        <v>0</v>
      </c>
      <c r="AJ118" s="36" t="n">
        <f aca="false">INDEX($F118:$AG118,1,MATCH(AJ$7,$F$7:$AG$7,1))</f>
        <v>0</v>
      </c>
      <c r="AK118" s="36" t="n">
        <f aca="false">INDEX($F118:$AG118,1,MATCH(AK$7,$F$7:$AG$7,1))</f>
        <v>0</v>
      </c>
      <c r="AL118" s="36" t="n">
        <f aca="false">INDEX($F118:$AG118,1,MATCH(AL$7,$F$7:$AG$7,1))</f>
        <v>0</v>
      </c>
      <c r="AM118" s="36" t="n">
        <f aca="false">INDEX($F118:$AG118,1,MATCH(AM$7,$F$7:$AG$7,1))</f>
        <v>0</v>
      </c>
      <c r="AN118" s="36" t="n">
        <f aca="false">INDEX($F118:$AG118,1,MATCH(AN$7,$F$7:$AG$7,1))</f>
        <v>0</v>
      </c>
      <c r="AO118" s="36" t="n">
        <f aca="false">INDEX($F118:$AG118,1,MATCH(AO$7,$F$7:$AG$7,1))</f>
        <v>0</v>
      </c>
    </row>
    <row r="119" customFormat="false" ht="15" hidden="false" customHeight="false" outlineLevel="0" collapsed="false">
      <c r="A119" s="107" t="s">
        <v>1959</v>
      </c>
      <c r="B119" s="22" t="s">
        <v>613</v>
      </c>
      <c r="C119" s="22"/>
      <c r="D119" s="22" t="s">
        <v>1879</v>
      </c>
      <c r="F119" s="124" t="n">
        <f aca="false">F118*CHOOSE(MATCH($C$28,{"H";"B";"N"},0),GPUMW_H*ODc_H,GPUMW_B*ODc_B,GPUMW_N*ODc_N)*ResidUtil*Timeline!F$9*INDEX(Curve,1,MAX(1,MIN(8,INT((F$5-$H$28)/4)+1)))/1000000</f>
        <v>0</v>
      </c>
      <c r="G119" s="124" t="n">
        <f aca="false">G118*CHOOSE(MATCH($C$28,{"H";"B";"N"},0),GPUMW_H*ODc_H,GPUMW_B*ODc_B,GPUMW_N*ODc_N)*ResidUtil*Timeline!G$9*INDEX(Curve,1,MAX(1,MIN(8,INT((G$5-$H$28)/4)+1)))/1000000</f>
        <v>0</v>
      </c>
      <c r="H119" s="124" t="n">
        <f aca="false">H118*CHOOSE(MATCH($C$28,{"H";"B";"N"},0),GPUMW_H*ODc_H,GPUMW_B*ODc_B,GPUMW_N*ODc_N)*ResidUtil*Timeline!H$9*INDEX(Curve,1,MAX(1,MIN(8,INT((H$5-$H$28)/4)+1)))/1000000</f>
        <v>0</v>
      </c>
      <c r="I119" s="124" t="n">
        <f aca="false">I118*CHOOSE(MATCH($C$28,{"H";"B";"N"},0),GPUMW_H*ODc_H,GPUMW_B*ODc_B,GPUMW_N*ODc_N)*ResidUtil*Timeline!I$9*INDEX(Curve,1,MAX(1,MIN(8,INT((I$5-$H$28)/4)+1)))/1000000</f>
        <v>0</v>
      </c>
      <c r="J119" s="124" t="n">
        <f aca="false">J118*CHOOSE(MATCH($C$28,{"H";"B";"N"},0),GPUMW_H*ODc_H,GPUMW_B*ODc_B,GPUMW_N*ODc_N)*ResidUtil*Timeline!J$9*INDEX(Curve,1,MAX(1,MIN(8,INT((J$5-$H$28)/4)+1)))/1000000</f>
        <v>0</v>
      </c>
      <c r="K119" s="124" t="n">
        <f aca="false">K118*CHOOSE(MATCH($C$28,{"H";"B";"N"},0),GPUMW_H*ODc_H,GPUMW_B*ODc_B,GPUMW_N*ODc_N)*ResidUtil*Timeline!K$9*INDEX(Curve,1,MAX(1,MIN(8,INT((K$5-$H$28)/4)+1)))/1000000</f>
        <v>0</v>
      </c>
      <c r="L119" s="124" t="n">
        <f aca="false">L118*CHOOSE(MATCH($C$28,{"H";"B";"N"},0),GPUMW_H*ODc_H,GPUMW_B*ODc_B,GPUMW_N*ODc_N)*ResidUtil*Timeline!L$9*INDEX(Curve,1,MAX(1,MIN(8,INT((L$5-$H$28)/4)+1)))/1000000</f>
        <v>0</v>
      </c>
      <c r="M119" s="124" t="n">
        <f aca="false">M118*CHOOSE(MATCH($C$28,{"H";"B";"N"},0),GPUMW_H*ODc_H,GPUMW_B*ODc_B,GPUMW_N*ODc_N)*ResidUtil*Timeline!M$9*INDEX(Curve,1,MAX(1,MIN(8,INT((M$5-$H$28)/4)+1)))/1000000</f>
        <v>0</v>
      </c>
      <c r="N119" s="124" t="n">
        <f aca="false">N118*CHOOSE(MATCH($C$28,{"H";"B";"N"},0),GPUMW_H*ODc_H,GPUMW_B*ODc_B,GPUMW_N*ODc_N)*ResidUtil*Timeline!N$9*INDEX(Curve,1,MAX(1,MIN(8,INT((N$5-$H$28)/4)+1)))/1000000</f>
        <v>0</v>
      </c>
      <c r="O119" s="124" t="n">
        <f aca="false">O118*CHOOSE(MATCH($C$28,{"H";"B";"N"},0),GPUMW_H*ODc_H,GPUMW_B*ODc_B,GPUMW_N*ODc_N)*ResidUtil*Timeline!O$9*INDEX(Curve,1,MAX(1,MIN(8,INT((O$5-$H$28)/4)+1)))/1000000</f>
        <v>0</v>
      </c>
      <c r="P119" s="125" t="n">
        <f aca="false">P118*CHOOSE(MATCH($C$28,{"H";"B";"N"},0),GPUMW_H*ODc_H,GPUMW_B*ODc_B,GPUMW_N*ODc_N)*ResidUtil*Timeline!P$9*INDEX(Curve,1,MAX(1,MIN(8,INT((P$5-$H$28)/4)+1)))/1000000</f>
        <v>0</v>
      </c>
      <c r="Q119" s="125" t="n">
        <f aca="false">Q118*CHOOSE(MATCH($C$28,{"H";"B";"N"},0),GPUMW_H*ODc_H,GPUMW_B*ODc_B,GPUMW_N*ODc_N)*ResidUtil*Timeline!Q$9*INDEX(Curve,1,MAX(1,MIN(8,INT((Q$5-$H$28)/4)+1)))/1000000</f>
        <v>0</v>
      </c>
      <c r="R119" s="125" t="n">
        <f aca="false">R118*CHOOSE(MATCH($C$28,{"H";"B";"N"},0),GPUMW_H*ODc_H,GPUMW_B*ODc_B,GPUMW_N*ODc_N)*ResidUtil*Timeline!R$9*INDEX(Curve,1,MAX(1,MIN(8,INT((R$5-$H$28)/4)+1)))/1000000</f>
        <v>0</v>
      </c>
      <c r="S119" s="125" t="n">
        <f aca="false">S118*CHOOSE(MATCH($C$28,{"H";"B";"N"},0),GPUMW_H*ODc_H,GPUMW_B*ODc_B,GPUMW_N*ODc_N)*ResidUtil*Timeline!S$9*INDEX(Curve,1,MAX(1,MIN(8,INT((S$5-$H$28)/4)+1)))/1000000</f>
        <v>0</v>
      </c>
      <c r="T119" s="125" t="n">
        <f aca="false">T118*CHOOSE(MATCH($C$28,{"H";"B";"N"},0),GPUMW_H*ODc_H,GPUMW_B*ODc_B,GPUMW_N*ODc_N)*ResidUtil*Timeline!T$9*INDEX(Curve,1,MAX(1,MIN(8,INT((T$5-$H$28)/4)+1)))/1000000</f>
        <v>0</v>
      </c>
      <c r="U119" s="125" t="n">
        <f aca="false">U118*CHOOSE(MATCH($C$28,{"H";"B";"N"},0),GPUMW_H*ODc_H,GPUMW_B*ODc_B,GPUMW_N*ODc_N)*ResidUtil*Timeline!U$9*INDEX(Curve,1,MAX(1,MIN(8,INT((U$5-$H$28)/4)+1)))/1000000</f>
        <v>0</v>
      </c>
      <c r="V119" s="125" t="n">
        <f aca="false">V118*CHOOSE(MATCH($C$28,{"H";"B";"N"},0),GPUMW_H*ODc_H,GPUMW_B*ODc_B,GPUMW_N*ODc_N)*ResidUtil*Timeline!V$9*INDEX(Curve,1,MAX(1,MIN(8,INT((V$5-$H$28)/4)+1)))/1000000</f>
        <v>0</v>
      </c>
      <c r="W119" s="125" t="n">
        <f aca="false">W118*CHOOSE(MATCH($C$28,{"H";"B";"N"},0),GPUMW_H*ODc_H,GPUMW_B*ODc_B,GPUMW_N*ODc_N)*ResidUtil*Timeline!W$9*INDEX(Curve,1,MAX(1,MIN(8,INT((W$5-$H$28)/4)+1)))/1000000</f>
        <v>0</v>
      </c>
      <c r="X119" s="125" t="n">
        <f aca="false">X118*CHOOSE(MATCH($C$28,{"H";"B";"N"},0),GPUMW_H*ODc_H,GPUMW_B*ODc_B,GPUMW_N*ODc_N)*ResidUtil*Timeline!X$9*INDEX(Curve,1,MAX(1,MIN(8,INT((X$5-$H$28)/4)+1)))/1000000</f>
        <v>0</v>
      </c>
      <c r="Y119" s="125" t="n">
        <f aca="false">Y118*CHOOSE(MATCH($C$28,{"H";"B";"N"},0),GPUMW_H*ODc_H,GPUMW_B*ODc_B,GPUMW_N*ODc_N)*ResidUtil*Timeline!Y$9*INDEX(Curve,1,MAX(1,MIN(8,INT((Y$5-$H$28)/4)+1)))/1000000</f>
        <v>0</v>
      </c>
      <c r="Z119" s="125" t="n">
        <f aca="false">Z118*CHOOSE(MATCH($C$28,{"H";"B";"N"},0),GPUMW_H*ODc_H,GPUMW_B*ODc_B,GPUMW_N*ODc_N)*ResidUtil*Timeline!Z$9*INDEX(Curve,1,MAX(1,MIN(8,INT((Z$5-$H$28)/4)+1)))/1000000</f>
        <v>0</v>
      </c>
      <c r="AA119" s="125" t="n">
        <f aca="false">AA118*CHOOSE(MATCH($C$28,{"H";"B";"N"},0),GPUMW_H*ODc_H,GPUMW_B*ODc_B,GPUMW_N*ODc_N)*ResidUtil*Timeline!AA$9*INDEX(Curve,1,MAX(1,MIN(8,INT((AA$5-$H$28)/4)+1)))/1000000</f>
        <v>0</v>
      </c>
      <c r="AB119" s="125" t="n">
        <f aca="false">AB118*CHOOSE(MATCH($C$28,{"H";"B";"N"},0),GPUMW_H*ODc_H,GPUMW_B*ODc_B,GPUMW_N*ODc_N)*ResidUtil*Timeline!AB$9*INDEX(Curve,1,MAX(1,MIN(8,INT((AB$5-$H$28)/4)+1)))/1000000</f>
        <v>0</v>
      </c>
      <c r="AC119" s="125" t="n">
        <f aca="false">AC118*CHOOSE(MATCH($C$28,{"H";"B";"N"},0),GPUMW_H*ODc_H,GPUMW_B*ODc_B,GPUMW_N*ODc_N)*ResidUtil*Timeline!AC$9*INDEX(Curve,1,MAX(1,MIN(8,INT((AC$5-$H$28)/4)+1)))/1000000</f>
        <v>0</v>
      </c>
      <c r="AD119" s="125" t="n">
        <f aca="false">AD118*CHOOSE(MATCH($C$28,{"H";"B";"N"},0),GPUMW_H*ODc_H,GPUMW_B*ODc_B,GPUMW_N*ODc_N)*ResidUtil*Timeline!AD$9*INDEX(Curve,1,MAX(1,MIN(8,INT((AD$5-$H$28)/4)+1)))/1000000</f>
        <v>0</v>
      </c>
      <c r="AE119" s="125" t="n">
        <f aca="false">AE118*CHOOSE(MATCH($C$28,{"H";"B";"N"},0),GPUMW_H*ODc_H,GPUMW_B*ODc_B,GPUMW_N*ODc_N)*ResidUtil*Timeline!AE$9*INDEX(Curve,1,MAX(1,MIN(8,INT((AE$5-$H$28)/4)+1)))/1000000</f>
        <v>0</v>
      </c>
      <c r="AF119" s="125" t="n">
        <f aca="false">AF118*CHOOSE(MATCH($C$28,{"H";"B";"N"},0),GPUMW_H*ODc_H,GPUMW_B*ODc_B,GPUMW_N*ODc_N)*ResidUtil*Timeline!AF$9*INDEX(Curve,1,MAX(1,MIN(8,INT((AF$5-$H$28)/4)+1)))/1000000</f>
        <v>0</v>
      </c>
      <c r="AG119" s="125" t="n">
        <f aca="false">AG118*CHOOSE(MATCH($C$28,{"H";"B";"N"},0),GPUMW_H*ODc_H,GPUMW_B*ODc_B,GPUMW_N*ODc_N)*ResidUtil*Timeline!AG$9*INDEX(Curve,1,MAX(1,MIN(8,INT((AG$5-$H$28)/4)+1)))/1000000</f>
        <v>0</v>
      </c>
      <c r="AI119" s="125" t="n">
        <f aca="false">SUMIF($F$7:$AG$7,AI$7,$F119:$AG119)</f>
        <v>0</v>
      </c>
      <c r="AJ119" s="125" t="n">
        <f aca="false">SUMIF($F$7:$AG$7,AJ$7,$F119:$AG119)</f>
        <v>0</v>
      </c>
      <c r="AK119" s="125" t="n">
        <f aca="false">SUMIF($F$7:$AG$7,AK$7,$F119:$AG119)</f>
        <v>0</v>
      </c>
      <c r="AL119" s="125" t="n">
        <f aca="false">SUMIF($F$7:$AG$7,AL$7,$F119:$AG119)</f>
        <v>0</v>
      </c>
      <c r="AM119" s="125" t="n">
        <f aca="false">SUMIF($F$7:$AG$7,AM$7,$F119:$AG119)</f>
        <v>0</v>
      </c>
      <c r="AN119" s="125" t="n">
        <f aca="false">SUMIF($F$7:$AG$7,AN$7,$F119:$AG119)</f>
        <v>0</v>
      </c>
      <c r="AO119" s="125" t="n">
        <f aca="false">SUMIF($F$7:$AG$7,AO$7,$F119:$AG119)</f>
        <v>0</v>
      </c>
    </row>
    <row r="120" customFormat="false" ht="15" hidden="false" customHeight="false" outlineLevel="0" collapsed="false">
      <c r="A120" s="107" t="s">
        <v>1960</v>
      </c>
      <c r="B120" s="22" t="s">
        <v>613</v>
      </c>
      <c r="C120" s="22"/>
      <c r="D120" s="22"/>
      <c r="F120" s="124" t="n">
        <f aca="false">(1-$I$29)*(1-$J$29)*$D$29*$E$29/4*MIN(1,MAX(0,(F$5-$H$29+1)/$T$29))*IF(F$5=$H$29,DelivFactor,IF(AND(F$5&gt;$H$29,F$5&lt;$H$29+$F$29),1,IF(F$5=$H$29+$F$29,1-DelivFactor,0)))</f>
        <v>0</v>
      </c>
      <c r="G120" s="124" t="n">
        <f aca="false">(1-$I$29)*(1-$J$29)*$D$29*$E$29/4*MIN(1,MAX(0,(G$5-$H$29+1)/$T$29))*IF(G$5=$H$29,DelivFactor,IF(AND(G$5&gt;$H$29,G$5&lt;$H$29+$F$29),1,IF(G$5=$H$29+$F$29,1-DelivFactor,0)))</f>
        <v>0</v>
      </c>
      <c r="H120" s="124" t="n">
        <f aca="false">(1-$I$29)*(1-$J$29)*$D$29*$E$29/4*MIN(1,MAX(0,(H$5-$H$29+1)/$T$29))*IF(H$5=$H$29,DelivFactor,IF(AND(H$5&gt;$H$29,H$5&lt;$H$29+$F$29),1,IF(H$5=$H$29+$F$29,1-DelivFactor,0)))</f>
        <v>0</v>
      </c>
      <c r="I120" s="124" t="n">
        <f aca="false">(1-$I$29)*(1-$J$29)*$D$29*$E$29/4*MIN(1,MAX(0,(I$5-$H$29+1)/$T$29))*IF(I$5=$H$29,DelivFactor,IF(AND(I$5&gt;$H$29,I$5&lt;$H$29+$F$29),1,IF(I$5=$H$29+$F$29,1-DelivFactor,0)))</f>
        <v>0</v>
      </c>
      <c r="J120" s="124" t="n">
        <f aca="false">(1-$I$29)*(1-$J$29)*$D$29*$E$29/4*MIN(1,MAX(0,(J$5-$H$29+1)/$T$29))*IF(J$5=$H$29,DelivFactor,IF(AND(J$5&gt;$H$29,J$5&lt;$H$29+$F$29),1,IF(J$5=$H$29+$F$29,1-DelivFactor,0)))</f>
        <v>0</v>
      </c>
      <c r="K120" s="124" t="n">
        <f aca="false">(1-$I$29)*(1-$J$29)*$D$29*$E$29/4*MIN(1,MAX(0,(K$5-$H$29+1)/$T$29))*IF(K$5=$H$29,DelivFactor,IF(AND(K$5&gt;$H$29,K$5&lt;$H$29+$F$29),1,IF(K$5=$H$29+$F$29,1-DelivFactor,0)))</f>
        <v>0</v>
      </c>
      <c r="L120" s="124" t="n">
        <f aca="false">(1-$I$29)*(1-$J$29)*$D$29*$E$29/4*MIN(1,MAX(0,(L$5-$H$29+1)/$T$29))*IF(L$5=$H$29,DelivFactor,IF(AND(L$5&gt;$H$29,L$5&lt;$H$29+$F$29),1,IF(L$5=$H$29+$F$29,1-DelivFactor,0)))</f>
        <v>0</v>
      </c>
      <c r="M120" s="124" t="n">
        <f aca="false">(1-$I$29)*(1-$J$29)*$D$29*$E$29/4*MIN(1,MAX(0,(M$5-$H$29+1)/$T$29))*IF(M$5=$H$29,DelivFactor,IF(AND(M$5&gt;$H$29,M$5&lt;$H$29+$F$29),1,IF(M$5=$H$29+$F$29,1-DelivFactor,0)))</f>
        <v>0</v>
      </c>
      <c r="N120" s="124" t="n">
        <f aca="false">(1-$I$29)*(1-$J$29)*$D$29*$E$29/4*MIN(1,MAX(0,(N$5-$H$29+1)/$T$29))*IF(N$5=$H$29,DelivFactor,IF(AND(N$5&gt;$H$29,N$5&lt;$H$29+$F$29),1,IF(N$5=$H$29+$F$29,1-DelivFactor,0)))</f>
        <v>0</v>
      </c>
      <c r="O120" s="124" t="n">
        <f aca="false">(1-$I$29)*(1-$J$29)*$D$29*$E$29/4*MIN(1,MAX(0,(O$5-$H$29+1)/$T$29))*IF(O$5=$H$29,DelivFactor,IF(AND(O$5&gt;$H$29,O$5&lt;$H$29+$F$29),1,IF(O$5=$H$29+$F$29,1-DelivFactor,0)))</f>
        <v>0</v>
      </c>
      <c r="P120" s="125" t="n">
        <f aca="false">(1-$I$29)*(1-$J$29)*$D$29*$E$29/4*MIN(1,MAX(0,(P$5-$H$29+1)/$T$29))*IF(P$5=$H$29,DelivFactor,IF(AND(P$5&gt;$H$29,P$5&lt;$H$29+$F$29),1,IF(P$5=$H$29+$F$29,1-DelivFactor,0)))</f>
        <v>0</v>
      </c>
      <c r="Q120" s="125" t="n">
        <f aca="false">(1-$I$29)*(1-$J$29)*$D$29*$E$29/4*MIN(1,MAX(0,(Q$5-$H$29+1)/$T$29))*IF(Q$5=$H$29,DelivFactor,IF(AND(Q$5&gt;$H$29,Q$5&lt;$H$29+$F$29),1,IF(Q$5=$H$29+$F$29,1-DelivFactor,0)))</f>
        <v>0</v>
      </c>
      <c r="R120" s="125" t="n">
        <f aca="false">(1-$I$29)*(1-$J$29)*$D$29*$E$29/4*MIN(1,MAX(0,(R$5-$H$29+1)/$T$29))*IF(R$5=$H$29,DelivFactor,IF(AND(R$5&gt;$H$29,R$5&lt;$H$29+$F$29),1,IF(R$5=$H$29+$F$29,1-DelivFactor,0)))</f>
        <v>0</v>
      </c>
      <c r="S120" s="125" t="n">
        <f aca="false">(1-$I$29)*(1-$J$29)*$D$29*$E$29/4*MIN(1,MAX(0,(S$5-$H$29+1)/$T$29))*IF(S$5=$H$29,DelivFactor,IF(AND(S$5&gt;$H$29,S$5&lt;$H$29+$F$29),1,IF(S$5=$H$29+$F$29,1-DelivFactor,0)))</f>
        <v>0</v>
      </c>
      <c r="T120" s="125" t="n">
        <f aca="false">(1-$I$29)*(1-$J$29)*$D$29*$E$29/4*MIN(1,MAX(0,(T$5-$H$29+1)/$T$29))*IF(T$5=$H$29,DelivFactor,IF(AND(T$5&gt;$H$29,T$5&lt;$H$29+$F$29),1,IF(T$5=$H$29+$F$29,1-DelivFactor,0)))</f>
        <v>0</v>
      </c>
      <c r="U120" s="125" t="n">
        <f aca="false">(1-$I$29)*(1-$J$29)*$D$29*$E$29/4*MIN(1,MAX(0,(U$5-$H$29+1)/$T$29))*IF(U$5=$H$29,DelivFactor,IF(AND(U$5&gt;$H$29,U$5&lt;$H$29+$F$29),1,IF(U$5=$H$29+$F$29,1-DelivFactor,0)))</f>
        <v>0</v>
      </c>
      <c r="V120" s="125" t="n">
        <f aca="false">(1-$I$29)*(1-$J$29)*$D$29*$E$29/4*MIN(1,MAX(0,(V$5-$H$29+1)/$T$29))*IF(V$5=$H$29,DelivFactor,IF(AND(V$5&gt;$H$29,V$5&lt;$H$29+$F$29),1,IF(V$5=$H$29+$F$29,1-DelivFactor,0)))</f>
        <v>0</v>
      </c>
      <c r="W120" s="125" t="n">
        <f aca="false">(1-$I$29)*(1-$J$29)*$D$29*$E$29/4*MIN(1,MAX(0,(W$5-$H$29+1)/$T$29))*IF(W$5=$H$29,DelivFactor,IF(AND(W$5&gt;$H$29,W$5&lt;$H$29+$F$29),1,IF(W$5=$H$29+$F$29,1-DelivFactor,0)))</f>
        <v>0</v>
      </c>
      <c r="X120" s="125" t="n">
        <f aca="false">(1-$I$29)*(1-$J$29)*$D$29*$E$29/4*MIN(1,MAX(0,(X$5-$H$29+1)/$T$29))*IF(X$5=$H$29,DelivFactor,IF(AND(X$5&gt;$H$29,X$5&lt;$H$29+$F$29),1,IF(X$5=$H$29+$F$29,1-DelivFactor,0)))</f>
        <v>0</v>
      </c>
      <c r="Y120" s="125" t="n">
        <f aca="false">(1-$I$29)*(1-$J$29)*$D$29*$E$29/4*MIN(1,MAX(0,(Y$5-$H$29+1)/$T$29))*IF(Y$5=$H$29,DelivFactor,IF(AND(Y$5&gt;$H$29,Y$5&lt;$H$29+$F$29),1,IF(Y$5=$H$29+$F$29,1-DelivFactor,0)))</f>
        <v>0</v>
      </c>
      <c r="Z120" s="125" t="n">
        <f aca="false">(1-$I$29)*(1-$J$29)*$D$29*$E$29/4*MIN(1,MAX(0,(Z$5-$H$29+1)/$T$29))*IF(Z$5=$H$29,DelivFactor,IF(AND(Z$5&gt;$H$29,Z$5&lt;$H$29+$F$29),1,IF(Z$5=$H$29+$F$29,1-DelivFactor,0)))</f>
        <v>0</v>
      </c>
      <c r="AA120" s="125" t="n">
        <f aca="false">(1-$I$29)*(1-$J$29)*$D$29*$E$29/4*MIN(1,MAX(0,(AA$5-$H$29+1)/$T$29))*IF(AA$5=$H$29,DelivFactor,IF(AND(AA$5&gt;$H$29,AA$5&lt;$H$29+$F$29),1,IF(AA$5=$H$29+$F$29,1-DelivFactor,0)))</f>
        <v>0</v>
      </c>
      <c r="AB120" s="125" t="n">
        <f aca="false">(1-$I$29)*(1-$J$29)*$D$29*$E$29/4*MIN(1,MAX(0,(AB$5-$H$29+1)/$T$29))*IF(AB$5=$H$29,DelivFactor,IF(AND(AB$5&gt;$H$29,AB$5&lt;$H$29+$F$29),1,IF(AB$5=$H$29+$F$29,1-DelivFactor,0)))</f>
        <v>0</v>
      </c>
      <c r="AC120" s="125" t="n">
        <f aca="false">(1-$I$29)*(1-$J$29)*$D$29*$E$29/4*MIN(1,MAX(0,(AC$5-$H$29+1)/$T$29))*IF(AC$5=$H$29,DelivFactor,IF(AND(AC$5&gt;$H$29,AC$5&lt;$H$29+$F$29),1,IF(AC$5=$H$29+$F$29,1-DelivFactor,0)))</f>
        <v>0</v>
      </c>
      <c r="AD120" s="125" t="n">
        <f aca="false">(1-$I$29)*(1-$J$29)*$D$29*$E$29/4*MIN(1,MAX(0,(AD$5-$H$29+1)/$T$29))*IF(AD$5=$H$29,DelivFactor,IF(AND(AD$5&gt;$H$29,AD$5&lt;$H$29+$F$29),1,IF(AD$5=$H$29+$F$29,1-DelivFactor,0)))</f>
        <v>0</v>
      </c>
      <c r="AE120" s="125" t="n">
        <f aca="false">(1-$I$29)*(1-$J$29)*$D$29*$E$29/4*MIN(1,MAX(0,(AE$5-$H$29+1)/$T$29))*IF(AE$5=$H$29,DelivFactor,IF(AND(AE$5&gt;$H$29,AE$5&lt;$H$29+$F$29),1,IF(AE$5=$H$29+$F$29,1-DelivFactor,0)))</f>
        <v>0</v>
      </c>
      <c r="AF120" s="125" t="n">
        <f aca="false">(1-$I$29)*(1-$J$29)*$D$29*$E$29/4*MIN(1,MAX(0,(AF$5-$H$29+1)/$T$29))*IF(AF$5=$H$29,DelivFactor,IF(AND(AF$5&gt;$H$29,AF$5&lt;$H$29+$F$29),1,IF(AF$5=$H$29+$F$29,1-DelivFactor,0)))</f>
        <v>0</v>
      </c>
      <c r="AG120" s="125" t="n">
        <f aca="false">(1-$I$29)*(1-$J$29)*$D$29*$E$29/4*MIN(1,MAX(0,(AG$5-$H$29+1)/$T$29))*IF(AG$5=$H$29,DelivFactor,IF(AND(AG$5&gt;$H$29,AG$5&lt;$H$29+$F$29),1,IF(AG$5=$H$29+$F$29,1-DelivFactor,0)))</f>
        <v>0</v>
      </c>
      <c r="AI120" s="125" t="n">
        <f aca="false">SUMIF($F$7:$AG$7,AI$7,$F120:$AG120)</f>
        <v>0</v>
      </c>
      <c r="AJ120" s="125" t="n">
        <f aca="false">SUMIF($F$7:$AG$7,AJ$7,$F120:$AG120)</f>
        <v>0</v>
      </c>
      <c r="AK120" s="125" t="n">
        <f aca="false">SUMIF($F$7:$AG$7,AK$7,$F120:$AG120)</f>
        <v>0</v>
      </c>
      <c r="AL120" s="125" t="n">
        <f aca="false">SUMIF($F$7:$AG$7,AL$7,$F120:$AG120)</f>
        <v>0</v>
      </c>
      <c r="AM120" s="125" t="n">
        <f aca="false">SUMIF($F$7:$AG$7,AM$7,$F120:$AG120)</f>
        <v>0</v>
      </c>
      <c r="AN120" s="125" t="n">
        <f aca="false">SUMIF($F$7:$AG$7,AN$7,$F120:$AG120)</f>
        <v>0</v>
      </c>
      <c r="AO120" s="125" t="n">
        <f aca="false">SUMIF($F$7:$AG$7,AO$7,$F120:$AG120)</f>
        <v>0</v>
      </c>
    </row>
    <row r="121" customFormat="false" ht="15" hidden="false" customHeight="false" outlineLevel="0" collapsed="false">
      <c r="A121" s="107" t="s">
        <v>1961</v>
      </c>
      <c r="B121" s="22" t="s">
        <v>664</v>
      </c>
      <c r="C121" s="22"/>
      <c r="D121" s="22"/>
      <c r="F121" s="116" t="n">
        <f aca="false">(1-$I$29)*(1-$J$29)*$D$29*AND(F$5&gt;=$H$29,F$5&lt;$H$29+$F$29)</f>
        <v>0</v>
      </c>
      <c r="G121" s="116" t="n">
        <f aca="false">(1-$I$29)*(1-$J$29)*$D$29*AND(G$5&gt;=$H$29,G$5&lt;$H$29+$F$29)</f>
        <v>0</v>
      </c>
      <c r="H121" s="116" t="n">
        <f aca="false">(1-$I$29)*(1-$J$29)*$D$29*AND(H$5&gt;=$H$29,H$5&lt;$H$29+$F$29)</f>
        <v>0</v>
      </c>
      <c r="I121" s="116" t="n">
        <f aca="false">(1-$I$29)*(1-$J$29)*$D$29*AND(I$5&gt;=$H$29,I$5&lt;$H$29+$F$29)</f>
        <v>0</v>
      </c>
      <c r="J121" s="116" t="n">
        <f aca="false">(1-$I$29)*(1-$J$29)*$D$29*AND(J$5&gt;=$H$29,J$5&lt;$H$29+$F$29)</f>
        <v>0</v>
      </c>
      <c r="K121" s="116" t="n">
        <f aca="false">(1-$I$29)*(1-$J$29)*$D$29*AND(K$5&gt;=$H$29,K$5&lt;$H$29+$F$29)</f>
        <v>0</v>
      </c>
      <c r="L121" s="116" t="n">
        <f aca="false">(1-$I$29)*(1-$J$29)*$D$29*AND(L$5&gt;=$H$29,L$5&lt;$H$29+$F$29)</f>
        <v>0</v>
      </c>
      <c r="M121" s="116" t="n">
        <f aca="false">(1-$I$29)*(1-$J$29)*$D$29*AND(M$5&gt;=$H$29,M$5&lt;$H$29+$F$29)</f>
        <v>0</v>
      </c>
      <c r="N121" s="116" t="n">
        <f aca="false">(1-$I$29)*(1-$J$29)*$D$29*AND(N$5&gt;=$H$29,N$5&lt;$H$29+$F$29)</f>
        <v>0</v>
      </c>
      <c r="O121" s="116" t="n">
        <f aca="false">(1-$I$29)*(1-$J$29)*$D$29*AND(O$5&gt;=$H$29,O$5&lt;$H$29+$F$29)</f>
        <v>0</v>
      </c>
      <c r="P121" s="36" t="n">
        <f aca="false">(1-$I$29)*(1-$J$29)*$D$29*AND(P$5&gt;=$H$29,P$5&lt;$H$29+$F$29)</f>
        <v>0</v>
      </c>
      <c r="Q121" s="36" t="n">
        <f aca="false">(1-$I$29)*(1-$J$29)*$D$29*AND(Q$5&gt;=$H$29,Q$5&lt;$H$29+$F$29)</f>
        <v>0</v>
      </c>
      <c r="R121" s="36" t="n">
        <f aca="false">(1-$I$29)*(1-$J$29)*$D$29*AND(R$5&gt;=$H$29,R$5&lt;$H$29+$F$29)</f>
        <v>0</v>
      </c>
      <c r="S121" s="36" t="n">
        <f aca="false">(1-$I$29)*(1-$J$29)*$D$29*AND(S$5&gt;=$H$29,S$5&lt;$H$29+$F$29)</f>
        <v>0</v>
      </c>
      <c r="T121" s="36" t="n">
        <f aca="false">(1-$I$29)*(1-$J$29)*$D$29*AND(T$5&gt;=$H$29,T$5&lt;$H$29+$F$29)</f>
        <v>0</v>
      </c>
      <c r="U121" s="36" t="n">
        <f aca="false">(1-$I$29)*(1-$J$29)*$D$29*AND(U$5&gt;=$H$29,U$5&lt;$H$29+$F$29)</f>
        <v>0</v>
      </c>
      <c r="V121" s="36" t="n">
        <f aca="false">(1-$I$29)*(1-$J$29)*$D$29*AND(V$5&gt;=$H$29,V$5&lt;$H$29+$F$29)</f>
        <v>0</v>
      </c>
      <c r="W121" s="36" t="n">
        <f aca="false">(1-$I$29)*(1-$J$29)*$D$29*AND(W$5&gt;=$H$29,W$5&lt;$H$29+$F$29)</f>
        <v>0</v>
      </c>
      <c r="X121" s="36" t="n">
        <f aca="false">(1-$I$29)*(1-$J$29)*$D$29*AND(X$5&gt;=$H$29,X$5&lt;$H$29+$F$29)</f>
        <v>0</v>
      </c>
      <c r="Y121" s="36" t="n">
        <f aca="false">(1-$I$29)*(1-$J$29)*$D$29*AND(Y$5&gt;=$H$29,Y$5&lt;$H$29+$F$29)</f>
        <v>0</v>
      </c>
      <c r="Z121" s="36" t="n">
        <f aca="false">(1-$I$29)*(1-$J$29)*$D$29*AND(Z$5&gt;=$H$29,Z$5&lt;$H$29+$F$29)</f>
        <v>0</v>
      </c>
      <c r="AA121" s="36" t="n">
        <f aca="false">(1-$I$29)*(1-$J$29)*$D$29*AND(AA$5&gt;=$H$29,AA$5&lt;$H$29+$F$29)</f>
        <v>0</v>
      </c>
      <c r="AB121" s="36" t="n">
        <f aca="false">(1-$I$29)*(1-$J$29)*$D$29*AND(AB$5&gt;=$H$29,AB$5&lt;$H$29+$F$29)</f>
        <v>0</v>
      </c>
      <c r="AC121" s="36" t="n">
        <f aca="false">(1-$I$29)*(1-$J$29)*$D$29*AND(AC$5&gt;=$H$29,AC$5&lt;$H$29+$F$29)</f>
        <v>0</v>
      </c>
      <c r="AD121" s="36" t="n">
        <f aca="false">(1-$I$29)*(1-$J$29)*$D$29*AND(AD$5&gt;=$H$29,AD$5&lt;$H$29+$F$29)</f>
        <v>0</v>
      </c>
      <c r="AE121" s="36" t="n">
        <f aca="false">(1-$I$29)*(1-$J$29)*$D$29*AND(AE$5&gt;=$H$29,AE$5&lt;$H$29+$F$29)</f>
        <v>0</v>
      </c>
      <c r="AF121" s="36" t="n">
        <f aca="false">(1-$I$29)*(1-$J$29)*$D$29*AND(AF$5&gt;=$H$29,AF$5&lt;$H$29+$F$29)</f>
        <v>0</v>
      </c>
      <c r="AG121" s="36" t="n">
        <f aca="false">(1-$I$29)*(1-$J$29)*$D$29*AND(AG$5&gt;=$H$29,AG$5&lt;$H$29+$F$29)</f>
        <v>0</v>
      </c>
      <c r="AI121" s="36" t="n">
        <f aca="false">INDEX($F121:$AG121,1,MATCH(AI$7,$F$7:$AG$7,1))</f>
        <v>0</v>
      </c>
      <c r="AJ121" s="36" t="n">
        <f aca="false">INDEX($F121:$AG121,1,MATCH(AJ$7,$F$7:$AG$7,1))</f>
        <v>0</v>
      </c>
      <c r="AK121" s="36" t="n">
        <f aca="false">INDEX($F121:$AG121,1,MATCH(AK$7,$F$7:$AG$7,1))</f>
        <v>0</v>
      </c>
      <c r="AL121" s="36" t="n">
        <f aca="false">INDEX($F121:$AG121,1,MATCH(AL$7,$F$7:$AG$7,1))</f>
        <v>0</v>
      </c>
      <c r="AM121" s="36" t="n">
        <f aca="false">INDEX($F121:$AG121,1,MATCH(AM$7,$F$7:$AG$7,1))</f>
        <v>0</v>
      </c>
      <c r="AN121" s="36" t="n">
        <f aca="false">INDEX($F121:$AG121,1,MATCH(AN$7,$F$7:$AG$7,1))</f>
        <v>0</v>
      </c>
      <c r="AO121" s="36" t="n">
        <f aca="false">INDEX($F121:$AG121,1,MATCH(AO$7,$F$7:$AG$7,1))</f>
        <v>0</v>
      </c>
    </row>
    <row r="122" customFormat="false" ht="15" hidden="false" customHeight="false" outlineLevel="0" collapsed="false">
      <c r="A122" s="107" t="s">
        <v>1962</v>
      </c>
      <c r="B122" s="22" t="s">
        <v>613</v>
      </c>
      <c r="C122" s="22"/>
      <c r="D122" s="22"/>
      <c r="F122" s="124" t="n">
        <f aca="false">-(1-$I$29)*LD_Pct*$D$29*$E$29/4*AND(F$5&gt;=$G$29,F$5&lt;$H$29)</f>
        <v>-0</v>
      </c>
      <c r="G122" s="124" t="n">
        <f aca="false">-(1-$I$29)*LD_Pct*$D$29*$E$29/4*AND(G$5&gt;=$G$29,G$5&lt;$H$29)</f>
        <v>-0</v>
      </c>
      <c r="H122" s="124" t="n">
        <f aca="false">-(1-$I$29)*LD_Pct*$D$29*$E$29/4*AND(H$5&gt;=$G$29,H$5&lt;$H$29)</f>
        <v>-0</v>
      </c>
      <c r="I122" s="124" t="n">
        <f aca="false">-(1-$I$29)*LD_Pct*$D$29*$E$29/4*AND(I$5&gt;=$G$29,I$5&lt;$H$29)</f>
        <v>-0</v>
      </c>
      <c r="J122" s="124" t="n">
        <f aca="false">-(1-$I$29)*LD_Pct*$D$29*$E$29/4*AND(J$5&gt;=$G$29,J$5&lt;$H$29)</f>
        <v>-0</v>
      </c>
      <c r="K122" s="124" t="n">
        <f aca="false">-(1-$I$29)*LD_Pct*$D$29*$E$29/4*AND(K$5&gt;=$G$29,K$5&lt;$H$29)</f>
        <v>-0</v>
      </c>
      <c r="L122" s="124" t="n">
        <f aca="false">-(1-$I$29)*LD_Pct*$D$29*$E$29/4*AND(L$5&gt;=$G$29,L$5&lt;$H$29)</f>
        <v>-0</v>
      </c>
      <c r="M122" s="124" t="n">
        <f aca="false">-(1-$I$29)*LD_Pct*$D$29*$E$29/4*AND(M$5&gt;=$G$29,M$5&lt;$H$29)</f>
        <v>-0</v>
      </c>
      <c r="N122" s="124" t="n">
        <f aca="false">-(1-$I$29)*LD_Pct*$D$29*$E$29/4*AND(N$5&gt;=$G$29,N$5&lt;$H$29)</f>
        <v>-0</v>
      </c>
      <c r="O122" s="124" t="n">
        <f aca="false">-(1-$I$29)*LD_Pct*$D$29*$E$29/4*AND(O$5&gt;=$G$29,O$5&lt;$H$29)</f>
        <v>-0</v>
      </c>
      <c r="P122" s="125" t="n">
        <f aca="false">-(1-$I$29)*LD_Pct*$D$29*$E$29/4*AND(P$5&gt;=$G$29,P$5&lt;$H$29)</f>
        <v>-0</v>
      </c>
      <c r="Q122" s="125" t="n">
        <f aca="false">-(1-$I$29)*LD_Pct*$D$29*$E$29/4*AND(Q$5&gt;=$G$29,Q$5&lt;$H$29)</f>
        <v>-0</v>
      </c>
      <c r="R122" s="125" t="n">
        <f aca="false">-(1-$I$29)*LD_Pct*$D$29*$E$29/4*AND(R$5&gt;=$G$29,R$5&lt;$H$29)</f>
        <v>-0</v>
      </c>
      <c r="S122" s="125" t="n">
        <f aca="false">-(1-$I$29)*LD_Pct*$D$29*$E$29/4*AND(S$5&gt;=$G$29,S$5&lt;$H$29)</f>
        <v>-0</v>
      </c>
      <c r="T122" s="125" t="n">
        <f aca="false">-(1-$I$29)*LD_Pct*$D$29*$E$29/4*AND(T$5&gt;=$G$29,T$5&lt;$H$29)</f>
        <v>-0</v>
      </c>
      <c r="U122" s="125" t="n">
        <f aca="false">-(1-$I$29)*LD_Pct*$D$29*$E$29/4*AND(U$5&gt;=$G$29,U$5&lt;$H$29)</f>
        <v>-0</v>
      </c>
      <c r="V122" s="125" t="n">
        <f aca="false">-(1-$I$29)*LD_Pct*$D$29*$E$29/4*AND(V$5&gt;=$G$29,V$5&lt;$H$29)</f>
        <v>-0</v>
      </c>
      <c r="W122" s="125" t="n">
        <f aca="false">-(1-$I$29)*LD_Pct*$D$29*$E$29/4*AND(W$5&gt;=$G$29,W$5&lt;$H$29)</f>
        <v>-0</v>
      </c>
      <c r="X122" s="125" t="n">
        <f aca="false">-(1-$I$29)*LD_Pct*$D$29*$E$29/4*AND(X$5&gt;=$G$29,X$5&lt;$H$29)</f>
        <v>-0</v>
      </c>
      <c r="Y122" s="125" t="n">
        <f aca="false">-(1-$I$29)*LD_Pct*$D$29*$E$29/4*AND(Y$5&gt;=$G$29,Y$5&lt;$H$29)</f>
        <v>-0</v>
      </c>
      <c r="Z122" s="125" t="n">
        <f aca="false">-(1-$I$29)*LD_Pct*$D$29*$E$29/4*AND(Z$5&gt;=$G$29,Z$5&lt;$H$29)</f>
        <v>-0</v>
      </c>
      <c r="AA122" s="125" t="n">
        <f aca="false">-(1-$I$29)*LD_Pct*$D$29*$E$29/4*AND(AA$5&gt;=$G$29,AA$5&lt;$H$29)</f>
        <v>-0</v>
      </c>
      <c r="AB122" s="125" t="n">
        <f aca="false">-(1-$I$29)*LD_Pct*$D$29*$E$29/4*AND(AB$5&gt;=$G$29,AB$5&lt;$H$29)</f>
        <v>-0</v>
      </c>
      <c r="AC122" s="125" t="n">
        <f aca="false">-(1-$I$29)*LD_Pct*$D$29*$E$29/4*AND(AC$5&gt;=$G$29,AC$5&lt;$H$29)</f>
        <v>-0</v>
      </c>
      <c r="AD122" s="125" t="n">
        <f aca="false">-(1-$I$29)*LD_Pct*$D$29*$E$29/4*AND(AD$5&gt;=$G$29,AD$5&lt;$H$29)</f>
        <v>-0</v>
      </c>
      <c r="AE122" s="125" t="n">
        <f aca="false">-(1-$I$29)*LD_Pct*$D$29*$E$29/4*AND(AE$5&gt;=$G$29,AE$5&lt;$H$29)</f>
        <v>-0</v>
      </c>
      <c r="AF122" s="125" t="n">
        <f aca="false">-(1-$I$29)*LD_Pct*$D$29*$E$29/4*AND(AF$5&gt;=$G$29,AF$5&lt;$H$29)</f>
        <v>-0</v>
      </c>
      <c r="AG122" s="125" t="n">
        <f aca="false">-(1-$I$29)*LD_Pct*$D$29*$E$29/4*AND(AG$5&gt;=$G$29,AG$5&lt;$H$29)</f>
        <v>-0</v>
      </c>
      <c r="AI122" s="125" t="n">
        <f aca="false">SUMIF($F$7:$AG$7,AI$7,$F122:$AG122)</f>
        <v>0</v>
      </c>
      <c r="AJ122" s="125" t="n">
        <f aca="false">SUMIF($F$7:$AG$7,AJ$7,$F122:$AG122)</f>
        <v>0</v>
      </c>
      <c r="AK122" s="125" t="n">
        <f aca="false">SUMIF($F$7:$AG$7,AK$7,$F122:$AG122)</f>
        <v>0</v>
      </c>
      <c r="AL122" s="125" t="n">
        <f aca="false">SUMIF($F$7:$AG$7,AL$7,$F122:$AG122)</f>
        <v>0</v>
      </c>
      <c r="AM122" s="125" t="n">
        <f aca="false">SUMIF($F$7:$AG$7,AM$7,$F122:$AG122)</f>
        <v>0</v>
      </c>
      <c r="AN122" s="125" t="n">
        <f aca="false">SUMIF($F$7:$AG$7,AN$7,$F122:$AG122)</f>
        <v>0</v>
      </c>
      <c r="AO122" s="125" t="n">
        <f aca="false">SUMIF($F$7:$AG$7,AO$7,$F122:$AG122)</f>
        <v>0</v>
      </c>
    </row>
    <row r="123" customFormat="false" ht="15" hidden="false" customHeight="false" outlineLevel="0" collapsed="false">
      <c r="A123" s="107" t="s">
        <v>1963</v>
      </c>
      <c r="B123" s="22" t="s">
        <v>664</v>
      </c>
      <c r="C123" s="22"/>
      <c r="D123" s="22"/>
      <c r="F123" s="116" t="n">
        <f aca="false">(1-$I$29)*(1-$J$29)*$D$29*(F$5&gt;=$H$29+$F$29)</f>
        <v>0</v>
      </c>
      <c r="G123" s="116" t="n">
        <f aca="false">(1-$I$29)*(1-$J$29)*$D$29*(G$5&gt;=$H$29+$F$29)</f>
        <v>0</v>
      </c>
      <c r="H123" s="116" t="n">
        <f aca="false">(1-$I$29)*(1-$J$29)*$D$29*(H$5&gt;=$H$29+$F$29)</f>
        <v>0</v>
      </c>
      <c r="I123" s="116" t="n">
        <f aca="false">(1-$I$29)*(1-$J$29)*$D$29*(I$5&gt;=$H$29+$F$29)</f>
        <v>0</v>
      </c>
      <c r="J123" s="116" t="n">
        <f aca="false">(1-$I$29)*(1-$J$29)*$D$29*(J$5&gt;=$H$29+$F$29)</f>
        <v>0</v>
      </c>
      <c r="K123" s="116" t="n">
        <f aca="false">(1-$I$29)*(1-$J$29)*$D$29*(K$5&gt;=$H$29+$F$29)</f>
        <v>0</v>
      </c>
      <c r="L123" s="116" t="n">
        <f aca="false">(1-$I$29)*(1-$J$29)*$D$29*(L$5&gt;=$H$29+$F$29)</f>
        <v>0</v>
      </c>
      <c r="M123" s="116" t="n">
        <f aca="false">(1-$I$29)*(1-$J$29)*$D$29*(M$5&gt;=$H$29+$F$29)</f>
        <v>0</v>
      </c>
      <c r="N123" s="116" t="n">
        <f aca="false">(1-$I$29)*(1-$J$29)*$D$29*(N$5&gt;=$H$29+$F$29)</f>
        <v>0</v>
      </c>
      <c r="O123" s="116" t="n">
        <f aca="false">(1-$I$29)*(1-$J$29)*$D$29*(O$5&gt;=$H$29+$F$29)</f>
        <v>0</v>
      </c>
      <c r="P123" s="36" t="n">
        <f aca="false">(1-$I$29)*(1-$J$29)*$D$29*(P$5&gt;=$H$29+$F$29)</f>
        <v>0</v>
      </c>
      <c r="Q123" s="36" t="n">
        <f aca="false">(1-$I$29)*(1-$J$29)*$D$29*(Q$5&gt;=$H$29+$F$29)</f>
        <v>0</v>
      </c>
      <c r="R123" s="36" t="n">
        <f aca="false">(1-$I$29)*(1-$J$29)*$D$29*(R$5&gt;=$H$29+$F$29)</f>
        <v>0</v>
      </c>
      <c r="S123" s="36" t="n">
        <f aca="false">(1-$I$29)*(1-$J$29)*$D$29*(S$5&gt;=$H$29+$F$29)</f>
        <v>0</v>
      </c>
      <c r="T123" s="36" t="n">
        <f aca="false">(1-$I$29)*(1-$J$29)*$D$29*(T$5&gt;=$H$29+$F$29)</f>
        <v>0</v>
      </c>
      <c r="U123" s="36" t="n">
        <f aca="false">(1-$I$29)*(1-$J$29)*$D$29*(U$5&gt;=$H$29+$F$29)</f>
        <v>0</v>
      </c>
      <c r="V123" s="36" t="n">
        <f aca="false">(1-$I$29)*(1-$J$29)*$D$29*(V$5&gt;=$H$29+$F$29)</f>
        <v>0</v>
      </c>
      <c r="W123" s="36" t="n">
        <f aca="false">(1-$I$29)*(1-$J$29)*$D$29*(W$5&gt;=$H$29+$F$29)</f>
        <v>0</v>
      </c>
      <c r="X123" s="36" t="n">
        <f aca="false">(1-$I$29)*(1-$J$29)*$D$29*(X$5&gt;=$H$29+$F$29)</f>
        <v>0</v>
      </c>
      <c r="Y123" s="36" t="n">
        <f aca="false">(1-$I$29)*(1-$J$29)*$D$29*(Y$5&gt;=$H$29+$F$29)</f>
        <v>0</v>
      </c>
      <c r="Z123" s="36" t="n">
        <f aca="false">(1-$I$29)*(1-$J$29)*$D$29*(Z$5&gt;=$H$29+$F$29)</f>
        <v>0</v>
      </c>
      <c r="AA123" s="36" t="n">
        <f aca="false">(1-$I$29)*(1-$J$29)*$D$29*(AA$5&gt;=$H$29+$F$29)</f>
        <v>0</v>
      </c>
      <c r="AB123" s="36" t="n">
        <f aca="false">(1-$I$29)*(1-$J$29)*$D$29*(AB$5&gt;=$H$29+$F$29)</f>
        <v>0</v>
      </c>
      <c r="AC123" s="36" t="n">
        <f aca="false">(1-$I$29)*(1-$J$29)*$D$29*(AC$5&gt;=$H$29+$F$29)</f>
        <v>0</v>
      </c>
      <c r="AD123" s="36" t="n">
        <f aca="false">(1-$I$29)*(1-$J$29)*$D$29*(AD$5&gt;=$H$29+$F$29)</f>
        <v>0</v>
      </c>
      <c r="AE123" s="36" t="n">
        <f aca="false">(1-$I$29)*(1-$J$29)*$D$29*(AE$5&gt;=$H$29+$F$29)</f>
        <v>0</v>
      </c>
      <c r="AF123" s="36" t="n">
        <f aca="false">(1-$I$29)*(1-$J$29)*$D$29*(AF$5&gt;=$H$29+$F$29)</f>
        <v>0</v>
      </c>
      <c r="AG123" s="36" t="n">
        <f aca="false">(1-$I$29)*(1-$J$29)*$D$29*(AG$5&gt;=$H$29+$F$29)</f>
        <v>0</v>
      </c>
      <c r="AI123" s="36" t="n">
        <f aca="false">INDEX($F123:$AG123,1,MATCH(AI$7,$F$7:$AG$7,1))</f>
        <v>0</v>
      </c>
      <c r="AJ123" s="36" t="n">
        <f aca="false">INDEX($F123:$AG123,1,MATCH(AJ$7,$F$7:$AG$7,1))</f>
        <v>0</v>
      </c>
      <c r="AK123" s="36" t="n">
        <f aca="false">INDEX($F123:$AG123,1,MATCH(AK$7,$F$7:$AG$7,1))</f>
        <v>0</v>
      </c>
      <c r="AL123" s="36" t="n">
        <f aca="false">INDEX($F123:$AG123,1,MATCH(AL$7,$F$7:$AG$7,1))</f>
        <v>0</v>
      </c>
      <c r="AM123" s="36" t="n">
        <f aca="false">INDEX($F123:$AG123,1,MATCH(AM$7,$F$7:$AG$7,1))</f>
        <v>0</v>
      </c>
      <c r="AN123" s="36" t="n">
        <f aca="false">INDEX($F123:$AG123,1,MATCH(AN$7,$F$7:$AG$7,1))</f>
        <v>0</v>
      </c>
      <c r="AO123" s="36" t="n">
        <f aca="false">INDEX($F123:$AG123,1,MATCH(AO$7,$F$7:$AG$7,1))</f>
        <v>0</v>
      </c>
    </row>
    <row r="124" customFormat="false" ht="15" hidden="false" customHeight="false" outlineLevel="0" collapsed="false">
      <c r="A124" s="107" t="s">
        <v>1964</v>
      </c>
      <c r="B124" s="22" t="s">
        <v>613</v>
      </c>
      <c r="C124" s="22"/>
      <c r="D124" s="22" t="s">
        <v>1879</v>
      </c>
      <c r="F124" s="124" t="n">
        <f aca="false">F123*CHOOSE(MATCH($C$29,{"H";"B";"N"},0),GPUMW_H*ODc_H,GPUMW_B*ODc_B,GPUMW_N*ODc_N)*ResidUtil*Timeline!F$9*INDEX(Curve,1,MAX(1,MIN(8,INT((F$5-$H$29)/4)+1)))/1000000</f>
        <v>0</v>
      </c>
      <c r="G124" s="124" t="n">
        <f aca="false">G123*CHOOSE(MATCH($C$29,{"H";"B";"N"},0),GPUMW_H*ODc_H,GPUMW_B*ODc_B,GPUMW_N*ODc_N)*ResidUtil*Timeline!G$9*INDEX(Curve,1,MAX(1,MIN(8,INT((G$5-$H$29)/4)+1)))/1000000</f>
        <v>0</v>
      </c>
      <c r="H124" s="124" t="n">
        <f aca="false">H123*CHOOSE(MATCH($C$29,{"H";"B";"N"},0),GPUMW_H*ODc_H,GPUMW_B*ODc_B,GPUMW_N*ODc_N)*ResidUtil*Timeline!H$9*INDEX(Curve,1,MAX(1,MIN(8,INT((H$5-$H$29)/4)+1)))/1000000</f>
        <v>0</v>
      </c>
      <c r="I124" s="124" t="n">
        <f aca="false">I123*CHOOSE(MATCH($C$29,{"H";"B";"N"},0),GPUMW_H*ODc_H,GPUMW_B*ODc_B,GPUMW_N*ODc_N)*ResidUtil*Timeline!I$9*INDEX(Curve,1,MAX(1,MIN(8,INT((I$5-$H$29)/4)+1)))/1000000</f>
        <v>0</v>
      </c>
      <c r="J124" s="124" t="n">
        <f aca="false">J123*CHOOSE(MATCH($C$29,{"H";"B";"N"},0),GPUMW_H*ODc_H,GPUMW_B*ODc_B,GPUMW_N*ODc_N)*ResidUtil*Timeline!J$9*INDEX(Curve,1,MAX(1,MIN(8,INT((J$5-$H$29)/4)+1)))/1000000</f>
        <v>0</v>
      </c>
      <c r="K124" s="124" t="n">
        <f aca="false">K123*CHOOSE(MATCH($C$29,{"H";"B";"N"},0),GPUMW_H*ODc_H,GPUMW_B*ODc_B,GPUMW_N*ODc_N)*ResidUtil*Timeline!K$9*INDEX(Curve,1,MAX(1,MIN(8,INT((K$5-$H$29)/4)+1)))/1000000</f>
        <v>0</v>
      </c>
      <c r="L124" s="124" t="n">
        <f aca="false">L123*CHOOSE(MATCH($C$29,{"H";"B";"N"},0),GPUMW_H*ODc_H,GPUMW_B*ODc_B,GPUMW_N*ODc_N)*ResidUtil*Timeline!L$9*INDEX(Curve,1,MAX(1,MIN(8,INT((L$5-$H$29)/4)+1)))/1000000</f>
        <v>0</v>
      </c>
      <c r="M124" s="124" t="n">
        <f aca="false">M123*CHOOSE(MATCH($C$29,{"H";"B";"N"},0),GPUMW_H*ODc_H,GPUMW_B*ODc_B,GPUMW_N*ODc_N)*ResidUtil*Timeline!M$9*INDEX(Curve,1,MAX(1,MIN(8,INT((M$5-$H$29)/4)+1)))/1000000</f>
        <v>0</v>
      </c>
      <c r="N124" s="124" t="n">
        <f aca="false">N123*CHOOSE(MATCH($C$29,{"H";"B";"N"},0),GPUMW_H*ODc_H,GPUMW_B*ODc_B,GPUMW_N*ODc_N)*ResidUtil*Timeline!N$9*INDEX(Curve,1,MAX(1,MIN(8,INT((N$5-$H$29)/4)+1)))/1000000</f>
        <v>0</v>
      </c>
      <c r="O124" s="124" t="n">
        <f aca="false">O123*CHOOSE(MATCH($C$29,{"H";"B";"N"},0),GPUMW_H*ODc_H,GPUMW_B*ODc_B,GPUMW_N*ODc_N)*ResidUtil*Timeline!O$9*INDEX(Curve,1,MAX(1,MIN(8,INT((O$5-$H$29)/4)+1)))/1000000</f>
        <v>0</v>
      </c>
      <c r="P124" s="125" t="n">
        <f aca="false">P123*CHOOSE(MATCH($C$29,{"H";"B";"N"},0),GPUMW_H*ODc_H,GPUMW_B*ODc_B,GPUMW_N*ODc_N)*ResidUtil*Timeline!P$9*INDEX(Curve,1,MAX(1,MIN(8,INT((P$5-$H$29)/4)+1)))/1000000</f>
        <v>0</v>
      </c>
      <c r="Q124" s="125" t="n">
        <f aca="false">Q123*CHOOSE(MATCH($C$29,{"H";"B";"N"},0),GPUMW_H*ODc_H,GPUMW_B*ODc_B,GPUMW_N*ODc_N)*ResidUtil*Timeline!Q$9*INDEX(Curve,1,MAX(1,MIN(8,INT((Q$5-$H$29)/4)+1)))/1000000</f>
        <v>0</v>
      </c>
      <c r="R124" s="125" t="n">
        <f aca="false">R123*CHOOSE(MATCH($C$29,{"H";"B";"N"},0),GPUMW_H*ODc_H,GPUMW_B*ODc_B,GPUMW_N*ODc_N)*ResidUtil*Timeline!R$9*INDEX(Curve,1,MAX(1,MIN(8,INT((R$5-$H$29)/4)+1)))/1000000</f>
        <v>0</v>
      </c>
      <c r="S124" s="125" t="n">
        <f aca="false">S123*CHOOSE(MATCH($C$29,{"H";"B";"N"},0),GPUMW_H*ODc_H,GPUMW_B*ODc_B,GPUMW_N*ODc_N)*ResidUtil*Timeline!S$9*INDEX(Curve,1,MAX(1,MIN(8,INT((S$5-$H$29)/4)+1)))/1000000</f>
        <v>0</v>
      </c>
      <c r="T124" s="125" t="n">
        <f aca="false">T123*CHOOSE(MATCH($C$29,{"H";"B";"N"},0),GPUMW_H*ODc_H,GPUMW_B*ODc_B,GPUMW_N*ODc_N)*ResidUtil*Timeline!T$9*INDEX(Curve,1,MAX(1,MIN(8,INT((T$5-$H$29)/4)+1)))/1000000</f>
        <v>0</v>
      </c>
      <c r="U124" s="125" t="n">
        <f aca="false">U123*CHOOSE(MATCH($C$29,{"H";"B";"N"},0),GPUMW_H*ODc_H,GPUMW_B*ODc_B,GPUMW_N*ODc_N)*ResidUtil*Timeline!U$9*INDEX(Curve,1,MAX(1,MIN(8,INT((U$5-$H$29)/4)+1)))/1000000</f>
        <v>0</v>
      </c>
      <c r="V124" s="125" t="n">
        <f aca="false">V123*CHOOSE(MATCH($C$29,{"H";"B";"N"},0),GPUMW_H*ODc_H,GPUMW_B*ODc_B,GPUMW_N*ODc_N)*ResidUtil*Timeline!V$9*INDEX(Curve,1,MAX(1,MIN(8,INT((V$5-$H$29)/4)+1)))/1000000</f>
        <v>0</v>
      </c>
      <c r="W124" s="125" t="n">
        <f aca="false">W123*CHOOSE(MATCH($C$29,{"H";"B";"N"},0),GPUMW_H*ODc_H,GPUMW_B*ODc_B,GPUMW_N*ODc_N)*ResidUtil*Timeline!W$9*INDEX(Curve,1,MAX(1,MIN(8,INT((W$5-$H$29)/4)+1)))/1000000</f>
        <v>0</v>
      </c>
      <c r="X124" s="125" t="n">
        <f aca="false">X123*CHOOSE(MATCH($C$29,{"H";"B";"N"},0),GPUMW_H*ODc_H,GPUMW_B*ODc_B,GPUMW_N*ODc_N)*ResidUtil*Timeline!X$9*INDEX(Curve,1,MAX(1,MIN(8,INT((X$5-$H$29)/4)+1)))/1000000</f>
        <v>0</v>
      </c>
      <c r="Y124" s="125" t="n">
        <f aca="false">Y123*CHOOSE(MATCH($C$29,{"H";"B";"N"},0),GPUMW_H*ODc_H,GPUMW_B*ODc_B,GPUMW_N*ODc_N)*ResidUtil*Timeline!Y$9*INDEX(Curve,1,MAX(1,MIN(8,INT((Y$5-$H$29)/4)+1)))/1000000</f>
        <v>0</v>
      </c>
      <c r="Z124" s="125" t="n">
        <f aca="false">Z123*CHOOSE(MATCH($C$29,{"H";"B";"N"},0),GPUMW_H*ODc_H,GPUMW_B*ODc_B,GPUMW_N*ODc_N)*ResidUtil*Timeline!Z$9*INDEX(Curve,1,MAX(1,MIN(8,INT((Z$5-$H$29)/4)+1)))/1000000</f>
        <v>0</v>
      </c>
      <c r="AA124" s="125" t="n">
        <f aca="false">AA123*CHOOSE(MATCH($C$29,{"H";"B";"N"},0),GPUMW_H*ODc_H,GPUMW_B*ODc_B,GPUMW_N*ODc_N)*ResidUtil*Timeline!AA$9*INDEX(Curve,1,MAX(1,MIN(8,INT((AA$5-$H$29)/4)+1)))/1000000</f>
        <v>0</v>
      </c>
      <c r="AB124" s="125" t="n">
        <f aca="false">AB123*CHOOSE(MATCH($C$29,{"H";"B";"N"},0),GPUMW_H*ODc_H,GPUMW_B*ODc_B,GPUMW_N*ODc_N)*ResidUtil*Timeline!AB$9*INDEX(Curve,1,MAX(1,MIN(8,INT((AB$5-$H$29)/4)+1)))/1000000</f>
        <v>0</v>
      </c>
      <c r="AC124" s="125" t="n">
        <f aca="false">AC123*CHOOSE(MATCH($C$29,{"H";"B";"N"},0),GPUMW_H*ODc_H,GPUMW_B*ODc_B,GPUMW_N*ODc_N)*ResidUtil*Timeline!AC$9*INDEX(Curve,1,MAX(1,MIN(8,INT((AC$5-$H$29)/4)+1)))/1000000</f>
        <v>0</v>
      </c>
      <c r="AD124" s="125" t="n">
        <f aca="false">AD123*CHOOSE(MATCH($C$29,{"H";"B";"N"},0),GPUMW_H*ODc_H,GPUMW_B*ODc_B,GPUMW_N*ODc_N)*ResidUtil*Timeline!AD$9*INDEX(Curve,1,MAX(1,MIN(8,INT((AD$5-$H$29)/4)+1)))/1000000</f>
        <v>0</v>
      </c>
      <c r="AE124" s="125" t="n">
        <f aca="false">AE123*CHOOSE(MATCH($C$29,{"H";"B";"N"},0),GPUMW_H*ODc_H,GPUMW_B*ODc_B,GPUMW_N*ODc_N)*ResidUtil*Timeline!AE$9*INDEX(Curve,1,MAX(1,MIN(8,INT((AE$5-$H$29)/4)+1)))/1000000</f>
        <v>0</v>
      </c>
      <c r="AF124" s="125" t="n">
        <f aca="false">AF123*CHOOSE(MATCH($C$29,{"H";"B";"N"},0),GPUMW_H*ODc_H,GPUMW_B*ODc_B,GPUMW_N*ODc_N)*ResidUtil*Timeline!AF$9*INDEX(Curve,1,MAX(1,MIN(8,INT((AF$5-$H$29)/4)+1)))/1000000</f>
        <v>0</v>
      </c>
      <c r="AG124" s="125" t="n">
        <f aca="false">AG123*CHOOSE(MATCH($C$29,{"H";"B";"N"},0),GPUMW_H*ODc_H,GPUMW_B*ODc_B,GPUMW_N*ODc_N)*ResidUtil*Timeline!AG$9*INDEX(Curve,1,MAX(1,MIN(8,INT((AG$5-$H$29)/4)+1)))/1000000</f>
        <v>0</v>
      </c>
      <c r="AI124" s="125" t="n">
        <f aca="false">SUMIF($F$7:$AG$7,AI$7,$F124:$AG124)</f>
        <v>0</v>
      </c>
      <c r="AJ124" s="125" t="n">
        <f aca="false">SUMIF($F$7:$AG$7,AJ$7,$F124:$AG124)</f>
        <v>0</v>
      </c>
      <c r="AK124" s="125" t="n">
        <f aca="false">SUMIF($F$7:$AG$7,AK$7,$F124:$AG124)</f>
        <v>0</v>
      </c>
      <c r="AL124" s="125" t="n">
        <f aca="false">SUMIF($F$7:$AG$7,AL$7,$F124:$AG124)</f>
        <v>0</v>
      </c>
      <c r="AM124" s="125" t="n">
        <f aca="false">SUMIF($F$7:$AG$7,AM$7,$F124:$AG124)</f>
        <v>0</v>
      </c>
      <c r="AN124" s="125" t="n">
        <f aca="false">SUMIF($F$7:$AG$7,AN$7,$F124:$AG124)</f>
        <v>0</v>
      </c>
      <c r="AO124" s="125" t="n">
        <f aca="false">SUMIF($F$7:$AG$7,AO$7,$F124:$AG124)</f>
        <v>0</v>
      </c>
    </row>
    <row r="126" customFormat="false" ht="15" hidden="false" customHeight="false" outlineLevel="0" collapsed="false">
      <c r="A126" s="58" t="s">
        <v>1965</v>
      </c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</row>
    <row r="128" customFormat="false" ht="15" hidden="false" customHeight="false" outlineLevel="0" collapsed="false">
      <c r="A128" s="58" t="s">
        <v>1966</v>
      </c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</row>
    <row r="129" customFormat="false" ht="15" hidden="false" customHeight="false" outlineLevel="0" collapsed="false">
      <c r="A129" s="107" t="s">
        <v>1967</v>
      </c>
      <c r="B129" s="22" t="s">
        <v>613</v>
      </c>
      <c r="C129" s="22" t="s">
        <v>540</v>
      </c>
      <c r="D129" s="22"/>
      <c r="F129" s="124" t="n">
        <f aca="false">F35+F40+F45+F50+F55+F60+F65+F70+F75+F80+F85</f>
        <v>0</v>
      </c>
      <c r="G129" s="124" t="n">
        <f aca="false">G35+G40+G45+G50+G55+G60+G65+G70+G75+G80+G85</f>
        <v>0</v>
      </c>
      <c r="H129" s="124" t="n">
        <f aca="false">H35+H40+H45+H50+H55+H60+H65+H70+H75+H80+H85</f>
        <v>0</v>
      </c>
      <c r="I129" s="124" t="n">
        <f aca="false">I35+I40+I45+I50+I55+I60+I65+I70+I75+I80+I85</f>
        <v>0</v>
      </c>
      <c r="J129" s="124" t="n">
        <f aca="false">J35+J40+J45+J50+J55+J60+J65+J70+J75+J80+J85</f>
        <v>0</v>
      </c>
      <c r="K129" s="124" t="n">
        <f aca="false">K35+K40+K45+K50+K55+K60+K65+K70+K75+K80+K85</f>
        <v>0</v>
      </c>
      <c r="L129" s="124" t="n">
        <f aca="false">L35+L40+L45+L50+L55+L60+L65+L70+L75+L80+L85</f>
        <v>0</v>
      </c>
      <c r="M129" s="124" t="n">
        <f aca="false">M35+M40+M45+M50+M55+M60+M65+M70+M75+M80+M85</f>
        <v>12.0784027777778</v>
      </c>
      <c r="N129" s="124" t="n">
        <f aca="false">N35+N40+N45+N50+N55+N60+N65+N70+N75+N80+N85</f>
        <v>60.3920138888889</v>
      </c>
      <c r="O129" s="124" t="n">
        <f aca="false">O35+O40+O45+O50+O55+O60+O65+O70+O75+O80+O85</f>
        <v>120.784027777778</v>
      </c>
      <c r="P129" s="125" t="n">
        <f aca="false">P35+P40+P45+P50+P55+P60+P65+P70+P75+P80+P85</f>
        <v>193.254444444444</v>
      </c>
      <c r="Q129" s="125" t="n">
        <f aca="false">Q35+Q40+Q45+Q50+Q55+Q60+Q65+Q70+Q75+Q80+Q85</f>
        <v>289.881666666667</v>
      </c>
      <c r="R129" s="125" t="n">
        <f aca="false">R35+R40+R45+R50+R55+R60+R65+R70+R75+R80+R85</f>
        <v>338.195277777778</v>
      </c>
      <c r="S129" s="125" t="n">
        <f aca="false">S35+S40+S45+S50+S55+S60+S65+S70+S75+S80+S85</f>
        <v>410.665694444445</v>
      </c>
      <c r="T129" s="125" t="n">
        <f aca="false">T35+T40+T45+T50+T55+T60+T65+T70+T75+T80+T85</f>
        <v>519.371319444445</v>
      </c>
      <c r="U129" s="125" t="n">
        <f aca="false">U35+U40+U45+U50+U55+U60+U65+U70+U75+U80+U85</f>
        <v>676.390555555556</v>
      </c>
      <c r="V129" s="125" t="n">
        <f aca="false">V35+V40+V45+V50+V55+V60+V65+V70+V75+V80+V85</f>
        <v>797.174583333333</v>
      </c>
      <c r="W129" s="125" t="n">
        <f aca="false">W35+W40+W45+W50+W55+W60+W65+W70+W75+W80+W85</f>
        <v>869.645</v>
      </c>
      <c r="X129" s="125" t="n">
        <f aca="false">X35+X40+X45+X50+X55+X60+X65+X70+X75+X80+X85</f>
        <v>869.645</v>
      </c>
      <c r="Y129" s="125" t="n">
        <f aca="false">Y35+Y40+Y45+Y50+Y55+Y60+Y65+Y70+Y75+Y80+Y85</f>
        <v>869.645</v>
      </c>
      <c r="Z129" s="125" t="n">
        <f aca="false">Z35+Z40+Z45+Z50+Z55+Z60+Z65+Z70+Z75+Z80+Z85</f>
        <v>869.645</v>
      </c>
      <c r="AA129" s="125" t="n">
        <f aca="false">AA35+AA40+AA45+AA50+AA55+AA60+AA65+AA70+AA75+AA80+AA85</f>
        <v>869.645</v>
      </c>
      <c r="AB129" s="125" t="n">
        <f aca="false">AB35+AB40+AB45+AB50+AB55+AB60+AB65+AB70+AB75+AB80+AB85</f>
        <v>869.645</v>
      </c>
      <c r="AC129" s="125" t="n">
        <f aca="false">AC35+AC40+AC45+AC50+AC55+AC60+AC65+AC70+AC75+AC80+AC85</f>
        <v>869.645</v>
      </c>
      <c r="AD129" s="125" t="n">
        <f aca="false">AD35+AD40+AD45+AD50+AD55+AD60+AD65+AD70+AD75+AD80+AD85</f>
        <v>869.645</v>
      </c>
      <c r="AE129" s="125" t="n">
        <f aca="false">AE35+AE40+AE45+AE50+AE55+AE60+AE65+AE70+AE75+AE80+AE85</f>
        <v>869.645</v>
      </c>
      <c r="AF129" s="125" t="n">
        <f aca="false">AF35+AF40+AF45+AF50+AF55+AF60+AF65+AF70+AF75+AF80+AF85</f>
        <v>869.645</v>
      </c>
      <c r="AG129" s="125" t="n">
        <f aca="false">AG35+AG40+AG45+AG50+AG55+AG60+AG65+AG70+AG75+AG80+AG85</f>
        <v>821.331388888889</v>
      </c>
      <c r="AI129" s="125" t="n">
        <f aca="false">SUMIF($F$7:$AG$7,AI$7,$F129:$AG129)</f>
        <v>0</v>
      </c>
      <c r="AJ129" s="125" t="n">
        <f aca="false">SUMIF($F$7:$AG$7,AJ$7,$F129:$AG129)</f>
        <v>12.0784027777778</v>
      </c>
      <c r="AK129" s="125" t="n">
        <f aca="false">SUMIF($F$7:$AG$7,AK$7,$F129:$AG129)</f>
        <v>664.312152777778</v>
      </c>
      <c r="AL129" s="125" t="n">
        <f aca="false">SUMIF($F$7:$AG$7,AL$7,$F129:$AG129)</f>
        <v>1944.62284722222</v>
      </c>
      <c r="AM129" s="125" t="n">
        <f aca="false">SUMIF($F$7:$AG$7,AM$7,$F129:$AG129)</f>
        <v>3406.10958333333</v>
      </c>
      <c r="AN129" s="125" t="n">
        <f aca="false">SUMIF($F$7:$AG$7,AN$7,$F129:$AG129)</f>
        <v>3478.58</v>
      </c>
      <c r="AO129" s="125" t="n">
        <f aca="false">SUMIF($F$7:$AG$7,AO$7,$F129:$AG129)</f>
        <v>3430.26638888889</v>
      </c>
    </row>
    <row r="130" customFormat="false" ht="15" hidden="false" customHeight="false" outlineLevel="0" collapsed="false">
      <c r="A130" s="107" t="s">
        <v>1968</v>
      </c>
      <c r="B130" s="22" t="s">
        <v>664</v>
      </c>
      <c r="C130" s="22" t="s">
        <v>540</v>
      </c>
      <c r="D130" s="22"/>
      <c r="F130" s="124" t="n">
        <f aca="false">F36+F41+F46+F51+F56+F61+F66+F71+F76+F81+F86</f>
        <v>0</v>
      </c>
      <c r="G130" s="124" t="n">
        <f aca="false">G36+G41+G46+G51+G56+G61+G66+G71+G76+G81+G86</f>
        <v>0</v>
      </c>
      <c r="H130" s="124" t="n">
        <f aca="false">H36+H41+H46+H51+H56+H61+H66+H71+H76+H81+H86</f>
        <v>0</v>
      </c>
      <c r="I130" s="124" t="n">
        <f aca="false">I36+I41+I46+I51+I56+I61+I66+I71+I76+I81+I86</f>
        <v>0</v>
      </c>
      <c r="J130" s="124" t="n">
        <f aca="false">J36+J41+J46+J51+J56+J61+J66+J71+J76+J81+J86</f>
        <v>0</v>
      </c>
      <c r="K130" s="124" t="n">
        <f aca="false">K36+K41+K46+K51+K56+K61+K66+K71+K76+K81+K86</f>
        <v>0</v>
      </c>
      <c r="L130" s="124" t="n">
        <f aca="false">L36+L41+L46+L51+L56+L61+L66+L71+L76+L81+L86</f>
        <v>0</v>
      </c>
      <c r="M130" s="124" t="n">
        <f aca="false">M36+M41+M46+M51+M56+M61+M66+M71+M76+M81+M86</f>
        <v>26.6666666666667</v>
      </c>
      <c r="N130" s="124" t="n">
        <f aca="false">N36+N41+N46+N51+N56+N61+N66+N71+N76+N81+N86</f>
        <v>53.3333333333333</v>
      </c>
      <c r="O130" s="124" t="n">
        <f aca="false">O36+O41+O46+O51+O56+O61+O66+O71+O76+O81+O86</f>
        <v>53.3333333333333</v>
      </c>
      <c r="P130" s="125" t="n">
        <f aca="false">P36+P41+P46+P51+P56+P61+P66+P71+P76+P81+P86</f>
        <v>106.666666666667</v>
      </c>
      <c r="Q130" s="125" t="n">
        <f aca="false">Q36+Q41+Q46+Q51+Q56+Q61+Q66+Q71+Q76+Q81+Q86</f>
        <v>106.666666666667</v>
      </c>
      <c r="R130" s="125" t="n">
        <f aca="false">R36+R41+R46+R51+R56+R61+R66+R71+R76+R81+R86</f>
        <v>106.666666666667</v>
      </c>
      <c r="S130" s="125" t="n">
        <f aca="false">S36+S41+S46+S51+S56+S61+S66+S71+S76+S81+S86</f>
        <v>160</v>
      </c>
      <c r="T130" s="125" t="n">
        <f aca="false">T36+T41+T46+T51+T56+T61+T66+T71+T76+T81+T86</f>
        <v>240</v>
      </c>
      <c r="U130" s="125" t="n">
        <f aca="false">U36+U41+U46+U51+U56+U61+U66+U71+U76+U81+U86</f>
        <v>240</v>
      </c>
      <c r="V130" s="125" t="n">
        <f aca="false">V36+V41+V46+V51+V56+V61+V66+V71+V76+V81+V86</f>
        <v>240</v>
      </c>
      <c r="W130" s="125" t="n">
        <f aca="false">W36+W41+W46+W51+W56+W61+W66+W71+W76+W81+W86</f>
        <v>240</v>
      </c>
      <c r="X130" s="125" t="n">
        <f aca="false">X36+X41+X46+X51+X56+X61+X66+X71+X76+X81+X86</f>
        <v>240</v>
      </c>
      <c r="Y130" s="125" t="n">
        <f aca="false">Y36+Y41+Y46+Y51+Y56+Y61+Y66+Y71+Y76+Y81+Y86</f>
        <v>240</v>
      </c>
      <c r="Z130" s="125" t="n">
        <f aca="false">Z36+Z41+Z46+Z51+Z56+Z61+Z66+Z71+Z76+Z81+Z86</f>
        <v>240</v>
      </c>
      <c r="AA130" s="125" t="n">
        <f aca="false">AA36+AA41+AA46+AA51+AA56+AA61+AA66+AA71+AA76+AA81+AA86</f>
        <v>240</v>
      </c>
      <c r="AB130" s="125" t="n">
        <f aca="false">AB36+AB41+AB46+AB51+AB56+AB61+AB66+AB71+AB76+AB81+AB86</f>
        <v>240</v>
      </c>
      <c r="AC130" s="125" t="n">
        <f aca="false">AC36+AC41+AC46+AC51+AC56+AC61+AC66+AC71+AC76+AC81+AC86</f>
        <v>240</v>
      </c>
      <c r="AD130" s="125" t="n">
        <f aca="false">AD36+AD41+AD46+AD51+AD56+AD61+AD66+AD71+AD76+AD81+AD86</f>
        <v>240</v>
      </c>
      <c r="AE130" s="125" t="n">
        <f aca="false">AE36+AE41+AE46+AE51+AE56+AE61+AE66+AE71+AE76+AE81+AE86</f>
        <v>240</v>
      </c>
      <c r="AF130" s="125" t="n">
        <f aca="false">AF36+AF41+AF46+AF51+AF56+AF61+AF66+AF71+AF76+AF81+AF86</f>
        <v>240</v>
      </c>
      <c r="AG130" s="125" t="n">
        <f aca="false">AG36+AG41+AG46+AG51+AG56+AG61+AG66+AG71+AG76+AG81+AG86</f>
        <v>213.333333333333</v>
      </c>
      <c r="AI130" s="125" t="n">
        <f aca="false">INDEX($F130:$AG130,1,MATCH(AI$7,$F$7:$AG$7,1))</f>
        <v>0</v>
      </c>
      <c r="AJ130" s="125" t="n">
        <f aca="false">INDEX($F130:$AG130,1,MATCH(AJ$7,$F$7:$AG$7,1))</f>
        <v>26.6666666666667</v>
      </c>
      <c r="AK130" s="125" t="n">
        <f aca="false">INDEX($F130:$AG130,1,MATCH(AK$7,$F$7:$AG$7,1))</f>
        <v>106.666666666667</v>
      </c>
      <c r="AL130" s="125" t="n">
        <f aca="false">INDEX($F130:$AG130,1,MATCH(AL$7,$F$7:$AG$7,1))</f>
        <v>240</v>
      </c>
      <c r="AM130" s="125" t="n">
        <f aca="false">INDEX($F130:$AG130,1,MATCH(AM$7,$F$7:$AG$7,1))</f>
        <v>240</v>
      </c>
      <c r="AN130" s="125" t="n">
        <f aca="false">INDEX($F130:$AG130,1,MATCH(AN$7,$F$7:$AG$7,1))</f>
        <v>240</v>
      </c>
      <c r="AO130" s="125" t="n">
        <f aca="false">INDEX($F130:$AG130,1,MATCH(AO$7,$F$7:$AG$7,1))</f>
        <v>213.333333333333</v>
      </c>
    </row>
    <row r="131" customFormat="false" ht="15" hidden="false" customHeight="false" outlineLevel="0" collapsed="false">
      <c r="A131" s="107" t="s">
        <v>1969</v>
      </c>
      <c r="B131" s="22" t="s">
        <v>664</v>
      </c>
      <c r="C131" s="22" t="s">
        <v>558</v>
      </c>
      <c r="D131" s="22"/>
      <c r="F131" s="124" t="n">
        <f aca="false">IF(AND(BloomOn=1,F$5&gt;=BloomIdx+2*BloomSlipOn),F130,GensetMW/VinPUE)</f>
        <v>102.416666666667</v>
      </c>
      <c r="G131" s="124" t="n">
        <f aca="false">IF(AND(BloomOn=1,G$5&gt;=BloomIdx+2*BloomSlipOn),G130,GensetMW/VinPUE)</f>
        <v>102.416666666667</v>
      </c>
      <c r="H131" s="124" t="n">
        <f aca="false">IF(AND(BloomOn=1,H$5&gt;=BloomIdx+2*BloomSlipOn),H130,GensetMW/VinPUE)</f>
        <v>102.416666666667</v>
      </c>
      <c r="I131" s="124" t="n">
        <f aca="false">IF(AND(BloomOn=1,I$5&gt;=BloomIdx+2*BloomSlipOn),I130,GensetMW/VinPUE)</f>
        <v>102.416666666667</v>
      </c>
      <c r="J131" s="124" t="n">
        <f aca="false">IF(AND(BloomOn=1,J$5&gt;=BloomIdx+2*BloomSlipOn),J130,GensetMW/VinPUE)</f>
        <v>102.416666666667</v>
      </c>
      <c r="K131" s="124" t="n">
        <f aca="false">IF(AND(BloomOn=1,K$5&gt;=BloomIdx+2*BloomSlipOn),K130,GensetMW/VinPUE)</f>
        <v>102.416666666667</v>
      </c>
      <c r="L131" s="124" t="n">
        <f aca="false">IF(AND(BloomOn=1,L$5&gt;=BloomIdx+2*BloomSlipOn),L130,GensetMW/VinPUE)</f>
        <v>102.416666666667</v>
      </c>
      <c r="M131" s="124" t="n">
        <f aca="false">IF(AND(BloomOn=1,M$5&gt;=BloomIdx+2*BloomSlipOn),M130,GensetMW/VinPUE)</f>
        <v>102.416666666667</v>
      </c>
      <c r="N131" s="124" t="n">
        <f aca="false">IF(AND(BloomOn=1,N$5&gt;=BloomIdx+2*BloomSlipOn),N130,GensetMW/VinPUE)</f>
        <v>102.416666666667</v>
      </c>
      <c r="O131" s="124" t="n">
        <f aca="false">IF(AND(BloomOn=1,O$5&gt;=BloomIdx+2*BloomSlipOn),O130,GensetMW/VinPUE)</f>
        <v>102.416666666667</v>
      </c>
      <c r="P131" s="125" t="n">
        <f aca="false">IF(AND(BloomOn=1,P$5&gt;=BloomIdx+2*BloomSlipOn),P130,GensetMW/VinPUE)</f>
        <v>102.416666666667</v>
      </c>
      <c r="Q131" s="125" t="n">
        <f aca="false">IF(AND(BloomOn=1,Q$5&gt;=BloomIdx+2*BloomSlipOn),Q130,GensetMW/VinPUE)</f>
        <v>102.416666666667</v>
      </c>
      <c r="R131" s="125" t="n">
        <f aca="false">IF(AND(BloomOn=1,R$5&gt;=BloomIdx+2*BloomSlipOn),R130,GensetMW/VinPUE)</f>
        <v>102.416666666667</v>
      </c>
      <c r="S131" s="125" t="n">
        <f aca="false">IF(AND(BloomOn=1,S$5&gt;=BloomIdx+2*BloomSlipOn),S130,GensetMW/VinPUE)</f>
        <v>160</v>
      </c>
      <c r="T131" s="125" t="n">
        <f aca="false">IF(AND(BloomOn=1,T$5&gt;=BloomIdx+2*BloomSlipOn),T130,GensetMW/VinPUE)</f>
        <v>240</v>
      </c>
      <c r="U131" s="125" t="n">
        <f aca="false">IF(AND(BloomOn=1,U$5&gt;=BloomIdx+2*BloomSlipOn),U130,GensetMW/VinPUE)</f>
        <v>240</v>
      </c>
      <c r="V131" s="125" t="n">
        <f aca="false">IF(AND(BloomOn=1,V$5&gt;=BloomIdx+2*BloomSlipOn),V130,GensetMW/VinPUE)</f>
        <v>240</v>
      </c>
      <c r="W131" s="125" t="n">
        <f aca="false">IF(AND(BloomOn=1,W$5&gt;=BloomIdx+2*BloomSlipOn),W130,GensetMW/VinPUE)</f>
        <v>240</v>
      </c>
      <c r="X131" s="125" t="n">
        <f aca="false">IF(AND(BloomOn=1,X$5&gt;=BloomIdx+2*BloomSlipOn),X130,GensetMW/VinPUE)</f>
        <v>240</v>
      </c>
      <c r="Y131" s="125" t="n">
        <f aca="false">IF(AND(BloomOn=1,Y$5&gt;=BloomIdx+2*BloomSlipOn),Y130,GensetMW/VinPUE)</f>
        <v>240</v>
      </c>
      <c r="Z131" s="125" t="n">
        <f aca="false">IF(AND(BloomOn=1,Z$5&gt;=BloomIdx+2*BloomSlipOn),Z130,GensetMW/VinPUE)</f>
        <v>240</v>
      </c>
      <c r="AA131" s="125" t="n">
        <f aca="false">IF(AND(BloomOn=1,AA$5&gt;=BloomIdx+2*BloomSlipOn),AA130,GensetMW/VinPUE)</f>
        <v>240</v>
      </c>
      <c r="AB131" s="125" t="n">
        <f aca="false">IF(AND(BloomOn=1,AB$5&gt;=BloomIdx+2*BloomSlipOn),AB130,GensetMW/VinPUE)</f>
        <v>240</v>
      </c>
      <c r="AC131" s="125" t="n">
        <f aca="false">IF(AND(BloomOn=1,AC$5&gt;=BloomIdx+2*BloomSlipOn),AC130,GensetMW/VinPUE)</f>
        <v>240</v>
      </c>
      <c r="AD131" s="125" t="n">
        <f aca="false">IF(AND(BloomOn=1,AD$5&gt;=BloomIdx+2*BloomSlipOn),AD130,GensetMW/VinPUE)</f>
        <v>240</v>
      </c>
      <c r="AE131" s="125" t="n">
        <f aca="false">IF(AND(BloomOn=1,AE$5&gt;=BloomIdx+2*BloomSlipOn),AE130,GensetMW/VinPUE)</f>
        <v>240</v>
      </c>
      <c r="AF131" s="125" t="n">
        <f aca="false">IF(AND(BloomOn=1,AF$5&gt;=BloomIdx+2*BloomSlipOn),AF130,GensetMW/VinPUE)</f>
        <v>240</v>
      </c>
      <c r="AG131" s="125" t="n">
        <f aca="false">IF(AND(BloomOn=1,AG$5&gt;=BloomIdx+2*BloomSlipOn),AG130,GensetMW/VinPUE)</f>
        <v>213.333333333333</v>
      </c>
      <c r="AI131" s="125" t="n">
        <f aca="false">INDEX($F131:$AG131,1,MATCH(AI$7,$F$7:$AG$7,1))</f>
        <v>102.416666666667</v>
      </c>
      <c r="AJ131" s="125" t="n">
        <f aca="false">INDEX($F131:$AG131,1,MATCH(AJ$7,$F$7:$AG$7,1))</f>
        <v>102.416666666667</v>
      </c>
      <c r="AK131" s="125" t="n">
        <f aca="false">INDEX($F131:$AG131,1,MATCH(AK$7,$F$7:$AG$7,1))</f>
        <v>102.416666666667</v>
      </c>
      <c r="AL131" s="125" t="n">
        <f aca="false">INDEX($F131:$AG131,1,MATCH(AL$7,$F$7:$AG$7,1))</f>
        <v>240</v>
      </c>
      <c r="AM131" s="125" t="n">
        <f aca="false">INDEX($F131:$AG131,1,MATCH(AM$7,$F$7:$AG$7,1))</f>
        <v>240</v>
      </c>
      <c r="AN131" s="125" t="n">
        <f aca="false">INDEX($F131:$AG131,1,MATCH(AN$7,$F$7:$AG$7,1))</f>
        <v>240</v>
      </c>
      <c r="AO131" s="125" t="n">
        <f aca="false">INDEX($F131:$AG131,1,MATCH(AO$7,$F$7:$AG$7,1))</f>
        <v>213.333333333333</v>
      </c>
    </row>
    <row r="133" customFormat="false" ht="15" hidden="false" customHeight="false" outlineLevel="0" collapsed="false">
      <c r="A133" s="58" t="s">
        <v>1970</v>
      </c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</row>
    <row r="134" customFormat="false" ht="15" hidden="false" customHeight="false" outlineLevel="0" collapsed="false">
      <c r="A134" s="0" t="s">
        <v>1971</v>
      </c>
      <c r="C134" s="85" t="n">
        <v>0</v>
      </c>
      <c r="D134" s="29" t="n">
        <v>0</v>
      </c>
      <c r="E134" s="29" t="n">
        <v>0</v>
      </c>
      <c r="F134" s="40" t="n">
        <v>0.55</v>
      </c>
      <c r="G134" s="0" t="s">
        <v>1972</v>
      </c>
    </row>
    <row r="135" customFormat="false" ht="15" hidden="false" customHeight="false" outlineLevel="0" collapsed="false">
      <c r="A135" s="0" t="s">
        <v>1973</v>
      </c>
      <c r="C135" s="85" t="n">
        <v>51.25</v>
      </c>
      <c r="D135" s="29" t="n">
        <v>55</v>
      </c>
      <c r="E135" s="29" t="n">
        <v>6</v>
      </c>
      <c r="F135" s="40" t="n">
        <v>0.2</v>
      </c>
      <c r="G135" s="0" t="s">
        <v>1972</v>
      </c>
    </row>
    <row r="136" customFormat="false" ht="15" hidden="false" customHeight="false" outlineLevel="0" collapsed="false">
      <c r="A136" s="0" t="s">
        <v>1974</v>
      </c>
      <c r="C136" s="85" t="n">
        <v>100.95</v>
      </c>
      <c r="D136" s="29" t="n">
        <v>55</v>
      </c>
      <c r="E136" s="29" t="n">
        <v>6</v>
      </c>
      <c r="F136" s="40" t="n">
        <v>0.05</v>
      </c>
      <c r="G136" s="0" t="s">
        <v>1972</v>
      </c>
    </row>
    <row r="137" customFormat="false" ht="15" hidden="false" customHeight="false" outlineLevel="0" collapsed="false">
      <c r="A137" s="0" t="s">
        <v>1975</v>
      </c>
      <c r="C137" s="85" t="n">
        <v>102.5</v>
      </c>
      <c r="D137" s="29" t="n">
        <v>30</v>
      </c>
      <c r="E137" s="29" t="n">
        <v>0</v>
      </c>
      <c r="F137" s="40" t="n">
        <v>0.1</v>
      </c>
      <c r="G137" s="0" t="s">
        <v>1972</v>
      </c>
    </row>
    <row r="138" customFormat="false" ht="15" hidden="false" customHeight="false" outlineLevel="0" collapsed="false">
      <c r="A138" s="0" t="s">
        <v>1976</v>
      </c>
      <c r="C138" s="85" t="n">
        <v>102.5</v>
      </c>
      <c r="D138" s="29" t="n">
        <v>55</v>
      </c>
      <c r="E138" s="29" t="n">
        <v>6</v>
      </c>
      <c r="F138" s="40" t="n">
        <v>0.06</v>
      </c>
      <c r="G138" s="0" t="s">
        <v>1972</v>
      </c>
    </row>
    <row r="139" customFormat="false" ht="15" hidden="false" customHeight="false" outlineLevel="0" collapsed="false">
      <c r="A139" s="0" t="s">
        <v>1977</v>
      </c>
      <c r="C139" s="85" t="n">
        <v>102.5</v>
      </c>
      <c r="D139" s="29" t="n">
        <v>55</v>
      </c>
      <c r="E139" s="29" t="n">
        <v>36</v>
      </c>
      <c r="F139" s="40" t="n">
        <v>0.04</v>
      </c>
      <c r="G139" s="0" t="s">
        <v>1972</v>
      </c>
    </row>
    <row r="140" customFormat="false" ht="15" hidden="false" customHeight="false" outlineLevel="0" collapsed="false">
      <c r="A140" s="107" t="s">
        <v>1978</v>
      </c>
      <c r="B140" s="22" t="s">
        <v>664</v>
      </c>
      <c r="C140" s="22" t="s">
        <v>558</v>
      </c>
      <c r="D140" s="22" t="s">
        <v>1979</v>
      </c>
      <c r="F140" s="124" t="n">
        <f aca="false">0/Timeline!F$9*24</f>
        <v>0</v>
      </c>
      <c r="G140" s="124" t="n">
        <f aca="false">0/Timeline!G$9*24</f>
        <v>0</v>
      </c>
      <c r="H140" s="124" t="n">
        <f aca="false">0/Timeline!H$9*24</f>
        <v>0</v>
      </c>
      <c r="I140" s="124" t="n">
        <f aca="false">0/Timeline!I$9*24</f>
        <v>0</v>
      </c>
      <c r="J140" s="124" t="n">
        <f aca="false">0/Timeline!J$9*24</f>
        <v>0</v>
      </c>
      <c r="K140" s="124" t="n">
        <f aca="false">0/Timeline!K$9*24</f>
        <v>0</v>
      </c>
      <c r="L140" s="124" t="n">
        <f aca="false">0/Timeline!L$9*24</f>
        <v>0</v>
      </c>
      <c r="M140" s="124" t="n">
        <f aca="false">0/Timeline!M$9*24</f>
        <v>0</v>
      </c>
      <c r="N140" s="124" t="n">
        <f aca="false">0/Timeline!N$9*24</f>
        <v>0</v>
      </c>
      <c r="O140" s="124" t="n">
        <f aca="false">0/Timeline!O$9*24</f>
        <v>0</v>
      </c>
      <c r="P140" s="125" t="n">
        <f aca="false">0/Timeline!P$9*24</f>
        <v>0</v>
      </c>
      <c r="Q140" s="125" t="n">
        <f aca="false">IF(VinShutSel=0,0,IF(VinShutSel=7,SUMPRODUCT($C$134:$C$139,$D$134:$D$139,$F$134:$F$139),INDEX($C$134:$C$139,VinShutSel)*INDEX($D$134:$D$139,VinShutSel)))/Timeline!Q$9*24</f>
        <v>0</v>
      </c>
      <c r="R140" s="125" t="n">
        <f aca="false">IF(VinShutSel=0,0,IF(VinShutSel=7,SUMPRODUCT($C$134:$C$139,$E$134:$E$139,$F$134:$F$139),INDEX($C$134:$C$139,VinShutSel)*INDEX($E$134:$E$139,VinShutSel)))/Timeline!R$9*24</f>
        <v>0</v>
      </c>
      <c r="S140" s="125" t="n">
        <f aca="false">0/Timeline!S$9*24</f>
        <v>0</v>
      </c>
      <c r="T140" s="125" t="n">
        <f aca="false">0/Timeline!T$9*24</f>
        <v>0</v>
      </c>
      <c r="U140" s="125" t="n">
        <f aca="false">0/Timeline!U$9*24</f>
        <v>0</v>
      </c>
      <c r="V140" s="125" t="n">
        <f aca="false">0/Timeline!V$9*24</f>
        <v>0</v>
      </c>
      <c r="W140" s="125" t="n">
        <f aca="false">0/Timeline!W$9*24</f>
        <v>0</v>
      </c>
      <c r="X140" s="125" t="n">
        <f aca="false">0/Timeline!X$9*24</f>
        <v>0</v>
      </c>
      <c r="Y140" s="125" t="n">
        <f aca="false">0/Timeline!Y$9*24</f>
        <v>0</v>
      </c>
      <c r="Z140" s="125" t="n">
        <f aca="false">0/Timeline!Z$9*24</f>
        <v>0</v>
      </c>
      <c r="AA140" s="125" t="n">
        <f aca="false">0/Timeline!AA$9*24</f>
        <v>0</v>
      </c>
      <c r="AB140" s="125" t="n">
        <f aca="false">0/Timeline!AB$9*24</f>
        <v>0</v>
      </c>
      <c r="AC140" s="125" t="n">
        <f aca="false">0/Timeline!AC$9*24</f>
        <v>0</v>
      </c>
      <c r="AD140" s="125" t="n">
        <f aca="false">0/Timeline!AD$9*24</f>
        <v>0</v>
      </c>
      <c r="AE140" s="125" t="n">
        <f aca="false">0/Timeline!AE$9*24</f>
        <v>0</v>
      </c>
      <c r="AF140" s="125" t="n">
        <f aca="false">0/Timeline!AF$9*24</f>
        <v>0</v>
      </c>
      <c r="AG140" s="125" t="n">
        <f aca="false">0/Timeline!AG$9*24</f>
        <v>0</v>
      </c>
      <c r="AI140" s="125" t="n">
        <f aca="false">AVERAGEIF($F$7:$AG$7,AI$7,$F140:$AG140)</f>
        <v>0</v>
      </c>
      <c r="AJ140" s="125" t="n">
        <f aca="false">AVERAGEIF($F$7:$AG$7,AJ$7,$F140:$AG140)</f>
        <v>0</v>
      </c>
      <c r="AK140" s="125" t="n">
        <f aca="false">AVERAGEIF($F$7:$AG$7,AK$7,$F140:$AG140)</f>
        <v>0</v>
      </c>
      <c r="AL140" s="125" t="n">
        <f aca="false">AVERAGEIF($F$7:$AG$7,AL$7,$F140:$AG140)</f>
        <v>0</v>
      </c>
      <c r="AM140" s="125" t="n">
        <f aca="false">AVERAGEIF($F$7:$AG$7,AM$7,$F140:$AG140)</f>
        <v>0</v>
      </c>
      <c r="AN140" s="125" t="n">
        <f aca="false">AVERAGEIF($F$7:$AG$7,AN$7,$F140:$AG140)</f>
        <v>0</v>
      </c>
      <c r="AO140" s="125" t="n">
        <f aca="false">AVERAGEIF($F$7:$AG$7,AO$7,$F140:$AG140)</f>
        <v>0</v>
      </c>
    </row>
    <row r="141" customFormat="false" ht="15" hidden="false" customHeight="false" outlineLevel="0" collapsed="false">
      <c r="A141" s="3" t="s">
        <v>1980</v>
      </c>
      <c r="B141" s="22" t="s">
        <v>664</v>
      </c>
      <c r="C141" s="22" t="s">
        <v>540</v>
      </c>
      <c r="D141" s="22"/>
      <c r="F141" s="126" t="n">
        <f aca="false">MIN(F130,F131)</f>
        <v>0</v>
      </c>
      <c r="G141" s="126" t="n">
        <f aca="false">MIN(G130,G131)</f>
        <v>0</v>
      </c>
      <c r="H141" s="126" t="n">
        <f aca="false">MIN(H130,H131)</f>
        <v>0</v>
      </c>
      <c r="I141" s="126" t="n">
        <f aca="false">MIN(I130,I131)</f>
        <v>0</v>
      </c>
      <c r="J141" s="126" t="n">
        <f aca="false">MIN(J130,J131)</f>
        <v>0</v>
      </c>
      <c r="K141" s="126" t="n">
        <f aca="false">MIN(K130,K131)</f>
        <v>0</v>
      </c>
      <c r="L141" s="126" t="n">
        <f aca="false">MIN(L130,L131)</f>
        <v>0</v>
      </c>
      <c r="M141" s="126" t="n">
        <f aca="false">MIN(M130,M131)</f>
        <v>26.6666666666667</v>
      </c>
      <c r="N141" s="126" t="n">
        <f aca="false">MIN(N130,N131)</f>
        <v>53.3333333333333</v>
      </c>
      <c r="O141" s="126" t="n">
        <f aca="false">MIN(O130,O131)</f>
        <v>53.3333333333333</v>
      </c>
      <c r="P141" s="99" t="n">
        <f aca="false">MIN(P130,P131)</f>
        <v>102.416666666667</v>
      </c>
      <c r="Q141" s="99" t="n">
        <f aca="false">MIN(Q130,Q131)</f>
        <v>102.416666666667</v>
      </c>
      <c r="R141" s="99" t="n">
        <f aca="false">MIN(R130,R131)</f>
        <v>102.416666666667</v>
      </c>
      <c r="S141" s="99" t="n">
        <f aca="false">MIN(S130,S131)</f>
        <v>160</v>
      </c>
      <c r="T141" s="99" t="n">
        <f aca="false">MIN(T130,T131)</f>
        <v>240</v>
      </c>
      <c r="U141" s="99" t="n">
        <f aca="false">MIN(U130,U131)</f>
        <v>240</v>
      </c>
      <c r="V141" s="99" t="n">
        <f aca="false">MIN(V130,V131)</f>
        <v>240</v>
      </c>
      <c r="W141" s="99" t="n">
        <f aca="false">MIN(W130,W131)</f>
        <v>240</v>
      </c>
      <c r="X141" s="99" t="n">
        <f aca="false">MIN(X130,X131)</f>
        <v>240</v>
      </c>
      <c r="Y141" s="99" t="n">
        <f aca="false">MIN(Y130,Y131)</f>
        <v>240</v>
      </c>
      <c r="Z141" s="99" t="n">
        <f aca="false">MIN(Z130,Z131)</f>
        <v>240</v>
      </c>
      <c r="AA141" s="99" t="n">
        <f aca="false">MIN(AA130,AA131)</f>
        <v>240</v>
      </c>
      <c r="AB141" s="99" t="n">
        <f aca="false">MIN(AB130,AB131)</f>
        <v>240</v>
      </c>
      <c r="AC141" s="99" t="n">
        <f aca="false">MIN(AC130,AC131)</f>
        <v>240</v>
      </c>
      <c r="AD141" s="99" t="n">
        <f aca="false">MIN(AD130,AD131)</f>
        <v>240</v>
      </c>
      <c r="AE141" s="99" t="n">
        <f aca="false">MIN(AE130,AE131)</f>
        <v>240</v>
      </c>
      <c r="AF141" s="99" t="n">
        <f aca="false">MIN(AF130,AF131)</f>
        <v>240</v>
      </c>
      <c r="AG141" s="99" t="n">
        <f aca="false">MIN(AG130,AG131)</f>
        <v>213.333333333333</v>
      </c>
      <c r="AI141" s="99" t="n">
        <f aca="false">INDEX($F141:$AG141,1,MATCH(AI$7,$F$7:$AG$7,1))</f>
        <v>0</v>
      </c>
      <c r="AJ141" s="99" t="n">
        <f aca="false">INDEX($F141:$AG141,1,MATCH(AJ$7,$F$7:$AG$7,1))</f>
        <v>26.6666666666667</v>
      </c>
      <c r="AK141" s="99" t="n">
        <f aca="false">INDEX($F141:$AG141,1,MATCH(AK$7,$F$7:$AG$7,1))</f>
        <v>102.416666666667</v>
      </c>
      <c r="AL141" s="99" t="n">
        <f aca="false">INDEX($F141:$AG141,1,MATCH(AL$7,$F$7:$AG$7,1))</f>
        <v>240</v>
      </c>
      <c r="AM141" s="99" t="n">
        <f aca="false">INDEX($F141:$AG141,1,MATCH(AM$7,$F$7:$AG$7,1))</f>
        <v>240</v>
      </c>
      <c r="AN141" s="99" t="n">
        <f aca="false">INDEX($F141:$AG141,1,MATCH(AN$7,$F$7:$AG$7,1))</f>
        <v>240</v>
      </c>
      <c r="AO141" s="99" t="n">
        <f aca="false">INDEX($F141:$AG141,1,MATCH(AO$7,$F$7:$AG$7,1))</f>
        <v>213.333333333333</v>
      </c>
    </row>
    <row r="142" customFormat="false" ht="15" hidden="false" customHeight="false" outlineLevel="0" collapsed="false">
      <c r="A142" s="107" t="s">
        <v>1981</v>
      </c>
      <c r="B142" s="22" t="s">
        <v>613</v>
      </c>
      <c r="C142" s="22" t="s">
        <v>540</v>
      </c>
      <c r="D142" s="22"/>
      <c r="F142" s="124" t="n">
        <f aca="false">IF(F130&gt;0,F129*F141/F130,0)</f>
        <v>0</v>
      </c>
      <c r="G142" s="124" t="n">
        <f aca="false">IF(G130&gt;0,G129*G141/G130,0)</f>
        <v>0</v>
      </c>
      <c r="H142" s="124" t="n">
        <f aca="false">IF(H130&gt;0,H129*H141/H130,0)</f>
        <v>0</v>
      </c>
      <c r="I142" s="124" t="n">
        <f aca="false">IF(I130&gt;0,I129*I141/I130,0)</f>
        <v>0</v>
      </c>
      <c r="J142" s="124" t="n">
        <f aca="false">IF(J130&gt;0,J129*J141/J130,0)</f>
        <v>0</v>
      </c>
      <c r="K142" s="124" t="n">
        <f aca="false">IF(K130&gt;0,K129*K141/K130,0)</f>
        <v>0</v>
      </c>
      <c r="L142" s="124" t="n">
        <f aca="false">IF(L130&gt;0,L129*L141/L130,0)</f>
        <v>0</v>
      </c>
      <c r="M142" s="124" t="n">
        <f aca="false">IF(M130&gt;0,M129*M141/M130,0)</f>
        <v>12.0784027777778</v>
      </c>
      <c r="N142" s="124" t="n">
        <f aca="false">IF(N130&gt;0,N129*N141/N130,0)</f>
        <v>60.3920138888889</v>
      </c>
      <c r="O142" s="124" t="n">
        <f aca="false">IF(O130&gt;0,O129*O141/O130,0)</f>
        <v>120.784027777778</v>
      </c>
      <c r="P142" s="125" t="n">
        <f aca="false">IF(P130&gt;0,P129*P141/P130,0)</f>
        <v>185.554462673611</v>
      </c>
      <c r="Q142" s="125" t="n">
        <f aca="false">IF(Q130&gt;0,Q129*Q141/Q130,0)</f>
        <v>278.331694010417</v>
      </c>
      <c r="R142" s="125" t="n">
        <f aca="false">IF(R130&gt;0,R129*R141/R130,0)</f>
        <v>324.72030967882</v>
      </c>
      <c r="S142" s="125" t="n">
        <f aca="false">IF(S130&gt;0,S129*S141/S130,0)</f>
        <v>410.665694444445</v>
      </c>
      <c r="T142" s="125" t="n">
        <f aca="false">IF(T130&gt;0,T129*T141/T130,0)</f>
        <v>519.371319444445</v>
      </c>
      <c r="U142" s="125" t="n">
        <f aca="false">IF(U130&gt;0,U129*U141/U130,0)</f>
        <v>676.390555555556</v>
      </c>
      <c r="V142" s="125" t="n">
        <f aca="false">IF(V130&gt;0,V129*V141/V130,0)</f>
        <v>797.174583333333</v>
      </c>
      <c r="W142" s="125" t="n">
        <f aca="false">IF(W130&gt;0,W129*W141/W130,0)</f>
        <v>869.645</v>
      </c>
      <c r="X142" s="125" t="n">
        <f aca="false">IF(X130&gt;0,X129*X141/X130,0)</f>
        <v>869.645</v>
      </c>
      <c r="Y142" s="125" t="n">
        <f aca="false">IF(Y130&gt;0,Y129*Y141/Y130,0)</f>
        <v>869.645</v>
      </c>
      <c r="Z142" s="125" t="n">
        <f aca="false">IF(Z130&gt;0,Z129*Z141/Z130,0)</f>
        <v>869.645</v>
      </c>
      <c r="AA142" s="125" t="n">
        <f aca="false">IF(AA130&gt;0,AA129*AA141/AA130,0)</f>
        <v>869.645</v>
      </c>
      <c r="AB142" s="125" t="n">
        <f aca="false">IF(AB130&gt;0,AB129*AB141/AB130,0)</f>
        <v>869.645</v>
      </c>
      <c r="AC142" s="125" t="n">
        <f aca="false">IF(AC130&gt;0,AC129*AC141/AC130,0)</f>
        <v>869.645</v>
      </c>
      <c r="AD142" s="125" t="n">
        <f aca="false">IF(AD130&gt;0,AD129*AD141/AD130,0)</f>
        <v>869.645</v>
      </c>
      <c r="AE142" s="125" t="n">
        <f aca="false">IF(AE130&gt;0,AE129*AE141/AE130,0)</f>
        <v>869.645</v>
      </c>
      <c r="AF142" s="125" t="n">
        <f aca="false">IF(AF130&gt;0,AF129*AF141/AF130,0)</f>
        <v>869.645</v>
      </c>
      <c r="AG142" s="125" t="n">
        <f aca="false">IF(AG130&gt;0,AG129*AG141/AG130,0)</f>
        <v>821.331388888889</v>
      </c>
      <c r="AI142" s="125" t="n">
        <f aca="false">SUMIF($F$7:$AG$7,AI$7,$F142:$AG142)</f>
        <v>0</v>
      </c>
      <c r="AJ142" s="125" t="n">
        <f aca="false">SUMIF($F$7:$AG$7,AJ$7,$F142:$AG142)</f>
        <v>12.0784027777778</v>
      </c>
      <c r="AK142" s="125" t="n">
        <f aca="false">SUMIF($F$7:$AG$7,AK$7,$F142:$AG142)</f>
        <v>645.062198350694</v>
      </c>
      <c r="AL142" s="125" t="n">
        <f aca="false">SUMIF($F$7:$AG$7,AL$7,$F142:$AG142)</f>
        <v>1931.14787912326</v>
      </c>
      <c r="AM142" s="125" t="n">
        <f aca="false">SUMIF($F$7:$AG$7,AM$7,$F142:$AG142)</f>
        <v>3406.10958333333</v>
      </c>
      <c r="AN142" s="125" t="n">
        <f aca="false">SUMIF($F$7:$AG$7,AN$7,$F142:$AG142)</f>
        <v>3478.58</v>
      </c>
      <c r="AO142" s="125" t="n">
        <f aca="false">SUMIF($F$7:$AG$7,AO$7,$F142:$AG142)</f>
        <v>3430.26638888889</v>
      </c>
    </row>
    <row r="143" customFormat="false" ht="15" hidden="false" customHeight="false" outlineLevel="0" collapsed="false">
      <c r="A143" s="107" t="s">
        <v>1982</v>
      </c>
      <c r="B143" s="22" t="s">
        <v>613</v>
      </c>
      <c r="C143" s="22" t="s">
        <v>558</v>
      </c>
      <c r="D143" s="22" t="s">
        <v>1983</v>
      </c>
      <c r="F143" s="124" t="n">
        <f aca="false">MIN(F142,0*VinRevMW/365)</f>
        <v>0</v>
      </c>
      <c r="G143" s="124" t="n">
        <f aca="false">MIN(G142,0*VinRevMW/365)</f>
        <v>0</v>
      </c>
      <c r="H143" s="124" t="n">
        <f aca="false">MIN(H142,0*VinRevMW/365)</f>
        <v>0</v>
      </c>
      <c r="I143" s="124" t="n">
        <f aca="false">MIN(I142,0*VinRevMW/365)</f>
        <v>0</v>
      </c>
      <c r="J143" s="124" t="n">
        <f aca="false">MIN(J142,0*VinRevMW/365)</f>
        <v>0</v>
      </c>
      <c r="K143" s="124" t="n">
        <f aca="false">MIN(K142,0*VinRevMW/365)</f>
        <v>0</v>
      </c>
      <c r="L143" s="124" t="n">
        <f aca="false">MIN(L142,0*VinRevMW/365)</f>
        <v>0</v>
      </c>
      <c r="M143" s="124" t="n">
        <f aca="false">MIN(M142,0*VinRevMW/365)</f>
        <v>0</v>
      </c>
      <c r="N143" s="124" t="n">
        <f aca="false">MIN(N142,0*VinRevMW/365)</f>
        <v>0</v>
      </c>
      <c r="O143" s="124" t="n">
        <f aca="false">MIN(O142,0*VinRevMW/365)</f>
        <v>0</v>
      </c>
      <c r="P143" s="125" t="n">
        <f aca="false">MIN(P142,0*VinRevMW/365)</f>
        <v>0</v>
      </c>
      <c r="Q143" s="125" t="n">
        <f aca="false">MIN(Q142,IF(VinShutSel=0,0,IF(VinShutSel=7,SUMPRODUCT($C$134:$C$139,$D$134:$D$139,$F$134:$F$139),INDEX($C$134:$C$139,VinShutSel)*INDEX($D$134:$D$139,VinShutSel)))*VinRevMW/365)</f>
        <v>0</v>
      </c>
      <c r="R143" s="125" t="n">
        <f aca="false">MIN(R142,IF(VinShutSel=0,0,IF(VinShutSel=7,SUMPRODUCT($C$134:$C$139,$E$134:$E$139,$F$134:$F$139),INDEX($C$134:$C$139,VinShutSel)*INDEX($E$134:$E$139,VinShutSel)))*VinRevMW/365)</f>
        <v>0</v>
      </c>
      <c r="S143" s="125" t="n">
        <f aca="false">MIN(S142,0*VinRevMW/365)</f>
        <v>0</v>
      </c>
      <c r="T143" s="125" t="n">
        <f aca="false">MIN(T142,0*VinRevMW/365)</f>
        <v>0</v>
      </c>
      <c r="U143" s="125" t="n">
        <f aca="false">MIN(U142,0*VinRevMW/365)</f>
        <v>0</v>
      </c>
      <c r="V143" s="125" t="n">
        <f aca="false">MIN(V142,0*VinRevMW/365)</f>
        <v>0</v>
      </c>
      <c r="W143" s="125" t="n">
        <f aca="false">MIN(W142,0*VinRevMW/365)</f>
        <v>0</v>
      </c>
      <c r="X143" s="125" t="n">
        <f aca="false">MIN(X142,0*VinRevMW/365)</f>
        <v>0</v>
      </c>
      <c r="Y143" s="125" t="n">
        <f aca="false">MIN(Y142,0*VinRevMW/365)</f>
        <v>0</v>
      </c>
      <c r="Z143" s="125" t="n">
        <f aca="false">MIN(Z142,0*VinRevMW/365)</f>
        <v>0</v>
      </c>
      <c r="AA143" s="125" t="n">
        <f aca="false">MIN(AA142,0*VinRevMW/365)</f>
        <v>0</v>
      </c>
      <c r="AB143" s="125" t="n">
        <f aca="false">MIN(AB142,0*VinRevMW/365)</f>
        <v>0</v>
      </c>
      <c r="AC143" s="125" t="n">
        <f aca="false">MIN(AC142,0*VinRevMW/365)</f>
        <v>0</v>
      </c>
      <c r="AD143" s="125" t="n">
        <f aca="false">MIN(AD142,0*VinRevMW/365)</f>
        <v>0</v>
      </c>
      <c r="AE143" s="125" t="n">
        <f aca="false">MIN(AE142,0*VinRevMW/365)</f>
        <v>0</v>
      </c>
      <c r="AF143" s="125" t="n">
        <f aca="false">MIN(AF142,0*VinRevMW/365)</f>
        <v>0</v>
      </c>
      <c r="AG143" s="125" t="n">
        <f aca="false">MIN(AG142,0*VinRevMW/365)</f>
        <v>0</v>
      </c>
      <c r="AI143" s="125" t="n">
        <f aca="false">SUMIF($F$7:$AG$7,AI$7,$F143:$AG143)</f>
        <v>0</v>
      </c>
      <c r="AJ143" s="125" t="n">
        <f aca="false">SUMIF($F$7:$AG$7,AJ$7,$F143:$AG143)</f>
        <v>0</v>
      </c>
      <c r="AK143" s="125" t="n">
        <f aca="false">SUMIF($F$7:$AG$7,AK$7,$F143:$AG143)</f>
        <v>0</v>
      </c>
      <c r="AL143" s="125" t="n">
        <f aca="false">SUMIF($F$7:$AG$7,AL$7,$F143:$AG143)</f>
        <v>0</v>
      </c>
      <c r="AM143" s="125" t="n">
        <f aca="false">SUMIF($F$7:$AG$7,AM$7,$F143:$AG143)</f>
        <v>0</v>
      </c>
      <c r="AN143" s="125" t="n">
        <f aca="false">SUMIF($F$7:$AG$7,AN$7,$F143:$AG143)</f>
        <v>0</v>
      </c>
      <c r="AO143" s="125" t="n">
        <f aca="false">SUMIF($F$7:$AG$7,AO$7,$F143:$AG143)</f>
        <v>0</v>
      </c>
    </row>
    <row r="144" customFormat="false" ht="15" hidden="false" customHeight="false" outlineLevel="0" collapsed="false">
      <c r="A144" s="3" t="s">
        <v>1984</v>
      </c>
      <c r="B144" s="22" t="s">
        <v>613</v>
      </c>
      <c r="C144" s="22" t="s">
        <v>540</v>
      </c>
      <c r="D144" s="22"/>
      <c r="F144" s="126" t="n">
        <f aca="false">F142-F143</f>
        <v>0</v>
      </c>
      <c r="G144" s="126" t="n">
        <f aca="false">G142-G143</f>
        <v>0</v>
      </c>
      <c r="H144" s="126" t="n">
        <f aca="false">H142-H143</f>
        <v>0</v>
      </c>
      <c r="I144" s="126" t="n">
        <f aca="false">I142-I143</f>
        <v>0</v>
      </c>
      <c r="J144" s="126" t="n">
        <f aca="false">J142-J143</f>
        <v>0</v>
      </c>
      <c r="K144" s="126" t="n">
        <f aca="false">K142-K143</f>
        <v>0</v>
      </c>
      <c r="L144" s="126" t="n">
        <f aca="false">L142-L143</f>
        <v>0</v>
      </c>
      <c r="M144" s="126" t="n">
        <f aca="false">M142-M143</f>
        <v>12.0784027777778</v>
      </c>
      <c r="N144" s="126" t="n">
        <f aca="false">N142-N143</f>
        <v>60.3920138888889</v>
      </c>
      <c r="O144" s="126" t="n">
        <f aca="false">O142-O143</f>
        <v>120.784027777778</v>
      </c>
      <c r="P144" s="99" t="n">
        <f aca="false">P142-P143</f>
        <v>185.554462673611</v>
      </c>
      <c r="Q144" s="99" t="n">
        <f aca="false">Q142-Q143</f>
        <v>278.331694010417</v>
      </c>
      <c r="R144" s="99" t="n">
        <f aca="false">R142-R143</f>
        <v>324.72030967882</v>
      </c>
      <c r="S144" s="99" t="n">
        <f aca="false">S142-S143</f>
        <v>410.665694444445</v>
      </c>
      <c r="T144" s="99" t="n">
        <f aca="false">T142-T143</f>
        <v>519.371319444445</v>
      </c>
      <c r="U144" s="99" t="n">
        <f aca="false">U142-U143</f>
        <v>676.390555555556</v>
      </c>
      <c r="V144" s="99" t="n">
        <f aca="false">V142-V143</f>
        <v>797.174583333333</v>
      </c>
      <c r="W144" s="99" t="n">
        <f aca="false">W142-W143</f>
        <v>869.645</v>
      </c>
      <c r="X144" s="99" t="n">
        <f aca="false">X142-X143</f>
        <v>869.645</v>
      </c>
      <c r="Y144" s="99" t="n">
        <f aca="false">Y142-Y143</f>
        <v>869.645</v>
      </c>
      <c r="Z144" s="99" t="n">
        <f aca="false">Z142-Z143</f>
        <v>869.645</v>
      </c>
      <c r="AA144" s="99" t="n">
        <f aca="false">AA142-AA143</f>
        <v>869.645</v>
      </c>
      <c r="AB144" s="99" t="n">
        <f aca="false">AB142-AB143</f>
        <v>869.645</v>
      </c>
      <c r="AC144" s="99" t="n">
        <f aca="false">AC142-AC143</f>
        <v>869.645</v>
      </c>
      <c r="AD144" s="99" t="n">
        <f aca="false">AD142-AD143</f>
        <v>869.645</v>
      </c>
      <c r="AE144" s="99" t="n">
        <f aca="false">AE142-AE143</f>
        <v>869.645</v>
      </c>
      <c r="AF144" s="99" t="n">
        <f aca="false">AF142-AF143</f>
        <v>869.645</v>
      </c>
      <c r="AG144" s="99" t="n">
        <f aca="false">AG142-AG143</f>
        <v>821.331388888889</v>
      </c>
      <c r="AI144" s="99" t="n">
        <f aca="false">SUMIF($F$7:$AG$7,AI$7,$F144:$AG144)</f>
        <v>0</v>
      </c>
      <c r="AJ144" s="99" t="n">
        <f aca="false">SUMIF($F$7:$AG$7,AJ$7,$F144:$AG144)</f>
        <v>12.0784027777778</v>
      </c>
      <c r="AK144" s="99" t="n">
        <f aca="false">SUMIF($F$7:$AG$7,AK$7,$F144:$AG144)</f>
        <v>645.062198350694</v>
      </c>
      <c r="AL144" s="99" t="n">
        <f aca="false">SUMIF($F$7:$AG$7,AL$7,$F144:$AG144)</f>
        <v>1931.14787912326</v>
      </c>
      <c r="AM144" s="99" t="n">
        <f aca="false">SUMIF($F$7:$AG$7,AM$7,$F144:$AG144)</f>
        <v>3406.10958333333</v>
      </c>
      <c r="AN144" s="99" t="n">
        <f aca="false">SUMIF($F$7:$AG$7,AN$7,$F144:$AG144)</f>
        <v>3478.58</v>
      </c>
      <c r="AO144" s="99" t="n">
        <f aca="false">SUMIF($F$7:$AG$7,AO$7,$F144:$AG144)</f>
        <v>3430.26638888889</v>
      </c>
    </row>
    <row r="145" customFormat="false" ht="15" hidden="false" customHeight="false" outlineLevel="0" collapsed="false">
      <c r="A145" s="107" t="s">
        <v>1985</v>
      </c>
      <c r="B145" s="22" t="s">
        <v>544</v>
      </c>
      <c r="C145" s="22" t="s">
        <v>558</v>
      </c>
      <c r="D145" s="22"/>
      <c r="F145" s="117" t="n">
        <f aca="false">F140/26.67</f>
        <v>0</v>
      </c>
      <c r="G145" s="117" t="n">
        <f aca="false">G140/26.67</f>
        <v>0</v>
      </c>
      <c r="H145" s="117" t="n">
        <f aca="false">H140/26.67</f>
        <v>0</v>
      </c>
      <c r="I145" s="117" t="n">
        <f aca="false">I140/26.67</f>
        <v>0</v>
      </c>
      <c r="J145" s="117" t="n">
        <f aca="false">J140/26.67</f>
        <v>0</v>
      </c>
      <c r="K145" s="117" t="n">
        <f aca="false">K140/26.67</f>
        <v>0</v>
      </c>
      <c r="L145" s="117" t="n">
        <f aca="false">L140/26.67</f>
        <v>0</v>
      </c>
      <c r="M145" s="117" t="n">
        <f aca="false">M140/26.67</f>
        <v>0</v>
      </c>
      <c r="N145" s="117" t="n">
        <f aca="false">N140/26.67</f>
        <v>0</v>
      </c>
      <c r="O145" s="117" t="n">
        <f aca="false">O140/26.67</f>
        <v>0</v>
      </c>
      <c r="P145" s="30" t="n">
        <f aca="false">P140/26.67</f>
        <v>0</v>
      </c>
      <c r="Q145" s="30" t="n">
        <f aca="false">Q140/26.67</f>
        <v>0</v>
      </c>
      <c r="R145" s="30" t="n">
        <f aca="false">R140/26.67</f>
        <v>0</v>
      </c>
      <c r="S145" s="30" t="n">
        <f aca="false">S140/26.67</f>
        <v>0</v>
      </c>
      <c r="T145" s="30" t="n">
        <f aca="false">T140/26.67</f>
        <v>0</v>
      </c>
      <c r="U145" s="30" t="n">
        <f aca="false">U140/26.67</f>
        <v>0</v>
      </c>
      <c r="V145" s="30" t="n">
        <f aca="false">V140/26.67</f>
        <v>0</v>
      </c>
      <c r="W145" s="30" t="n">
        <f aca="false">W140/26.67</f>
        <v>0</v>
      </c>
      <c r="X145" s="30" t="n">
        <f aca="false">X140/26.67</f>
        <v>0</v>
      </c>
      <c r="Y145" s="30" t="n">
        <f aca="false">Y140/26.67</f>
        <v>0</v>
      </c>
      <c r="Z145" s="30" t="n">
        <f aca="false">Z140/26.67</f>
        <v>0</v>
      </c>
      <c r="AA145" s="30" t="n">
        <f aca="false">AA140/26.67</f>
        <v>0</v>
      </c>
      <c r="AB145" s="30" t="n">
        <f aca="false">AB140/26.67</f>
        <v>0</v>
      </c>
      <c r="AC145" s="30" t="n">
        <f aca="false">AC140/26.67</f>
        <v>0</v>
      </c>
      <c r="AD145" s="30" t="n">
        <f aca="false">AD140/26.67</f>
        <v>0</v>
      </c>
      <c r="AE145" s="30" t="n">
        <f aca="false">AE140/26.67</f>
        <v>0</v>
      </c>
      <c r="AF145" s="30" t="n">
        <f aca="false">AF140/26.67</f>
        <v>0</v>
      </c>
      <c r="AG145" s="30" t="n">
        <f aca="false">AG140/26.67</f>
        <v>0</v>
      </c>
      <c r="AI145" s="30" t="n">
        <f aca="false">AVERAGEIF($F$7:$AG$7,AI$7,$F145:$AG145)</f>
        <v>0</v>
      </c>
      <c r="AJ145" s="30" t="n">
        <f aca="false">AVERAGEIF($F$7:$AG$7,AJ$7,$F145:$AG145)</f>
        <v>0</v>
      </c>
      <c r="AK145" s="30" t="n">
        <f aca="false">AVERAGEIF($F$7:$AG$7,AK$7,$F145:$AG145)</f>
        <v>0</v>
      </c>
      <c r="AL145" s="30" t="n">
        <f aca="false">AVERAGEIF($F$7:$AG$7,AL$7,$F145:$AG145)</f>
        <v>0</v>
      </c>
      <c r="AM145" s="30" t="n">
        <f aca="false">AVERAGEIF($F$7:$AG$7,AM$7,$F145:$AG145)</f>
        <v>0</v>
      </c>
      <c r="AN145" s="30" t="n">
        <f aca="false">AVERAGEIF($F$7:$AG$7,AN$7,$F145:$AG145)</f>
        <v>0</v>
      </c>
      <c r="AO145" s="30" t="n">
        <f aca="false">AVERAGEIF($F$7:$AG$7,AO$7,$F145:$AG145)</f>
        <v>0</v>
      </c>
    </row>
    <row r="146" customFormat="false" ht="15" hidden="false" customHeight="false" outlineLevel="0" collapsed="false">
      <c r="A146" s="107" t="s">
        <v>1986</v>
      </c>
      <c r="B146" s="22" t="s">
        <v>613</v>
      </c>
      <c r="C146" s="22" t="s">
        <v>558</v>
      </c>
      <c r="D146" s="22" t="s">
        <v>1987</v>
      </c>
      <c r="Q146" s="125" t="n">
        <f aca="false">SUMPRODUCT($C$134:$C$139,$D$134:$D$139,$F$134:$F$139)*VinRevMW/365</f>
        <v>68.0352910958904</v>
      </c>
      <c r="R146" s="125" t="n">
        <f aca="false">SUMPRODUCT($C$134:$C$139,$E$134:$E$139,$F$134:$F$139)*VinRevMW/365</f>
        <v>10.9757054794521</v>
      </c>
    </row>
    <row r="147" customFormat="false" ht="15" hidden="false" customHeight="false" outlineLevel="0" collapsed="false">
      <c r="A147" s="107" t="s">
        <v>1988</v>
      </c>
      <c r="B147" s="22" t="s">
        <v>613</v>
      </c>
      <c r="C147" s="22" t="s">
        <v>590</v>
      </c>
      <c r="D147" s="22"/>
      <c r="F147" s="124" t="n">
        <f aca="false">F144-MSFT_Ceil</f>
        <v>-350</v>
      </c>
      <c r="G147" s="124" t="n">
        <f aca="false">G144-MSFT_Ceil</f>
        <v>-350</v>
      </c>
      <c r="H147" s="124" t="n">
        <f aca="false">H144-MSFT_Ceil</f>
        <v>-350</v>
      </c>
      <c r="I147" s="124" t="n">
        <f aca="false">I144-MSFT_Ceil</f>
        <v>-350</v>
      </c>
      <c r="J147" s="124" t="n">
        <f aca="false">J144-MSFT_Ceil</f>
        <v>-350</v>
      </c>
      <c r="K147" s="124" t="n">
        <f aca="false">K144-MSFT_Ceil</f>
        <v>-350</v>
      </c>
      <c r="L147" s="124" t="n">
        <f aca="false">L144-MSFT_Ceil</f>
        <v>-350</v>
      </c>
      <c r="M147" s="124" t="n">
        <f aca="false">M144-MSFT_Ceil</f>
        <v>-337.921597222222</v>
      </c>
      <c r="N147" s="124" t="n">
        <f aca="false">N144-MSFT_Ceil</f>
        <v>-289.607986111111</v>
      </c>
      <c r="O147" s="124" t="n">
        <f aca="false">O144-MSFT_Ceil</f>
        <v>-229.215972222222</v>
      </c>
      <c r="P147" s="125" t="n">
        <f aca="false">P144-MSFT_Ceil</f>
        <v>-164.445537326389</v>
      </c>
      <c r="Q147" s="125" t="n">
        <f aca="false">Q144-MSFT_Ceil</f>
        <v>-71.6683059895833</v>
      </c>
      <c r="R147" s="125" t="n">
        <f aca="false">R144-MSFT_Ceil</f>
        <v>-25.2796903211805</v>
      </c>
      <c r="S147" s="125" t="n">
        <f aca="false">S144-MSFT_Ceil</f>
        <v>60.6656944444445</v>
      </c>
      <c r="T147" s="125" t="n">
        <f aca="false">T144-MSFT_Ceil</f>
        <v>169.371319444445</v>
      </c>
      <c r="U147" s="125" t="n">
        <f aca="false">U144-MSFT_Ceil</f>
        <v>326.390555555555</v>
      </c>
      <c r="V147" s="125" t="n">
        <f aca="false">V144-MSFT_Ceil</f>
        <v>447.174583333333</v>
      </c>
      <c r="W147" s="125" t="n">
        <f aca="false">W144-MSFT_Ceil</f>
        <v>519.645</v>
      </c>
      <c r="X147" s="125" t="n">
        <f aca="false">X144-MSFT_Ceil</f>
        <v>519.645</v>
      </c>
      <c r="Y147" s="125" t="n">
        <f aca="false">Y144-MSFT_Ceil</f>
        <v>519.645</v>
      </c>
      <c r="Z147" s="125" t="n">
        <f aca="false">Z144-MSFT_Ceil</f>
        <v>519.645</v>
      </c>
      <c r="AA147" s="125" t="n">
        <f aca="false">AA144-MSFT_Ceil</f>
        <v>519.645</v>
      </c>
      <c r="AB147" s="125" t="n">
        <f aca="false">AB144-MSFT_Ceil</f>
        <v>519.645</v>
      </c>
      <c r="AC147" s="125" t="n">
        <f aca="false">AC144-MSFT_Ceil</f>
        <v>519.645</v>
      </c>
      <c r="AD147" s="125" t="n">
        <f aca="false">AD144-MSFT_Ceil</f>
        <v>519.645</v>
      </c>
      <c r="AE147" s="125" t="n">
        <f aca="false">AE144-MSFT_Ceil</f>
        <v>519.645</v>
      </c>
      <c r="AF147" s="125" t="n">
        <f aca="false">AF144-MSFT_Ceil</f>
        <v>519.645</v>
      </c>
      <c r="AG147" s="125" t="n">
        <f aca="false">AG144-MSFT_Ceil</f>
        <v>471.331388888889</v>
      </c>
    </row>
    <row r="148" customFormat="false" ht="15" hidden="false" customHeight="false" outlineLevel="0" collapsed="false">
      <c r="A148" s="107" t="s">
        <v>1989</v>
      </c>
      <c r="B148" s="22" t="s">
        <v>613</v>
      </c>
      <c r="C148" s="22" t="s">
        <v>540</v>
      </c>
      <c r="D148" s="22"/>
      <c r="F148" s="124" t="n">
        <f aca="false">F90+F95+F100+F105+F110+F115+F120</f>
        <v>0</v>
      </c>
      <c r="G148" s="124" t="n">
        <f aca="false">G90+G95+G100+G105+G110+G115+G120</f>
        <v>0</v>
      </c>
      <c r="H148" s="124" t="n">
        <f aca="false">H90+H95+H100+H105+H110+H115+H120</f>
        <v>0</v>
      </c>
      <c r="I148" s="124" t="n">
        <f aca="false">I90+I95+I100+I105+I110+I115+I120</f>
        <v>0</v>
      </c>
      <c r="J148" s="124" t="n">
        <f aca="false">J90+J95+J100+J105+J110+J115+J120</f>
        <v>0</v>
      </c>
      <c r="K148" s="124" t="n">
        <f aca="false">K90+K95+K100+K105+K110+K115+K120</f>
        <v>0</v>
      </c>
      <c r="L148" s="124" t="n">
        <f aca="false">L90+L95+L100+L105+L110+L115+L120</f>
        <v>0</v>
      </c>
      <c r="M148" s="124" t="n">
        <f aca="false">M90+M95+M100+M105+M110+M115+M120</f>
        <v>36.00875</v>
      </c>
      <c r="N148" s="124" t="n">
        <f aca="false">N90+N95+N100+N105+N110+N115+N120</f>
        <v>108.02625</v>
      </c>
      <c r="O148" s="124" t="n">
        <f aca="false">O90+O95+O100+O105+O110+O115+O120</f>
        <v>144.035</v>
      </c>
      <c r="P148" s="125" t="n">
        <f aca="false">P90+P95+P100+P105+P110+P115+P120</f>
        <v>144.035</v>
      </c>
      <c r="Q148" s="125" t="n">
        <f aca="false">Q90+Q95+Q100+Q105+Q110+Q115+Q120</f>
        <v>144.035</v>
      </c>
      <c r="R148" s="125" t="n">
        <f aca="false">R90+R95+R100+R105+R110+R115+R120</f>
        <v>144.035</v>
      </c>
      <c r="S148" s="125" t="n">
        <f aca="false">S90+S95+S100+S105+S110+S115+S120</f>
        <v>144.035</v>
      </c>
      <c r="T148" s="125" t="n">
        <f aca="false">T90+T95+T100+T105+T110+T115+T120</f>
        <v>294.035</v>
      </c>
      <c r="U148" s="125" t="n">
        <f aca="false">U90+U95+U100+U105+U110+U115+U120</f>
        <v>594.035</v>
      </c>
      <c r="V148" s="125" t="n">
        <f aca="false">V90+V95+V100+V105+V110+V115+V120</f>
        <v>744.035</v>
      </c>
      <c r="W148" s="125" t="n">
        <f aca="false">W90+W95+W100+W105+W110+W115+W120</f>
        <v>744.035</v>
      </c>
      <c r="X148" s="125" t="n">
        <f aca="false">X90+X95+X100+X105+X110+X115+X120</f>
        <v>744.035</v>
      </c>
      <c r="Y148" s="125" t="n">
        <f aca="false">Y90+Y95+Y100+Y105+Y110+Y115+Y120</f>
        <v>744.035</v>
      </c>
      <c r="Z148" s="125" t="n">
        <f aca="false">Z90+Z95+Z100+Z105+Z110+Z115+Z120</f>
        <v>744.035</v>
      </c>
      <c r="AA148" s="125" t="n">
        <f aca="false">AA90+AA95+AA100+AA105+AA110+AA115+AA120</f>
        <v>744.035</v>
      </c>
      <c r="AB148" s="125" t="n">
        <f aca="false">AB90+AB95+AB100+AB105+AB110+AB115+AB120</f>
        <v>744.035</v>
      </c>
      <c r="AC148" s="125" t="n">
        <f aca="false">AC90+AC95+AC100+AC105+AC110+AC115+AC120</f>
        <v>744.035</v>
      </c>
      <c r="AD148" s="125" t="n">
        <f aca="false">AD90+AD95+AD100+AD105+AD110+AD115+AD120</f>
        <v>744.035</v>
      </c>
      <c r="AE148" s="125" t="n">
        <f aca="false">AE90+AE95+AE100+AE105+AE110+AE115+AE120</f>
        <v>744.035</v>
      </c>
      <c r="AF148" s="125" t="n">
        <f aca="false">AF90+AF95+AF100+AF105+AF110+AF115+AF120</f>
        <v>744.035</v>
      </c>
      <c r="AG148" s="125" t="n">
        <f aca="false">AG90+AG95+AG100+AG105+AG110+AG115+AG120</f>
        <v>708.02625</v>
      </c>
      <c r="AI148" s="125" t="n">
        <f aca="false">SUMIF($F$7:$AG$7,AI$7,$F148:$AG148)</f>
        <v>0</v>
      </c>
      <c r="AJ148" s="125" t="n">
        <f aca="false">SUMIF($F$7:$AG$7,AJ$7,$F148:$AG148)</f>
        <v>36.00875</v>
      </c>
      <c r="AK148" s="125" t="n">
        <f aca="false">SUMIF($F$7:$AG$7,AK$7,$F148:$AG148)</f>
        <v>540.13125</v>
      </c>
      <c r="AL148" s="125" t="n">
        <f aca="false">SUMIF($F$7:$AG$7,AL$7,$F148:$AG148)</f>
        <v>1176.14</v>
      </c>
      <c r="AM148" s="125" t="n">
        <f aca="false">SUMIF($F$7:$AG$7,AM$7,$F148:$AG148)</f>
        <v>2976.14</v>
      </c>
      <c r="AN148" s="125" t="n">
        <f aca="false">SUMIF($F$7:$AG$7,AN$7,$F148:$AG148)</f>
        <v>2976.14</v>
      </c>
      <c r="AO148" s="125" t="n">
        <f aca="false">SUMIF($F$7:$AG$7,AO$7,$F148:$AG148)</f>
        <v>2940.13125</v>
      </c>
    </row>
    <row r="149" customFormat="false" ht="15" hidden="false" customHeight="false" outlineLevel="0" collapsed="false">
      <c r="A149" s="3" t="s">
        <v>1990</v>
      </c>
      <c r="B149" s="22" t="s">
        <v>613</v>
      </c>
      <c r="C149" s="22" t="s">
        <v>540</v>
      </c>
      <c r="D149" s="22"/>
      <c r="F149" s="126" t="n">
        <f aca="false">F144+F148</f>
        <v>0</v>
      </c>
      <c r="G149" s="126" t="n">
        <f aca="false">G144+G148</f>
        <v>0</v>
      </c>
      <c r="H149" s="126" t="n">
        <f aca="false">H144+H148</f>
        <v>0</v>
      </c>
      <c r="I149" s="126" t="n">
        <f aca="false">I144+I148</f>
        <v>0</v>
      </c>
      <c r="J149" s="126" t="n">
        <f aca="false">J144+J148</f>
        <v>0</v>
      </c>
      <c r="K149" s="126" t="n">
        <f aca="false">K144+K148</f>
        <v>0</v>
      </c>
      <c r="L149" s="126" t="n">
        <f aca="false">L144+L148</f>
        <v>0</v>
      </c>
      <c r="M149" s="126" t="n">
        <f aca="false">M144+M148</f>
        <v>48.0871527777778</v>
      </c>
      <c r="N149" s="126" t="n">
        <f aca="false">N144+N148</f>
        <v>168.418263888889</v>
      </c>
      <c r="O149" s="126" t="n">
        <f aca="false">O144+O148</f>
        <v>264.819027777778</v>
      </c>
      <c r="P149" s="99" t="n">
        <f aca="false">P144+P148</f>
        <v>329.589462673611</v>
      </c>
      <c r="Q149" s="99" t="n">
        <f aca="false">Q144+Q148</f>
        <v>422.366694010417</v>
      </c>
      <c r="R149" s="99" t="n">
        <f aca="false">R144+R148</f>
        <v>468.755309678819</v>
      </c>
      <c r="S149" s="99" t="n">
        <f aca="false">S144+S148</f>
        <v>554.700694444445</v>
      </c>
      <c r="T149" s="99" t="n">
        <f aca="false">T144+T148</f>
        <v>813.406319444445</v>
      </c>
      <c r="U149" s="99" t="n">
        <f aca="false">U144+U148</f>
        <v>1270.42555555556</v>
      </c>
      <c r="V149" s="99" t="n">
        <f aca="false">V144+V148</f>
        <v>1541.20958333333</v>
      </c>
      <c r="W149" s="99" t="n">
        <f aca="false">W144+W148</f>
        <v>1613.68</v>
      </c>
      <c r="X149" s="99" t="n">
        <f aca="false">X144+X148</f>
        <v>1613.68</v>
      </c>
      <c r="Y149" s="99" t="n">
        <f aca="false">Y144+Y148</f>
        <v>1613.68</v>
      </c>
      <c r="Z149" s="99" t="n">
        <f aca="false">Z144+Z148</f>
        <v>1613.68</v>
      </c>
      <c r="AA149" s="99" t="n">
        <f aca="false">AA144+AA148</f>
        <v>1613.68</v>
      </c>
      <c r="AB149" s="99" t="n">
        <f aca="false">AB144+AB148</f>
        <v>1613.68</v>
      </c>
      <c r="AC149" s="99" t="n">
        <f aca="false">AC144+AC148</f>
        <v>1613.68</v>
      </c>
      <c r="AD149" s="99" t="n">
        <f aca="false">AD144+AD148</f>
        <v>1613.68</v>
      </c>
      <c r="AE149" s="99" t="n">
        <f aca="false">AE144+AE148</f>
        <v>1613.68</v>
      </c>
      <c r="AF149" s="99" t="n">
        <f aca="false">AF144+AF148</f>
        <v>1613.68</v>
      </c>
      <c r="AG149" s="99" t="n">
        <f aca="false">AG144+AG148</f>
        <v>1529.35763888889</v>
      </c>
      <c r="AI149" s="99" t="n">
        <f aca="false">SUMIF($F$7:$AG$7,AI$7,$F149:$AG149)</f>
        <v>0</v>
      </c>
      <c r="AJ149" s="99" t="n">
        <f aca="false">SUMIF($F$7:$AG$7,AJ$7,$F149:$AG149)</f>
        <v>48.0871527777778</v>
      </c>
      <c r="AK149" s="99" t="n">
        <f aca="false">SUMIF($F$7:$AG$7,AK$7,$F149:$AG149)</f>
        <v>1185.19344835069</v>
      </c>
      <c r="AL149" s="99" t="n">
        <f aca="false">SUMIF($F$7:$AG$7,AL$7,$F149:$AG149)</f>
        <v>3107.28787912326</v>
      </c>
      <c r="AM149" s="99" t="n">
        <f aca="false">SUMIF($F$7:$AG$7,AM$7,$F149:$AG149)</f>
        <v>6382.24958333333</v>
      </c>
      <c r="AN149" s="99" t="n">
        <f aca="false">SUMIF($F$7:$AG$7,AN$7,$F149:$AG149)</f>
        <v>6454.72</v>
      </c>
      <c r="AO149" s="99" t="n">
        <f aca="false">SUMIF($F$7:$AG$7,AO$7,$F149:$AG149)</f>
        <v>6370.39763888889</v>
      </c>
    </row>
    <row r="150" customFormat="false" ht="15" hidden="false" customHeight="false" outlineLevel="0" collapsed="false">
      <c r="A150" s="107" t="s">
        <v>1991</v>
      </c>
      <c r="B150" s="22" t="s">
        <v>664</v>
      </c>
      <c r="C150" s="22" t="s">
        <v>540</v>
      </c>
      <c r="D150" s="22"/>
      <c r="F150" s="124" t="n">
        <f aca="false">F141+F91+F96+F101+F106+F111+F116+F121</f>
        <v>0</v>
      </c>
      <c r="G150" s="124" t="n">
        <f aca="false">G141+G91+G96+G101+G106+G111+G116+G121</f>
        <v>0</v>
      </c>
      <c r="H150" s="124" t="n">
        <f aca="false">H141+H91+H96+H101+H106+H111+H116+H121</f>
        <v>0</v>
      </c>
      <c r="I150" s="124" t="n">
        <f aca="false">I141+I91+I96+I101+I106+I111+I116+I121</f>
        <v>0</v>
      </c>
      <c r="J150" s="124" t="n">
        <f aca="false">J141+J91+J96+J101+J106+J111+J116+J121</f>
        <v>0</v>
      </c>
      <c r="K150" s="124" t="n">
        <f aca="false">K141+K91+K96+K101+K106+K111+K116+K121</f>
        <v>0</v>
      </c>
      <c r="L150" s="124" t="n">
        <f aca="false">L141+L91+L96+L101+L106+L111+L116+L121</f>
        <v>0</v>
      </c>
      <c r="M150" s="124" t="n">
        <f aca="false">M141+M91+M96+M101+M106+M111+M116+M121</f>
        <v>50.6725</v>
      </c>
      <c r="N150" s="124" t="n">
        <f aca="false">N141+N91+N96+N101+N106+N111+N116+N121</f>
        <v>101.345</v>
      </c>
      <c r="O150" s="124" t="n">
        <f aca="false">O141+O91+O96+O101+O106+O111+O116+O121</f>
        <v>101.345</v>
      </c>
      <c r="P150" s="125" t="n">
        <f aca="false">P141+P91+P96+P101+P106+P111+P116+P121</f>
        <v>150.428333333333</v>
      </c>
      <c r="Q150" s="125" t="n">
        <f aca="false">Q141+Q91+Q96+Q101+Q106+Q111+Q116+Q121</f>
        <v>150.428333333333</v>
      </c>
      <c r="R150" s="125" t="n">
        <f aca="false">R141+R91+R96+R101+R106+R111+R116+R121</f>
        <v>150.428333333333</v>
      </c>
      <c r="S150" s="125" t="n">
        <f aca="false">S141+S91+S96+S101+S106+S111+S116+S121</f>
        <v>208.011666666667</v>
      </c>
      <c r="T150" s="125" t="n">
        <f aca="false">T141+T91+T96+T101+T106+T111+T116+T121</f>
        <v>341.345</v>
      </c>
      <c r="U150" s="125" t="n">
        <f aca="false">U141+U91+U96+U101+U106+U111+U116+U121</f>
        <v>394.678333333333</v>
      </c>
      <c r="V150" s="125" t="n">
        <f aca="false">V141+V91+V96+V101+V106+V111+V116+V121</f>
        <v>394.678333333333</v>
      </c>
      <c r="W150" s="125" t="n">
        <f aca="false">W141+W91+W96+W101+W106+W111+W116+W121</f>
        <v>394.678333333333</v>
      </c>
      <c r="X150" s="125" t="n">
        <f aca="false">X141+X91+X96+X101+X106+X111+X116+X121</f>
        <v>394.678333333333</v>
      </c>
      <c r="Y150" s="125" t="n">
        <f aca="false">Y141+Y91+Y96+Y101+Y106+Y111+Y116+Y121</f>
        <v>394.678333333333</v>
      </c>
      <c r="Z150" s="125" t="n">
        <f aca="false">Z141+Z91+Z96+Z101+Z106+Z111+Z116+Z121</f>
        <v>394.678333333333</v>
      </c>
      <c r="AA150" s="125" t="n">
        <f aca="false">AA141+AA91+AA96+AA101+AA106+AA111+AA116+AA121</f>
        <v>394.678333333333</v>
      </c>
      <c r="AB150" s="125" t="n">
        <f aca="false">AB141+AB91+AB96+AB101+AB106+AB111+AB116+AB121</f>
        <v>394.678333333333</v>
      </c>
      <c r="AC150" s="125" t="n">
        <f aca="false">AC141+AC91+AC96+AC101+AC106+AC111+AC116+AC121</f>
        <v>394.678333333333</v>
      </c>
      <c r="AD150" s="125" t="n">
        <f aca="false">AD141+AD91+AD96+AD101+AD106+AD111+AD116+AD121</f>
        <v>394.678333333333</v>
      </c>
      <c r="AE150" s="125" t="n">
        <f aca="false">AE141+AE91+AE96+AE101+AE106+AE111+AE116+AE121</f>
        <v>394.678333333333</v>
      </c>
      <c r="AF150" s="125" t="n">
        <f aca="false">AF141+AF91+AF96+AF101+AF106+AF111+AF116+AF121</f>
        <v>394.678333333333</v>
      </c>
      <c r="AG150" s="125" t="n">
        <f aca="false">AG141+AG91+AG96+AG101+AG106+AG111+AG116+AG121</f>
        <v>344.005833333333</v>
      </c>
      <c r="AI150" s="125" t="n">
        <f aca="false">INDEX($F150:$AG150,1,MATCH(AI$7,$F$7:$AG$7,1))</f>
        <v>0</v>
      </c>
      <c r="AJ150" s="125" t="n">
        <f aca="false">INDEX($F150:$AG150,1,MATCH(AJ$7,$F$7:$AG$7,1))</f>
        <v>50.6725</v>
      </c>
      <c r="AK150" s="125" t="n">
        <f aca="false">INDEX($F150:$AG150,1,MATCH(AK$7,$F$7:$AG$7,1))</f>
        <v>150.428333333333</v>
      </c>
      <c r="AL150" s="125" t="n">
        <f aca="false">INDEX($F150:$AG150,1,MATCH(AL$7,$F$7:$AG$7,1))</f>
        <v>394.678333333333</v>
      </c>
      <c r="AM150" s="125" t="n">
        <f aca="false">INDEX($F150:$AG150,1,MATCH(AM$7,$F$7:$AG$7,1))</f>
        <v>394.678333333333</v>
      </c>
      <c r="AN150" s="125" t="n">
        <f aca="false">INDEX($F150:$AG150,1,MATCH(AN$7,$F$7:$AG$7,1))</f>
        <v>394.678333333333</v>
      </c>
      <c r="AO150" s="125" t="n">
        <f aca="false">INDEX($F150:$AG150,1,MATCH(AO$7,$F$7:$AG$7,1))</f>
        <v>344.005833333333</v>
      </c>
    </row>
    <row r="151" customFormat="false" ht="15" hidden="false" customHeight="false" outlineLevel="0" collapsed="false">
      <c r="A151" s="107" t="s">
        <v>1992</v>
      </c>
      <c r="B151" s="22" t="s">
        <v>613</v>
      </c>
      <c r="C151" s="22" t="s">
        <v>540</v>
      </c>
      <c r="D151" s="22"/>
      <c r="F151" s="124" t="n">
        <f aca="false">F37+F42+F47+F52+F57+F62+F67+F72+F77+F82+F87+F92+F97+F102+F107+F112+F117+F122</f>
        <v>-0</v>
      </c>
      <c r="G151" s="124" t="n">
        <f aca="false">G37+G42+G47+G52+G57+G62+G67+G72+G77+G82+G87+G92+G97+G102+G107+G112+G117+G122</f>
        <v>-0</v>
      </c>
      <c r="H151" s="124" t="n">
        <f aca="false">H37+H42+H47+H52+H57+H62+H67+H72+H77+H82+H87+H92+H97+H102+H107+H112+H117+H122</f>
        <v>-0</v>
      </c>
      <c r="I151" s="124" t="n">
        <f aca="false">I37+I42+I47+I52+I57+I62+I67+I72+I77+I82+I87+I92+I97+I102+I107+I112+I117+I122</f>
        <v>-0</v>
      </c>
      <c r="J151" s="124" t="n">
        <f aca="false">J37+J42+J47+J52+J57+J62+J67+J72+J77+J82+J87+J92+J97+J102+J107+J112+J117+J122</f>
        <v>-0</v>
      </c>
      <c r="K151" s="124" t="n">
        <f aca="false">K37+K42+K47+K52+K57+K62+K67+K72+K77+K82+K87+K92+K97+K102+K107+K112+K117+K122</f>
        <v>-0</v>
      </c>
      <c r="L151" s="124" t="n">
        <f aca="false">L37+L42+L47+L52+L57+L62+L67+L72+L77+L82+L87+L92+L97+L102+L107+L112+L117+L122</f>
        <v>-0</v>
      </c>
      <c r="M151" s="124" t="n">
        <f aca="false">M37+M42+M47+M52+M57+M62+M67+M72+M77+M82+M87+M92+M97+M102+M107+M112+M117+M122</f>
        <v>-0</v>
      </c>
      <c r="N151" s="124" t="n">
        <f aca="false">N37+N42+N47+N52+N57+N62+N67+N72+N77+N82+N87+N92+N97+N102+N107+N112+N117+N122</f>
        <v>-0</v>
      </c>
      <c r="O151" s="124" t="n">
        <f aca="false">O37+O42+O47+O52+O57+O62+O67+O72+O77+O82+O87+O92+O97+O102+O107+O112+O117+O122</f>
        <v>-0</v>
      </c>
      <c r="P151" s="125" t="n">
        <f aca="false">P37+P42+P47+P52+P57+P62+P67+P72+P77+P82+P87+P92+P97+P102+P107+P112+P117+P122</f>
        <v>-0</v>
      </c>
      <c r="Q151" s="125" t="n">
        <f aca="false">Q37+Q42+Q47+Q52+Q57+Q62+Q67+Q72+Q77+Q82+Q87+Q92+Q97+Q102+Q107+Q112+Q117+Q122</f>
        <v>-0</v>
      </c>
      <c r="R151" s="125" t="n">
        <f aca="false">R37+R42+R47+R52+R57+R62+R67+R72+R77+R82+R87+R92+R97+R102+R107+R112+R117+R122</f>
        <v>-0</v>
      </c>
      <c r="S151" s="125" t="n">
        <f aca="false">S37+S42+S47+S52+S57+S62+S67+S72+S77+S82+S87+S92+S97+S102+S107+S112+S117+S122</f>
        <v>-0</v>
      </c>
      <c r="T151" s="125" t="n">
        <f aca="false">T37+T42+T47+T52+T57+T62+T67+T72+T77+T82+T87+T92+T97+T102+T107+T112+T117+T122</f>
        <v>-0</v>
      </c>
      <c r="U151" s="125" t="n">
        <f aca="false">U37+U42+U47+U52+U57+U62+U67+U72+U77+U82+U87+U92+U97+U102+U107+U112+U117+U122</f>
        <v>-0</v>
      </c>
      <c r="V151" s="125" t="n">
        <f aca="false">V37+V42+V47+V52+V57+V62+V67+V72+V77+V82+V87+V92+V97+V102+V107+V112+V117+V122</f>
        <v>-0</v>
      </c>
      <c r="W151" s="125" t="n">
        <f aca="false">W37+W42+W47+W52+W57+W62+W67+W72+W77+W82+W87+W92+W97+W102+W107+W112+W117+W122</f>
        <v>-0</v>
      </c>
      <c r="X151" s="125" t="n">
        <f aca="false">X37+X42+X47+X52+X57+X62+X67+X72+X77+X82+X87+X92+X97+X102+X107+X112+X117+X122</f>
        <v>-0</v>
      </c>
      <c r="Y151" s="125" t="n">
        <f aca="false">Y37+Y42+Y47+Y52+Y57+Y62+Y67+Y72+Y77+Y82+Y87+Y92+Y97+Y102+Y107+Y112+Y117+Y122</f>
        <v>-0</v>
      </c>
      <c r="Z151" s="125" t="n">
        <f aca="false">Z37+Z42+Z47+Z52+Z57+Z62+Z67+Z72+Z77+Z82+Z87+Z92+Z97+Z102+Z107+Z112+Z117+Z122</f>
        <v>-0</v>
      </c>
      <c r="AA151" s="125" t="n">
        <f aca="false">AA37+AA42+AA47+AA52+AA57+AA62+AA67+AA72+AA77+AA82+AA87+AA92+AA97+AA102+AA107+AA112+AA117+AA122</f>
        <v>-0</v>
      </c>
      <c r="AB151" s="125" t="n">
        <f aca="false">AB37+AB42+AB47+AB52+AB57+AB62+AB67+AB72+AB77+AB82+AB87+AB92+AB97+AB102+AB107+AB112+AB117+AB122</f>
        <v>-0</v>
      </c>
      <c r="AC151" s="125" t="n">
        <f aca="false">AC37+AC42+AC47+AC52+AC57+AC62+AC67+AC72+AC77+AC82+AC87+AC92+AC97+AC102+AC107+AC112+AC117+AC122</f>
        <v>-0</v>
      </c>
      <c r="AD151" s="125" t="n">
        <f aca="false">AD37+AD42+AD47+AD52+AD57+AD62+AD67+AD72+AD77+AD82+AD87+AD92+AD97+AD102+AD107+AD112+AD117+AD122</f>
        <v>-0</v>
      </c>
      <c r="AE151" s="125" t="n">
        <f aca="false">AE37+AE42+AE47+AE52+AE57+AE62+AE67+AE72+AE77+AE82+AE87+AE92+AE97+AE102+AE107+AE112+AE117+AE122</f>
        <v>-0</v>
      </c>
      <c r="AF151" s="125" t="n">
        <f aca="false">AF37+AF42+AF47+AF52+AF57+AF62+AF67+AF72+AF77+AF82+AF87+AF92+AF97+AF102+AF107+AF112+AF117+AF122</f>
        <v>-0</v>
      </c>
      <c r="AG151" s="125" t="n">
        <f aca="false">AG37+AG42+AG47+AG52+AG57+AG62+AG67+AG72+AG77+AG82+AG87+AG92+AG97+AG102+AG107+AG112+AG117+AG122</f>
        <v>-0</v>
      </c>
      <c r="AI151" s="125" t="n">
        <f aca="false">SUMIF($F$7:$AG$7,AI$7,$F151:$AG151)</f>
        <v>0</v>
      </c>
      <c r="AJ151" s="125" t="n">
        <f aca="false">SUMIF($F$7:$AG$7,AJ$7,$F151:$AG151)</f>
        <v>0</v>
      </c>
      <c r="AK151" s="125" t="n">
        <f aca="false">SUMIF($F$7:$AG$7,AK$7,$F151:$AG151)</f>
        <v>0</v>
      </c>
      <c r="AL151" s="125" t="n">
        <f aca="false">SUMIF($F$7:$AG$7,AL$7,$F151:$AG151)</f>
        <v>0</v>
      </c>
      <c r="AM151" s="125" t="n">
        <f aca="false">SUMIF($F$7:$AG$7,AM$7,$F151:$AG151)</f>
        <v>0</v>
      </c>
      <c r="AN151" s="125" t="n">
        <f aca="false">SUMIF($F$7:$AG$7,AN$7,$F151:$AG151)</f>
        <v>0</v>
      </c>
      <c r="AO151" s="125" t="n">
        <f aca="false">SUMIF($F$7:$AG$7,AO$7,$F151:$AG151)</f>
        <v>0</v>
      </c>
    </row>
    <row r="152" customFormat="false" ht="15" hidden="false" customHeight="false" outlineLevel="0" collapsed="false">
      <c r="A152" s="107" t="s">
        <v>1993</v>
      </c>
      <c r="B152" s="22" t="s">
        <v>613</v>
      </c>
      <c r="C152" s="22" t="s">
        <v>540</v>
      </c>
      <c r="D152" s="22"/>
      <c r="F152" s="124" t="n">
        <f aca="false">F39+F44+F49+F54+F59+F64+F69+F74+F79+F84+F89+F94+F99+F104+F109+F114+F119+F124</f>
        <v>0</v>
      </c>
      <c r="G152" s="124" t="n">
        <f aca="false">G39+G44+G49+G54+G59+G64+G69+G74+G79+G84+G89+G94+G99+G104+G109+G114+G119+G124</f>
        <v>0</v>
      </c>
      <c r="H152" s="124" t="n">
        <f aca="false">H39+H44+H49+H54+H59+H64+H69+H74+H79+H84+H89+H94+H99+H104+H109+H114+H119+H124</f>
        <v>0</v>
      </c>
      <c r="I152" s="124" t="n">
        <f aca="false">I39+I44+I49+I54+I59+I64+I69+I74+I79+I84+I89+I94+I99+I104+I109+I114+I119+I124</f>
        <v>0</v>
      </c>
      <c r="J152" s="124" t="n">
        <f aca="false">J39+J44+J49+J54+J59+J64+J69+J74+J79+J84+J89+J94+J99+J104+J109+J114+J119+J124</f>
        <v>0</v>
      </c>
      <c r="K152" s="124" t="n">
        <f aca="false">K39+K44+K49+K54+K59+K64+K69+K74+K79+K84+K89+K94+K99+K104+K109+K114+K119+K124</f>
        <v>0</v>
      </c>
      <c r="L152" s="124" t="n">
        <f aca="false">L39+L44+L49+L54+L59+L64+L69+L74+L79+L84+L89+L94+L99+L104+L109+L114+L119+L124</f>
        <v>0</v>
      </c>
      <c r="M152" s="124" t="n">
        <f aca="false">M39+M44+M49+M54+M59+M64+M69+M74+M79+M84+M89+M94+M99+M104+M109+M114+M119+M124</f>
        <v>0</v>
      </c>
      <c r="N152" s="124" t="n">
        <f aca="false">N39+N44+N49+N54+N59+N64+N69+N74+N79+N84+N89+N94+N99+N104+N109+N114+N119+N124</f>
        <v>0</v>
      </c>
      <c r="O152" s="124" t="n">
        <f aca="false">O39+O44+O49+O54+O59+O64+O69+O74+O79+O84+O89+O94+O99+O104+O109+O114+O119+O124</f>
        <v>0</v>
      </c>
      <c r="P152" s="125" t="n">
        <f aca="false">P39+P44+P49+P54+P59+P64+P69+P74+P79+P84+P89+P94+P99+P104+P109+P114+P119+P124</f>
        <v>0</v>
      </c>
      <c r="Q152" s="125" t="n">
        <f aca="false">Q39+Q44+Q49+Q54+Q59+Q64+Q69+Q74+Q79+Q84+Q89+Q94+Q99+Q104+Q109+Q114+Q119+Q124</f>
        <v>0</v>
      </c>
      <c r="R152" s="125" t="n">
        <f aca="false">R39+R44+R49+R54+R59+R64+R69+R74+R79+R84+R89+R94+R99+R104+R109+R114+R119+R124</f>
        <v>0</v>
      </c>
      <c r="S152" s="125" t="n">
        <f aca="false">S39+S44+S49+S54+S59+S64+S69+S74+S79+S84+S89+S94+S99+S104+S109+S114+S119+S124</f>
        <v>0</v>
      </c>
      <c r="T152" s="125" t="n">
        <f aca="false">T39+T44+T49+T54+T59+T64+T69+T74+T79+T84+T89+T94+T99+T104+T109+T114+T119+T124</f>
        <v>0</v>
      </c>
      <c r="U152" s="125" t="n">
        <f aca="false">U39+U44+U49+U54+U59+U64+U69+U74+U79+U84+U89+U94+U99+U104+U109+U114+U119+U124</f>
        <v>0</v>
      </c>
      <c r="V152" s="125" t="n">
        <f aca="false">V39+V44+V49+V54+V59+V64+V69+V74+V79+V84+V89+V94+V99+V104+V109+V114+V119+V124</f>
        <v>0</v>
      </c>
      <c r="W152" s="125" t="n">
        <f aca="false">W39+W44+W49+W54+W59+W64+W69+W74+W79+W84+W89+W94+W99+W104+W109+W114+W119+W124</f>
        <v>0</v>
      </c>
      <c r="X152" s="125" t="n">
        <f aca="false">X39+X44+X49+X54+X59+X64+X69+X74+X79+X84+X89+X94+X99+X104+X109+X114+X119+X124</f>
        <v>0</v>
      </c>
      <c r="Y152" s="125" t="n">
        <f aca="false">Y39+Y44+Y49+Y54+Y59+Y64+Y69+Y74+Y79+Y84+Y89+Y94+Y99+Y104+Y109+Y114+Y119+Y124</f>
        <v>0</v>
      </c>
      <c r="Z152" s="125" t="n">
        <f aca="false">Z39+Z44+Z49+Z54+Z59+Z64+Z69+Z74+Z79+Z84+Z89+Z94+Z99+Z104+Z109+Z114+Z119+Z124</f>
        <v>0</v>
      </c>
      <c r="AA152" s="125" t="n">
        <f aca="false">AA39+AA44+AA49+AA54+AA59+AA64+AA69+AA74+AA79+AA84+AA89+AA94+AA99+AA104+AA109+AA114+AA119+AA124</f>
        <v>0</v>
      </c>
      <c r="AB152" s="125" t="n">
        <f aca="false">AB39+AB44+AB49+AB54+AB59+AB64+AB69+AB74+AB79+AB84+AB89+AB94+AB99+AB104+AB109+AB114+AB119+AB124</f>
        <v>0</v>
      </c>
      <c r="AC152" s="125" t="n">
        <f aca="false">AC39+AC44+AC49+AC54+AC59+AC64+AC69+AC74+AC79+AC84+AC89+AC94+AC99+AC104+AC109+AC114+AC119+AC124</f>
        <v>0</v>
      </c>
      <c r="AD152" s="125" t="n">
        <f aca="false">AD39+AD44+AD49+AD54+AD59+AD64+AD69+AD74+AD79+AD84+AD89+AD94+AD99+AD104+AD109+AD114+AD119+AD124</f>
        <v>0</v>
      </c>
      <c r="AE152" s="125" t="n">
        <f aca="false">AE39+AE44+AE49+AE54+AE59+AE64+AE69+AE74+AE79+AE84+AE89+AE94+AE99+AE104+AE109+AE114+AE119+AE124</f>
        <v>0</v>
      </c>
      <c r="AF152" s="125" t="n">
        <f aca="false">AF39+AF44+AF49+AF54+AF59+AF64+AF69+AF74+AF79+AF84+AF89+AF94+AF99+AF104+AF109+AF114+AF119+AF124</f>
        <v>0</v>
      </c>
      <c r="AG152" s="125" t="n">
        <f aca="false">AG39+AG44+AG49+AG54+AG59+AG64+AG69+AG74+AG79+AG84+AG89+AG94+AG99+AG104+AG109+AG114+AG119+AG124</f>
        <v>205.8940525785</v>
      </c>
      <c r="AI152" s="125" t="n">
        <f aca="false">SUMIF($F$7:$AG$7,AI$7,$F152:$AG152)</f>
        <v>0</v>
      </c>
      <c r="AJ152" s="125" t="n">
        <f aca="false">SUMIF($F$7:$AG$7,AJ$7,$F152:$AG152)</f>
        <v>0</v>
      </c>
      <c r="AK152" s="125" t="n">
        <f aca="false">SUMIF($F$7:$AG$7,AK$7,$F152:$AG152)</f>
        <v>0</v>
      </c>
      <c r="AL152" s="125" t="n">
        <f aca="false">SUMIF($F$7:$AG$7,AL$7,$F152:$AG152)</f>
        <v>0</v>
      </c>
      <c r="AM152" s="125" t="n">
        <f aca="false">SUMIF($F$7:$AG$7,AM$7,$F152:$AG152)</f>
        <v>0</v>
      </c>
      <c r="AN152" s="125" t="n">
        <f aca="false">SUMIF($F$7:$AG$7,AN$7,$F152:$AG152)</f>
        <v>0</v>
      </c>
      <c r="AO152" s="125" t="n">
        <f aca="false">SUMIF($F$7:$AG$7,AO$7,$F152:$AG152)</f>
        <v>205.8940525785</v>
      </c>
    </row>
    <row r="153" customFormat="false" ht="15" hidden="false" customHeight="false" outlineLevel="0" collapsed="false">
      <c r="A153" s="107" t="s">
        <v>1994</v>
      </c>
      <c r="B153" s="22" t="s">
        <v>664</v>
      </c>
      <c r="C153" s="22" t="s">
        <v>540</v>
      </c>
      <c r="D153" s="22"/>
      <c r="F153" s="124" t="n">
        <f aca="false">F36+F41+F46+F51+F56+F61+F66+F71+F76+F81+F86+F91+F96+F101+F106+F111+F116+F121</f>
        <v>0</v>
      </c>
      <c r="G153" s="124" t="n">
        <f aca="false">G36+G41+G46+G51+G56+G61+G66+G71+G76+G81+G86+G91+G96+G101+G106+G111+G116+G121</f>
        <v>0</v>
      </c>
      <c r="H153" s="124" t="n">
        <f aca="false">H36+H41+H46+H51+H56+H61+H66+H71+H76+H81+H86+H91+H96+H101+H106+H111+H116+H121</f>
        <v>0</v>
      </c>
      <c r="I153" s="124" t="n">
        <f aca="false">I36+I41+I46+I51+I56+I61+I66+I71+I76+I81+I86+I91+I96+I101+I106+I111+I116+I121</f>
        <v>0</v>
      </c>
      <c r="J153" s="124" t="n">
        <f aca="false">J36+J41+J46+J51+J56+J61+J66+J71+J76+J81+J86+J91+J96+J101+J106+J111+J116+J121</f>
        <v>0</v>
      </c>
      <c r="K153" s="124" t="n">
        <f aca="false">K36+K41+K46+K51+K56+K61+K66+K71+K76+K81+K86+K91+K96+K101+K106+K111+K116+K121</f>
        <v>0</v>
      </c>
      <c r="L153" s="124" t="n">
        <f aca="false">L36+L41+L46+L51+L56+L61+L66+L71+L76+L81+L86+L91+L96+L101+L106+L111+L116+L121</f>
        <v>0</v>
      </c>
      <c r="M153" s="124" t="n">
        <f aca="false">M36+M41+M46+M51+M56+M61+M66+M71+M76+M81+M86+M91+M96+M101+M106+M111+M116+M121</f>
        <v>50.6725</v>
      </c>
      <c r="N153" s="124" t="n">
        <f aca="false">N36+N41+N46+N51+N56+N61+N66+N71+N76+N81+N86+N91+N96+N101+N106+N111+N116+N121</f>
        <v>101.345</v>
      </c>
      <c r="O153" s="124" t="n">
        <f aca="false">O36+O41+O46+O51+O56+O61+O66+O71+O76+O81+O86+O91+O96+O101+O106+O111+O116+O121</f>
        <v>101.345</v>
      </c>
      <c r="P153" s="125" t="n">
        <f aca="false">P36+P41+P46+P51+P56+P61+P66+P71+P76+P81+P86+P91+P96+P101+P106+P111+P116+P121</f>
        <v>154.678333333333</v>
      </c>
      <c r="Q153" s="125" t="n">
        <f aca="false">Q36+Q41+Q46+Q51+Q56+Q61+Q66+Q71+Q76+Q81+Q86+Q91+Q96+Q101+Q106+Q111+Q116+Q121</f>
        <v>154.678333333333</v>
      </c>
      <c r="R153" s="125" t="n">
        <f aca="false">R36+R41+R46+R51+R56+R61+R66+R71+R76+R81+R86+R91+R96+R101+R106+R111+R116+R121</f>
        <v>154.678333333333</v>
      </c>
      <c r="S153" s="125" t="n">
        <f aca="false">S36+S41+S46+S51+S56+S61+S66+S71+S76+S81+S86+S91+S96+S101+S106+S111+S116+S121</f>
        <v>208.011666666667</v>
      </c>
      <c r="T153" s="125" t="n">
        <f aca="false">T36+T41+T46+T51+T56+T61+T66+T71+T76+T81+T86+T91+T96+T101+T106+T111+T116+T121</f>
        <v>341.345</v>
      </c>
      <c r="U153" s="125" t="n">
        <f aca="false">U36+U41+U46+U51+U56+U61+U66+U71+U76+U81+U86+U91+U96+U101+U106+U111+U116+U121</f>
        <v>394.678333333333</v>
      </c>
      <c r="V153" s="125" t="n">
        <f aca="false">V36+V41+V46+V51+V56+V61+V66+V71+V76+V81+V86+V91+V96+V101+V106+V111+V116+V121</f>
        <v>394.678333333333</v>
      </c>
      <c r="W153" s="125" t="n">
        <f aca="false">W36+W41+W46+W51+W56+W61+W66+W71+W76+W81+W86+W91+W96+W101+W106+W111+W116+W121</f>
        <v>394.678333333333</v>
      </c>
      <c r="X153" s="125" t="n">
        <f aca="false">X36+X41+X46+X51+X56+X61+X66+X71+X76+X81+X86+X91+X96+X101+X106+X111+X116+X121</f>
        <v>394.678333333333</v>
      </c>
      <c r="Y153" s="125" t="n">
        <f aca="false">Y36+Y41+Y46+Y51+Y56+Y61+Y66+Y71+Y76+Y81+Y86+Y91+Y96+Y101+Y106+Y111+Y116+Y121</f>
        <v>394.678333333333</v>
      </c>
      <c r="Z153" s="125" t="n">
        <f aca="false">Z36+Z41+Z46+Z51+Z56+Z61+Z66+Z71+Z76+Z81+Z86+Z91+Z96+Z101+Z106+Z111+Z116+Z121</f>
        <v>394.678333333333</v>
      </c>
      <c r="AA153" s="125" t="n">
        <f aca="false">AA36+AA41+AA46+AA51+AA56+AA61+AA66+AA71+AA76+AA81+AA86+AA91+AA96+AA101+AA106+AA111+AA116+AA121</f>
        <v>394.678333333333</v>
      </c>
      <c r="AB153" s="125" t="n">
        <f aca="false">AB36+AB41+AB46+AB51+AB56+AB61+AB66+AB71+AB76+AB81+AB86+AB91+AB96+AB101+AB106+AB111+AB116+AB121</f>
        <v>394.678333333333</v>
      </c>
      <c r="AC153" s="125" t="n">
        <f aca="false">AC36+AC41+AC46+AC51+AC56+AC61+AC66+AC71+AC76+AC81+AC86+AC91+AC96+AC101+AC106+AC111+AC116+AC121</f>
        <v>394.678333333333</v>
      </c>
      <c r="AD153" s="125" t="n">
        <f aca="false">AD36+AD41+AD46+AD51+AD56+AD61+AD66+AD71+AD76+AD81+AD86+AD91+AD96+AD101+AD106+AD111+AD116+AD121</f>
        <v>394.678333333333</v>
      </c>
      <c r="AE153" s="125" t="n">
        <f aca="false">AE36+AE41+AE46+AE51+AE56+AE61+AE66+AE71+AE76+AE81+AE86+AE91+AE96+AE101+AE106+AE111+AE116+AE121</f>
        <v>394.678333333333</v>
      </c>
      <c r="AF153" s="125" t="n">
        <f aca="false">AF36+AF41+AF46+AF51+AF56+AF61+AF66+AF71+AF76+AF81+AF86+AF91+AF96+AF101+AF106+AF111+AF116+AF121</f>
        <v>394.678333333333</v>
      </c>
      <c r="AG153" s="125" t="n">
        <f aca="false">AG36+AG41+AG46+AG51+AG56+AG61+AG66+AG71+AG76+AG81+AG86+AG91+AG96+AG101+AG106+AG111+AG116+AG121</f>
        <v>344.005833333333</v>
      </c>
      <c r="AI153" s="125" t="n">
        <f aca="false">INDEX($F153:$AG153,1,MATCH(AI$7,$F$7:$AG$7,1))</f>
        <v>0</v>
      </c>
      <c r="AJ153" s="125" t="n">
        <f aca="false">INDEX($F153:$AG153,1,MATCH(AJ$7,$F$7:$AG$7,1))</f>
        <v>50.6725</v>
      </c>
      <c r="AK153" s="125" t="n">
        <f aca="false">INDEX($F153:$AG153,1,MATCH(AK$7,$F$7:$AG$7,1))</f>
        <v>154.678333333333</v>
      </c>
      <c r="AL153" s="125" t="n">
        <f aca="false">INDEX($F153:$AG153,1,MATCH(AL$7,$F$7:$AG$7,1))</f>
        <v>394.678333333333</v>
      </c>
      <c r="AM153" s="125" t="n">
        <f aca="false">INDEX($F153:$AG153,1,MATCH(AM$7,$F$7:$AG$7,1))</f>
        <v>394.678333333333</v>
      </c>
      <c r="AN153" s="125" t="n">
        <f aca="false">INDEX($F153:$AG153,1,MATCH(AN$7,$F$7:$AG$7,1))</f>
        <v>394.678333333333</v>
      </c>
      <c r="AO153" s="125" t="n">
        <f aca="false">INDEX($F153:$AG153,1,MATCH(AO$7,$F$7:$AG$7,1))</f>
        <v>344.005833333333</v>
      </c>
    </row>
    <row r="154" customFormat="false" ht="15" hidden="false" customHeight="false" outlineLevel="0" collapsed="false">
      <c r="A154" s="107" t="s">
        <v>1995</v>
      </c>
      <c r="B154" s="22" t="s">
        <v>664</v>
      </c>
      <c r="C154" s="22" t="s">
        <v>540</v>
      </c>
      <c r="D154" s="22"/>
      <c r="F154" s="124" t="n">
        <f aca="false">F36+F41+F46+F51+F56+F61+F66+F71+F76+F81+F86+F91+F96+F101+F106+F111</f>
        <v>0</v>
      </c>
      <c r="G154" s="124" t="n">
        <f aca="false">G36+G41+G46+G51+G56+G61+G66+G71+G76+G81+G86+G91+G96+G101+G106+G111</f>
        <v>0</v>
      </c>
      <c r="H154" s="124" t="n">
        <f aca="false">H36+H41+H46+H51+H56+H61+H66+H71+H76+H81+H86+H91+H96+H101+H106+H111</f>
        <v>0</v>
      </c>
      <c r="I154" s="124" t="n">
        <f aca="false">I36+I41+I46+I51+I56+I61+I66+I71+I76+I81+I86+I91+I96+I101+I106+I111</f>
        <v>0</v>
      </c>
      <c r="J154" s="124" t="n">
        <f aca="false">J36+J41+J46+J51+J56+J61+J66+J71+J76+J81+J86+J91+J96+J101+J106+J111</f>
        <v>0</v>
      </c>
      <c r="K154" s="124" t="n">
        <f aca="false">K36+K41+K46+K51+K56+K61+K66+K71+K76+K81+K86+K91+K96+K101+K106+K111</f>
        <v>0</v>
      </c>
      <c r="L154" s="124" t="n">
        <f aca="false">L36+L41+L46+L51+L56+L61+L66+L71+L76+L81+L86+L91+L96+L101+L106+L111</f>
        <v>0</v>
      </c>
      <c r="M154" s="124" t="n">
        <f aca="false">M36+M41+M46+M51+M56+M61+M66+M71+M76+M81+M86+M91+M96+M101+M106+M111</f>
        <v>50.6725</v>
      </c>
      <c r="N154" s="124" t="n">
        <f aca="false">N36+N41+N46+N51+N56+N61+N66+N71+N76+N81+N86+N91+N96+N101+N106+N111</f>
        <v>101.345</v>
      </c>
      <c r="O154" s="124" t="n">
        <f aca="false">O36+O41+O46+O51+O56+O61+O66+O71+O76+O81+O86+O91+O96+O101+O106+O111</f>
        <v>101.345</v>
      </c>
      <c r="P154" s="125" t="n">
        <f aca="false">P36+P41+P46+P51+P56+P61+P66+P71+P76+P81+P86+P91+P96+P101+P106+P111</f>
        <v>154.678333333333</v>
      </c>
      <c r="Q154" s="125" t="n">
        <f aca="false">Q36+Q41+Q46+Q51+Q56+Q61+Q66+Q71+Q76+Q81+Q86+Q91+Q96+Q101+Q106+Q111</f>
        <v>154.678333333333</v>
      </c>
      <c r="R154" s="125" t="n">
        <f aca="false">R36+R41+R46+R51+R56+R61+R66+R71+R76+R81+R86+R91+R96+R101+R106+R111</f>
        <v>154.678333333333</v>
      </c>
      <c r="S154" s="125" t="n">
        <f aca="false">S36+S41+S46+S51+S56+S61+S66+S71+S76+S81+S86+S91+S96+S101+S106+S111</f>
        <v>208.011666666667</v>
      </c>
      <c r="T154" s="125" t="n">
        <f aca="false">T36+T41+T46+T51+T56+T61+T66+T71+T76+T81+T86+T91+T96+T101+T106+T111</f>
        <v>341.345</v>
      </c>
      <c r="U154" s="125" t="n">
        <f aca="false">U36+U41+U46+U51+U56+U61+U66+U71+U76+U81+U86+U91+U96+U101+U106+U111</f>
        <v>394.678333333333</v>
      </c>
      <c r="V154" s="125" t="n">
        <f aca="false">V36+V41+V46+V51+V56+V61+V66+V71+V76+V81+V86+V91+V96+V101+V106+V111</f>
        <v>394.678333333333</v>
      </c>
      <c r="W154" s="125" t="n">
        <f aca="false">W36+W41+W46+W51+W56+W61+W66+W71+W76+W81+W86+W91+W96+W101+W106+W111</f>
        <v>394.678333333333</v>
      </c>
      <c r="X154" s="125" t="n">
        <f aca="false">X36+X41+X46+X51+X56+X61+X66+X71+X76+X81+X86+X91+X96+X101+X106+X111</f>
        <v>394.678333333333</v>
      </c>
      <c r="Y154" s="125" t="n">
        <f aca="false">Y36+Y41+Y46+Y51+Y56+Y61+Y66+Y71+Y76+Y81+Y86+Y91+Y96+Y101+Y106+Y111</f>
        <v>394.678333333333</v>
      </c>
      <c r="Z154" s="125" t="n">
        <f aca="false">Z36+Z41+Z46+Z51+Z56+Z61+Z66+Z71+Z76+Z81+Z86+Z91+Z96+Z101+Z106+Z111</f>
        <v>394.678333333333</v>
      </c>
      <c r="AA154" s="125" t="n">
        <f aca="false">AA36+AA41+AA46+AA51+AA56+AA61+AA66+AA71+AA76+AA81+AA86+AA91+AA96+AA101+AA106+AA111</f>
        <v>394.678333333333</v>
      </c>
      <c r="AB154" s="125" t="n">
        <f aca="false">AB36+AB41+AB46+AB51+AB56+AB61+AB66+AB71+AB76+AB81+AB86+AB91+AB96+AB101+AB106+AB111</f>
        <v>394.678333333333</v>
      </c>
      <c r="AC154" s="125" t="n">
        <f aca="false">AC36+AC41+AC46+AC51+AC56+AC61+AC66+AC71+AC76+AC81+AC86+AC91+AC96+AC101+AC106+AC111</f>
        <v>394.678333333333</v>
      </c>
      <c r="AD154" s="125" t="n">
        <f aca="false">AD36+AD41+AD46+AD51+AD56+AD61+AD66+AD71+AD76+AD81+AD86+AD91+AD96+AD101+AD106+AD111</f>
        <v>394.678333333333</v>
      </c>
      <c r="AE154" s="125" t="n">
        <f aca="false">AE36+AE41+AE46+AE51+AE56+AE61+AE66+AE71+AE76+AE81+AE86+AE91+AE96+AE101+AE106+AE111</f>
        <v>394.678333333333</v>
      </c>
      <c r="AF154" s="125" t="n">
        <f aca="false">AF36+AF41+AF46+AF51+AF56+AF61+AF66+AF71+AF76+AF81+AF86+AF91+AF96+AF101+AF106+AF111</f>
        <v>394.678333333333</v>
      </c>
      <c r="AG154" s="125" t="n">
        <f aca="false">AG36+AG41+AG46+AG51+AG56+AG61+AG66+AG71+AG76+AG81+AG86+AG91+AG96+AG101+AG106+AG111</f>
        <v>344.005833333333</v>
      </c>
      <c r="AI154" s="125" t="n">
        <f aca="false">INDEX($F154:$AG154,1,MATCH(AI$7,$F$7:$AG$7,1))</f>
        <v>0</v>
      </c>
      <c r="AJ154" s="125" t="n">
        <f aca="false">INDEX($F154:$AG154,1,MATCH(AJ$7,$F$7:$AG$7,1))</f>
        <v>50.6725</v>
      </c>
      <c r="AK154" s="125" t="n">
        <f aca="false">INDEX($F154:$AG154,1,MATCH(AK$7,$F$7:$AG$7,1))</f>
        <v>154.678333333333</v>
      </c>
      <c r="AL154" s="125" t="n">
        <f aca="false">INDEX($F154:$AG154,1,MATCH(AL$7,$F$7:$AG$7,1))</f>
        <v>394.678333333333</v>
      </c>
      <c r="AM154" s="125" t="n">
        <f aca="false">INDEX($F154:$AG154,1,MATCH(AM$7,$F$7:$AG$7,1))</f>
        <v>394.678333333333</v>
      </c>
      <c r="AN154" s="125" t="n">
        <f aca="false">INDEX($F154:$AG154,1,MATCH(AN$7,$F$7:$AG$7,1))</f>
        <v>394.678333333333</v>
      </c>
      <c r="AO154" s="125" t="n">
        <f aca="false">INDEX($F154:$AG154,1,MATCH(AO$7,$F$7:$AG$7,1))</f>
        <v>344.005833333333</v>
      </c>
    </row>
    <row r="155" customFormat="false" ht="15" hidden="false" customHeight="false" outlineLevel="0" collapsed="false">
      <c r="A155" s="107" t="s">
        <v>1996</v>
      </c>
      <c r="B155" s="22" t="s">
        <v>664</v>
      </c>
      <c r="C155" s="22" t="s">
        <v>540</v>
      </c>
      <c r="D155" s="22"/>
      <c r="F155" s="124" t="n">
        <f aca="false">F116+F121</f>
        <v>0</v>
      </c>
      <c r="G155" s="124" t="n">
        <f aca="false">G116+G121</f>
        <v>0</v>
      </c>
      <c r="H155" s="124" t="n">
        <f aca="false">H116+H121</f>
        <v>0</v>
      </c>
      <c r="I155" s="124" t="n">
        <f aca="false">I116+I121</f>
        <v>0</v>
      </c>
      <c r="J155" s="124" t="n">
        <f aca="false">J116+J121</f>
        <v>0</v>
      </c>
      <c r="K155" s="124" t="n">
        <f aca="false">K116+K121</f>
        <v>0</v>
      </c>
      <c r="L155" s="124" t="n">
        <f aca="false">L116+L121</f>
        <v>0</v>
      </c>
      <c r="M155" s="124" t="n">
        <f aca="false">M116+M121</f>
        <v>0</v>
      </c>
      <c r="N155" s="124" t="n">
        <f aca="false">N116+N121</f>
        <v>0</v>
      </c>
      <c r="O155" s="124" t="n">
        <f aca="false">O116+O121</f>
        <v>0</v>
      </c>
      <c r="P155" s="125" t="n">
        <f aca="false">P116+P121</f>
        <v>0</v>
      </c>
      <c r="Q155" s="125" t="n">
        <f aca="false">Q116+Q121</f>
        <v>0</v>
      </c>
      <c r="R155" s="125" t="n">
        <f aca="false">R116+R121</f>
        <v>0</v>
      </c>
      <c r="S155" s="125" t="n">
        <f aca="false">S116+S121</f>
        <v>0</v>
      </c>
      <c r="T155" s="125" t="n">
        <f aca="false">T116+T121</f>
        <v>0</v>
      </c>
      <c r="U155" s="125" t="n">
        <f aca="false">U116+U121</f>
        <v>0</v>
      </c>
      <c r="V155" s="125" t="n">
        <f aca="false">V116+V121</f>
        <v>0</v>
      </c>
      <c r="W155" s="125" t="n">
        <f aca="false">W116+W121</f>
        <v>0</v>
      </c>
      <c r="X155" s="125" t="n">
        <f aca="false">X116+X121</f>
        <v>0</v>
      </c>
      <c r="Y155" s="125" t="n">
        <f aca="false">Y116+Y121</f>
        <v>0</v>
      </c>
      <c r="Z155" s="125" t="n">
        <f aca="false">Z116+Z121</f>
        <v>0</v>
      </c>
      <c r="AA155" s="125" t="n">
        <f aca="false">AA116+AA121</f>
        <v>0</v>
      </c>
      <c r="AB155" s="125" t="n">
        <f aca="false">AB116+AB121</f>
        <v>0</v>
      </c>
      <c r="AC155" s="125" t="n">
        <f aca="false">AC116+AC121</f>
        <v>0</v>
      </c>
      <c r="AD155" s="125" t="n">
        <f aca="false">AD116+AD121</f>
        <v>0</v>
      </c>
      <c r="AE155" s="125" t="n">
        <f aca="false">AE116+AE121</f>
        <v>0</v>
      </c>
      <c r="AF155" s="125" t="n">
        <f aca="false">AF116+AF121</f>
        <v>0</v>
      </c>
      <c r="AG155" s="125" t="n">
        <f aca="false">AG116+AG121</f>
        <v>0</v>
      </c>
      <c r="AI155" s="125" t="n">
        <f aca="false">INDEX($F155:$AG155,1,MATCH(AI$7,$F$7:$AG$7,1))</f>
        <v>0</v>
      </c>
      <c r="AJ155" s="125" t="n">
        <f aca="false">INDEX($F155:$AG155,1,MATCH(AJ$7,$F$7:$AG$7,1))</f>
        <v>0</v>
      </c>
      <c r="AK155" s="125" t="n">
        <f aca="false">INDEX($F155:$AG155,1,MATCH(AK$7,$F$7:$AG$7,1))</f>
        <v>0</v>
      </c>
      <c r="AL155" s="125" t="n">
        <f aca="false">INDEX($F155:$AG155,1,MATCH(AL$7,$F$7:$AG$7,1))</f>
        <v>0</v>
      </c>
      <c r="AM155" s="125" t="n">
        <f aca="false">INDEX($F155:$AG155,1,MATCH(AM$7,$F$7:$AG$7,1))</f>
        <v>0</v>
      </c>
      <c r="AN155" s="125" t="n">
        <f aca="false">INDEX($F155:$AG155,1,MATCH(AN$7,$F$7:$AG$7,1))</f>
        <v>0</v>
      </c>
      <c r="AO155" s="125" t="n">
        <f aca="false">INDEX($F155:$AG155,1,MATCH(AO$7,$F$7:$AG$7,1))</f>
        <v>0</v>
      </c>
    </row>
    <row r="156" customFormat="false" ht="15" hidden="false" customHeight="false" outlineLevel="0" collapsed="false">
      <c r="A156" s="107" t="s">
        <v>1997</v>
      </c>
      <c r="B156" s="22" t="s">
        <v>664</v>
      </c>
      <c r="C156" s="22" t="s">
        <v>540</v>
      </c>
      <c r="D156" s="22"/>
      <c r="F156" s="124" t="n">
        <f aca="false">F38+F43+F48+F53+F58+F63+F68+F73+F78+F83+F88+F93+F98+F103+F108+F113+F118+F123</f>
        <v>0</v>
      </c>
      <c r="G156" s="124" t="n">
        <f aca="false">G38+G43+G48+G53+G58+G63+G68+G73+G78+G83+G88+G93+G98+G103+G108+G113+G118+G123</f>
        <v>0</v>
      </c>
      <c r="H156" s="124" t="n">
        <f aca="false">H38+H43+H48+H53+H58+H63+H68+H73+H78+H83+H88+H93+H98+H103+H108+H113+H118+H123</f>
        <v>0</v>
      </c>
      <c r="I156" s="124" t="n">
        <f aca="false">I38+I43+I48+I53+I58+I63+I68+I73+I78+I83+I88+I93+I98+I103+I108+I113+I118+I123</f>
        <v>0</v>
      </c>
      <c r="J156" s="124" t="n">
        <f aca="false">J38+J43+J48+J53+J58+J63+J68+J73+J78+J83+J88+J93+J98+J103+J108+J113+J118+J123</f>
        <v>0</v>
      </c>
      <c r="K156" s="124" t="n">
        <f aca="false">K38+K43+K48+K53+K58+K63+K68+K73+K78+K83+K88+K93+K98+K103+K108+K113+K118+K123</f>
        <v>0</v>
      </c>
      <c r="L156" s="124" t="n">
        <f aca="false">L38+L43+L48+L53+L58+L63+L68+L73+L78+L83+L88+L93+L98+L103+L108+L113+L118+L123</f>
        <v>0</v>
      </c>
      <c r="M156" s="124" t="n">
        <f aca="false">M38+M43+M48+M53+M58+M63+M68+M73+M78+M83+M88+M93+M98+M103+M108+M113+M118+M123</f>
        <v>0</v>
      </c>
      <c r="N156" s="124" t="n">
        <f aca="false">N38+N43+N48+N53+N58+N63+N68+N73+N78+N83+N88+N93+N98+N103+N108+N113+N118+N123</f>
        <v>0</v>
      </c>
      <c r="O156" s="124" t="n">
        <f aca="false">O38+O43+O48+O53+O58+O63+O68+O73+O78+O83+O88+O93+O98+O103+O108+O113+O118+O123</f>
        <v>0</v>
      </c>
      <c r="P156" s="125" t="n">
        <f aca="false">P38+P43+P48+P53+P58+P63+P68+P73+P78+P83+P88+P93+P98+P103+P108+P113+P118+P123</f>
        <v>0</v>
      </c>
      <c r="Q156" s="125" t="n">
        <f aca="false">Q38+Q43+Q48+Q53+Q58+Q63+Q68+Q73+Q78+Q83+Q88+Q93+Q98+Q103+Q108+Q113+Q118+Q123</f>
        <v>0</v>
      </c>
      <c r="R156" s="125" t="n">
        <f aca="false">R38+R43+R48+R53+R58+R63+R68+R73+R78+R83+R88+R93+R98+R103+R108+R113+R118+R123</f>
        <v>0</v>
      </c>
      <c r="S156" s="125" t="n">
        <f aca="false">S38+S43+S48+S53+S58+S63+S68+S73+S78+S83+S88+S93+S98+S103+S108+S113+S118+S123</f>
        <v>0</v>
      </c>
      <c r="T156" s="125" t="n">
        <f aca="false">T38+T43+T48+T53+T58+T63+T68+T73+T78+T83+T88+T93+T98+T103+T108+T113+T118+T123</f>
        <v>0</v>
      </c>
      <c r="U156" s="125" t="n">
        <f aca="false">U38+U43+U48+U53+U58+U63+U68+U73+U78+U83+U88+U93+U98+U103+U108+U113+U118+U123</f>
        <v>0</v>
      </c>
      <c r="V156" s="125" t="n">
        <f aca="false">V38+V43+V48+V53+V58+V63+V68+V73+V78+V83+V88+V93+V98+V103+V108+V113+V118+V123</f>
        <v>0</v>
      </c>
      <c r="W156" s="125" t="n">
        <f aca="false">W38+W43+W48+W53+W58+W63+W68+W73+W78+W83+W88+W93+W98+W103+W108+W113+W118+W123</f>
        <v>0</v>
      </c>
      <c r="X156" s="125" t="n">
        <f aca="false">X38+X43+X48+X53+X58+X63+X68+X73+X78+X83+X88+X93+X98+X103+X108+X113+X118+X123</f>
        <v>0</v>
      </c>
      <c r="Y156" s="125" t="n">
        <f aca="false">Y38+Y43+Y48+Y53+Y58+Y63+Y68+Y73+Y78+Y83+Y88+Y93+Y98+Y103+Y108+Y113+Y118+Y123</f>
        <v>0</v>
      </c>
      <c r="Z156" s="125" t="n">
        <f aca="false">Z38+Z43+Z48+Z53+Z58+Z63+Z68+Z73+Z78+Z83+Z88+Z93+Z98+Z103+Z108+Z113+Z118+Z123</f>
        <v>0</v>
      </c>
      <c r="AA156" s="125" t="n">
        <f aca="false">AA38+AA43+AA48+AA53+AA58+AA63+AA68+AA73+AA78+AA83+AA88+AA93+AA98+AA103+AA108+AA113+AA118+AA123</f>
        <v>0</v>
      </c>
      <c r="AB156" s="125" t="n">
        <f aca="false">AB38+AB43+AB48+AB53+AB58+AB63+AB68+AB73+AB78+AB83+AB88+AB93+AB98+AB103+AB108+AB113+AB118+AB123</f>
        <v>0</v>
      </c>
      <c r="AC156" s="125" t="n">
        <f aca="false">AC38+AC43+AC48+AC53+AC58+AC63+AC68+AC73+AC78+AC83+AC88+AC93+AC98+AC103+AC108+AC113+AC118+AC123</f>
        <v>0</v>
      </c>
      <c r="AD156" s="125" t="n">
        <f aca="false">AD38+AD43+AD48+AD53+AD58+AD63+AD68+AD73+AD78+AD83+AD88+AD93+AD98+AD103+AD108+AD113+AD118+AD123</f>
        <v>0</v>
      </c>
      <c r="AE156" s="125" t="n">
        <f aca="false">AE38+AE43+AE48+AE53+AE58+AE63+AE68+AE73+AE78+AE83+AE88+AE93+AE98+AE103+AE108+AE113+AE118+AE123</f>
        <v>0</v>
      </c>
      <c r="AF156" s="125" t="n">
        <f aca="false">AF38+AF43+AF48+AF53+AF58+AF63+AF68+AF73+AF78+AF83+AF88+AF93+AF98+AF103+AF108+AF113+AF118+AF123</f>
        <v>0</v>
      </c>
      <c r="AG156" s="125" t="n">
        <f aca="false">AG38+AG43+AG48+AG53+AG58+AG63+AG68+AG73+AG78+AG83+AG88+AG93+AG98+AG103+AG108+AG113+AG118+AG123</f>
        <v>50.6725</v>
      </c>
      <c r="AI156" s="125" t="n">
        <f aca="false">INDEX($F156:$AG156,1,MATCH(AI$7,$F$7:$AG$7,1))</f>
        <v>0</v>
      </c>
      <c r="AJ156" s="125" t="n">
        <f aca="false">INDEX($F156:$AG156,1,MATCH(AJ$7,$F$7:$AG$7,1))</f>
        <v>0</v>
      </c>
      <c r="AK156" s="125" t="n">
        <f aca="false">INDEX($F156:$AG156,1,MATCH(AK$7,$F$7:$AG$7,1))</f>
        <v>0</v>
      </c>
      <c r="AL156" s="125" t="n">
        <f aca="false">INDEX($F156:$AG156,1,MATCH(AL$7,$F$7:$AG$7,1))</f>
        <v>0</v>
      </c>
      <c r="AM156" s="125" t="n">
        <f aca="false">INDEX($F156:$AG156,1,MATCH(AM$7,$F$7:$AG$7,1))</f>
        <v>0</v>
      </c>
      <c r="AN156" s="125" t="n">
        <f aca="false">INDEX($F156:$AG156,1,MATCH(AN$7,$F$7:$AG$7,1))</f>
        <v>0</v>
      </c>
      <c r="AO156" s="125" t="n">
        <f aca="false">INDEX($F156:$AG156,1,MATCH(AO$7,$F$7:$AG$7,1))</f>
        <v>50.6725</v>
      </c>
    </row>
    <row r="157" customFormat="false" ht="15" hidden="false" customHeight="false" outlineLevel="0" collapsed="false">
      <c r="A157" s="107" t="s">
        <v>1998</v>
      </c>
      <c r="B157" s="22" t="s">
        <v>763</v>
      </c>
      <c r="C157" s="22" t="s">
        <v>540</v>
      </c>
      <c r="D157" s="22"/>
      <c r="F157" s="111" t="n">
        <f aca="false">0</f>
        <v>0</v>
      </c>
      <c r="G157" s="111" t="n">
        <f aca="false">0</f>
        <v>0</v>
      </c>
      <c r="H157" s="111" t="n">
        <f aca="false">0</f>
        <v>0</v>
      </c>
      <c r="I157" s="111" t="n">
        <f aca="false">0</f>
        <v>0</v>
      </c>
      <c r="J157" s="111" t="n">
        <f aca="false">0</f>
        <v>0</v>
      </c>
      <c r="K157" s="111" t="n">
        <f aca="false">0</f>
        <v>0</v>
      </c>
      <c r="L157" s="111" t="n">
        <f aca="false">0</f>
        <v>0</v>
      </c>
      <c r="M157" s="111" t="n">
        <f aca="false">0</f>
        <v>0</v>
      </c>
      <c r="N157" s="111" t="n">
        <f aca="false">0</f>
        <v>0</v>
      </c>
      <c r="O157" s="111" t="n">
        <f aca="false">0</f>
        <v>0</v>
      </c>
      <c r="P157" s="33" t="n">
        <f aca="false">0</f>
        <v>0</v>
      </c>
      <c r="Q157" s="33" t="n">
        <f aca="false">0</f>
        <v>0</v>
      </c>
      <c r="R157" s="33" t="n">
        <f aca="false">0</f>
        <v>0</v>
      </c>
      <c r="S157" s="33" t="n">
        <f aca="false">0</f>
        <v>0</v>
      </c>
      <c r="T157" s="33" t="n">
        <f aca="false">0</f>
        <v>0</v>
      </c>
      <c r="U157" s="33" t="n">
        <f aca="false">0</f>
        <v>0</v>
      </c>
      <c r="V157" s="33" t="n">
        <f aca="false">0</f>
        <v>0</v>
      </c>
      <c r="W157" s="33" t="n">
        <f aca="false">0</f>
        <v>0</v>
      </c>
      <c r="X157" s="33" t="n">
        <f aca="false">0</f>
        <v>0</v>
      </c>
      <c r="Y157" s="33" t="n">
        <f aca="false">0</f>
        <v>0</v>
      </c>
      <c r="Z157" s="33" t="n">
        <f aca="false">0</f>
        <v>0</v>
      </c>
      <c r="AA157" s="33" t="n">
        <f aca="false">0</f>
        <v>0</v>
      </c>
      <c r="AB157" s="33" t="n">
        <f aca="false">0</f>
        <v>0</v>
      </c>
      <c r="AC157" s="33" t="n">
        <f aca="false">0</f>
        <v>0</v>
      </c>
      <c r="AD157" s="33" t="n">
        <f aca="false">0</f>
        <v>0</v>
      </c>
      <c r="AE157" s="33" t="n">
        <f aca="false">0</f>
        <v>0</v>
      </c>
      <c r="AF157" s="33" t="n">
        <f aca="false">0</f>
        <v>0</v>
      </c>
      <c r="AG157" s="33" t="n">
        <f aca="false">0</f>
        <v>0</v>
      </c>
      <c r="AI157" s="33" t="n">
        <f aca="false">INDEX($F157:$AG157,1,MATCH(AI$7,$F$7:$AG$7,1))</f>
        <v>0</v>
      </c>
      <c r="AJ157" s="33" t="n">
        <f aca="false">INDEX($F157:$AG157,1,MATCH(AJ$7,$F$7:$AG$7,1))</f>
        <v>0</v>
      </c>
      <c r="AK157" s="33" t="n">
        <f aca="false">INDEX($F157:$AG157,1,MATCH(AK$7,$F$7:$AG$7,1))</f>
        <v>0</v>
      </c>
      <c r="AL157" s="33" t="n">
        <f aca="false">INDEX($F157:$AG157,1,MATCH(AL$7,$F$7:$AG$7,1))</f>
        <v>0</v>
      </c>
      <c r="AM157" s="33" t="n">
        <f aca="false">INDEX($F157:$AG157,1,MATCH(AM$7,$F$7:$AG$7,1))</f>
        <v>0</v>
      </c>
      <c r="AN157" s="33" t="n">
        <f aca="false">INDEX($F157:$AG157,1,MATCH(AN$7,$F$7:$AG$7,1))</f>
        <v>0</v>
      </c>
      <c r="AO157" s="33" t="n">
        <f aca="false">INDEX($F157:$AG157,1,MATCH(AO$7,$F$7:$AG$7,1))</f>
        <v>0</v>
      </c>
    </row>
    <row r="158" customFormat="false" ht="15" hidden="false" customHeight="false" outlineLevel="0" collapsed="false">
      <c r="A158" s="107" t="s">
        <v>1999</v>
      </c>
      <c r="B158" s="22" t="s">
        <v>763</v>
      </c>
      <c r="C158" s="22" t="s">
        <v>540</v>
      </c>
      <c r="D158" s="22"/>
      <c r="F158" s="111" t="n">
        <f aca="false">(IF(VinCapOn=1,MIN((F36+F41+F46+F51+F56+F61+F66+F71+F76+F81+F86),INDEX(VinEnIT,1,MAX(1,1-IF(1&gt;LastHist,EnLag,0)))),(F36+F41+F46+F51+F56+F61+F66+F71+F76+F81+F86))+F91+F96+F38+F43+F48+F53+F58+F63+F68+F73+F78+F83+F88+F93+F98)*GPUMW_B</f>
        <v>0</v>
      </c>
      <c r="G158" s="111" t="n">
        <f aca="false">(IF(VinCapOn=1,MIN((G36+G41+G46+G51+G56+G61+G66+G71+G76+G81+G86),INDEX(VinEnIT,1,MAX(1,2-IF(2&gt;LastHist,EnLag,0)))),(G36+G41+G46+G51+G56+G61+G66+G71+G76+G81+G86))+G91+G96+G38+G43+G48+G53+G58+G63+G68+G73+G78+G83+G88+G93+G98)*GPUMW_B</f>
        <v>0</v>
      </c>
      <c r="H158" s="111" t="n">
        <f aca="false">(IF(VinCapOn=1,MIN((H36+H41+H46+H51+H56+H61+H66+H71+H76+H81+H86),INDEX(VinEnIT,1,MAX(1,3-IF(3&gt;LastHist,EnLag,0)))),(H36+H41+H46+H51+H56+H61+H66+H71+H76+H81+H86))+H91+H96+H38+H43+H48+H53+H58+H63+H68+H73+H78+H83+H88+H93+H98)*GPUMW_B</f>
        <v>0</v>
      </c>
      <c r="I158" s="111" t="n">
        <f aca="false">(IF(VinCapOn=1,MIN((I36+I41+I46+I51+I56+I61+I66+I71+I76+I81+I86),INDEX(VinEnIT,1,MAX(1,4-IF(4&gt;LastHist,EnLag,0)))),(I36+I41+I46+I51+I56+I61+I66+I71+I76+I81+I86))+I91+I96+I38+I43+I48+I53+I58+I63+I68+I73+I78+I83+I88+I93+I98)*GPUMW_B</f>
        <v>0</v>
      </c>
      <c r="J158" s="111" t="n">
        <f aca="false">(IF(VinCapOn=1,MIN((J36+J41+J46+J51+J56+J61+J66+J71+J76+J81+J86),INDEX(VinEnIT,1,MAX(1,5-IF(5&gt;LastHist,EnLag,0)))),(J36+J41+J46+J51+J56+J61+J66+J71+J76+J81+J86))+J91+J96+J38+J43+J48+J53+J58+J63+J68+J73+J78+J83+J88+J93+J98)*GPUMW_B</f>
        <v>0</v>
      </c>
      <c r="K158" s="111" t="n">
        <f aca="false">(IF(VinCapOn=1,MIN((K36+K41+K46+K51+K56+K61+K66+K71+K76+K81+K86),INDEX(VinEnIT,1,MAX(1,6-IF(6&gt;LastHist,EnLag,0)))),(K36+K41+K46+K51+K56+K61+K66+K71+K76+K81+K86))+K91+K96+K38+K43+K48+K53+K58+K63+K68+K73+K78+K83+K88+K93+K98)*GPUMW_B</f>
        <v>0</v>
      </c>
      <c r="L158" s="111" t="n">
        <f aca="false">(IF(VinCapOn=1,MIN((L36+L41+L46+L51+L56+L61+L66+L71+L76+L81+L86),INDEX(VinEnIT,1,MAX(1,7-IF(7&gt;LastHist,EnLag,0)))),(L36+L41+L46+L51+L56+L61+L66+L71+L76+L81+L86))+L91+L96+L38+L43+L48+L53+L58+L63+L68+L73+L78+L83+L88+L93+L98)*GPUMW_B</f>
        <v>0</v>
      </c>
      <c r="M158" s="111" t="n">
        <f aca="false">(IF(VinCapOn=1,MIN((M36+M41+M46+M51+M56+M61+M66+M71+M76+M81+M86),INDEX(VinEnIT,1,MAX(1,8-IF(8&gt;LastHist,EnLag,0)))),(M36+M41+M46+M51+M56+M61+M66+M71+M76+M81+M86))+M91+M96+M38+M43+M48+M53+M58+M63+M68+M73+M78+M83+M88+M93+M98)*GPUMW_B</f>
        <v>25102.9166666667</v>
      </c>
      <c r="N158" s="111" t="n">
        <f aca="false">(IF(VinCapOn=1,MIN((N36+N41+N46+N51+N56+N61+N66+N71+N76+N81+N86),INDEX(VinEnIT,1,MAX(1,9-IF(9&gt;LastHist,EnLag,0)))),(N36+N41+N46+N51+N56+N61+N66+N71+N76+N81+N86))+N91+N96+N38+N43+N48+N53+N58+N63+N68+N73+N78+N83+N88+N93+N98)*GPUMW_B</f>
        <v>42755.8333333333</v>
      </c>
      <c r="O158" s="111" t="n">
        <f aca="false">(IF(VinCapOn=1,MIN((O36+O41+O46+O51+O56+O61+O66+O71+O76+O81+O86),INDEX(VinEnIT,1,MAX(1,10-IF(10&gt;LastHist,EnLag,0)))),(O36+O41+O46+O51+O56+O61+O66+O71+O76+O81+O86))+O91+O96+O38+O43+O48+O53+O58+O63+O68+O73+O78+O83+O88+O93+O98)*GPUMW_B</f>
        <v>43505.8333333333</v>
      </c>
      <c r="P158" s="33" t="n">
        <f aca="false">(IF(VinCapOn=1,MIN((P36+P41+P46+P51+P56+P61+P66+P71+P76+P81+P86),INDEX(VinEnIT,1,MAX(1,11-IF(11&gt;LastHist,EnLag,0)))),(P36+P41+P46+P51+P56+P61+P66+P71+P76+P81+P86))+P91+P96+P38+P43+P48+P53+P58+P63+P68+P73+P78+P83+P88+P93+P98)*GPUMW_B</f>
        <v>43505.8333333333</v>
      </c>
      <c r="Q158" s="33" t="n">
        <f aca="false">(IF(VinCapOn=1,MIN((Q36+Q41+Q46+Q51+Q56+Q61+Q66+Q71+Q76+Q81+Q86),INDEX(VinEnIT,1,MAX(1,12-IF(12&gt;LastHist,EnLag,0)))),(Q36+Q41+Q46+Q51+Q56+Q61+Q66+Q71+Q76+Q81+Q86))+Q91+Q96+Q38+Q43+Q48+Q53+Q58+Q63+Q68+Q73+Q78+Q83+Q88+Q93+Q98)*GPUMW_B</f>
        <v>57005.8333333333</v>
      </c>
      <c r="R158" s="33" t="n">
        <f aca="false">(IF(VinCapOn=1,MIN((R36+R41+R46+R51+R56+R61+R66+R71+R76+R81+R86),INDEX(VinEnIT,1,MAX(1,13-IF(13&gt;LastHist,EnLag,0)))),(R36+R41+R46+R51+R56+R61+R66+R71+R76+R81+R86))+R91+R96+R38+R43+R48+R53+R58+R63+R68+R73+R78+R83+R88+R93+R98)*GPUMW_B</f>
        <v>64905.8333333333</v>
      </c>
      <c r="S158" s="33" t="n">
        <f aca="false">(IF(VinCapOn=1,MIN((S36+S41+S46+S51+S56+S61+S66+S71+S76+S81+S86),INDEX(VinEnIT,1,MAX(1,14-IF(14&gt;LastHist,EnLag,0)))),(S36+S41+S46+S51+S56+S61+S66+S71+S76+S81+S86))+S91+S96+S38+S43+S48+S53+S58+S63+S68+S73+S78+S83+S88+S93+S98)*GPUMW_B</f>
        <v>83255.8333333333</v>
      </c>
      <c r="T158" s="33" t="n">
        <f aca="false">(IF(VinCapOn=1,MIN((T36+T41+T46+T51+T56+T61+T66+T71+T76+T81+T86),INDEX(VinEnIT,1,MAX(1,15-IF(15&gt;LastHist,EnLag,0)))),(T36+T41+T46+T51+T56+T61+T66+T71+T76+T81+T86))+T91+T96+T38+T43+T48+T53+T58+T63+T68+T73+T78+T83+T88+T93+T98)*GPUMW_B</f>
        <v>108255.833333333</v>
      </c>
      <c r="U158" s="33" t="n">
        <f aca="false">(IF(VinCapOn=1,MIN((U36+U41+U46+U51+U56+U61+U66+U71+U76+U81+U86),INDEX(VinEnIT,1,MAX(1,16-IF(16&gt;LastHist,EnLag,0)))),(U36+U41+U46+U51+U56+U61+U66+U71+U76+U81+U86))+U91+U96+U38+U43+U48+U53+U58+U63+U68+U73+U78+U83+U88+U93+U98)*GPUMW_B</f>
        <v>124005.833333333</v>
      </c>
      <c r="V158" s="33" t="n">
        <f aca="false">(IF(VinCapOn=1,MIN((V36+V41+V46+V51+V56+V61+V66+V71+V76+V81+V86),INDEX(VinEnIT,1,MAX(1,17-IF(17&gt;LastHist,EnLag,0)))),(V36+V41+V46+V51+V56+V61+V66+V71+V76+V81+V86))+V91+V96+V38+V43+V48+V53+V58+V63+V68+V73+V78+V83+V88+V93+V98)*GPUMW_B</f>
        <v>141505.833333333</v>
      </c>
      <c r="W158" s="33" t="n">
        <f aca="false">(IF(VinCapOn=1,MIN((W36+W41+W46+W51+W56+W61+W66+W71+W76+W81+W86),INDEX(VinEnIT,1,MAX(1,18-IF(18&gt;LastHist,EnLag,0)))),(W36+W41+W46+W51+W56+W61+W66+W71+W76+W81+W86))+W91+W96+W38+W43+W48+W53+W58+W63+W68+W73+W78+W83+W88+W93+W98)*GPUMW_B</f>
        <v>141505.833333333</v>
      </c>
      <c r="X158" s="33" t="n">
        <f aca="false">(IF(VinCapOn=1,MIN((X36+X41+X46+X51+X56+X61+X66+X71+X76+X81+X86),INDEX(VinEnIT,1,MAX(1,19-IF(19&gt;LastHist,EnLag,0)))),(X36+X41+X46+X51+X56+X61+X66+X71+X76+X81+X86))+X91+X96+X38+X43+X48+X53+X58+X63+X68+X73+X78+X83+X88+X93+X98)*GPUMW_B</f>
        <v>141505.833333333</v>
      </c>
      <c r="Y158" s="33" t="n">
        <f aca="false">(IF(VinCapOn=1,MIN((Y36+Y41+Y46+Y51+Y56+Y61+Y66+Y71+Y76+Y81+Y86),INDEX(VinEnIT,1,MAX(1,20-IF(20&gt;LastHist,EnLag,0)))),(Y36+Y41+Y46+Y51+Y56+Y61+Y66+Y71+Y76+Y81+Y86))+Y91+Y96+Y38+Y43+Y48+Y53+Y58+Y63+Y68+Y73+Y78+Y83+Y88+Y93+Y98)*GPUMW_B</f>
        <v>141505.833333333</v>
      </c>
      <c r="Z158" s="33" t="n">
        <f aca="false">(IF(VinCapOn=1,MIN((Z36+Z41+Z46+Z51+Z56+Z61+Z66+Z71+Z76+Z81+Z86),INDEX(VinEnIT,1,MAX(1,21-IF(21&gt;LastHist,EnLag,0)))),(Z36+Z41+Z46+Z51+Z56+Z61+Z66+Z71+Z76+Z81+Z86))+Z91+Z96+Z38+Z43+Z48+Z53+Z58+Z63+Z68+Z73+Z78+Z83+Z88+Z93+Z98)*GPUMW_B</f>
        <v>141505.833333333</v>
      </c>
      <c r="AA158" s="33" t="n">
        <f aca="false">(IF(VinCapOn=1,MIN((AA36+AA41+AA46+AA51+AA56+AA61+AA66+AA71+AA76+AA81+AA86),INDEX(VinEnIT,1,MAX(1,22-IF(22&gt;LastHist,EnLag,0)))),(AA36+AA41+AA46+AA51+AA56+AA61+AA66+AA71+AA76+AA81+AA86))+AA91+AA96+AA38+AA43+AA48+AA53+AA58+AA63+AA68+AA73+AA78+AA83+AA88+AA93+AA98)*GPUMW_B</f>
        <v>141505.833333333</v>
      </c>
      <c r="AB158" s="33" t="n">
        <f aca="false">(IF(VinCapOn=1,MIN((AB36+AB41+AB46+AB51+AB56+AB61+AB66+AB71+AB76+AB81+AB86),INDEX(VinEnIT,1,MAX(1,23-IF(23&gt;LastHist,EnLag,0)))),(AB36+AB41+AB46+AB51+AB56+AB61+AB66+AB71+AB76+AB81+AB86))+AB91+AB96+AB38+AB43+AB48+AB53+AB58+AB63+AB68+AB73+AB78+AB83+AB88+AB93+AB98)*GPUMW_B</f>
        <v>141505.833333333</v>
      </c>
      <c r="AC158" s="33" t="n">
        <f aca="false">(IF(VinCapOn=1,MIN((AC36+AC41+AC46+AC51+AC56+AC61+AC66+AC71+AC76+AC81+AC86),INDEX(VinEnIT,1,MAX(1,24-IF(24&gt;LastHist,EnLag,0)))),(AC36+AC41+AC46+AC51+AC56+AC61+AC66+AC71+AC76+AC81+AC86))+AC91+AC96+AC38+AC43+AC48+AC53+AC58+AC63+AC68+AC73+AC78+AC83+AC88+AC93+AC98)*GPUMW_B</f>
        <v>141505.833333333</v>
      </c>
      <c r="AD158" s="33" t="n">
        <f aca="false">(IF(VinCapOn=1,MIN((AD36+AD41+AD46+AD51+AD56+AD61+AD66+AD71+AD76+AD81+AD86),INDEX(VinEnIT,1,MAX(1,25-IF(25&gt;LastHist,EnLag,0)))),(AD36+AD41+AD46+AD51+AD56+AD61+AD66+AD71+AD76+AD81+AD86))+AD91+AD96+AD38+AD43+AD48+AD53+AD58+AD63+AD68+AD73+AD78+AD83+AD88+AD93+AD98)*GPUMW_B</f>
        <v>141505.833333333</v>
      </c>
      <c r="AE158" s="33" t="n">
        <f aca="false">(IF(VinCapOn=1,MIN((AE36+AE41+AE46+AE51+AE56+AE61+AE66+AE71+AE76+AE81+AE86),INDEX(VinEnIT,1,MAX(1,26-IF(26&gt;LastHist,EnLag,0)))),(AE36+AE41+AE46+AE51+AE56+AE61+AE66+AE71+AE76+AE81+AE86))+AE91+AE96+AE38+AE43+AE48+AE53+AE58+AE63+AE68+AE73+AE78+AE83+AE88+AE93+AE98)*GPUMW_B</f>
        <v>141505.833333333</v>
      </c>
      <c r="AF158" s="33" t="n">
        <f aca="false">(IF(VinCapOn=1,MIN((AF36+AF41+AF46+AF51+AF56+AF61+AF66+AF71+AF76+AF81+AF86),INDEX(VinEnIT,1,MAX(1,27-IF(27&gt;LastHist,EnLag,0)))),(AF36+AF41+AF46+AF51+AF56+AF61+AF66+AF71+AF76+AF81+AF86))+AF91+AF96+AF38+AF43+AF48+AF53+AF58+AF63+AF68+AF73+AF78+AF83+AF88+AF93+AF98)*GPUMW_B</f>
        <v>141505.833333333</v>
      </c>
      <c r="AG158" s="33" t="n">
        <f aca="false">(IF(VinCapOn=1,MIN((AG36+AG41+AG46+AG51+AG56+AG61+AG66+AG71+AG76+AG81+AG86),INDEX(VinEnIT,1,MAX(1,28-IF(28&gt;LastHist,EnLag,0)))),(AG36+AG41+AG46+AG51+AG56+AG61+AG66+AG71+AG76+AG81+AG86))+AG91+AG96+AG38+AG43+AG48+AG53+AG58+AG63+AG68+AG73+AG78+AG83+AG88+AG93+AG98)*GPUMW_B</f>
        <v>144005.833333333</v>
      </c>
      <c r="AI158" s="33" t="n">
        <f aca="false">INDEX($F158:$AG158,1,MATCH(AI$7,$F$7:$AG$7,1))</f>
        <v>0</v>
      </c>
      <c r="AJ158" s="33" t="n">
        <f aca="false">INDEX($F158:$AG158,1,MATCH(AJ$7,$F$7:$AG$7,1))</f>
        <v>25102.9166666667</v>
      </c>
      <c r="AK158" s="33" t="n">
        <f aca="false">INDEX($F158:$AG158,1,MATCH(AK$7,$F$7:$AG$7,1))</f>
        <v>57005.8333333333</v>
      </c>
      <c r="AL158" s="33" t="n">
        <f aca="false">INDEX($F158:$AG158,1,MATCH(AL$7,$F$7:$AG$7,1))</f>
        <v>124005.833333333</v>
      </c>
      <c r="AM158" s="33" t="n">
        <f aca="false">INDEX($F158:$AG158,1,MATCH(AM$7,$F$7:$AG$7,1))</f>
        <v>141505.833333333</v>
      </c>
      <c r="AN158" s="33" t="n">
        <f aca="false">INDEX($F158:$AG158,1,MATCH(AN$7,$F$7:$AG$7,1))</f>
        <v>141505.833333333</v>
      </c>
      <c r="AO158" s="33" t="n">
        <f aca="false">INDEX($F158:$AG158,1,MATCH(AO$7,$F$7:$AG$7,1))</f>
        <v>144005.833333333</v>
      </c>
    </row>
    <row r="159" customFormat="false" ht="15" hidden="false" customHeight="false" outlineLevel="0" collapsed="false">
      <c r="A159" s="107" t="s">
        <v>2000</v>
      </c>
      <c r="B159" s="22" t="s">
        <v>763</v>
      </c>
      <c r="C159" s="22" t="s">
        <v>540</v>
      </c>
      <c r="D159" s="22"/>
      <c r="F159" s="111" t="n">
        <f aca="false">(0+F101+F106+F111+F116+F121+F103+F108+F113+F118+F123)*GPUMW_N</f>
        <v>0</v>
      </c>
      <c r="G159" s="111" t="n">
        <f aca="false">(0+G101+G106+G111+G116+G121+G103+G108+G113+G118+G123)*GPUMW_N</f>
        <v>0</v>
      </c>
      <c r="H159" s="111" t="n">
        <f aca="false">(0+H101+H106+H111+H116+H121+H103+H108+H113+H118+H123)*GPUMW_N</f>
        <v>0</v>
      </c>
      <c r="I159" s="111" t="n">
        <f aca="false">(0+I101+I106+I111+I116+I121+I103+I108+I113+I118+I123)*GPUMW_N</f>
        <v>0</v>
      </c>
      <c r="J159" s="111" t="n">
        <f aca="false">(0+J101+J106+J111+J116+J121+J103+J108+J113+J118+J123)*GPUMW_N</f>
        <v>0</v>
      </c>
      <c r="K159" s="111" t="n">
        <f aca="false">(0+K101+K106+K111+K116+K121+K103+K108+K113+K118+K123)*GPUMW_N</f>
        <v>0</v>
      </c>
      <c r="L159" s="111" t="n">
        <f aca="false">(0+L101+L106+L111+L116+L121+L103+L108+L113+L118+L123)*GPUMW_N</f>
        <v>0</v>
      </c>
      <c r="M159" s="111" t="n">
        <f aca="false">(0+M101+M106+M111+M116+M121+M103+M108+M113+M118+M123)*GPUMW_N</f>
        <v>0</v>
      </c>
      <c r="N159" s="111" t="n">
        <f aca="false">(0+N101+N106+N111+N116+N121+N103+N108+N113+N118+N123)*GPUMW_N</f>
        <v>0</v>
      </c>
      <c r="O159" s="111" t="n">
        <f aca="false">(0+O101+O106+O111+O116+O121+O103+O108+O113+O118+O123)*GPUMW_N</f>
        <v>0</v>
      </c>
      <c r="P159" s="33" t="n">
        <f aca="false">(0+P101+P106+P111+P116+P121+P103+P108+P113+P118+P123)*GPUMW_N</f>
        <v>0</v>
      </c>
      <c r="Q159" s="33" t="n">
        <f aca="false">(0+Q101+Q106+Q111+Q116+Q121+Q103+Q108+Q113+Q118+Q123)*GPUMW_N</f>
        <v>0</v>
      </c>
      <c r="R159" s="33" t="n">
        <f aca="false">(0+R101+R106+R111+R116+R121+R103+R108+R113+R118+R123)*GPUMW_N</f>
        <v>0</v>
      </c>
      <c r="S159" s="33" t="n">
        <f aca="false">(0+S101+S106+S111+S116+S121+S103+S108+S113+S118+S123)*GPUMW_N</f>
        <v>0</v>
      </c>
      <c r="T159" s="33" t="n">
        <f aca="false">(0+T101+T106+T111+T116+T121+T103+T108+T113+T118+T123)*GPUMW_N</f>
        <v>17066.6666666667</v>
      </c>
      <c r="U159" s="33" t="n">
        <f aca="false">(0+U101+U106+U111+U116+U121+U103+U108+U113+U118+U123)*GPUMW_N</f>
        <v>34133.3333333333</v>
      </c>
      <c r="V159" s="33" t="n">
        <f aca="false">(0+V101+V106+V111+V116+V121+V103+V108+V113+V118+V123)*GPUMW_N</f>
        <v>34133.3333333333</v>
      </c>
      <c r="W159" s="33" t="n">
        <f aca="false">(0+W101+W106+W111+W116+W121+W103+W108+W113+W118+W123)*GPUMW_N</f>
        <v>34133.3333333333</v>
      </c>
      <c r="X159" s="33" t="n">
        <f aca="false">(0+X101+X106+X111+X116+X121+X103+X108+X113+X118+X123)*GPUMW_N</f>
        <v>34133.3333333333</v>
      </c>
      <c r="Y159" s="33" t="n">
        <f aca="false">(0+Y101+Y106+Y111+Y116+Y121+Y103+Y108+Y113+Y118+Y123)*GPUMW_N</f>
        <v>34133.3333333333</v>
      </c>
      <c r="Z159" s="33" t="n">
        <f aca="false">(0+Z101+Z106+Z111+Z116+Z121+Z103+Z108+Z113+Z118+Z123)*GPUMW_N</f>
        <v>34133.3333333333</v>
      </c>
      <c r="AA159" s="33" t="n">
        <f aca="false">(0+AA101+AA106+AA111+AA116+AA121+AA103+AA108+AA113+AA118+AA123)*GPUMW_N</f>
        <v>34133.3333333333</v>
      </c>
      <c r="AB159" s="33" t="n">
        <f aca="false">(0+AB101+AB106+AB111+AB116+AB121+AB103+AB108+AB113+AB118+AB123)*GPUMW_N</f>
        <v>34133.3333333333</v>
      </c>
      <c r="AC159" s="33" t="n">
        <f aca="false">(0+AC101+AC106+AC111+AC116+AC121+AC103+AC108+AC113+AC118+AC123)*GPUMW_N</f>
        <v>34133.3333333333</v>
      </c>
      <c r="AD159" s="33" t="n">
        <f aca="false">(0+AD101+AD106+AD111+AD116+AD121+AD103+AD108+AD113+AD118+AD123)*GPUMW_N</f>
        <v>34133.3333333333</v>
      </c>
      <c r="AE159" s="33" t="n">
        <f aca="false">(0+AE101+AE106+AE111+AE116+AE121+AE103+AE108+AE113+AE118+AE123)*GPUMW_N</f>
        <v>34133.3333333333</v>
      </c>
      <c r="AF159" s="33" t="n">
        <f aca="false">(0+AF101+AF106+AF111+AF116+AF121+AF103+AF108+AF113+AF118+AF123)*GPUMW_N</f>
        <v>34133.3333333333</v>
      </c>
      <c r="AG159" s="33" t="n">
        <f aca="false">(0+AG101+AG106+AG111+AG116+AG121+AG103+AG108+AG113+AG118+AG123)*GPUMW_N</f>
        <v>34133.3333333333</v>
      </c>
      <c r="AI159" s="33" t="n">
        <f aca="false">INDEX($F159:$AG159,1,MATCH(AI$7,$F$7:$AG$7,1))</f>
        <v>0</v>
      </c>
      <c r="AJ159" s="33" t="n">
        <f aca="false">INDEX($F159:$AG159,1,MATCH(AJ$7,$F$7:$AG$7,1))</f>
        <v>0</v>
      </c>
      <c r="AK159" s="33" t="n">
        <f aca="false">INDEX($F159:$AG159,1,MATCH(AK$7,$F$7:$AG$7,1))</f>
        <v>0</v>
      </c>
      <c r="AL159" s="33" t="n">
        <f aca="false">INDEX($F159:$AG159,1,MATCH(AL$7,$F$7:$AG$7,1))</f>
        <v>34133.3333333333</v>
      </c>
      <c r="AM159" s="33" t="n">
        <f aca="false">INDEX($F159:$AG159,1,MATCH(AM$7,$F$7:$AG$7,1))</f>
        <v>34133.3333333333</v>
      </c>
      <c r="AN159" s="33" t="n">
        <f aca="false">INDEX($F159:$AG159,1,MATCH(AN$7,$F$7:$AG$7,1))</f>
        <v>34133.3333333333</v>
      </c>
      <c r="AO159" s="33" t="n">
        <f aca="false">INDEX($F159:$AG159,1,MATCH(AO$7,$F$7:$AG$7,1))</f>
        <v>34133.3333333333</v>
      </c>
    </row>
    <row r="161" customFormat="false" ht="15" hidden="false" customHeight="false" outlineLevel="0" collapsed="false">
      <c r="A161" s="58" t="s">
        <v>2001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</row>
    <row r="162" customFormat="false" ht="15" hidden="false" customHeight="false" outlineLevel="0" collapsed="false">
      <c r="A162" s="107" t="s">
        <v>967</v>
      </c>
      <c r="D162" s="22" t="s">
        <v>2002</v>
      </c>
      <c r="E162" s="109" t="n">
        <f aca="false">Cons_Q4</f>
        <v>1450</v>
      </c>
    </row>
    <row r="163" customFormat="false" ht="15" hidden="false" customHeight="false" outlineLevel="0" collapsed="false">
      <c r="A163" s="107" t="s">
        <v>2003</v>
      </c>
      <c r="D163" s="22" t="s">
        <v>552</v>
      </c>
      <c r="E163" s="109" t="n">
        <f aca="false">-Q2GroupRev</f>
        <v>-582.3</v>
      </c>
    </row>
    <row r="164" customFormat="false" ht="15" hidden="false" customHeight="false" outlineLevel="0" collapsed="false">
      <c r="A164" s="3" t="s">
        <v>2004</v>
      </c>
      <c r="D164" s="22"/>
      <c r="E164" s="115" t="n">
        <f aca="false">BR_Cons-Q2GroupRev</f>
        <v>867.7</v>
      </c>
    </row>
    <row r="165" customFormat="false" ht="15" hidden="false" customHeight="false" outlineLevel="0" collapsed="false">
      <c r="A165" s="107" t="s">
        <v>2005</v>
      </c>
      <c r="D165" s="22" t="s">
        <v>2006</v>
      </c>
      <c r="E165" s="109" t="n">
        <f aca="false">MS_Q2RR</f>
        <v>120.729</v>
      </c>
    </row>
    <row r="166" customFormat="false" ht="15" hidden="false" customHeight="false" outlineLevel="0" collapsed="false">
      <c r="A166" s="107" t="s">
        <v>2007</v>
      </c>
      <c r="D166" s="22" t="s">
        <v>2008</v>
      </c>
      <c r="E166" s="109" t="n">
        <f aca="false">INDEX(MS_Rev,1,12)</f>
        <v>278.331694010417</v>
      </c>
    </row>
    <row r="167" customFormat="false" ht="15" hidden="false" customHeight="false" outlineLevel="0" collapsed="false">
      <c r="A167" s="107" t="s">
        <v>2009</v>
      </c>
      <c r="D167" s="22"/>
      <c r="E167" s="109" t="n">
        <f aca="false">BR_MSQ4-BR_MSQ2</f>
        <v>157.602694010417</v>
      </c>
    </row>
    <row r="168" customFormat="false" ht="15" hidden="false" customHeight="false" outlineLevel="0" collapsed="false">
      <c r="A168" s="107" t="s">
        <v>2010</v>
      </c>
      <c r="D168" s="22"/>
      <c r="E168" s="109" t="n">
        <f aca="false">IF(TopCust=1,0.24,0.21)*574.9</f>
        <v>137.976</v>
      </c>
    </row>
    <row r="169" customFormat="false" ht="15" hidden="false" customHeight="false" outlineLevel="0" collapsed="false">
      <c r="A169" s="107" t="s">
        <v>2011</v>
      </c>
      <c r="D169" s="22"/>
      <c r="E169" s="109" t="n">
        <f aca="false">Meta1Q-BR_MetaQ2</f>
        <v>6.059</v>
      </c>
    </row>
    <row r="170" customFormat="false" ht="15" hidden="false" customHeight="false" outlineLevel="0" collapsed="false">
      <c r="A170" s="107" t="s">
        <v>2012</v>
      </c>
      <c r="D170" s="22" t="s">
        <v>2013</v>
      </c>
      <c r="E170" s="109" t="n">
        <f aca="false">PxLine_Lo</f>
        <v>40</v>
      </c>
    </row>
    <row r="171" customFormat="false" ht="15" hidden="false" customHeight="false" outlineLevel="0" collapsed="false">
      <c r="A171" s="107" t="s">
        <v>2014</v>
      </c>
      <c r="D171" s="22"/>
      <c r="E171" s="109" t="n">
        <f aca="false">PxLine_Hi</f>
        <v>125</v>
      </c>
    </row>
    <row r="172" customFormat="false" ht="15" hidden="false" customHeight="false" outlineLevel="0" collapsed="false">
      <c r="A172" s="3" t="s">
        <v>2015</v>
      </c>
      <c r="D172" s="22"/>
      <c r="E172" s="115" t="n">
        <f aca="false">BR_Gap-BR_MSInc-BR_MetaInc-BR_PxHi</f>
        <v>579.038305989583</v>
      </c>
    </row>
    <row r="173" customFormat="false" ht="15" hidden="false" customHeight="false" outlineLevel="0" collapsed="false">
      <c r="A173" s="3" t="s">
        <v>2016</v>
      </c>
      <c r="D173" s="22"/>
      <c r="E173" s="115" t="n">
        <f aca="false">BR_Gap-BR_MSInc-BR_MetaInc-BR_PxLo</f>
        <v>664.038305989583</v>
      </c>
    </row>
    <row r="174" customFormat="false" ht="15" hidden="false" customHeight="false" outlineLevel="0" collapsed="false">
      <c r="A174" s="107" t="s">
        <v>2017</v>
      </c>
      <c r="D174" s="22"/>
      <c r="E174" s="33" t="n">
        <f aca="false">BR_ResLo/(NewDealHi/4)</f>
        <v>92.6461289583333</v>
      </c>
    </row>
    <row r="175" customFormat="false" ht="15" hidden="false" customHeight="false" outlineLevel="0" collapsed="false">
      <c r="A175" s="107" t="s">
        <v>2018</v>
      </c>
      <c r="D175" s="22"/>
      <c r="E175" s="33" t="n">
        <f aca="false">BR_ResHi/(NewDealLo/4)</f>
        <v>132.807661197917</v>
      </c>
    </row>
    <row r="176" customFormat="false" ht="15" hidden="false" customHeight="false" outlineLevel="0" collapsed="false">
      <c r="A176" s="107" t="s">
        <v>2019</v>
      </c>
      <c r="D176" s="22"/>
      <c r="E176" s="33" t="n">
        <f aca="false">BR_ResHi/(BaseRateMW/4)</f>
        <v>221.346101996528</v>
      </c>
    </row>
    <row r="177" customFormat="false" ht="15" hidden="false" customHeight="false" outlineLevel="0" collapsed="false">
      <c r="A177" s="107" t="s">
        <v>2020</v>
      </c>
      <c r="D177" s="22"/>
      <c r="E177" s="31" t="str">
        <f aca="false">IF(AND(BR_MW25&lt;=UnseenChkHi,BR_MW20&gt;=UnseenChkLo),"OK - overlaps 83-200 MW","CHECK")</f>
        <v>OK - overlaps 83-200 MW</v>
      </c>
    </row>
    <row r="178" customFormat="false" ht="15" hidden="false" customHeight="false" outlineLevel="0" collapsed="false">
      <c r="A178" s="107" t="s">
        <v>2021</v>
      </c>
      <c r="D178" s="22"/>
      <c r="E178" s="109" t="n">
        <f aca="false">INDEX(PL_Rev,1,12)</f>
        <v>809.093133895167</v>
      </c>
    </row>
    <row r="179" customFormat="false" ht="15" hidden="false" customHeight="false" outlineLevel="0" collapsed="false">
      <c r="A179" s="107" t="s">
        <v>2022</v>
      </c>
      <c r="D179" s="22"/>
      <c r="E179" s="109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2023</v>
      </c>
    </row>
    <row r="2" customFormat="false" ht="15" hidden="false" customHeight="false" outlineLevel="0" collapsed="false">
      <c r="A2" s="22" t="s">
        <v>2024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2025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107" t="s">
        <v>2026</v>
      </c>
      <c r="B11" s="22" t="s">
        <v>664</v>
      </c>
      <c r="C11" s="22" t="s">
        <v>1396</v>
      </c>
      <c r="D11" s="22"/>
      <c r="E11" s="33" t="n">
        <f aca="false">INDEX(MW_Act,1,1)</f>
        <v>22.7275</v>
      </c>
      <c r="F11" s="111" t="n">
        <f aca="false">INDEX(MW_Act,1,1)</f>
        <v>22.7275</v>
      </c>
      <c r="G11" s="111" t="n">
        <f aca="false">INDEX(MW_Act,1,2)</f>
        <v>22.7275</v>
      </c>
      <c r="H11" s="111" t="n">
        <f aca="false">INDEX(MW_Act,1,3)</f>
        <v>22.7275</v>
      </c>
      <c r="I11" s="111" t="n">
        <f aca="false">INDEX(MW_Act,1,4)</f>
        <v>27.7275</v>
      </c>
      <c r="J11" s="111" t="n">
        <f aca="false">INDEX(MW_Act,1,5)</f>
        <v>47.7275</v>
      </c>
      <c r="K11" s="111" t="n">
        <f aca="false">INDEX(MW_Act,1,6)</f>
        <v>47.7275</v>
      </c>
      <c r="L11" s="111" t="n">
        <f aca="false">INDEX(MW_Act,1,7)</f>
        <v>59.09125</v>
      </c>
      <c r="M11" s="111" t="n">
        <f aca="false">INDEX(MW_Act,1,8)</f>
        <v>138.32595</v>
      </c>
      <c r="N11" s="111" t="n">
        <f aca="false">INDEX(MW_Act,1,9)</f>
        <v>170.9897</v>
      </c>
      <c r="O11" s="111" t="n">
        <f aca="false">INDEX(MW_Act,1,10)</f>
        <v>182.4897</v>
      </c>
      <c r="P11" s="33" t="n">
        <f aca="false">INDEX(MW_Act,1,11)</f>
        <v>182.4897</v>
      </c>
      <c r="Q11" s="33" t="n">
        <f aca="false">INDEX(MW_Act,1,12)</f>
        <v>216.9897</v>
      </c>
      <c r="R11" s="33" t="n">
        <f aca="false">INDEX(MW_Act,1,13)</f>
        <v>301.7195</v>
      </c>
      <c r="S11" s="33" t="n">
        <f aca="false">INDEX(MW_Act,1,14)</f>
        <v>453.79225</v>
      </c>
      <c r="T11" s="33" t="n">
        <f aca="false">INDEX(MW_Act,1,15)</f>
        <v>629.5368</v>
      </c>
      <c r="U11" s="33" t="n">
        <f aca="false">INDEX(MW_Act,1,16)</f>
        <v>812.6073</v>
      </c>
      <c r="V11" s="33" t="n">
        <f aca="false">INDEX(MW_Act,1,17)</f>
        <v>1081.9108</v>
      </c>
      <c r="W11" s="33" t="n">
        <f aca="false">INDEX(MW_Act,1,18)</f>
        <v>1172.9923</v>
      </c>
      <c r="X11" s="33" t="n">
        <f aca="false">INDEX(MW_Act,1,19)</f>
        <v>1326.4518</v>
      </c>
      <c r="Y11" s="33" t="n">
        <f aca="false">INDEX(MW_Act,1,20)</f>
        <v>1338.9518</v>
      </c>
      <c r="Z11" s="33" t="n">
        <f aca="false">INDEX(MW_Act,1,21)</f>
        <v>1652.7273</v>
      </c>
      <c r="AA11" s="33" t="n">
        <f aca="false">INDEX(MW_Act,1,22)</f>
        <v>1652.7273</v>
      </c>
      <c r="AB11" s="33" t="n">
        <f aca="false">INDEX(MW_Act,1,23)</f>
        <v>1963.8213</v>
      </c>
      <c r="AC11" s="33" t="n">
        <f aca="false">INDEX(MW_Act,1,24)</f>
        <v>1963.8213</v>
      </c>
      <c r="AD11" s="33" t="n">
        <f aca="false">INDEX(MW_Act,1,25)</f>
        <v>2409.3763</v>
      </c>
      <c r="AE11" s="33" t="n">
        <f aca="false">INDEX(MW_Act,1,26)</f>
        <v>2409.3763</v>
      </c>
      <c r="AF11" s="33" t="n">
        <f aca="false">INDEX(MW_Act,1,27)</f>
        <v>2409.3763</v>
      </c>
      <c r="AG11" s="33" t="n">
        <f aca="false">INDEX(MW_Act,1,28)</f>
        <v>2409.3763</v>
      </c>
      <c r="AI11" s="33" t="n">
        <f aca="false">INDEX($F11:$AG11,1,MATCH(AI$7,$F$7:$AG$7,1))</f>
        <v>27.7275</v>
      </c>
      <c r="AJ11" s="33" t="n">
        <f aca="false">INDEX($F11:$AG11,1,MATCH(AJ$7,$F$7:$AG$7,1))</f>
        <v>138.32595</v>
      </c>
      <c r="AK11" s="33" t="n">
        <f aca="false">INDEX($F11:$AG11,1,MATCH(AK$7,$F$7:$AG$7,1))</f>
        <v>216.9897</v>
      </c>
      <c r="AL11" s="33" t="n">
        <f aca="false">INDEX($F11:$AG11,1,MATCH(AL$7,$F$7:$AG$7,1))</f>
        <v>812.6073</v>
      </c>
      <c r="AM11" s="33" t="n">
        <f aca="false">INDEX($F11:$AG11,1,MATCH(AM$7,$F$7:$AG$7,1))</f>
        <v>1338.9518</v>
      </c>
      <c r="AN11" s="33" t="n">
        <f aca="false">INDEX($F11:$AG11,1,MATCH(AN$7,$F$7:$AG$7,1))</f>
        <v>1963.8213</v>
      </c>
      <c r="AO11" s="33" t="n">
        <f aca="false">INDEX($F11:$AG11,1,MATCH(AO$7,$F$7:$AG$7,1))</f>
        <v>2409.3763</v>
      </c>
    </row>
    <row r="12" customFormat="false" ht="15" hidden="false" customHeight="false" outlineLevel="0" collapsed="false">
      <c r="A12" s="107" t="s">
        <v>2027</v>
      </c>
      <c r="B12" s="22" t="s">
        <v>664</v>
      </c>
      <c r="C12" s="22" t="s">
        <v>540</v>
      </c>
      <c r="D12" s="22"/>
      <c r="F12" s="111" t="n">
        <f aca="false">AVERAGE(E11,F11)</f>
        <v>22.7275</v>
      </c>
      <c r="G12" s="111" t="n">
        <f aca="false">AVERAGE(F11,G11)</f>
        <v>22.7275</v>
      </c>
      <c r="H12" s="111" t="n">
        <f aca="false">AVERAGE(G11,H11)</f>
        <v>22.7275</v>
      </c>
      <c r="I12" s="111" t="n">
        <f aca="false">AVERAGE(H11,I11)</f>
        <v>25.2275</v>
      </c>
      <c r="J12" s="111" t="n">
        <f aca="false">AVERAGE(I11,J11)</f>
        <v>37.7275</v>
      </c>
      <c r="K12" s="111" t="n">
        <f aca="false">AVERAGE(J11,K11)</f>
        <v>47.7275</v>
      </c>
      <c r="L12" s="111" t="n">
        <f aca="false">AVERAGE(K11,L11)</f>
        <v>53.409375</v>
      </c>
      <c r="M12" s="111" t="n">
        <f aca="false">AVERAGE(L11,M11)</f>
        <v>98.7086</v>
      </c>
      <c r="N12" s="111" t="n">
        <f aca="false">AVERAGE(M11,N11)</f>
        <v>154.657825</v>
      </c>
      <c r="O12" s="111" t="n">
        <f aca="false">AVERAGE(N11,O11)</f>
        <v>176.7397</v>
      </c>
      <c r="P12" s="33" t="n">
        <f aca="false">AVERAGE(O11,P11)</f>
        <v>182.4897</v>
      </c>
      <c r="Q12" s="33" t="n">
        <f aca="false">AVERAGE(P11,Q11)</f>
        <v>199.7397</v>
      </c>
      <c r="R12" s="33" t="n">
        <f aca="false">AVERAGE(Q11,R11)</f>
        <v>259.3546</v>
      </c>
      <c r="S12" s="33" t="n">
        <f aca="false">AVERAGE(R11,S11)</f>
        <v>377.755875</v>
      </c>
      <c r="T12" s="33" t="n">
        <f aca="false">AVERAGE(S11,T11)</f>
        <v>541.664525</v>
      </c>
      <c r="U12" s="33" t="n">
        <f aca="false">AVERAGE(T11,U11)</f>
        <v>721.07205</v>
      </c>
      <c r="V12" s="33" t="n">
        <f aca="false">AVERAGE(U11,V11)</f>
        <v>947.25905</v>
      </c>
      <c r="W12" s="33" t="n">
        <f aca="false">AVERAGE(V11,W11)</f>
        <v>1127.45155</v>
      </c>
      <c r="X12" s="33" t="n">
        <f aca="false">AVERAGE(W11,X11)</f>
        <v>1249.72205</v>
      </c>
      <c r="Y12" s="33" t="n">
        <f aca="false">AVERAGE(X11,Y11)</f>
        <v>1332.7018</v>
      </c>
      <c r="Z12" s="33" t="n">
        <f aca="false">AVERAGE(Y11,Z11)</f>
        <v>1495.83955</v>
      </c>
      <c r="AA12" s="33" t="n">
        <f aca="false">AVERAGE(Z11,AA11)</f>
        <v>1652.7273</v>
      </c>
      <c r="AB12" s="33" t="n">
        <f aca="false">AVERAGE(AA11,AB11)</f>
        <v>1808.2743</v>
      </c>
      <c r="AC12" s="33" t="n">
        <f aca="false">AVERAGE(AB11,AC11)</f>
        <v>1963.8213</v>
      </c>
      <c r="AD12" s="33" t="n">
        <f aca="false">AVERAGE(AC11,AD11)</f>
        <v>2186.5988</v>
      </c>
      <c r="AE12" s="33" t="n">
        <f aca="false">AVERAGE(AD11,AE11)</f>
        <v>2409.3763</v>
      </c>
      <c r="AF12" s="33" t="n">
        <f aca="false">AVERAGE(AE11,AF11)</f>
        <v>2409.3763</v>
      </c>
      <c r="AG12" s="33" t="n">
        <f aca="false">AVERAGE(AF11,AG11)</f>
        <v>2409.3763</v>
      </c>
      <c r="AI12" s="33" t="n">
        <f aca="false">AVERAGEIF($F$7:$AG$7,AI$7,$F12:$AG12)</f>
        <v>23.3525</v>
      </c>
      <c r="AJ12" s="33" t="n">
        <f aca="false">AVERAGEIF($F$7:$AG$7,AJ$7,$F12:$AG12)</f>
        <v>59.39324375</v>
      </c>
      <c r="AK12" s="33" t="n">
        <f aca="false">AVERAGEIF($F$7:$AG$7,AK$7,$F12:$AG12)</f>
        <v>178.40673125</v>
      </c>
      <c r="AL12" s="33" t="n">
        <f aca="false">AVERAGEIF($F$7:$AG$7,AL$7,$F12:$AG12)</f>
        <v>474.9617625</v>
      </c>
      <c r="AM12" s="33" t="n">
        <f aca="false">AVERAGEIF($F$7:$AG$7,AM$7,$F12:$AG12)</f>
        <v>1164.2836125</v>
      </c>
      <c r="AN12" s="33" t="n">
        <f aca="false">AVERAGEIF($F$7:$AG$7,AN$7,$F12:$AG12)</f>
        <v>1730.1656125</v>
      </c>
      <c r="AO12" s="33" t="n">
        <f aca="false">AVERAGEIF($F$7:$AG$7,AO$7,$F12:$AG12)</f>
        <v>2353.681925</v>
      </c>
    </row>
    <row r="13" customFormat="false" ht="15" hidden="false" customHeight="false" outlineLevel="0" collapsed="false">
      <c r="A13" s="107" t="s">
        <v>2028</v>
      </c>
      <c r="B13" s="22" t="s">
        <v>664</v>
      </c>
      <c r="C13" s="22" t="s">
        <v>540</v>
      </c>
      <c r="D13" s="22"/>
      <c r="F13" s="111" t="n">
        <f aca="false">MAX(0,F11-E11)</f>
        <v>0</v>
      </c>
      <c r="G13" s="111" t="n">
        <f aca="false">MAX(0,G11-F11)</f>
        <v>0</v>
      </c>
      <c r="H13" s="111" t="n">
        <f aca="false">MAX(0,H11-G11)</f>
        <v>0</v>
      </c>
      <c r="I13" s="111" t="n">
        <f aca="false">MAX(0,I11-H11)</f>
        <v>5</v>
      </c>
      <c r="J13" s="111" t="n">
        <f aca="false">MAX(0,J11-I11)</f>
        <v>20</v>
      </c>
      <c r="K13" s="111" t="n">
        <f aca="false">MAX(0,K11-J11)</f>
        <v>0</v>
      </c>
      <c r="L13" s="111" t="n">
        <f aca="false">MAX(0,L11-K11)</f>
        <v>11.36375</v>
      </c>
      <c r="M13" s="111" t="n">
        <f aca="false">MAX(0,M11-L11)</f>
        <v>79.2347</v>
      </c>
      <c r="N13" s="111" t="n">
        <f aca="false">MAX(0,N11-M11)</f>
        <v>32.66375</v>
      </c>
      <c r="O13" s="111" t="n">
        <f aca="false">MAX(0,O11-N11)</f>
        <v>11.5</v>
      </c>
      <c r="P13" s="33" t="n">
        <f aca="false">MAX(0,P11-O11)</f>
        <v>0</v>
      </c>
      <c r="Q13" s="33" t="n">
        <f aca="false">MAX(0,Q11-P11)</f>
        <v>34.5</v>
      </c>
      <c r="R13" s="33" t="n">
        <f aca="false">MAX(0,R11-Q11)</f>
        <v>84.7298</v>
      </c>
      <c r="S13" s="33" t="n">
        <f aca="false">MAX(0,S11-R11)</f>
        <v>152.07275</v>
      </c>
      <c r="T13" s="33" t="n">
        <f aca="false">MAX(0,T11-S11)</f>
        <v>175.74455</v>
      </c>
      <c r="U13" s="33" t="n">
        <f aca="false">MAX(0,U11-T11)</f>
        <v>183.0705</v>
      </c>
      <c r="V13" s="33" t="n">
        <f aca="false">MAX(0,V11-U11)</f>
        <v>269.3035</v>
      </c>
      <c r="W13" s="33" t="n">
        <f aca="false">MAX(0,W11-V11)</f>
        <v>91.0815</v>
      </c>
      <c r="X13" s="33" t="n">
        <f aca="false">MAX(0,X11-W11)</f>
        <v>153.4595</v>
      </c>
      <c r="Y13" s="33" t="n">
        <f aca="false">MAX(0,Y11-X11)</f>
        <v>12.5</v>
      </c>
      <c r="Z13" s="33" t="n">
        <f aca="false">MAX(0,Z11-Y11)</f>
        <v>313.7755</v>
      </c>
      <c r="AA13" s="33" t="n">
        <f aca="false">MAX(0,AA11-Z11)</f>
        <v>0</v>
      </c>
      <c r="AB13" s="33" t="n">
        <f aca="false">MAX(0,AB11-AA11)</f>
        <v>311.094</v>
      </c>
      <c r="AC13" s="33" t="n">
        <f aca="false">MAX(0,AC11-AB11)</f>
        <v>0</v>
      </c>
      <c r="AD13" s="33" t="n">
        <f aca="false">MAX(0,AD11-AC11)</f>
        <v>445.555</v>
      </c>
      <c r="AE13" s="33" t="n">
        <f aca="false">MAX(0,AE11-AD11)</f>
        <v>0</v>
      </c>
      <c r="AF13" s="33" t="n">
        <f aca="false">MAX(0,AF11-AE11)</f>
        <v>0</v>
      </c>
      <c r="AG13" s="33" t="n">
        <f aca="false">MAX(0,AG11-AF11)</f>
        <v>0</v>
      </c>
      <c r="AI13" s="33" t="n">
        <f aca="false">SUMIF($F$7:$AG$7,AI$7,$F13:$AG13)</f>
        <v>5</v>
      </c>
      <c r="AJ13" s="33" t="n">
        <f aca="false">SUMIF($F$7:$AG$7,AJ$7,$F13:$AG13)</f>
        <v>110.59845</v>
      </c>
      <c r="AK13" s="33" t="n">
        <f aca="false">SUMIF($F$7:$AG$7,AK$7,$F13:$AG13)</f>
        <v>78.66375</v>
      </c>
      <c r="AL13" s="33" t="n">
        <f aca="false">SUMIF($F$7:$AG$7,AL$7,$F13:$AG13)</f>
        <v>595.6176</v>
      </c>
      <c r="AM13" s="33" t="n">
        <f aca="false">SUMIF($F$7:$AG$7,AM$7,$F13:$AG13)</f>
        <v>526.3445</v>
      </c>
      <c r="AN13" s="33" t="n">
        <f aca="false">SUMIF($F$7:$AG$7,AN$7,$F13:$AG13)</f>
        <v>624.8695</v>
      </c>
      <c r="AO13" s="33" t="n">
        <f aca="false">SUMIF($F$7:$AG$7,AO$7,$F13:$AG13)</f>
        <v>445.555</v>
      </c>
    </row>
    <row r="14" customFormat="false" ht="15" hidden="false" customHeight="false" outlineLevel="0" collapsed="false">
      <c r="A14" s="107" t="s">
        <v>2029</v>
      </c>
      <c r="B14" s="22" t="s">
        <v>763</v>
      </c>
      <c r="C14" s="22" t="s">
        <v>540</v>
      </c>
      <c r="D14" s="22" t="s">
        <v>2030</v>
      </c>
      <c r="F14" s="111" t="n">
        <f aca="false">MAX(0,F17-E17)</f>
        <v>0</v>
      </c>
      <c r="G14" s="111" t="n">
        <f aca="false">MAX(0,G17-F17)</f>
        <v>0</v>
      </c>
      <c r="H14" s="111" t="n">
        <f aca="false">MAX(0,H17-G17)</f>
        <v>0</v>
      </c>
      <c r="I14" s="111" t="n">
        <f aca="false">MAX(0,I17-H17)</f>
        <v>2743</v>
      </c>
      <c r="J14" s="111" t="n">
        <f aca="false">MAX(0,J17-I17)</f>
        <v>13544</v>
      </c>
      <c r="K14" s="111" t="n">
        <f aca="false">MAX(0,K17-J17)</f>
        <v>0</v>
      </c>
      <c r="L14" s="111" t="n">
        <f aca="false">MAX(0,L17-K17)</f>
        <v>0</v>
      </c>
      <c r="M14" s="111" t="n">
        <f aca="false">MAX(0,M17-L17)</f>
        <v>0</v>
      </c>
      <c r="N14" s="111" t="n">
        <f aca="false">MAX(0,N17-M17)</f>
        <v>0</v>
      </c>
      <c r="O14" s="111" t="n">
        <f aca="false">MAX(0,O17-N17)</f>
        <v>0</v>
      </c>
      <c r="P14" s="33" t="n">
        <f aca="false">MAX(0,P17-O17)</f>
        <v>0</v>
      </c>
      <c r="Q14" s="33" t="n">
        <f aca="false">MAX(0,Q17-P17)</f>
        <v>0</v>
      </c>
      <c r="R14" s="33" t="n">
        <f aca="false">MAX(0,R17-Q17)</f>
        <v>0</v>
      </c>
      <c r="S14" s="33" t="n">
        <f aca="false">MAX(0,S17-R17)</f>
        <v>0</v>
      </c>
      <c r="T14" s="33" t="n">
        <f aca="false">MAX(0,T17-S17)</f>
        <v>0</v>
      </c>
      <c r="U14" s="33" t="n">
        <f aca="false">MAX(0,U17-T17)</f>
        <v>0</v>
      </c>
      <c r="V14" s="33" t="n">
        <f aca="false">MAX(0,V17-U17)</f>
        <v>0</v>
      </c>
      <c r="W14" s="33" t="n">
        <f aca="false">MAX(0,W17-V17)</f>
        <v>0</v>
      </c>
      <c r="X14" s="33" t="n">
        <f aca="false">MAX(0,X17-W17)</f>
        <v>0</v>
      </c>
      <c r="Y14" s="33" t="n">
        <f aca="false">MAX(0,Y17-X17)</f>
        <v>0</v>
      </c>
      <c r="Z14" s="33" t="n">
        <f aca="false">MAX(0,Z17-Y17)</f>
        <v>0</v>
      </c>
      <c r="AA14" s="33" t="n">
        <f aca="false">MAX(0,AA17-Z17)</f>
        <v>0</v>
      </c>
      <c r="AB14" s="33" t="n">
        <f aca="false">MAX(0,AB17-AA17)</f>
        <v>0</v>
      </c>
      <c r="AC14" s="33" t="n">
        <f aca="false">MAX(0,AC17-AB17)</f>
        <v>0</v>
      </c>
      <c r="AD14" s="33" t="n">
        <f aca="false">MAX(0,AD17-AC17)</f>
        <v>0</v>
      </c>
      <c r="AE14" s="33" t="n">
        <f aca="false">MAX(0,AE17-AD17)</f>
        <v>0</v>
      </c>
      <c r="AF14" s="33" t="n">
        <f aca="false">MAX(0,AF17-AE17)</f>
        <v>0</v>
      </c>
      <c r="AG14" s="33" t="n">
        <f aca="false">MAX(0,AG17-AF17)</f>
        <v>0</v>
      </c>
      <c r="AI14" s="33" t="n">
        <f aca="false">SUMIF($F$7:$AG$7,AI$7,$F14:$AG14)</f>
        <v>2743</v>
      </c>
      <c r="AJ14" s="33" t="n">
        <f aca="false">SUMIF($F$7:$AG$7,AJ$7,$F14:$AG14)</f>
        <v>13544</v>
      </c>
      <c r="AK14" s="33" t="n">
        <f aca="false">SUMIF($F$7:$AG$7,AK$7,$F14:$AG14)</f>
        <v>0</v>
      </c>
      <c r="AL14" s="33" t="n">
        <f aca="false">SUMIF($F$7:$AG$7,AL$7,$F14:$AG14)</f>
        <v>0</v>
      </c>
      <c r="AM14" s="33" t="n">
        <f aca="false">SUMIF($F$7:$AG$7,AM$7,$F14:$AG14)</f>
        <v>0</v>
      </c>
      <c r="AN14" s="33" t="n">
        <f aca="false">SUMIF($F$7:$AG$7,AN$7,$F14:$AG14)</f>
        <v>0</v>
      </c>
      <c r="AO14" s="33" t="n">
        <f aca="false">SUMIF($F$7:$AG$7,AO$7,$F14:$AG14)</f>
        <v>0</v>
      </c>
    </row>
    <row r="15" customFormat="false" ht="15" hidden="false" customHeight="false" outlineLevel="0" collapsed="false">
      <c r="A15" s="107" t="s">
        <v>2031</v>
      </c>
      <c r="B15" s="22" t="s">
        <v>763</v>
      </c>
      <c r="C15" s="22" t="s">
        <v>540</v>
      </c>
      <c r="D15" s="22" t="s">
        <v>2030</v>
      </c>
      <c r="F15" s="111" t="n">
        <f aca="false">MAX(0,F18-E18)</f>
        <v>0</v>
      </c>
      <c r="G15" s="111" t="n">
        <f aca="false">MAX(0,G18-F18)</f>
        <v>0</v>
      </c>
      <c r="H15" s="111" t="n">
        <f aca="false">MAX(0,H18-G18)</f>
        <v>0</v>
      </c>
      <c r="I15" s="111" t="n">
        <f aca="false">MAX(0,I18-H18)</f>
        <v>0</v>
      </c>
      <c r="J15" s="111" t="n">
        <f aca="false">MAX(0,J18-I18)</f>
        <v>0</v>
      </c>
      <c r="K15" s="111" t="n">
        <f aca="false">MAX(0,K18-J18)</f>
        <v>0</v>
      </c>
      <c r="L15" s="111" t="n">
        <f aca="false">MAX(0,L18-K18)</f>
        <v>5116</v>
      </c>
      <c r="M15" s="111" t="n">
        <f aca="false">MAX(0,M18-L18)</f>
        <v>37255</v>
      </c>
      <c r="N15" s="111" t="n">
        <f aca="false">MAX(0,N18-M18)</f>
        <v>14526</v>
      </c>
      <c r="O15" s="111" t="n">
        <f aca="false">MAX(0,O18-N18)</f>
        <v>4830</v>
      </c>
      <c r="P15" s="33" t="n">
        <f aca="false">MAX(0,P18-O18)</f>
        <v>0</v>
      </c>
      <c r="Q15" s="33" t="n">
        <f aca="false">MAX(0,Q18-P18)</f>
        <v>16156</v>
      </c>
      <c r="R15" s="33" t="n">
        <f aca="false">MAX(0,R18-Q18)</f>
        <v>38722</v>
      </c>
      <c r="S15" s="33" t="n">
        <f aca="false">MAX(0,S18-R18)</f>
        <v>65310.0000000001</v>
      </c>
      <c r="T15" s="33" t="n">
        <f aca="false">MAX(0,T18-S18)</f>
        <v>70400.9999999999</v>
      </c>
      <c r="U15" s="33" t="n">
        <f aca="false">MAX(0,U18-T18)</f>
        <v>43223.0000000001</v>
      </c>
      <c r="V15" s="33" t="n">
        <f aca="false">MAX(0,V18-U18)</f>
        <v>50982.0000000001</v>
      </c>
      <c r="W15" s="33" t="n">
        <f aca="false">MAX(0,W18-V18)</f>
        <v>0</v>
      </c>
      <c r="X15" s="33" t="n">
        <f aca="false">MAX(0,X18-W18)</f>
        <v>0</v>
      </c>
      <c r="Y15" s="33" t="n">
        <f aca="false">MAX(0,Y18-X18)</f>
        <v>0</v>
      </c>
      <c r="Z15" s="33" t="n">
        <f aca="false">MAX(0,Z18-Y18)</f>
        <v>24557.9999999999</v>
      </c>
      <c r="AA15" s="33" t="n">
        <f aca="false">MAX(0,AA18-Z18)</f>
        <v>0</v>
      </c>
      <c r="AB15" s="33" t="n">
        <f aca="false">MAX(0,AB18-AA18)</f>
        <v>0</v>
      </c>
      <c r="AC15" s="33" t="n">
        <f aca="false">MAX(0,AC18-AB18)</f>
        <v>0</v>
      </c>
      <c r="AD15" s="33" t="n">
        <f aca="false">MAX(0,AD18-AC18)</f>
        <v>0</v>
      </c>
      <c r="AE15" s="33" t="n">
        <f aca="false">MAX(0,AE18-AD18)</f>
        <v>0</v>
      </c>
      <c r="AF15" s="33" t="n">
        <f aca="false">MAX(0,AF18-AE18)</f>
        <v>0</v>
      </c>
      <c r="AG15" s="33" t="n">
        <f aca="false">MAX(0,AG18-AF18)</f>
        <v>0</v>
      </c>
      <c r="AI15" s="33" t="n">
        <f aca="false">SUMIF($F$7:$AG$7,AI$7,$F15:$AG15)</f>
        <v>0</v>
      </c>
      <c r="AJ15" s="33" t="n">
        <f aca="false">SUMIF($F$7:$AG$7,AJ$7,$F15:$AG15)</f>
        <v>42371</v>
      </c>
      <c r="AK15" s="33" t="n">
        <f aca="false">SUMIF($F$7:$AG$7,AK$7,$F15:$AG15)</f>
        <v>35512</v>
      </c>
      <c r="AL15" s="33" t="n">
        <f aca="false">SUMIF($F$7:$AG$7,AL$7,$F15:$AG15)</f>
        <v>217656</v>
      </c>
      <c r="AM15" s="33" t="n">
        <f aca="false">SUMIF($F$7:$AG$7,AM$7,$F15:$AG15)</f>
        <v>50982.0000000001</v>
      </c>
      <c r="AN15" s="33" t="n">
        <f aca="false">SUMIF($F$7:$AG$7,AN$7,$F15:$AG15)</f>
        <v>24557.9999999999</v>
      </c>
      <c r="AO15" s="33" t="n">
        <f aca="false">SUMIF($F$7:$AG$7,AO$7,$F15:$AG15)</f>
        <v>0</v>
      </c>
    </row>
    <row r="16" customFormat="false" ht="15" hidden="false" customHeight="false" outlineLevel="0" collapsed="false">
      <c r="A16" s="107" t="s">
        <v>2032</v>
      </c>
      <c r="B16" s="22" t="s">
        <v>763</v>
      </c>
      <c r="C16" s="22" t="s">
        <v>540</v>
      </c>
      <c r="D16" s="22" t="s">
        <v>2030</v>
      </c>
      <c r="F16" s="111" t="n">
        <f aca="false">MAX(0,F19-E19)</f>
        <v>0</v>
      </c>
      <c r="G16" s="111" t="n">
        <f aca="false">MAX(0,G19-F19)</f>
        <v>0</v>
      </c>
      <c r="H16" s="111" t="n">
        <f aca="false">MAX(0,H19-G19)</f>
        <v>0</v>
      </c>
      <c r="I16" s="111" t="n">
        <f aca="false">MAX(0,I19-H19)</f>
        <v>0</v>
      </c>
      <c r="J16" s="111" t="n">
        <f aca="false">MAX(0,J19-I19)</f>
        <v>0</v>
      </c>
      <c r="K16" s="111" t="n">
        <f aca="false">MAX(0,K19-J19)</f>
        <v>0</v>
      </c>
      <c r="L16" s="111" t="n">
        <f aca="false">MAX(0,L19-K19)</f>
        <v>0</v>
      </c>
      <c r="M16" s="111" t="n">
        <f aca="false">MAX(0,M19-L19)</f>
        <v>0</v>
      </c>
      <c r="N16" s="111" t="n">
        <f aca="false">MAX(0,N19-M19)</f>
        <v>0</v>
      </c>
      <c r="O16" s="111" t="n">
        <f aca="false">MAX(0,O19-N19)</f>
        <v>0</v>
      </c>
      <c r="P16" s="33" t="n">
        <f aca="false">MAX(0,P19-O19)</f>
        <v>0</v>
      </c>
      <c r="Q16" s="33" t="n">
        <f aca="false">MAX(0,Q19-P19)</f>
        <v>0</v>
      </c>
      <c r="R16" s="33" t="n">
        <f aca="false">MAX(0,R19-Q19)</f>
        <v>0</v>
      </c>
      <c r="S16" s="33" t="n">
        <f aca="false">MAX(0,S19-R19)</f>
        <v>3338</v>
      </c>
      <c r="T16" s="33" t="n">
        <f aca="false">MAX(0,T19-S19)</f>
        <v>8010</v>
      </c>
      <c r="U16" s="33" t="n">
        <f aca="false">MAX(0,U19-T19)</f>
        <v>28697</v>
      </c>
      <c r="V16" s="33" t="n">
        <f aca="false">MAX(0,V19-U19)</f>
        <v>57401</v>
      </c>
      <c r="W16" s="33" t="n">
        <f aca="false">MAX(0,W19-V19)</f>
        <v>30700</v>
      </c>
      <c r="X16" s="33" t="n">
        <f aca="false">MAX(0,X19-W19)</f>
        <v>52064</v>
      </c>
      <c r="Y16" s="33" t="n">
        <f aca="false">MAX(0,Y19-X19)</f>
        <v>4000</v>
      </c>
      <c r="Z16" s="33" t="n">
        <f aca="false">MAX(0,Z19-Y19)</f>
        <v>93450</v>
      </c>
      <c r="AA16" s="33" t="n">
        <f aca="false">MAX(0,AA19-Z19)</f>
        <v>0</v>
      </c>
      <c r="AB16" s="33" t="n">
        <f aca="false">MAX(0,AB19-AA19)</f>
        <v>112140</v>
      </c>
      <c r="AC16" s="33" t="n">
        <f aca="false">MAX(0,AC19-AB19)</f>
        <v>0</v>
      </c>
      <c r="AD16" s="33" t="n">
        <f aca="false">MAX(0,AD19-AC19)</f>
        <v>156195</v>
      </c>
      <c r="AE16" s="33" t="n">
        <f aca="false">MAX(0,AE19-AD19)</f>
        <v>0</v>
      </c>
      <c r="AF16" s="33" t="n">
        <f aca="false">MAX(0,AF19-AE19)</f>
        <v>0</v>
      </c>
      <c r="AG16" s="33" t="n">
        <f aca="false">MAX(0,AG19-AF19)</f>
        <v>0</v>
      </c>
      <c r="AI16" s="33" t="n">
        <f aca="false">SUMIF($F$7:$AG$7,AI$7,$F16:$AG16)</f>
        <v>0</v>
      </c>
      <c r="AJ16" s="33" t="n">
        <f aca="false">SUMIF($F$7:$AG$7,AJ$7,$F16:$AG16)</f>
        <v>0</v>
      </c>
      <c r="AK16" s="33" t="n">
        <f aca="false">SUMIF($F$7:$AG$7,AK$7,$F16:$AG16)</f>
        <v>0</v>
      </c>
      <c r="AL16" s="33" t="n">
        <f aca="false">SUMIF($F$7:$AG$7,AL$7,$F16:$AG16)</f>
        <v>40045</v>
      </c>
      <c r="AM16" s="33" t="n">
        <f aca="false">SUMIF($F$7:$AG$7,AM$7,$F16:$AG16)</f>
        <v>144165</v>
      </c>
      <c r="AN16" s="33" t="n">
        <f aca="false">SUMIF($F$7:$AG$7,AN$7,$F16:$AG16)</f>
        <v>205590</v>
      </c>
      <c r="AO16" s="33" t="n">
        <f aca="false">SUMIF($F$7:$AG$7,AO$7,$F16:$AG16)</f>
        <v>156195</v>
      </c>
    </row>
    <row r="17" customFormat="false" ht="15" hidden="false" customHeight="false" outlineLevel="0" collapsed="false">
      <c r="A17" s="107" t="s">
        <v>2033</v>
      </c>
      <c r="B17" s="22" t="s">
        <v>763</v>
      </c>
      <c r="C17" s="22" t="s">
        <v>857</v>
      </c>
      <c r="D17" s="22" t="s">
        <v>2034</v>
      </c>
      <c r="E17" s="33" t="n">
        <f aca="false">INDEX(FileGPU_H,1,1)</f>
        <v>13713</v>
      </c>
      <c r="F17" s="111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11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11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11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11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11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7" s="111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7" s="111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7" s="111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7" s="111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7" s="33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7" s="33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7" s="33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7" s="33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7" s="33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7" s="33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7" s="33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7" s="33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7" s="33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7" s="33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7" s="33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7" s="33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7" s="33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7" s="33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7" s="33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7" s="33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7" s="33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7" s="33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7" s="33" t="n">
        <f aca="false">INDEX($F17:$AG17,1,MATCH(AI$7,$F$7:$AG$7,1))</f>
        <v>16456</v>
      </c>
      <c r="AJ17" s="33" t="n">
        <f aca="false">INDEX($F17:$AG17,1,MATCH(AJ$7,$F$7:$AG$7,1))</f>
        <v>30000</v>
      </c>
      <c r="AK17" s="33" t="n">
        <f aca="false">INDEX($F17:$AG17,1,MATCH(AK$7,$F$7:$AG$7,1))</f>
        <v>30000</v>
      </c>
      <c r="AL17" s="33" t="n">
        <f aca="false">INDEX($F17:$AG17,1,MATCH(AL$7,$F$7:$AG$7,1))</f>
        <v>30000</v>
      </c>
      <c r="AM17" s="33" t="n">
        <f aca="false">INDEX($F17:$AG17,1,MATCH(AM$7,$F$7:$AG$7,1))</f>
        <v>30000</v>
      </c>
      <c r="AN17" s="33" t="n">
        <f aca="false">INDEX($F17:$AG17,1,MATCH(AN$7,$F$7:$AG$7,1))</f>
        <v>30000</v>
      </c>
      <c r="AO17" s="33" t="n">
        <f aca="false">INDEX($F17:$AG17,1,MATCH(AO$7,$F$7:$AG$7,1))</f>
        <v>30000</v>
      </c>
    </row>
    <row r="18" customFormat="false" ht="15" hidden="false" customHeight="false" outlineLevel="0" collapsed="false">
      <c r="A18" s="107" t="s">
        <v>2035</v>
      </c>
      <c r="B18" s="22" t="s">
        <v>763</v>
      </c>
      <c r="C18" s="22" t="s">
        <v>857</v>
      </c>
      <c r="D18" s="22" t="s">
        <v>2034</v>
      </c>
      <c r="E18" s="33" t="n">
        <f aca="false">0</f>
        <v>0</v>
      </c>
      <c r="F18" s="111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11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11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11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11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11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11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8" s="111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8" s="111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8" s="111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8" s="33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8" s="33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8" s="33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8" s="33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8" s="33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8" s="33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8" s="33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8" s="33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8" s="33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8" s="33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8" s="33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8" s="33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8" s="33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8" s="33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8" s="33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8" s="33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8" s="33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8" s="33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8" s="33" t="n">
        <f aca="false">INDEX($F18:$AG18,1,MATCH(AI$7,$F$7:$AG$7,1))</f>
        <v>0</v>
      </c>
      <c r="AJ18" s="33" t="n">
        <f aca="false">INDEX($F18:$AG18,1,MATCH(AJ$7,$F$7:$AG$7,1))</f>
        <v>42371</v>
      </c>
      <c r="AK18" s="33" t="n">
        <f aca="false">INDEX($F18:$AG18,1,MATCH(AK$7,$F$7:$AG$7,1))</f>
        <v>77883</v>
      </c>
      <c r="AL18" s="33" t="n">
        <f aca="false">INDEX($F18:$AG18,1,MATCH(AL$7,$F$7:$AG$7,1))</f>
        <v>295539</v>
      </c>
      <c r="AM18" s="33" t="n">
        <f aca="false">INDEX($F18:$AG18,1,MATCH(AM$7,$F$7:$AG$7,1))</f>
        <v>346521</v>
      </c>
      <c r="AN18" s="33" t="n">
        <f aca="false">INDEX($F18:$AG18,1,MATCH(AN$7,$F$7:$AG$7,1))</f>
        <v>371079</v>
      </c>
      <c r="AO18" s="33" t="n">
        <f aca="false">INDEX($F18:$AG18,1,MATCH(AO$7,$F$7:$AG$7,1))</f>
        <v>371079</v>
      </c>
    </row>
    <row r="19" customFormat="false" ht="15" hidden="false" customHeight="false" outlineLevel="0" collapsed="false">
      <c r="A19" s="107" t="s">
        <v>2036</v>
      </c>
      <c r="B19" s="22" t="s">
        <v>763</v>
      </c>
      <c r="C19" s="22" t="s">
        <v>857</v>
      </c>
      <c r="D19" s="22" t="s">
        <v>2034</v>
      </c>
      <c r="E19" s="33" t="n">
        <f aca="false">0</f>
        <v>0</v>
      </c>
      <c r="F19" s="111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11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11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11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11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11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11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11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11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11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33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33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33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33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33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33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33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33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33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33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33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33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33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33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33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33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33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33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33" t="n">
        <f aca="false">INDEX($F19:$AG19,1,MATCH(AI$7,$F$7:$AG$7,1))</f>
        <v>0</v>
      </c>
      <c r="AJ19" s="33" t="n">
        <f aca="false">INDEX($F19:$AG19,1,MATCH(AJ$7,$F$7:$AG$7,1))</f>
        <v>0</v>
      </c>
      <c r="AK19" s="33" t="n">
        <f aca="false">INDEX($F19:$AG19,1,MATCH(AK$7,$F$7:$AG$7,1))</f>
        <v>0</v>
      </c>
      <c r="AL19" s="33" t="n">
        <f aca="false">INDEX($F19:$AG19,1,MATCH(AL$7,$F$7:$AG$7,1))</f>
        <v>40045</v>
      </c>
      <c r="AM19" s="33" t="n">
        <f aca="false">INDEX($F19:$AG19,1,MATCH(AM$7,$F$7:$AG$7,1))</f>
        <v>184210</v>
      </c>
      <c r="AN19" s="33" t="n">
        <f aca="false">INDEX($F19:$AG19,1,MATCH(AN$7,$F$7:$AG$7,1))</f>
        <v>389800</v>
      </c>
      <c r="AO19" s="33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2037</v>
      </c>
      <c r="B20" s="22" t="s">
        <v>763</v>
      </c>
      <c r="C20" s="22" t="s">
        <v>540</v>
      </c>
      <c r="D20" s="22"/>
      <c r="E20" s="33" t="n">
        <f aca="false">E17+E18+E19</f>
        <v>13713</v>
      </c>
      <c r="F20" s="118" t="n">
        <f aca="false">F17+F18+F19</f>
        <v>13713</v>
      </c>
      <c r="G20" s="118" t="n">
        <f aca="false">G17+G18+G19</f>
        <v>13713</v>
      </c>
      <c r="H20" s="118" t="n">
        <f aca="false">H17+H18+H19</f>
        <v>13713</v>
      </c>
      <c r="I20" s="118" t="n">
        <f aca="false">I17+I18+I19</f>
        <v>16456</v>
      </c>
      <c r="J20" s="118" t="n">
        <f aca="false">J17+J18+J19</f>
        <v>30000</v>
      </c>
      <c r="K20" s="118" t="n">
        <f aca="false">K17+K18+K19</f>
        <v>30000</v>
      </c>
      <c r="L20" s="118" t="n">
        <f aca="false">L17+L18+L19</f>
        <v>35116</v>
      </c>
      <c r="M20" s="118" t="n">
        <f aca="false">M17+M18+M19</f>
        <v>72371</v>
      </c>
      <c r="N20" s="118" t="n">
        <f aca="false">N17+N18+N19</f>
        <v>86897</v>
      </c>
      <c r="O20" s="118" t="n">
        <f aca="false">O17+O18+O19</f>
        <v>91727</v>
      </c>
      <c r="P20" s="5" t="n">
        <f aca="false">P17+P18+P19</f>
        <v>91727</v>
      </c>
      <c r="Q20" s="5" t="n">
        <f aca="false">Q17+Q18+Q19</f>
        <v>107883</v>
      </c>
      <c r="R20" s="5" t="n">
        <f aca="false">R17+R18+R19</f>
        <v>146605</v>
      </c>
      <c r="S20" s="5" t="n">
        <f aca="false">S17+S18+S19</f>
        <v>215253</v>
      </c>
      <c r="T20" s="5" t="n">
        <f aca="false">T17+T18+T19</f>
        <v>293664</v>
      </c>
      <c r="U20" s="5" t="n">
        <f aca="false">U17+U18+U19</f>
        <v>365584</v>
      </c>
      <c r="V20" s="5" t="n">
        <f aca="false">V17+V18+V19</f>
        <v>473967</v>
      </c>
      <c r="W20" s="5" t="n">
        <f aca="false">W17+W18+W19</f>
        <v>504667</v>
      </c>
      <c r="X20" s="5" t="n">
        <f aca="false">X17+X18+X19</f>
        <v>556731</v>
      </c>
      <c r="Y20" s="5" t="n">
        <f aca="false">Y17+Y18+Y19</f>
        <v>560731</v>
      </c>
      <c r="Z20" s="5" t="n">
        <f aca="false">Z17+Z18+Z19</f>
        <v>678739</v>
      </c>
      <c r="AA20" s="5" t="n">
        <f aca="false">AA17+AA18+AA19</f>
        <v>678739</v>
      </c>
      <c r="AB20" s="5" t="n">
        <f aca="false">AB17+AB18+AB19</f>
        <v>790879</v>
      </c>
      <c r="AC20" s="5" t="n">
        <f aca="false">AC17+AC18+AC19</f>
        <v>790879</v>
      </c>
      <c r="AD20" s="5" t="n">
        <f aca="false">AD17+AD18+AD19</f>
        <v>947074</v>
      </c>
      <c r="AE20" s="5" t="n">
        <f aca="false">AE17+AE18+AE19</f>
        <v>947074</v>
      </c>
      <c r="AF20" s="5" t="n">
        <f aca="false">AF17+AF18+AF19</f>
        <v>947074</v>
      </c>
      <c r="AG20" s="5" t="n">
        <f aca="false">AG17+AG18+AG19</f>
        <v>947074</v>
      </c>
      <c r="AI20" s="5" t="n">
        <f aca="false">INDEX($F20:$AG20,1,MATCH(AI$7,$F$7:$AG$7,1))</f>
        <v>16456</v>
      </c>
      <c r="AJ20" s="5" t="n">
        <f aca="false">INDEX($F20:$AG20,1,MATCH(AJ$7,$F$7:$AG$7,1))</f>
        <v>72371</v>
      </c>
      <c r="AK20" s="5" t="n">
        <f aca="false">INDEX($F20:$AG20,1,MATCH(AK$7,$F$7:$AG$7,1))</f>
        <v>107883</v>
      </c>
      <c r="AL20" s="5" t="n">
        <f aca="false">INDEX($F20:$AG20,1,MATCH(AL$7,$F$7:$AG$7,1))</f>
        <v>365584</v>
      </c>
      <c r="AM20" s="5" t="n">
        <f aca="false">INDEX($F20:$AG20,1,MATCH(AM$7,$F$7:$AG$7,1))</f>
        <v>560731</v>
      </c>
      <c r="AN20" s="5" t="n">
        <f aca="false">INDEX($F20:$AG20,1,MATCH(AN$7,$F$7:$AG$7,1))</f>
        <v>790879</v>
      </c>
      <c r="AO20" s="5" t="n">
        <f aca="false">INDEX($F20:$AG20,1,MATCH(AO$7,$F$7:$AG$7,1))</f>
        <v>947074</v>
      </c>
    </row>
    <row r="21" customFormat="false" ht="15" hidden="false" customHeight="false" outlineLevel="0" collapsed="false">
      <c r="A21" s="107" t="s">
        <v>2038</v>
      </c>
      <c r="B21" s="22" t="s">
        <v>763</v>
      </c>
      <c r="C21" s="22" t="s">
        <v>540</v>
      </c>
      <c r="D21" s="22"/>
      <c r="F21" s="111" t="n">
        <f aca="false">AVERAGE(E20,F20)</f>
        <v>13713</v>
      </c>
      <c r="G21" s="111" t="n">
        <f aca="false">AVERAGE(F20,G20)</f>
        <v>13713</v>
      </c>
      <c r="H21" s="111" t="n">
        <f aca="false">AVERAGE(G20,H20)</f>
        <v>13713</v>
      </c>
      <c r="I21" s="111" t="n">
        <f aca="false">AVERAGE(H20,I20)</f>
        <v>15084.5</v>
      </c>
      <c r="J21" s="111" t="n">
        <f aca="false">AVERAGE(I20,J20)</f>
        <v>23228</v>
      </c>
      <c r="K21" s="111" t="n">
        <f aca="false">AVERAGE(J20,K20)</f>
        <v>30000</v>
      </c>
      <c r="L21" s="111" t="n">
        <f aca="false">AVERAGE(K20,L20)</f>
        <v>32558</v>
      </c>
      <c r="M21" s="111" t="n">
        <f aca="false">AVERAGE(L20,M20)</f>
        <v>53743.5</v>
      </c>
      <c r="N21" s="111" t="n">
        <f aca="false">AVERAGE(M20,N20)</f>
        <v>79634</v>
      </c>
      <c r="O21" s="111" t="n">
        <f aca="false">AVERAGE(N20,O20)</f>
        <v>89312</v>
      </c>
      <c r="P21" s="33" t="n">
        <f aca="false">AVERAGE(O20,P20)</f>
        <v>91727</v>
      </c>
      <c r="Q21" s="33" t="n">
        <f aca="false">AVERAGE(P20,Q20)</f>
        <v>99805</v>
      </c>
      <c r="R21" s="33" t="n">
        <f aca="false">AVERAGE(Q20,R20)</f>
        <v>127244</v>
      </c>
      <c r="S21" s="33" t="n">
        <f aca="false">AVERAGE(R20,S20)</f>
        <v>180929</v>
      </c>
      <c r="T21" s="33" t="n">
        <f aca="false">AVERAGE(S20,T20)</f>
        <v>254458.5</v>
      </c>
      <c r="U21" s="33" t="n">
        <f aca="false">AVERAGE(T20,U20)</f>
        <v>329624</v>
      </c>
      <c r="V21" s="33" t="n">
        <f aca="false">AVERAGE(U20,V20)</f>
        <v>419775.5</v>
      </c>
      <c r="W21" s="33" t="n">
        <f aca="false">AVERAGE(V20,W20)</f>
        <v>489317</v>
      </c>
      <c r="X21" s="33" t="n">
        <f aca="false">AVERAGE(W20,X20)</f>
        <v>530699</v>
      </c>
      <c r="Y21" s="33" t="n">
        <f aca="false">AVERAGE(X20,Y20)</f>
        <v>558731</v>
      </c>
      <c r="Z21" s="33" t="n">
        <f aca="false">AVERAGE(Y20,Z20)</f>
        <v>619735</v>
      </c>
      <c r="AA21" s="33" t="n">
        <f aca="false">AVERAGE(Z20,AA20)</f>
        <v>678739</v>
      </c>
      <c r="AB21" s="33" t="n">
        <f aca="false">AVERAGE(AA20,AB20)</f>
        <v>734809</v>
      </c>
      <c r="AC21" s="33" t="n">
        <f aca="false">AVERAGE(AB20,AC20)</f>
        <v>790879</v>
      </c>
      <c r="AD21" s="33" t="n">
        <f aca="false">AVERAGE(AC20,AD20)</f>
        <v>868976.5</v>
      </c>
      <c r="AE21" s="33" t="n">
        <f aca="false">AVERAGE(AD20,AE20)</f>
        <v>947074</v>
      </c>
      <c r="AF21" s="33" t="n">
        <f aca="false">AVERAGE(AE20,AF20)</f>
        <v>947074</v>
      </c>
      <c r="AG21" s="33" t="n">
        <f aca="false">AVERAGE(AF20,AG20)</f>
        <v>947074</v>
      </c>
      <c r="AI21" s="33" t="n">
        <f aca="false">AVERAGEIF($F$7:$AG$7,AI$7,$F21:$AG21)</f>
        <v>14055.875</v>
      </c>
      <c r="AJ21" s="33" t="n">
        <f aca="false">AVERAGEIF($F$7:$AG$7,AJ$7,$F21:$AG21)</f>
        <v>34882.375</v>
      </c>
      <c r="AK21" s="33" t="n">
        <f aca="false">AVERAGEIF($F$7:$AG$7,AK$7,$F21:$AG21)</f>
        <v>90119.5</v>
      </c>
      <c r="AL21" s="33" t="n">
        <f aca="false">AVERAGEIF($F$7:$AG$7,AL$7,$F21:$AG21)</f>
        <v>223063.875</v>
      </c>
      <c r="AM21" s="33" t="n">
        <f aca="false">AVERAGEIF($F$7:$AG$7,AM$7,$F21:$AG21)</f>
        <v>499630.625</v>
      </c>
      <c r="AN21" s="33" t="n">
        <f aca="false">AVERAGEIF($F$7:$AG$7,AN$7,$F21:$AG21)</f>
        <v>706040.5</v>
      </c>
      <c r="AO21" s="33" t="n">
        <f aca="false">AVERAGEIF($F$7:$AG$7,AO$7,$F21:$AG21)</f>
        <v>927549.625</v>
      </c>
    </row>
    <row r="23" customFormat="false" ht="15" hidden="false" customHeight="false" outlineLevel="0" collapsed="false">
      <c r="A23" s="58" t="s">
        <v>2039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</row>
    <row r="24" customFormat="false" ht="15" hidden="false" customHeight="false" outlineLevel="0" collapsed="false">
      <c r="A24" s="107" t="s">
        <v>2040</v>
      </c>
      <c r="B24" s="22" t="s">
        <v>664</v>
      </c>
      <c r="C24" s="22" t="s">
        <v>1822</v>
      </c>
      <c r="D24" s="22"/>
      <c r="F24" s="111" t="n">
        <f aca="false">INDEX(A_MW,1,1)</f>
        <v>0</v>
      </c>
      <c r="G24" s="111" t="n">
        <f aca="false">INDEX(A_MW,1,2)</f>
        <v>0</v>
      </c>
      <c r="H24" s="111" t="n">
        <f aca="false">INDEX(A_MW,1,3)</f>
        <v>0</v>
      </c>
      <c r="I24" s="111" t="n">
        <f aca="false">INDEX(A_MW,1,4)</f>
        <v>0</v>
      </c>
      <c r="J24" s="111" t="n">
        <f aca="false">INDEX(A_MW,1,5)</f>
        <v>0</v>
      </c>
      <c r="K24" s="111" t="n">
        <f aca="false">INDEX(A_MW,1,6)</f>
        <v>0</v>
      </c>
      <c r="L24" s="111" t="n">
        <f aca="false">INDEX(A_MW,1,7)</f>
        <v>0</v>
      </c>
      <c r="M24" s="111" t="n">
        <f aca="false">INDEX(A_MW,1,8)</f>
        <v>50.6725</v>
      </c>
      <c r="N24" s="111" t="n">
        <f aca="false">INDEX(A_MW,1,9)</f>
        <v>101.345</v>
      </c>
      <c r="O24" s="111" t="n">
        <f aca="false">INDEX(A_MW,1,10)</f>
        <v>101.345</v>
      </c>
      <c r="P24" s="33" t="n">
        <f aca="false">INDEX(A_MW,1,11)</f>
        <v>154.678333333333</v>
      </c>
      <c r="Q24" s="33" t="n">
        <f aca="false">INDEX(A_MW,1,12)</f>
        <v>154.678333333333</v>
      </c>
      <c r="R24" s="33" t="n">
        <f aca="false">INDEX(A_MW,1,13)</f>
        <v>154.678333333333</v>
      </c>
      <c r="S24" s="33" t="n">
        <f aca="false">INDEX(A_MW,1,14)</f>
        <v>208.011666666667</v>
      </c>
      <c r="T24" s="33" t="n">
        <f aca="false">INDEX(A_MW,1,15)</f>
        <v>341.345</v>
      </c>
      <c r="U24" s="33" t="n">
        <f aca="false">INDEX(A_MW,1,16)</f>
        <v>394.678333333333</v>
      </c>
      <c r="V24" s="33" t="n">
        <f aca="false">INDEX(A_MW,1,17)</f>
        <v>394.678333333333</v>
      </c>
      <c r="W24" s="33" t="n">
        <f aca="false">INDEX(A_MW,1,18)</f>
        <v>394.678333333333</v>
      </c>
      <c r="X24" s="33" t="n">
        <f aca="false">INDEX(A_MW,1,19)</f>
        <v>394.678333333333</v>
      </c>
      <c r="Y24" s="33" t="n">
        <f aca="false">INDEX(A_MW,1,20)</f>
        <v>394.678333333333</v>
      </c>
      <c r="Z24" s="33" t="n">
        <f aca="false">INDEX(A_MW,1,21)</f>
        <v>394.678333333333</v>
      </c>
      <c r="AA24" s="33" t="n">
        <f aca="false">INDEX(A_MW,1,22)</f>
        <v>394.678333333333</v>
      </c>
      <c r="AB24" s="33" t="n">
        <f aca="false">INDEX(A_MW,1,23)</f>
        <v>394.678333333333</v>
      </c>
      <c r="AC24" s="33" t="n">
        <f aca="false">INDEX(A_MW,1,24)</f>
        <v>394.678333333333</v>
      </c>
      <c r="AD24" s="33" t="n">
        <f aca="false">INDEX(A_MW,1,25)</f>
        <v>394.678333333333</v>
      </c>
      <c r="AE24" s="33" t="n">
        <f aca="false">INDEX(A_MW,1,26)</f>
        <v>394.678333333333</v>
      </c>
      <c r="AF24" s="33" t="n">
        <f aca="false">INDEX(A_MW,1,27)</f>
        <v>394.678333333333</v>
      </c>
      <c r="AG24" s="33" t="n">
        <f aca="false">INDEX(A_MW,1,28)</f>
        <v>344.005833333333</v>
      </c>
      <c r="AI24" s="33" t="n">
        <f aca="false">INDEX($F24:$AG24,1,MATCH(AI$7,$F$7:$AG$7,1))</f>
        <v>0</v>
      </c>
      <c r="AJ24" s="33" t="n">
        <f aca="false">INDEX($F24:$AG24,1,MATCH(AJ$7,$F$7:$AG$7,1))</f>
        <v>50.6725</v>
      </c>
      <c r="AK24" s="33" t="n">
        <f aca="false">INDEX($F24:$AG24,1,MATCH(AK$7,$F$7:$AG$7,1))</f>
        <v>154.678333333333</v>
      </c>
      <c r="AL24" s="33" t="n">
        <f aca="false">INDEX($F24:$AG24,1,MATCH(AL$7,$F$7:$AG$7,1))</f>
        <v>394.678333333333</v>
      </c>
      <c r="AM24" s="33" t="n">
        <f aca="false">INDEX($F24:$AG24,1,MATCH(AM$7,$F$7:$AG$7,1))</f>
        <v>394.678333333333</v>
      </c>
      <c r="AN24" s="33" t="n">
        <f aca="false">INDEX($F24:$AG24,1,MATCH(AN$7,$F$7:$AG$7,1))</f>
        <v>394.678333333333</v>
      </c>
      <c r="AO24" s="33" t="n">
        <f aca="false">INDEX($F24:$AG24,1,MATCH(AO$7,$F$7:$AG$7,1))</f>
        <v>344.005833333333</v>
      </c>
    </row>
    <row r="25" customFormat="false" ht="15" hidden="false" customHeight="false" outlineLevel="0" collapsed="false">
      <c r="A25" s="107" t="s">
        <v>1997</v>
      </c>
      <c r="B25" s="22" t="s">
        <v>664</v>
      </c>
      <c r="C25" s="22" t="s">
        <v>1822</v>
      </c>
      <c r="D25" s="22"/>
      <c r="F25" s="111" t="n">
        <f aca="false">INDEX(A_PostMW,1,1)</f>
        <v>0</v>
      </c>
      <c r="G25" s="111" t="n">
        <f aca="false">INDEX(A_PostMW,1,2)</f>
        <v>0</v>
      </c>
      <c r="H25" s="111" t="n">
        <f aca="false">INDEX(A_PostMW,1,3)</f>
        <v>0</v>
      </c>
      <c r="I25" s="111" t="n">
        <f aca="false">INDEX(A_PostMW,1,4)</f>
        <v>0</v>
      </c>
      <c r="J25" s="111" t="n">
        <f aca="false">INDEX(A_PostMW,1,5)</f>
        <v>0</v>
      </c>
      <c r="K25" s="111" t="n">
        <f aca="false">INDEX(A_PostMW,1,6)</f>
        <v>0</v>
      </c>
      <c r="L25" s="111" t="n">
        <f aca="false">INDEX(A_PostMW,1,7)</f>
        <v>0</v>
      </c>
      <c r="M25" s="111" t="n">
        <f aca="false">INDEX(A_PostMW,1,8)</f>
        <v>0</v>
      </c>
      <c r="N25" s="111" t="n">
        <f aca="false">INDEX(A_PostMW,1,9)</f>
        <v>0</v>
      </c>
      <c r="O25" s="111" t="n">
        <f aca="false">INDEX(A_PostMW,1,10)</f>
        <v>0</v>
      </c>
      <c r="P25" s="33" t="n">
        <f aca="false">INDEX(A_PostMW,1,11)</f>
        <v>0</v>
      </c>
      <c r="Q25" s="33" t="n">
        <f aca="false">INDEX(A_PostMW,1,12)</f>
        <v>0</v>
      </c>
      <c r="R25" s="33" t="n">
        <f aca="false">INDEX(A_PostMW,1,13)</f>
        <v>0</v>
      </c>
      <c r="S25" s="33" t="n">
        <f aca="false">INDEX(A_PostMW,1,14)</f>
        <v>0</v>
      </c>
      <c r="T25" s="33" t="n">
        <f aca="false">INDEX(A_PostMW,1,15)</f>
        <v>0</v>
      </c>
      <c r="U25" s="33" t="n">
        <f aca="false">INDEX(A_PostMW,1,16)</f>
        <v>0</v>
      </c>
      <c r="V25" s="33" t="n">
        <f aca="false">INDEX(A_PostMW,1,17)</f>
        <v>0</v>
      </c>
      <c r="W25" s="33" t="n">
        <f aca="false">INDEX(A_PostMW,1,18)</f>
        <v>0</v>
      </c>
      <c r="X25" s="33" t="n">
        <f aca="false">INDEX(A_PostMW,1,19)</f>
        <v>0</v>
      </c>
      <c r="Y25" s="33" t="n">
        <f aca="false">INDEX(A_PostMW,1,20)</f>
        <v>0</v>
      </c>
      <c r="Z25" s="33" t="n">
        <f aca="false">INDEX(A_PostMW,1,21)</f>
        <v>0</v>
      </c>
      <c r="AA25" s="33" t="n">
        <f aca="false">INDEX(A_PostMW,1,22)</f>
        <v>0</v>
      </c>
      <c r="AB25" s="33" t="n">
        <f aca="false">INDEX(A_PostMW,1,23)</f>
        <v>0</v>
      </c>
      <c r="AC25" s="33" t="n">
        <f aca="false">INDEX(A_PostMW,1,24)</f>
        <v>0</v>
      </c>
      <c r="AD25" s="33" t="n">
        <f aca="false">INDEX(A_PostMW,1,25)</f>
        <v>0</v>
      </c>
      <c r="AE25" s="33" t="n">
        <f aca="false">INDEX(A_PostMW,1,26)</f>
        <v>0</v>
      </c>
      <c r="AF25" s="33" t="n">
        <f aca="false">INDEX(A_PostMW,1,27)</f>
        <v>0</v>
      </c>
      <c r="AG25" s="33" t="n">
        <f aca="false">INDEX(A_PostMW,1,28)</f>
        <v>50.6725</v>
      </c>
      <c r="AI25" s="33" t="n">
        <f aca="false">INDEX($F25:$AG25,1,MATCH(AI$7,$F$7:$AG$7,1))</f>
        <v>0</v>
      </c>
      <c r="AJ25" s="33" t="n">
        <f aca="false">INDEX($F25:$AG25,1,MATCH(AJ$7,$F$7:$AG$7,1))</f>
        <v>0</v>
      </c>
      <c r="AK25" s="33" t="n">
        <f aca="false">INDEX($F25:$AG25,1,MATCH(AK$7,$F$7:$AG$7,1))</f>
        <v>0</v>
      </c>
      <c r="AL25" s="33" t="n">
        <f aca="false">INDEX($F25:$AG25,1,MATCH(AL$7,$F$7:$AG$7,1))</f>
        <v>0</v>
      </c>
      <c r="AM25" s="33" t="n">
        <f aca="false">INDEX($F25:$AG25,1,MATCH(AM$7,$F$7:$AG$7,1))</f>
        <v>0</v>
      </c>
      <c r="AN25" s="33" t="n">
        <f aca="false">INDEX($F25:$AG25,1,MATCH(AN$7,$F$7:$AG$7,1))</f>
        <v>0</v>
      </c>
      <c r="AO25" s="33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2041</v>
      </c>
      <c r="B26" s="22" t="s">
        <v>613</v>
      </c>
      <c r="C26" s="22" t="s">
        <v>1822</v>
      </c>
      <c r="D26" s="22" t="s">
        <v>2042</v>
      </c>
      <c r="F26" s="126" t="n">
        <f aca="false">INDEX(A_Rev,1,1)+INDEX(A_LD,1,1)</f>
        <v>0</v>
      </c>
      <c r="G26" s="126" t="n">
        <f aca="false">INDEX(A_Rev,1,2)+INDEX(A_LD,1,2)</f>
        <v>0</v>
      </c>
      <c r="H26" s="126" t="n">
        <f aca="false">INDEX(A_Rev,1,3)+INDEX(A_LD,1,3)</f>
        <v>0</v>
      </c>
      <c r="I26" s="126" t="n">
        <f aca="false">INDEX(A_Rev,1,4)+INDEX(A_LD,1,4)</f>
        <v>0</v>
      </c>
      <c r="J26" s="126" t="n">
        <f aca="false">INDEX(A_Rev,1,5)+INDEX(A_LD,1,5)</f>
        <v>0</v>
      </c>
      <c r="K26" s="126" t="n">
        <f aca="false">INDEX(A_Rev,1,6)+INDEX(A_LD,1,6)</f>
        <v>0</v>
      </c>
      <c r="L26" s="126" t="n">
        <f aca="false">INDEX(A_Rev,1,7)+INDEX(A_LD,1,7)</f>
        <v>0</v>
      </c>
      <c r="M26" s="126" t="n">
        <f aca="false">INDEX(A_Rev,1,8)+INDEX(A_LD,1,8)</f>
        <v>48.0871527777778</v>
      </c>
      <c r="N26" s="126" t="n">
        <f aca="false">INDEX(A_Rev,1,9)+INDEX(A_LD,1,9)</f>
        <v>168.418263888889</v>
      </c>
      <c r="O26" s="126" t="n">
        <f aca="false">INDEX(A_Rev,1,10)+INDEX(A_LD,1,10)</f>
        <v>264.819027777778</v>
      </c>
      <c r="P26" s="99" t="n">
        <f aca="false">INDEX(A_Rev,1,11)+INDEX(A_LD,1,11)</f>
        <v>329.589462673611</v>
      </c>
      <c r="Q26" s="99" t="n">
        <f aca="false">INDEX(A_Rev,1,12)+INDEX(A_LD,1,12)</f>
        <v>422.366694010417</v>
      </c>
      <c r="R26" s="99" t="n">
        <f aca="false">INDEX(A_Rev,1,13)+INDEX(A_LD,1,13)</f>
        <v>468.755309678819</v>
      </c>
      <c r="S26" s="99" t="n">
        <f aca="false">INDEX(A_Rev,1,14)+INDEX(A_LD,1,14)</f>
        <v>554.700694444445</v>
      </c>
      <c r="T26" s="99" t="n">
        <f aca="false">INDEX(A_Rev,1,15)+INDEX(A_LD,1,15)</f>
        <v>813.406319444445</v>
      </c>
      <c r="U26" s="99" t="n">
        <f aca="false">INDEX(A_Rev,1,16)+INDEX(A_LD,1,16)</f>
        <v>1270.42555555556</v>
      </c>
      <c r="V26" s="99" t="n">
        <f aca="false">INDEX(A_Rev,1,17)+INDEX(A_LD,1,17)</f>
        <v>1541.20958333333</v>
      </c>
      <c r="W26" s="99" t="n">
        <f aca="false">INDEX(A_Rev,1,18)+INDEX(A_LD,1,18)</f>
        <v>1613.68</v>
      </c>
      <c r="X26" s="99" t="n">
        <f aca="false">INDEX(A_Rev,1,19)+INDEX(A_LD,1,19)</f>
        <v>1613.68</v>
      </c>
      <c r="Y26" s="99" t="n">
        <f aca="false">INDEX(A_Rev,1,20)+INDEX(A_LD,1,20)</f>
        <v>1613.68</v>
      </c>
      <c r="Z26" s="99" t="n">
        <f aca="false">INDEX(A_Rev,1,21)+INDEX(A_LD,1,21)</f>
        <v>1613.68</v>
      </c>
      <c r="AA26" s="99" t="n">
        <f aca="false">INDEX(A_Rev,1,22)+INDEX(A_LD,1,22)</f>
        <v>1613.68</v>
      </c>
      <c r="AB26" s="99" t="n">
        <f aca="false">INDEX(A_Rev,1,23)+INDEX(A_LD,1,23)</f>
        <v>1613.68</v>
      </c>
      <c r="AC26" s="99" t="n">
        <f aca="false">INDEX(A_Rev,1,24)+INDEX(A_LD,1,24)</f>
        <v>1613.68</v>
      </c>
      <c r="AD26" s="99" t="n">
        <f aca="false">INDEX(A_Rev,1,25)+INDEX(A_LD,1,25)</f>
        <v>1613.68</v>
      </c>
      <c r="AE26" s="99" t="n">
        <f aca="false">INDEX(A_Rev,1,26)+INDEX(A_LD,1,26)</f>
        <v>1613.68</v>
      </c>
      <c r="AF26" s="99" t="n">
        <f aca="false">INDEX(A_Rev,1,27)+INDEX(A_LD,1,27)</f>
        <v>1613.68</v>
      </c>
      <c r="AG26" s="99" t="n">
        <f aca="false">INDEX(A_Rev,1,28)+INDEX(A_LD,1,28)</f>
        <v>1529.35763888889</v>
      </c>
      <c r="AI26" s="99" t="n">
        <f aca="false">SUMIF($F$7:$AG$7,AI$7,$F26:$AG26)</f>
        <v>0</v>
      </c>
      <c r="AJ26" s="99" t="n">
        <f aca="false">SUMIF($F$7:$AG$7,AJ$7,$F26:$AG26)</f>
        <v>48.0871527777778</v>
      </c>
      <c r="AK26" s="99" t="n">
        <f aca="false">SUMIF($F$7:$AG$7,AK$7,$F26:$AG26)</f>
        <v>1185.19344835069</v>
      </c>
      <c r="AL26" s="99" t="n">
        <f aca="false">SUMIF($F$7:$AG$7,AL$7,$F26:$AG26)</f>
        <v>3107.28787912326</v>
      </c>
      <c r="AM26" s="99" t="n">
        <f aca="false">SUMIF($F$7:$AG$7,AM$7,$F26:$AG26)</f>
        <v>6382.24958333333</v>
      </c>
      <c r="AN26" s="99" t="n">
        <f aca="false">SUMIF($F$7:$AG$7,AN$7,$F26:$AG26)</f>
        <v>6454.72</v>
      </c>
      <c r="AO26" s="99" t="n">
        <f aca="false">SUMIF($F$7:$AG$7,AO$7,$F26:$AG26)</f>
        <v>6370.39763888889</v>
      </c>
    </row>
    <row r="27" customFormat="false" ht="15" hidden="false" customHeight="false" outlineLevel="0" collapsed="false">
      <c r="A27" s="107" t="s">
        <v>2043</v>
      </c>
      <c r="B27" s="22" t="s">
        <v>613</v>
      </c>
      <c r="C27" s="22" t="s">
        <v>1822</v>
      </c>
      <c r="D27" s="22" t="s">
        <v>2044</v>
      </c>
      <c r="F27" s="124" t="n">
        <f aca="false">INDEX(A_Post,1,1)</f>
        <v>0</v>
      </c>
      <c r="G27" s="124" t="n">
        <f aca="false">INDEX(A_Post,1,2)</f>
        <v>0</v>
      </c>
      <c r="H27" s="124" t="n">
        <f aca="false">INDEX(A_Post,1,3)</f>
        <v>0</v>
      </c>
      <c r="I27" s="124" t="n">
        <f aca="false">INDEX(A_Post,1,4)</f>
        <v>0</v>
      </c>
      <c r="J27" s="124" t="n">
        <f aca="false">INDEX(A_Post,1,5)</f>
        <v>0</v>
      </c>
      <c r="K27" s="124" t="n">
        <f aca="false">INDEX(A_Post,1,6)</f>
        <v>0</v>
      </c>
      <c r="L27" s="124" t="n">
        <f aca="false">INDEX(A_Post,1,7)</f>
        <v>0</v>
      </c>
      <c r="M27" s="124" t="n">
        <f aca="false">INDEX(A_Post,1,8)</f>
        <v>0</v>
      </c>
      <c r="N27" s="124" t="n">
        <f aca="false">INDEX(A_Post,1,9)</f>
        <v>0</v>
      </c>
      <c r="O27" s="124" t="n">
        <f aca="false">INDEX(A_Post,1,10)</f>
        <v>0</v>
      </c>
      <c r="P27" s="125" t="n">
        <f aca="false">INDEX(A_Post,1,11)</f>
        <v>0</v>
      </c>
      <c r="Q27" s="125" t="n">
        <f aca="false">INDEX(A_Post,1,12)</f>
        <v>0</v>
      </c>
      <c r="R27" s="125" t="n">
        <f aca="false">INDEX(A_Post,1,13)</f>
        <v>0</v>
      </c>
      <c r="S27" s="125" t="n">
        <f aca="false">INDEX(A_Post,1,14)</f>
        <v>0</v>
      </c>
      <c r="T27" s="125" t="n">
        <f aca="false">INDEX(A_Post,1,15)</f>
        <v>0</v>
      </c>
      <c r="U27" s="125" t="n">
        <f aca="false">INDEX(A_Post,1,16)</f>
        <v>0</v>
      </c>
      <c r="V27" s="125" t="n">
        <f aca="false">INDEX(A_Post,1,17)</f>
        <v>0</v>
      </c>
      <c r="W27" s="125" t="n">
        <f aca="false">INDEX(A_Post,1,18)</f>
        <v>0</v>
      </c>
      <c r="X27" s="125" t="n">
        <f aca="false">INDEX(A_Post,1,19)</f>
        <v>0</v>
      </c>
      <c r="Y27" s="125" t="n">
        <f aca="false">INDEX(A_Post,1,20)</f>
        <v>0</v>
      </c>
      <c r="Z27" s="125" t="n">
        <f aca="false">INDEX(A_Post,1,21)</f>
        <v>0</v>
      </c>
      <c r="AA27" s="125" t="n">
        <f aca="false">INDEX(A_Post,1,22)</f>
        <v>0</v>
      </c>
      <c r="AB27" s="125" t="n">
        <f aca="false">INDEX(A_Post,1,23)</f>
        <v>0</v>
      </c>
      <c r="AC27" s="125" t="n">
        <f aca="false">INDEX(A_Post,1,24)</f>
        <v>0</v>
      </c>
      <c r="AD27" s="125" t="n">
        <f aca="false">INDEX(A_Post,1,25)</f>
        <v>0</v>
      </c>
      <c r="AE27" s="125" t="n">
        <f aca="false">INDEX(A_Post,1,26)</f>
        <v>0</v>
      </c>
      <c r="AF27" s="125" t="n">
        <f aca="false">INDEX(A_Post,1,27)</f>
        <v>0</v>
      </c>
      <c r="AG27" s="125" t="n">
        <f aca="false">INDEX(A_Post,1,28)</f>
        <v>205.8940525785</v>
      </c>
      <c r="AI27" s="125" t="n">
        <f aca="false">SUMIF($F$7:$AG$7,AI$7,$F27:$AG27)</f>
        <v>0</v>
      </c>
      <c r="AJ27" s="125" t="n">
        <f aca="false">SUMIF($F$7:$AG$7,AJ$7,$F27:$AG27)</f>
        <v>0</v>
      </c>
      <c r="AK27" s="125" t="n">
        <f aca="false">SUMIF($F$7:$AG$7,AK$7,$F27:$AG27)</f>
        <v>0</v>
      </c>
      <c r="AL27" s="125" t="n">
        <f aca="false">SUMIF($F$7:$AG$7,AL$7,$F27:$AG27)</f>
        <v>0</v>
      </c>
      <c r="AM27" s="125" t="n">
        <f aca="false">SUMIF($F$7:$AG$7,AM$7,$F27:$AG27)</f>
        <v>0</v>
      </c>
      <c r="AN27" s="125" t="n">
        <f aca="false">SUMIF($F$7:$AG$7,AN$7,$F27:$AG27)</f>
        <v>0</v>
      </c>
      <c r="AO27" s="125" t="n">
        <f aca="false">SUMIF($F$7:$AG$7,AO$7,$F27:$AG27)</f>
        <v>205.8940525785</v>
      </c>
    </row>
    <row r="29" customFormat="false" ht="15" hidden="false" customHeight="false" outlineLevel="0" collapsed="false">
      <c r="A29" s="58" t="s">
        <v>2045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</row>
    <row r="30" customFormat="false" ht="15" hidden="false" customHeight="false" outlineLevel="0" collapsed="false">
      <c r="A30" s="107" t="s">
        <v>2046</v>
      </c>
      <c r="B30" s="22" t="s">
        <v>763</v>
      </c>
      <c r="C30" s="22" t="s">
        <v>540</v>
      </c>
      <c r="D30" s="22" t="s">
        <v>2047</v>
      </c>
      <c r="E30" s="33" t="n">
        <f aca="false">E17</f>
        <v>13713</v>
      </c>
      <c r="F30" s="111" t="n">
        <f aca="false">MAX(0,F17-INDEX(A_GPU_H,1,1))</f>
        <v>13713</v>
      </c>
      <c r="G30" s="111" t="n">
        <f aca="false">MAX(0,G17-INDEX(A_GPU_H,1,2))</f>
        <v>13713</v>
      </c>
      <c r="H30" s="111" t="n">
        <f aca="false">MAX(0,H17-INDEX(A_GPU_H,1,3))</f>
        <v>13713</v>
      </c>
      <c r="I30" s="111" t="n">
        <f aca="false">MAX(0,I17-INDEX(A_GPU_H,1,4))</f>
        <v>16456</v>
      </c>
      <c r="J30" s="111" t="n">
        <f aca="false">MAX(0,J17-INDEX(A_GPU_H,1,5))</f>
        <v>30000</v>
      </c>
      <c r="K30" s="111" t="n">
        <f aca="false">MAX(0,K17-INDEX(A_GPU_H,1,6))</f>
        <v>30000</v>
      </c>
      <c r="L30" s="111" t="n">
        <f aca="false">MAX(0,L17-INDEX(A_GPU_H,1,7))</f>
        <v>30000</v>
      </c>
      <c r="M30" s="111" t="n">
        <f aca="false">MAX(0,M17-INDEX(A_GPU_H,1,8))</f>
        <v>30000</v>
      </c>
      <c r="N30" s="111" t="n">
        <f aca="false">MAX(0,N17-INDEX(A_GPU_H,1,9))</f>
        <v>30000</v>
      </c>
      <c r="O30" s="111" t="n">
        <f aca="false">MAX(0,O17-INDEX(A_GPU_H,1,10))</f>
        <v>30000</v>
      </c>
      <c r="P30" s="33" t="n">
        <f aca="false">MAX(0,P17-INDEX(A_GPU_H,1,11))</f>
        <v>30000</v>
      </c>
      <c r="Q30" s="33" t="n">
        <f aca="false">MAX(0,Q17-INDEX(A_GPU_H,1,12))</f>
        <v>30000</v>
      </c>
      <c r="R30" s="33" t="n">
        <f aca="false">MAX(0,R17-INDEX(A_GPU_H,1,13))</f>
        <v>30000</v>
      </c>
      <c r="S30" s="33" t="n">
        <f aca="false">MAX(0,S17-INDEX(A_GPU_H,1,14))</f>
        <v>30000</v>
      </c>
      <c r="T30" s="33" t="n">
        <f aca="false">MAX(0,T17-INDEX(A_GPU_H,1,15))</f>
        <v>30000</v>
      </c>
      <c r="U30" s="33" t="n">
        <f aca="false">MAX(0,U17-INDEX(A_GPU_H,1,16))</f>
        <v>30000</v>
      </c>
      <c r="V30" s="33" t="n">
        <f aca="false">MAX(0,V17-INDEX(A_GPU_H,1,17))</f>
        <v>30000</v>
      </c>
      <c r="W30" s="33" t="n">
        <f aca="false">MAX(0,W17-INDEX(A_GPU_H,1,18))</f>
        <v>30000</v>
      </c>
      <c r="X30" s="33" t="n">
        <f aca="false">MAX(0,X17-INDEX(A_GPU_H,1,19))</f>
        <v>30000</v>
      </c>
      <c r="Y30" s="33" t="n">
        <f aca="false">MAX(0,Y17-INDEX(A_GPU_H,1,20))</f>
        <v>30000</v>
      </c>
      <c r="Z30" s="33" t="n">
        <f aca="false">MAX(0,Z17-INDEX(A_GPU_H,1,21))</f>
        <v>30000</v>
      </c>
      <c r="AA30" s="33" t="n">
        <f aca="false">MAX(0,AA17-INDEX(A_GPU_H,1,22))</f>
        <v>30000</v>
      </c>
      <c r="AB30" s="33" t="n">
        <f aca="false">MAX(0,AB17-INDEX(A_GPU_H,1,23))</f>
        <v>30000</v>
      </c>
      <c r="AC30" s="33" t="n">
        <f aca="false">MAX(0,AC17-INDEX(A_GPU_H,1,24))</f>
        <v>30000</v>
      </c>
      <c r="AD30" s="33" t="n">
        <f aca="false">MAX(0,AD17-INDEX(A_GPU_H,1,25))</f>
        <v>30000</v>
      </c>
      <c r="AE30" s="33" t="n">
        <f aca="false">MAX(0,AE17-INDEX(A_GPU_H,1,26))</f>
        <v>30000</v>
      </c>
      <c r="AF30" s="33" t="n">
        <f aca="false">MAX(0,AF17-INDEX(A_GPU_H,1,27))</f>
        <v>30000</v>
      </c>
      <c r="AG30" s="33" t="n">
        <f aca="false">MAX(0,AG17-INDEX(A_GPU_H,1,28))</f>
        <v>30000</v>
      </c>
      <c r="AI30" s="33" t="n">
        <f aca="false">INDEX($F30:$AG30,1,MATCH(AI$7,$F$7:$AG$7,1))</f>
        <v>16456</v>
      </c>
      <c r="AJ30" s="33" t="n">
        <f aca="false">INDEX($F30:$AG30,1,MATCH(AJ$7,$F$7:$AG$7,1))</f>
        <v>30000</v>
      </c>
      <c r="AK30" s="33" t="n">
        <f aca="false">INDEX($F30:$AG30,1,MATCH(AK$7,$F$7:$AG$7,1))</f>
        <v>30000</v>
      </c>
      <c r="AL30" s="33" t="n">
        <f aca="false">INDEX($F30:$AG30,1,MATCH(AL$7,$F$7:$AG$7,1))</f>
        <v>30000</v>
      </c>
      <c r="AM30" s="33" t="n">
        <f aca="false">INDEX($F30:$AG30,1,MATCH(AM$7,$F$7:$AG$7,1))</f>
        <v>30000</v>
      </c>
      <c r="AN30" s="33" t="n">
        <f aca="false">INDEX($F30:$AG30,1,MATCH(AN$7,$F$7:$AG$7,1))</f>
        <v>30000</v>
      </c>
      <c r="AO30" s="33" t="n">
        <f aca="false">INDEX($F30:$AG30,1,MATCH(AO$7,$F$7:$AG$7,1))</f>
        <v>30000</v>
      </c>
    </row>
    <row r="31" customFormat="false" ht="15" hidden="false" customHeight="false" outlineLevel="0" collapsed="false">
      <c r="A31" s="107" t="s">
        <v>2048</v>
      </c>
      <c r="B31" s="22" t="s">
        <v>763</v>
      </c>
      <c r="C31" s="22" t="s">
        <v>540</v>
      </c>
      <c r="D31" s="22" t="s">
        <v>2047</v>
      </c>
      <c r="E31" s="33" t="n">
        <f aca="false">E18</f>
        <v>0</v>
      </c>
      <c r="F31" s="111" t="n">
        <f aca="false">MAX(0,F18-INDEX(A_GPU_B,1,1))</f>
        <v>0</v>
      </c>
      <c r="G31" s="111" t="n">
        <f aca="false">MAX(0,G18-INDEX(A_GPU_B,1,2))</f>
        <v>0</v>
      </c>
      <c r="H31" s="111" t="n">
        <f aca="false">MAX(0,H18-INDEX(A_GPU_B,1,3))</f>
        <v>0</v>
      </c>
      <c r="I31" s="111" t="n">
        <f aca="false">MAX(0,I18-INDEX(A_GPU_B,1,4))</f>
        <v>0</v>
      </c>
      <c r="J31" s="111" t="n">
        <f aca="false">MAX(0,J18-INDEX(A_GPU_B,1,5))</f>
        <v>0</v>
      </c>
      <c r="K31" s="111" t="n">
        <f aca="false">MAX(0,K18-INDEX(A_GPU_B,1,6))</f>
        <v>0</v>
      </c>
      <c r="L31" s="111" t="n">
        <f aca="false">MAX(0,L18-INDEX(A_GPU_B,1,7))</f>
        <v>5116</v>
      </c>
      <c r="M31" s="111" t="n">
        <f aca="false">MAX(0,M18-INDEX(A_GPU_B,1,8))</f>
        <v>17268.0833333333</v>
      </c>
      <c r="N31" s="111" t="n">
        <f aca="false">MAX(0,N18-INDEX(A_GPU_B,1,9))</f>
        <v>14141.1666666667</v>
      </c>
      <c r="O31" s="111" t="n">
        <f aca="false">MAX(0,O18-INDEX(A_GPU_B,1,10))</f>
        <v>18221.1666666667</v>
      </c>
      <c r="P31" s="33" t="n">
        <f aca="false">MAX(0,P18-INDEX(A_GPU_B,1,11))</f>
        <v>18221.1666666667</v>
      </c>
      <c r="Q31" s="33" t="n">
        <f aca="false">MAX(0,Q18-INDEX(A_GPU_B,1,12))</f>
        <v>20877.1666666667</v>
      </c>
      <c r="R31" s="33" t="n">
        <f aca="false">MAX(0,R18-INDEX(A_GPU_B,1,13))</f>
        <v>51699.1666666666</v>
      </c>
      <c r="S31" s="33" t="n">
        <f aca="false">MAX(0,S18-INDEX(A_GPU_B,1,14))</f>
        <v>98659.1666666667</v>
      </c>
      <c r="T31" s="33" t="n">
        <f aca="false">MAX(0,T18-INDEX(A_GPU_B,1,15))</f>
        <v>144060.166666667</v>
      </c>
      <c r="U31" s="33" t="n">
        <f aca="false">MAX(0,U18-INDEX(A_GPU_B,1,16))</f>
        <v>171533.166666667</v>
      </c>
      <c r="V31" s="33" t="n">
        <f aca="false">MAX(0,V18-INDEX(A_GPU_B,1,17))</f>
        <v>205015.166666667</v>
      </c>
      <c r="W31" s="33" t="n">
        <f aca="false">MAX(0,W18-INDEX(A_GPU_B,1,18))</f>
        <v>205015.166666667</v>
      </c>
      <c r="X31" s="33" t="n">
        <f aca="false">MAX(0,X18-INDEX(A_GPU_B,1,19))</f>
        <v>205015.166666667</v>
      </c>
      <c r="Y31" s="33" t="n">
        <f aca="false">MAX(0,Y18-INDEX(A_GPU_B,1,20))</f>
        <v>205015.166666667</v>
      </c>
      <c r="Z31" s="33" t="n">
        <f aca="false">MAX(0,Z18-INDEX(A_GPU_B,1,21))</f>
        <v>229573.166666667</v>
      </c>
      <c r="AA31" s="33" t="n">
        <f aca="false">MAX(0,AA18-INDEX(A_GPU_B,1,22))</f>
        <v>229573.166666667</v>
      </c>
      <c r="AB31" s="33" t="n">
        <f aca="false">MAX(0,AB18-INDEX(A_GPU_B,1,23))</f>
        <v>229573.166666667</v>
      </c>
      <c r="AC31" s="33" t="n">
        <f aca="false">MAX(0,AC18-INDEX(A_GPU_B,1,24))</f>
        <v>229573.166666667</v>
      </c>
      <c r="AD31" s="33" t="n">
        <f aca="false">MAX(0,AD18-INDEX(A_GPU_B,1,25))</f>
        <v>229573.166666667</v>
      </c>
      <c r="AE31" s="33" t="n">
        <f aca="false">MAX(0,AE18-INDEX(A_GPU_B,1,26))</f>
        <v>229573.166666667</v>
      </c>
      <c r="AF31" s="33" t="n">
        <f aca="false">MAX(0,AF18-INDEX(A_GPU_B,1,27))</f>
        <v>229573.166666667</v>
      </c>
      <c r="AG31" s="33" t="n">
        <f aca="false">MAX(0,AG18-INDEX(A_GPU_B,1,28))</f>
        <v>227073.166666667</v>
      </c>
      <c r="AI31" s="33" t="n">
        <f aca="false">INDEX($F31:$AG31,1,MATCH(AI$7,$F$7:$AG$7,1))</f>
        <v>0</v>
      </c>
      <c r="AJ31" s="33" t="n">
        <f aca="false">INDEX($F31:$AG31,1,MATCH(AJ$7,$F$7:$AG$7,1))</f>
        <v>17268.0833333333</v>
      </c>
      <c r="AK31" s="33" t="n">
        <f aca="false">INDEX($F31:$AG31,1,MATCH(AK$7,$F$7:$AG$7,1))</f>
        <v>20877.1666666667</v>
      </c>
      <c r="AL31" s="33" t="n">
        <f aca="false">INDEX($F31:$AG31,1,MATCH(AL$7,$F$7:$AG$7,1))</f>
        <v>171533.166666667</v>
      </c>
      <c r="AM31" s="33" t="n">
        <f aca="false">INDEX($F31:$AG31,1,MATCH(AM$7,$F$7:$AG$7,1))</f>
        <v>205015.166666667</v>
      </c>
      <c r="AN31" s="33" t="n">
        <f aca="false">INDEX($F31:$AG31,1,MATCH(AN$7,$F$7:$AG$7,1))</f>
        <v>229573.166666667</v>
      </c>
      <c r="AO31" s="33" t="n">
        <f aca="false">INDEX($F31:$AG31,1,MATCH(AO$7,$F$7:$AG$7,1))</f>
        <v>227073.166666667</v>
      </c>
    </row>
    <row r="32" customFormat="false" ht="15" hidden="false" customHeight="false" outlineLevel="0" collapsed="false">
      <c r="A32" s="107" t="s">
        <v>2049</v>
      </c>
      <c r="B32" s="22" t="s">
        <v>763</v>
      </c>
      <c r="C32" s="22" t="s">
        <v>540</v>
      </c>
      <c r="D32" s="22" t="s">
        <v>2047</v>
      </c>
      <c r="E32" s="33" t="n">
        <f aca="false">E19</f>
        <v>0</v>
      </c>
      <c r="F32" s="111" t="n">
        <f aca="false">MAX(0,F19-INDEX(A_GPU_N,1,1))</f>
        <v>0</v>
      </c>
      <c r="G32" s="111" t="n">
        <f aca="false">MAX(0,G19-INDEX(A_GPU_N,1,2))</f>
        <v>0</v>
      </c>
      <c r="H32" s="111" t="n">
        <f aca="false">MAX(0,H19-INDEX(A_GPU_N,1,3))</f>
        <v>0</v>
      </c>
      <c r="I32" s="111" t="n">
        <f aca="false">MAX(0,I19-INDEX(A_GPU_N,1,4))</f>
        <v>0</v>
      </c>
      <c r="J32" s="111" t="n">
        <f aca="false">MAX(0,J19-INDEX(A_GPU_N,1,5))</f>
        <v>0</v>
      </c>
      <c r="K32" s="111" t="n">
        <f aca="false">MAX(0,K19-INDEX(A_GPU_N,1,6))</f>
        <v>0</v>
      </c>
      <c r="L32" s="111" t="n">
        <f aca="false">MAX(0,L19-INDEX(A_GPU_N,1,7))</f>
        <v>0</v>
      </c>
      <c r="M32" s="111" t="n">
        <f aca="false">MAX(0,M19-INDEX(A_GPU_N,1,8))</f>
        <v>0</v>
      </c>
      <c r="N32" s="111" t="n">
        <f aca="false">MAX(0,N19-INDEX(A_GPU_N,1,9))</f>
        <v>0</v>
      </c>
      <c r="O32" s="111" t="n">
        <f aca="false">MAX(0,O19-INDEX(A_GPU_N,1,10))</f>
        <v>0</v>
      </c>
      <c r="P32" s="33" t="n">
        <f aca="false">MAX(0,P19-INDEX(A_GPU_N,1,11))</f>
        <v>0</v>
      </c>
      <c r="Q32" s="33" t="n">
        <f aca="false">MAX(0,Q19-INDEX(A_GPU_N,1,12))</f>
        <v>0</v>
      </c>
      <c r="R32" s="33" t="n">
        <f aca="false">MAX(0,R19-INDEX(A_GPU_N,1,13))</f>
        <v>0</v>
      </c>
      <c r="S32" s="33" t="n">
        <f aca="false">MAX(0,S19-INDEX(A_GPU_N,1,14))</f>
        <v>3338</v>
      </c>
      <c r="T32" s="33" t="n">
        <f aca="false">MAX(0,T19-INDEX(A_GPU_N,1,15))</f>
        <v>0</v>
      </c>
      <c r="U32" s="33" t="n">
        <f aca="false">MAX(0,U19-INDEX(A_GPU_N,1,16))</f>
        <v>5911.66666666666</v>
      </c>
      <c r="V32" s="33" t="n">
        <f aca="false">MAX(0,V19-INDEX(A_GPU_N,1,17))</f>
        <v>63312.6666666667</v>
      </c>
      <c r="W32" s="33" t="n">
        <f aca="false">MAX(0,W19-INDEX(A_GPU_N,1,18))</f>
        <v>94012.6666666667</v>
      </c>
      <c r="X32" s="33" t="n">
        <f aca="false">MAX(0,X19-INDEX(A_GPU_N,1,19))</f>
        <v>146076.666666667</v>
      </c>
      <c r="Y32" s="33" t="n">
        <f aca="false">MAX(0,Y19-INDEX(A_GPU_N,1,20))</f>
        <v>150076.666666667</v>
      </c>
      <c r="Z32" s="33" t="n">
        <f aca="false">MAX(0,Z19-INDEX(A_GPU_N,1,21))</f>
        <v>243526.666666667</v>
      </c>
      <c r="AA32" s="33" t="n">
        <f aca="false">MAX(0,AA19-INDEX(A_GPU_N,1,22))</f>
        <v>243526.666666667</v>
      </c>
      <c r="AB32" s="33" t="n">
        <f aca="false">MAX(0,AB19-INDEX(A_GPU_N,1,23))</f>
        <v>355666.666666667</v>
      </c>
      <c r="AC32" s="33" t="n">
        <f aca="false">MAX(0,AC19-INDEX(A_GPU_N,1,24))</f>
        <v>355666.666666667</v>
      </c>
      <c r="AD32" s="33" t="n">
        <f aca="false">MAX(0,AD19-INDEX(A_GPU_N,1,25))</f>
        <v>511861.666666667</v>
      </c>
      <c r="AE32" s="33" t="n">
        <f aca="false">MAX(0,AE19-INDEX(A_GPU_N,1,26))</f>
        <v>511861.666666667</v>
      </c>
      <c r="AF32" s="33" t="n">
        <f aca="false">MAX(0,AF19-INDEX(A_GPU_N,1,27))</f>
        <v>511861.666666667</v>
      </c>
      <c r="AG32" s="33" t="n">
        <f aca="false">MAX(0,AG19-INDEX(A_GPU_N,1,28))</f>
        <v>511861.666666667</v>
      </c>
      <c r="AI32" s="33" t="n">
        <f aca="false">INDEX($F32:$AG32,1,MATCH(AI$7,$F$7:$AG$7,1))</f>
        <v>0</v>
      </c>
      <c r="AJ32" s="33" t="n">
        <f aca="false">INDEX($F32:$AG32,1,MATCH(AJ$7,$F$7:$AG$7,1))</f>
        <v>0</v>
      </c>
      <c r="AK32" s="33" t="n">
        <f aca="false">INDEX($F32:$AG32,1,MATCH(AK$7,$F$7:$AG$7,1))</f>
        <v>0</v>
      </c>
      <c r="AL32" s="33" t="n">
        <f aca="false">INDEX($F32:$AG32,1,MATCH(AL$7,$F$7:$AG$7,1))</f>
        <v>5911.66666666666</v>
      </c>
      <c r="AM32" s="33" t="n">
        <f aca="false">INDEX($F32:$AG32,1,MATCH(AM$7,$F$7:$AG$7,1))</f>
        <v>150076.666666667</v>
      </c>
      <c r="AN32" s="33" t="n">
        <f aca="false">INDEX($F32:$AG32,1,MATCH(AN$7,$F$7:$AG$7,1))</f>
        <v>355666.666666667</v>
      </c>
      <c r="AO32" s="33" t="n">
        <f aca="false">INDEX($F32:$AG32,1,MATCH(AO$7,$F$7:$AG$7,1))</f>
        <v>511861.666666667</v>
      </c>
    </row>
    <row r="33" customFormat="false" ht="15" hidden="false" customHeight="false" outlineLevel="0" collapsed="false">
      <c r="A33" s="107" t="s">
        <v>2050</v>
      </c>
      <c r="B33" s="22" t="s">
        <v>763</v>
      </c>
      <c r="C33" s="22" t="s">
        <v>540</v>
      </c>
      <c r="D33" s="22"/>
      <c r="F33" s="111" t="n">
        <f aca="false">AVERAGE(E30,F30)</f>
        <v>13713</v>
      </c>
      <c r="G33" s="111" t="n">
        <f aca="false">AVERAGE(F30,G30)</f>
        <v>13713</v>
      </c>
      <c r="H33" s="111" t="n">
        <f aca="false">AVERAGE(G30,H30)</f>
        <v>13713</v>
      </c>
      <c r="I33" s="111" t="n">
        <f aca="false">AVERAGE(H30,I30)</f>
        <v>15084.5</v>
      </c>
      <c r="J33" s="111" t="n">
        <f aca="false">AVERAGE(I30,J30)</f>
        <v>23228</v>
      </c>
      <c r="K33" s="111" t="n">
        <f aca="false">AVERAGE(J30,K30)</f>
        <v>30000</v>
      </c>
      <c r="L33" s="111" t="n">
        <f aca="false">AVERAGE(K30,L30)</f>
        <v>30000</v>
      </c>
      <c r="M33" s="111" t="n">
        <f aca="false">AVERAGE(L30,M30)</f>
        <v>30000</v>
      </c>
      <c r="N33" s="111" t="n">
        <f aca="false">AVERAGE(M30,N30)</f>
        <v>30000</v>
      </c>
      <c r="O33" s="111" t="n">
        <f aca="false">AVERAGE(N30,O30)</f>
        <v>30000</v>
      </c>
      <c r="P33" s="33" t="n">
        <f aca="false">AVERAGE(O30,P30)</f>
        <v>30000</v>
      </c>
      <c r="Q33" s="33" t="n">
        <f aca="false">AVERAGE(P30,Q30)</f>
        <v>30000</v>
      </c>
      <c r="R33" s="33" t="n">
        <f aca="false">AVERAGE(Q30,R30)</f>
        <v>30000</v>
      </c>
      <c r="S33" s="33" t="n">
        <f aca="false">AVERAGE(R30,S30)</f>
        <v>30000</v>
      </c>
      <c r="T33" s="33" t="n">
        <f aca="false">AVERAGE(S30,T30)</f>
        <v>30000</v>
      </c>
      <c r="U33" s="33" t="n">
        <f aca="false">AVERAGE(T30,U30)</f>
        <v>30000</v>
      </c>
      <c r="V33" s="33" t="n">
        <f aca="false">AVERAGE(U30,V30)</f>
        <v>30000</v>
      </c>
      <c r="W33" s="33" t="n">
        <f aca="false">AVERAGE(V30,W30)</f>
        <v>30000</v>
      </c>
      <c r="X33" s="33" t="n">
        <f aca="false">AVERAGE(W30,X30)</f>
        <v>30000</v>
      </c>
      <c r="Y33" s="33" t="n">
        <f aca="false">AVERAGE(X30,Y30)</f>
        <v>30000</v>
      </c>
      <c r="Z33" s="33" t="n">
        <f aca="false">AVERAGE(Y30,Z30)</f>
        <v>30000</v>
      </c>
      <c r="AA33" s="33" t="n">
        <f aca="false">AVERAGE(Z30,AA30)</f>
        <v>30000</v>
      </c>
      <c r="AB33" s="33" t="n">
        <f aca="false">AVERAGE(AA30,AB30)</f>
        <v>30000</v>
      </c>
      <c r="AC33" s="33" t="n">
        <f aca="false">AVERAGE(AB30,AC30)</f>
        <v>30000</v>
      </c>
      <c r="AD33" s="33" t="n">
        <f aca="false">AVERAGE(AC30,AD30)</f>
        <v>30000</v>
      </c>
      <c r="AE33" s="33" t="n">
        <f aca="false">AVERAGE(AD30,AE30)</f>
        <v>30000</v>
      </c>
      <c r="AF33" s="33" t="n">
        <f aca="false">AVERAGE(AE30,AF30)</f>
        <v>30000</v>
      </c>
      <c r="AG33" s="33" t="n">
        <f aca="false">AVERAGE(AF30,AG30)</f>
        <v>30000</v>
      </c>
      <c r="AI33" s="33" t="n">
        <f aca="false">AVERAGEIF($F$7:$AG$7,AI$7,$F33:$AG33)</f>
        <v>14055.875</v>
      </c>
      <c r="AJ33" s="33" t="n">
        <f aca="false">AVERAGEIF($F$7:$AG$7,AJ$7,$F33:$AG33)</f>
        <v>28307</v>
      </c>
      <c r="AK33" s="33" t="n">
        <f aca="false">AVERAGEIF($F$7:$AG$7,AK$7,$F33:$AG33)</f>
        <v>30000</v>
      </c>
      <c r="AL33" s="33" t="n">
        <f aca="false">AVERAGEIF($F$7:$AG$7,AL$7,$F33:$AG33)</f>
        <v>30000</v>
      </c>
      <c r="AM33" s="33" t="n">
        <f aca="false">AVERAGEIF($F$7:$AG$7,AM$7,$F33:$AG33)</f>
        <v>30000</v>
      </c>
      <c r="AN33" s="33" t="n">
        <f aca="false">AVERAGEIF($F$7:$AG$7,AN$7,$F33:$AG33)</f>
        <v>30000</v>
      </c>
      <c r="AO33" s="33" t="n">
        <f aca="false">AVERAGEIF($F$7:$AG$7,AO$7,$F33:$AG33)</f>
        <v>30000</v>
      </c>
    </row>
    <row r="34" customFormat="false" ht="15" hidden="false" customHeight="false" outlineLevel="0" collapsed="false">
      <c r="A34" s="107" t="s">
        <v>2051</v>
      </c>
      <c r="B34" s="22" t="s">
        <v>763</v>
      </c>
      <c r="C34" s="22" t="s">
        <v>540</v>
      </c>
      <c r="D34" s="22"/>
      <c r="F34" s="111" t="n">
        <f aca="false">AVERAGE(E31,F31)</f>
        <v>0</v>
      </c>
      <c r="G34" s="111" t="n">
        <f aca="false">AVERAGE(F31,G31)</f>
        <v>0</v>
      </c>
      <c r="H34" s="111" t="n">
        <f aca="false">AVERAGE(G31,H31)</f>
        <v>0</v>
      </c>
      <c r="I34" s="111" t="n">
        <f aca="false">AVERAGE(H31,I31)</f>
        <v>0</v>
      </c>
      <c r="J34" s="111" t="n">
        <f aca="false">AVERAGE(I31,J31)</f>
        <v>0</v>
      </c>
      <c r="K34" s="111" t="n">
        <f aca="false">AVERAGE(J31,K31)</f>
        <v>0</v>
      </c>
      <c r="L34" s="111" t="n">
        <f aca="false">AVERAGE(K31,L31)</f>
        <v>2558</v>
      </c>
      <c r="M34" s="111" t="n">
        <f aca="false">AVERAGE(L31,M31)</f>
        <v>11192.0416666667</v>
      </c>
      <c r="N34" s="111" t="n">
        <f aca="false">AVERAGE(M31,N31)</f>
        <v>15704.625</v>
      </c>
      <c r="O34" s="111" t="n">
        <f aca="false">AVERAGE(N31,O31)</f>
        <v>16181.1666666667</v>
      </c>
      <c r="P34" s="33" t="n">
        <f aca="false">AVERAGE(O31,P31)</f>
        <v>18221.1666666667</v>
      </c>
      <c r="Q34" s="33" t="n">
        <f aca="false">AVERAGE(P31,Q31)</f>
        <v>19549.1666666667</v>
      </c>
      <c r="R34" s="33" t="n">
        <f aca="false">AVERAGE(Q31,R31)</f>
        <v>36288.1666666667</v>
      </c>
      <c r="S34" s="33" t="n">
        <f aca="false">AVERAGE(R31,S31)</f>
        <v>75179.1666666667</v>
      </c>
      <c r="T34" s="33" t="n">
        <f aca="false">AVERAGE(S31,T31)</f>
        <v>121359.666666667</v>
      </c>
      <c r="U34" s="33" t="n">
        <f aca="false">AVERAGE(T31,U31)</f>
        <v>157796.666666667</v>
      </c>
      <c r="V34" s="33" t="n">
        <f aca="false">AVERAGE(U31,V31)</f>
        <v>188274.166666667</v>
      </c>
      <c r="W34" s="33" t="n">
        <f aca="false">AVERAGE(V31,W31)</f>
        <v>205015.166666667</v>
      </c>
      <c r="X34" s="33" t="n">
        <f aca="false">AVERAGE(W31,X31)</f>
        <v>205015.166666667</v>
      </c>
      <c r="Y34" s="33" t="n">
        <f aca="false">AVERAGE(X31,Y31)</f>
        <v>205015.166666667</v>
      </c>
      <c r="Z34" s="33" t="n">
        <f aca="false">AVERAGE(Y31,Z31)</f>
        <v>217294.166666667</v>
      </c>
      <c r="AA34" s="33" t="n">
        <f aca="false">AVERAGE(Z31,AA31)</f>
        <v>229573.166666667</v>
      </c>
      <c r="AB34" s="33" t="n">
        <f aca="false">AVERAGE(AA31,AB31)</f>
        <v>229573.166666667</v>
      </c>
      <c r="AC34" s="33" t="n">
        <f aca="false">AVERAGE(AB31,AC31)</f>
        <v>229573.166666667</v>
      </c>
      <c r="AD34" s="33" t="n">
        <f aca="false">AVERAGE(AC31,AD31)</f>
        <v>229573.166666667</v>
      </c>
      <c r="AE34" s="33" t="n">
        <f aca="false">AVERAGE(AD31,AE31)</f>
        <v>229573.166666667</v>
      </c>
      <c r="AF34" s="33" t="n">
        <f aca="false">AVERAGE(AE31,AF31)</f>
        <v>229573.166666667</v>
      </c>
      <c r="AG34" s="33" t="n">
        <f aca="false">AVERAGE(AF31,AG31)</f>
        <v>228323.166666667</v>
      </c>
      <c r="AI34" s="33" t="n">
        <f aca="false">AVERAGEIF($F$7:$AG$7,AI$7,$F34:$AG34)</f>
        <v>0</v>
      </c>
      <c r="AJ34" s="33" t="n">
        <f aca="false">AVERAGEIF($F$7:$AG$7,AJ$7,$F34:$AG34)</f>
        <v>3437.51041666667</v>
      </c>
      <c r="AK34" s="33" t="n">
        <f aca="false">AVERAGEIF($F$7:$AG$7,AK$7,$F34:$AG34)</f>
        <v>17414.03125</v>
      </c>
      <c r="AL34" s="33" t="n">
        <f aca="false">AVERAGEIF($F$7:$AG$7,AL$7,$F34:$AG34)</f>
        <v>97655.9166666667</v>
      </c>
      <c r="AM34" s="33" t="n">
        <f aca="false">AVERAGEIF($F$7:$AG$7,AM$7,$F34:$AG34)</f>
        <v>200829.916666667</v>
      </c>
      <c r="AN34" s="33" t="n">
        <f aca="false">AVERAGEIF($F$7:$AG$7,AN$7,$F34:$AG34)</f>
        <v>226503.416666667</v>
      </c>
      <c r="AO34" s="33" t="n">
        <f aca="false">AVERAGEIF($F$7:$AG$7,AO$7,$F34:$AG34)</f>
        <v>229260.666666667</v>
      </c>
    </row>
    <row r="35" customFormat="false" ht="15" hidden="false" customHeight="false" outlineLevel="0" collapsed="false">
      <c r="A35" s="107" t="s">
        <v>2052</v>
      </c>
      <c r="B35" s="22" t="s">
        <v>763</v>
      </c>
      <c r="C35" s="22" t="s">
        <v>540</v>
      </c>
      <c r="D35" s="22"/>
      <c r="F35" s="111" t="n">
        <f aca="false">AVERAGE(E32,F32)</f>
        <v>0</v>
      </c>
      <c r="G35" s="111" t="n">
        <f aca="false">AVERAGE(F32,G32)</f>
        <v>0</v>
      </c>
      <c r="H35" s="111" t="n">
        <f aca="false">AVERAGE(G32,H32)</f>
        <v>0</v>
      </c>
      <c r="I35" s="111" t="n">
        <f aca="false">AVERAGE(H32,I32)</f>
        <v>0</v>
      </c>
      <c r="J35" s="111" t="n">
        <f aca="false">AVERAGE(I32,J32)</f>
        <v>0</v>
      </c>
      <c r="K35" s="111" t="n">
        <f aca="false">AVERAGE(J32,K32)</f>
        <v>0</v>
      </c>
      <c r="L35" s="111" t="n">
        <f aca="false">AVERAGE(K32,L32)</f>
        <v>0</v>
      </c>
      <c r="M35" s="111" t="n">
        <f aca="false">AVERAGE(L32,M32)</f>
        <v>0</v>
      </c>
      <c r="N35" s="111" t="n">
        <f aca="false">AVERAGE(M32,N32)</f>
        <v>0</v>
      </c>
      <c r="O35" s="111" t="n">
        <f aca="false">AVERAGE(N32,O32)</f>
        <v>0</v>
      </c>
      <c r="P35" s="33" t="n">
        <f aca="false">AVERAGE(O32,P32)</f>
        <v>0</v>
      </c>
      <c r="Q35" s="33" t="n">
        <f aca="false">AVERAGE(P32,Q32)</f>
        <v>0</v>
      </c>
      <c r="R35" s="33" t="n">
        <f aca="false">AVERAGE(Q32,R32)</f>
        <v>0</v>
      </c>
      <c r="S35" s="33" t="n">
        <f aca="false">AVERAGE(R32,S32)</f>
        <v>1669</v>
      </c>
      <c r="T35" s="33" t="n">
        <f aca="false">AVERAGE(S32,T32)</f>
        <v>1669</v>
      </c>
      <c r="U35" s="33" t="n">
        <f aca="false">AVERAGE(T32,U32)</f>
        <v>2955.83333333333</v>
      </c>
      <c r="V35" s="33" t="n">
        <f aca="false">AVERAGE(U32,V32)</f>
        <v>34612.1666666667</v>
      </c>
      <c r="W35" s="33" t="n">
        <f aca="false">AVERAGE(V32,W32)</f>
        <v>78662.6666666667</v>
      </c>
      <c r="X35" s="33" t="n">
        <f aca="false">AVERAGE(W32,X32)</f>
        <v>120044.666666667</v>
      </c>
      <c r="Y35" s="33" t="n">
        <f aca="false">AVERAGE(X32,Y32)</f>
        <v>148076.666666667</v>
      </c>
      <c r="Z35" s="33" t="n">
        <f aca="false">AVERAGE(Y32,Z32)</f>
        <v>196801.666666667</v>
      </c>
      <c r="AA35" s="33" t="n">
        <f aca="false">AVERAGE(Z32,AA32)</f>
        <v>243526.666666667</v>
      </c>
      <c r="AB35" s="33" t="n">
        <f aca="false">AVERAGE(AA32,AB32)</f>
        <v>299596.666666667</v>
      </c>
      <c r="AC35" s="33" t="n">
        <f aca="false">AVERAGE(AB32,AC32)</f>
        <v>355666.666666667</v>
      </c>
      <c r="AD35" s="33" t="n">
        <f aca="false">AVERAGE(AC32,AD32)</f>
        <v>433764.166666667</v>
      </c>
      <c r="AE35" s="33" t="n">
        <f aca="false">AVERAGE(AD32,AE32)</f>
        <v>511861.666666667</v>
      </c>
      <c r="AF35" s="33" t="n">
        <f aca="false">AVERAGE(AE32,AF32)</f>
        <v>511861.666666667</v>
      </c>
      <c r="AG35" s="33" t="n">
        <f aca="false">AVERAGE(AF32,AG32)</f>
        <v>511861.666666667</v>
      </c>
      <c r="AI35" s="33" t="n">
        <f aca="false">AVERAGEIF($F$7:$AG$7,AI$7,$F35:$AG35)</f>
        <v>0</v>
      </c>
      <c r="AJ35" s="33" t="n">
        <f aca="false">AVERAGEIF($F$7:$AG$7,AJ$7,$F35:$AG35)</f>
        <v>0</v>
      </c>
      <c r="AK35" s="33" t="n">
        <f aca="false">AVERAGEIF($F$7:$AG$7,AK$7,$F35:$AG35)</f>
        <v>0</v>
      </c>
      <c r="AL35" s="33" t="n">
        <f aca="false">AVERAGEIF($F$7:$AG$7,AL$7,$F35:$AG35)</f>
        <v>1573.45833333333</v>
      </c>
      <c r="AM35" s="33" t="n">
        <f aca="false">AVERAGEIF($F$7:$AG$7,AM$7,$F35:$AG35)</f>
        <v>95349.0416666667</v>
      </c>
      <c r="AN35" s="33" t="n">
        <f aca="false">AVERAGEIF($F$7:$AG$7,AN$7,$F35:$AG35)</f>
        <v>273897.916666667</v>
      </c>
      <c r="AO35" s="33" t="n">
        <f aca="false">AVERAGEIF($F$7:$AG$7,AO$7,$F35:$AG35)</f>
        <v>492337.291666667</v>
      </c>
    </row>
    <row r="36" customFormat="false" ht="15" hidden="false" customHeight="false" outlineLevel="0" collapsed="false">
      <c r="A36" s="107" t="s">
        <v>2053</v>
      </c>
      <c r="B36" s="22" t="s">
        <v>664</v>
      </c>
      <c r="C36" s="22" t="s">
        <v>540</v>
      </c>
      <c r="D36" s="22"/>
      <c r="F36" s="111" t="n">
        <f aca="false">MAX(0,F24+F25-F11)</f>
        <v>0</v>
      </c>
      <c r="G36" s="111" t="n">
        <f aca="false">MAX(0,G24+G25-G11)</f>
        <v>0</v>
      </c>
      <c r="H36" s="111" t="n">
        <f aca="false">MAX(0,H24+H25-H11)</f>
        <v>0</v>
      </c>
      <c r="I36" s="111" t="n">
        <f aca="false">MAX(0,I24+I25-I11)</f>
        <v>0</v>
      </c>
      <c r="J36" s="111" t="n">
        <f aca="false">MAX(0,J24+J25-J11)</f>
        <v>0</v>
      </c>
      <c r="K36" s="111" t="n">
        <f aca="false">MAX(0,K24+K25-K11)</f>
        <v>0</v>
      </c>
      <c r="L36" s="111" t="n">
        <f aca="false">MAX(0,L24+L25-L11)</f>
        <v>0</v>
      </c>
      <c r="M36" s="111" t="n">
        <f aca="false">MAX(0,M24+M25-M11)</f>
        <v>0</v>
      </c>
      <c r="N36" s="111" t="n">
        <f aca="false">MAX(0,N24+N25-N11)</f>
        <v>0</v>
      </c>
      <c r="O36" s="111" t="n">
        <f aca="false">MAX(0,O24+O25-O11)</f>
        <v>0</v>
      </c>
      <c r="P36" s="33" t="n">
        <f aca="false">MAX(0,P24+P25-P11)</f>
        <v>0</v>
      </c>
      <c r="Q36" s="33" t="n">
        <f aca="false">MAX(0,Q24+Q25-Q11)</f>
        <v>0</v>
      </c>
      <c r="R36" s="33" t="n">
        <f aca="false">MAX(0,R24+R25-R11)</f>
        <v>0</v>
      </c>
      <c r="S36" s="33" t="n">
        <f aca="false">MAX(0,S24+S25-S11)</f>
        <v>0</v>
      </c>
      <c r="T36" s="33" t="n">
        <f aca="false">MAX(0,T24+T25-T11)</f>
        <v>0</v>
      </c>
      <c r="U36" s="33" t="n">
        <f aca="false">MAX(0,U24+U25-U11)</f>
        <v>0</v>
      </c>
      <c r="V36" s="33" t="n">
        <f aca="false">MAX(0,V24+V25-V11)</f>
        <v>0</v>
      </c>
      <c r="W36" s="33" t="n">
        <f aca="false">MAX(0,W24+W25-W11)</f>
        <v>0</v>
      </c>
      <c r="X36" s="33" t="n">
        <f aca="false">MAX(0,X24+X25-X11)</f>
        <v>0</v>
      </c>
      <c r="Y36" s="33" t="n">
        <f aca="false">MAX(0,Y24+Y25-Y11)</f>
        <v>0</v>
      </c>
      <c r="Z36" s="33" t="n">
        <f aca="false">MAX(0,Z24+Z25-Z11)</f>
        <v>0</v>
      </c>
      <c r="AA36" s="33" t="n">
        <f aca="false">MAX(0,AA24+AA25-AA11)</f>
        <v>0</v>
      </c>
      <c r="AB36" s="33" t="n">
        <f aca="false">MAX(0,AB24+AB25-AB11)</f>
        <v>0</v>
      </c>
      <c r="AC36" s="33" t="n">
        <f aca="false">MAX(0,AC24+AC25-AC11)</f>
        <v>0</v>
      </c>
      <c r="AD36" s="33" t="n">
        <f aca="false">MAX(0,AD24+AD25-AD11)</f>
        <v>0</v>
      </c>
      <c r="AE36" s="33" t="n">
        <f aca="false">MAX(0,AE24+AE25-AE11)</f>
        <v>0</v>
      </c>
      <c r="AF36" s="33" t="n">
        <f aca="false">MAX(0,AF24+AF25-AF11)</f>
        <v>0</v>
      </c>
      <c r="AG36" s="33" t="n">
        <f aca="false">MAX(0,AG24+AG25-AG11)</f>
        <v>0</v>
      </c>
      <c r="AI36" s="33" t="n">
        <f aca="false">INDEX($F36:$AG36,1,MATCH(AI$7,$F$7:$AG$7,1))</f>
        <v>0</v>
      </c>
      <c r="AJ36" s="33" t="n">
        <f aca="false">INDEX($F36:$AG36,1,MATCH(AJ$7,$F$7:$AG$7,1))</f>
        <v>0</v>
      </c>
      <c r="AK36" s="33" t="n">
        <f aca="false">INDEX($F36:$AG36,1,MATCH(AK$7,$F$7:$AG$7,1))</f>
        <v>0</v>
      </c>
      <c r="AL36" s="33" t="n">
        <f aca="false">INDEX($F36:$AG36,1,MATCH(AL$7,$F$7:$AG$7,1))</f>
        <v>0</v>
      </c>
      <c r="AM36" s="33" t="n">
        <f aca="false">INDEX($F36:$AG36,1,MATCH(AM$7,$F$7:$AG$7,1))</f>
        <v>0</v>
      </c>
      <c r="AN36" s="33" t="n">
        <f aca="false">INDEX($F36:$AG36,1,MATCH(AN$7,$F$7:$AG$7,1))</f>
        <v>0</v>
      </c>
      <c r="AO36" s="33" t="n">
        <f aca="false">INDEX($F36:$AG36,1,MATCH(AO$7,$F$7:$AG$7,1))</f>
        <v>0</v>
      </c>
    </row>
    <row r="38" customFormat="false" ht="15" hidden="false" customHeight="false" outlineLevel="0" collapsed="false">
      <c r="A38" s="58" t="s">
        <v>2054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</row>
    <row r="39" customFormat="false" ht="15" hidden="false" customHeight="false" outlineLevel="0" collapsed="false">
      <c r="A39" s="107" t="s">
        <v>2055</v>
      </c>
      <c r="B39" s="22" t="s">
        <v>613</v>
      </c>
      <c r="C39" s="22" t="s">
        <v>540</v>
      </c>
      <c r="D39" s="22" t="s">
        <v>2056</v>
      </c>
      <c r="F39" s="124" t="n">
        <f aca="false">F33*Timeline!F$9*INDEX(ResSh,1,F$7-FYBase)*INDEX(P_RES_H,1,1)/1000000</f>
        <v>71.024508828</v>
      </c>
      <c r="G39" s="124" t="n">
        <f aca="false">G33*Timeline!G$9*INDEX(ResSh,1,G$7-FYBase)*INDEX(P_RES_H,1,2)/1000000</f>
        <v>71.024508828</v>
      </c>
      <c r="H39" s="124" t="n">
        <f aca="false">H33*Timeline!H$9*INDEX(ResSh,1,H$7-FYBase)*INDEX(P_RES_H,1,3)/1000000</f>
        <v>71.804997936</v>
      </c>
      <c r="I39" s="124" t="n">
        <f aca="false">I33*Timeline!I$9*INDEX(ResSh,1,I$7-FYBase)*INDEX(P_RES_H,1,4)/1000000</f>
        <v>78.986544984</v>
      </c>
      <c r="J39" s="124" t="n">
        <f aca="false">J33*Timeline!J$9*INDEX(ResSh,1,J$7-FYBase)*INDEX(P_RES_H,1,5)/1000000</f>
        <v>123.183472896</v>
      </c>
      <c r="K39" s="124" t="n">
        <f aca="false">K33*Timeline!K$9*INDEX(ResSh,1,K$7-FYBase)*INDEX(P_RES_H,1,6)/1000000</f>
        <v>160.864704</v>
      </c>
      <c r="L39" s="124" t="n">
        <f aca="false">L33*Timeline!L$9*INDEX(ResSh,1,L$7-FYBase)*INDEX(P_RES_H,1,7)/1000000</f>
        <v>162.632448</v>
      </c>
      <c r="M39" s="124" t="n">
        <f aca="false">M33*Timeline!M$9*INDEX(ResSh,1,M$7-FYBase)*INDEX(P_RES_H,1,8)/1000000</f>
        <v>162.632448</v>
      </c>
      <c r="N39" s="124" t="n">
        <f aca="false">N33*Timeline!N$9*INDEX(ResSh,1,N$7-FYBase)*INDEX(P_RES_H,1,9)/1000000</f>
        <v>162.7128</v>
      </c>
      <c r="O39" s="124" t="n">
        <f aca="false">O33*Timeline!O$9*INDEX(ResSh,1,O$7-FYBase)*INDEX(P_RES_H,1,10)/1000000</f>
        <v>164.52072</v>
      </c>
      <c r="P39" s="125" t="n">
        <f aca="false">P33*Timeline!P$9*INDEX(ResSh,1,P$7-FYBase)*INDEX(P_RES_H,1,11)/1000000</f>
        <v>167.938272</v>
      </c>
      <c r="Q39" s="125" t="n">
        <f aca="false">Q33*Timeline!Q$9*INDEX(ResSh,1,Q$7-FYBase)*INDEX(P_RES_H,1,12)/1000000</f>
        <v>177.864336</v>
      </c>
      <c r="R39" s="125" t="n">
        <f aca="false">R33*Timeline!R$9*INDEX(ResSh,1,R$7-FYBase)*INDEX(P_RES_H,1,13)/1000000</f>
        <v>176.536780562041</v>
      </c>
      <c r="S39" s="125" t="n">
        <f aca="false">S33*Timeline!S$9*INDEX(ResSh,1,S$7-FYBase)*INDEX(P_RES_H,1,14)/1000000</f>
        <v>179.140232984773</v>
      </c>
      <c r="T39" s="125" t="n">
        <f aca="false">T33*Timeline!T$9*INDEX(ResSh,1,T$7-FYBase)*INDEX(P_RES_H,1,15)/1000000</f>
        <v>179.929223761457</v>
      </c>
      <c r="U39" s="125" t="n">
        <f aca="false">U33*Timeline!U$9*INDEX(ResSh,1,U$7-FYBase)*INDEX(P_RES_H,1,16)/1000000</f>
        <v>177.0326928</v>
      </c>
      <c r="V39" s="125" t="n">
        <f aca="false">V33*Timeline!V$9*INDEX(ResSh,1,V$7-FYBase)*INDEX(P_RES_H,1,17)/1000000</f>
        <v>170.649576519693</v>
      </c>
      <c r="W39" s="125" t="n">
        <f aca="false">W33*Timeline!W$9*INDEX(ResSh,1,W$7-FYBase)*INDEX(P_RES_H,1,18)/1000000</f>
        <v>164.695784074114</v>
      </c>
      <c r="X39" s="125" t="n">
        <f aca="false">X33*Timeline!X$9*INDEX(ResSh,1,X$7-FYBase)*INDEX(P_RES_H,1,19)/1000000</f>
        <v>159.876137915582</v>
      </c>
      <c r="Y39" s="125" t="n">
        <f aca="false">Y33*Timeline!Y$9*INDEX(ResSh,1,Y$7-FYBase)*INDEX(P_RES_H,1,20)/1000000</f>
        <v>153.51060384</v>
      </c>
      <c r="Z39" s="125" t="n">
        <f aca="false">Z33*Timeline!Z$9*INDEX(ResSh,1,Z$7-FYBase)*INDEX(P_RES_H,1,21)/1000000</f>
        <v>144.194200549532</v>
      </c>
      <c r="AA39" s="125" t="n">
        <f aca="false">AA33*Timeline!AA$9*INDEX(ResSh,1,AA$7-FYBase)*INDEX(P_RES_H,1,22)/1000000</f>
        <v>139.991416462997</v>
      </c>
      <c r="AB39" s="125" t="n">
        <f aca="false">AB33*Timeline!AB$9*INDEX(ResSh,1,AB$7-FYBase)*INDEX(P_RES_H,1,23)/1000000</f>
        <v>135.894717228244</v>
      </c>
      <c r="AC39" s="125" t="n">
        <f aca="false">AC33*Timeline!AC$9*INDEX(ResSh,1,AC$7-FYBase)*INDEX(P_RES_H,1,24)/1000000</f>
        <v>130.484013264</v>
      </c>
      <c r="AD39" s="125" t="n">
        <f aca="false">AD33*Timeline!AD$9*INDEX(ResSh,1,AD$7-FYBase)*INDEX(P_RES_H,1,25)/1000000</f>
        <v>122.565070467102</v>
      </c>
      <c r="AE39" s="125" t="n">
        <f aca="false">AE33*Timeline!AE$9*INDEX(ResSh,1,AE$7-FYBase)*INDEX(P_RES_H,1,26)/1000000</f>
        <v>118.992703993547</v>
      </c>
      <c r="AF39" s="125" t="n">
        <f aca="false">AF33*Timeline!AF$9*INDEX(ResSh,1,AF$7-FYBase)*INDEX(P_RES_H,1,27)/1000000</f>
        <v>115.510509644008</v>
      </c>
      <c r="AG39" s="125" t="n">
        <f aca="false">AG33*Timeline!AG$9*INDEX(ResSh,1,AG$7-FYBase)*INDEX(P_RES_H,1,28)/1000000</f>
        <v>110.9114112744</v>
      </c>
      <c r="AI39" s="125" t="n">
        <f aca="false">SUMIF($F$7:$AG$7,AI$7,$F39:$AG39)</f>
        <v>292.840560576</v>
      </c>
      <c r="AJ39" s="125" t="n">
        <f aca="false">SUMIF($F$7:$AG$7,AJ$7,$F39:$AG39)</f>
        <v>609.313072896</v>
      </c>
      <c r="AK39" s="125" t="n">
        <f aca="false">SUMIF($F$7:$AG$7,AK$7,$F39:$AG39)</f>
        <v>673.036128</v>
      </c>
      <c r="AL39" s="125" t="n">
        <f aca="false">SUMIF($F$7:$AG$7,AL$7,$F39:$AG39)</f>
        <v>712.638930108271</v>
      </c>
      <c r="AM39" s="125" t="n">
        <f aca="false">SUMIF($F$7:$AG$7,AM$7,$F39:$AG39)</f>
        <v>648.732102349388</v>
      </c>
      <c r="AN39" s="125" t="n">
        <f aca="false">SUMIF($F$7:$AG$7,AN$7,$F39:$AG39)</f>
        <v>550.564347504773</v>
      </c>
      <c r="AO39" s="125" t="n">
        <f aca="false">SUMIF($F$7:$AG$7,AO$7,$F39:$AG39)</f>
        <v>467.979695379057</v>
      </c>
    </row>
    <row r="40" customFormat="false" ht="15" hidden="false" customHeight="false" outlineLevel="0" collapsed="false">
      <c r="A40" s="107" t="s">
        <v>2057</v>
      </c>
      <c r="B40" s="22" t="s">
        <v>613</v>
      </c>
      <c r="C40" s="22" t="s">
        <v>540</v>
      </c>
      <c r="D40" s="22" t="s">
        <v>2056</v>
      </c>
      <c r="F40" s="124" t="n">
        <f aca="false">F34*Timeline!F$9*INDEX(ResSh,1,F$7-FYBase)*INDEX(P_RES_B,1,1)/1000000</f>
        <v>0</v>
      </c>
      <c r="G40" s="124" t="n">
        <f aca="false">G34*Timeline!G$9*INDEX(ResSh,1,G$7-FYBase)*INDEX(P_RES_B,1,2)/1000000</f>
        <v>0</v>
      </c>
      <c r="H40" s="124" t="n">
        <f aca="false">H34*Timeline!H$9*INDEX(ResSh,1,H$7-FYBase)*INDEX(P_RES_B,1,3)/1000000</f>
        <v>0</v>
      </c>
      <c r="I40" s="124" t="n">
        <f aca="false">I34*Timeline!I$9*INDEX(ResSh,1,I$7-FYBase)*INDEX(P_RES_B,1,4)/1000000</f>
        <v>0</v>
      </c>
      <c r="J40" s="124" t="n">
        <f aca="false">J34*Timeline!J$9*INDEX(ResSh,1,J$7-FYBase)*INDEX(P_RES_B,1,5)/1000000</f>
        <v>0</v>
      </c>
      <c r="K40" s="124" t="n">
        <f aca="false">K34*Timeline!K$9*INDEX(ResSh,1,K$7-FYBase)*INDEX(P_RES_B,1,6)/1000000</f>
        <v>0</v>
      </c>
      <c r="L40" s="124" t="n">
        <f aca="false">L34*Timeline!L$9*INDEX(ResSh,1,L$7-FYBase)*INDEX(P_RES_B,1,7)/1000000</f>
        <v>30.5559900923904</v>
      </c>
      <c r="M40" s="124" t="n">
        <f aca="false">M34*Timeline!M$9*INDEX(ResSh,1,M$7-FYBase)*INDEX(P_RES_B,1,8)/1000000</f>
        <v>133.691913323021</v>
      </c>
      <c r="N40" s="124" t="n">
        <f aca="false">N34*Timeline!N$9*INDEX(ResSh,1,N$7-FYBase)*INDEX(P_RES_B,1,9)/1000000</f>
        <v>187.68860672652</v>
      </c>
      <c r="O40" s="124" t="n">
        <f aca="false">O34*Timeline!O$9*INDEX(ResSh,1,O$7-FYBase)*INDEX(P_RES_B,1,10)/1000000</f>
        <v>195.532545381264</v>
      </c>
      <c r="P40" s="125" t="n">
        <f aca="false">P34*Timeline!P$9*INDEX(ResSh,1,P$7-FYBase)*INDEX(P_RES_B,1,11)/1000000</f>
        <v>222.603423006528</v>
      </c>
      <c r="Q40" s="125" t="n">
        <f aca="false">Q34*Timeline!Q$9*INDEX(ResSh,1,Q$7-FYBase)*INDEX(P_RES_B,1,12)/1000000</f>
        <v>253.612990372176</v>
      </c>
      <c r="R40" s="125" t="n">
        <f aca="false">R34*Timeline!R$9*INDEX(ResSh,1,R$7-FYBase)*INDEX(P_RES_B,1,13)/1000000</f>
        <v>475.169362896663</v>
      </c>
      <c r="S40" s="125" t="n">
        <f aca="false">S34*Timeline!S$9*INDEX(ResSh,1,S$7-FYBase)*INDEX(P_RES_B,1,14)/1000000</f>
        <v>966.812081027739</v>
      </c>
      <c r="T40" s="125" t="n">
        <f aca="false">T34*Timeline!T$9*INDEX(ResSh,1,T$7-FYBase)*INDEX(P_RES_B,1,15)/1000000</f>
        <v>1492.09598736998</v>
      </c>
      <c r="U40" s="125" t="n">
        <f aca="false">U34*Timeline!U$9*INDEX(ResSh,1,U$7-FYBase)*INDEX(P_RES_B,1,16)/1000000</f>
        <v>1816.29290041102</v>
      </c>
      <c r="V40" s="125" t="n">
        <f aca="false">V34*Timeline!V$9*INDEX(ResSh,1,V$7-FYBase)*INDEX(P_RES_B,1,17)/1000000</f>
        <v>2141.2719726168</v>
      </c>
      <c r="W40" s="125" t="n">
        <f aca="false">W34*Timeline!W$9*INDEX(ResSh,1,W$7-FYBase)*INDEX(P_RES_B,1,18)/1000000</f>
        <v>2294.12219994753</v>
      </c>
      <c r="X40" s="125" t="n">
        <f aca="false">X34*Timeline!X$9*INDEX(ResSh,1,X$7-FYBase)*INDEX(P_RES_B,1,19)/1000000</f>
        <v>2283.73099369889</v>
      </c>
      <c r="Y40" s="125" t="n">
        <f aca="false">Y34*Timeline!Y$9*INDEX(ResSh,1,Y$7-FYBase)*INDEX(P_RES_B,1,20)/1000000</f>
        <v>2248.67612764974</v>
      </c>
      <c r="Z40" s="125" t="n">
        <f aca="false">Z34*Timeline!Z$9*INDEX(ResSh,1,Z$7-FYBase)*INDEX(P_RES_B,1,21)/1000000</f>
        <v>2295.75549219757</v>
      </c>
      <c r="AA40" s="125" t="n">
        <f aca="false">AA34*Timeline!AA$9*INDEX(ResSh,1,AA$7-FYBase)*INDEX(P_RES_B,1,22)/1000000</f>
        <v>2414.79092655349</v>
      </c>
      <c r="AB40" s="125" t="n">
        <f aca="false">AB34*Timeline!AB$9*INDEX(ResSh,1,AB$7-FYBase)*INDEX(P_RES_B,1,23)/1000000</f>
        <v>2403.85315237314</v>
      </c>
      <c r="AC40" s="125" t="n">
        <f aca="false">AC34*Timeline!AC$9*INDEX(ResSh,1,AC$7-FYBase)*INDEX(P_RES_B,1,24)/1000000</f>
        <v>2366.9544324754</v>
      </c>
      <c r="AD40" s="125" t="n">
        <f aca="false">AD34*Timeline!AD$9*INDEX(ResSh,1,AD$7-FYBase)*INDEX(P_RES_B,1,25)/1000000</f>
        <v>2279.95640353292</v>
      </c>
      <c r="AE40" s="125" t="n">
        <f aca="false">AE34*Timeline!AE$9*INDEX(ResSh,1,AE$7-FYBase)*INDEX(P_RES_B,1,26)/1000000</f>
        <v>2269.90347096028</v>
      </c>
      <c r="AF40" s="125" t="n">
        <f aca="false">AF34*Timeline!AF$9*INDEX(ResSh,1,AF$7-FYBase)*INDEX(P_RES_B,1,27)/1000000</f>
        <v>2259.62196323075</v>
      </c>
      <c r="AG40" s="125" t="n">
        <f aca="false">AG34*Timeline!AG$9*INDEX(ResSh,1,AG$7-FYBase)*INDEX(P_RES_B,1,28)/1000000</f>
        <v>2212.82263459555</v>
      </c>
      <c r="AI40" s="125" t="n">
        <f aca="false">SUMIF($F$7:$AG$7,AI$7,$F40:$AG40)</f>
        <v>0</v>
      </c>
      <c r="AJ40" s="125" t="n">
        <f aca="false">SUMIF($F$7:$AG$7,AJ$7,$F40:$AG40)</f>
        <v>164.247903415411</v>
      </c>
      <c r="AK40" s="125" t="n">
        <f aca="false">SUMIF($F$7:$AG$7,AK$7,$F40:$AG40)</f>
        <v>859.437565486488</v>
      </c>
      <c r="AL40" s="125" t="n">
        <f aca="false">SUMIF($F$7:$AG$7,AL$7,$F40:$AG40)</f>
        <v>4750.37033170541</v>
      </c>
      <c r="AM40" s="125" t="n">
        <f aca="false">SUMIF($F$7:$AG$7,AM$7,$F40:$AG40)</f>
        <v>8967.80129391296</v>
      </c>
      <c r="AN40" s="125" t="n">
        <f aca="false">SUMIF($F$7:$AG$7,AN$7,$F40:$AG40)</f>
        <v>9481.3540035996</v>
      </c>
      <c r="AO40" s="125" t="n">
        <f aca="false">SUMIF($F$7:$AG$7,AO$7,$F40:$AG40)</f>
        <v>9022.30447231951</v>
      </c>
    </row>
    <row r="41" customFormat="false" ht="15" hidden="false" customHeight="false" outlineLevel="0" collapsed="false">
      <c r="A41" s="107" t="s">
        <v>2058</v>
      </c>
      <c r="B41" s="22" t="s">
        <v>613</v>
      </c>
      <c r="C41" s="22" t="s">
        <v>540</v>
      </c>
      <c r="D41" s="22" t="s">
        <v>2056</v>
      </c>
      <c r="F41" s="124" t="n">
        <f aca="false">F35*Timeline!F$9*INDEX(ResSh,1,F$7-FYBase)*INDEX(P_RES_N,1,1)/1000000</f>
        <v>0</v>
      </c>
      <c r="G41" s="124" t="n">
        <f aca="false">G35*Timeline!G$9*INDEX(ResSh,1,G$7-FYBase)*INDEX(P_RES_N,1,2)/1000000</f>
        <v>0</v>
      </c>
      <c r="H41" s="124" t="n">
        <f aca="false">H35*Timeline!H$9*INDEX(ResSh,1,H$7-FYBase)*INDEX(P_RES_N,1,3)/1000000</f>
        <v>0</v>
      </c>
      <c r="I41" s="124" t="n">
        <f aca="false">I35*Timeline!I$9*INDEX(ResSh,1,I$7-FYBase)*INDEX(P_RES_N,1,4)/1000000</f>
        <v>0</v>
      </c>
      <c r="J41" s="124" t="n">
        <f aca="false">J35*Timeline!J$9*INDEX(ResSh,1,J$7-FYBase)*INDEX(P_RES_N,1,5)/1000000</f>
        <v>0</v>
      </c>
      <c r="K41" s="124" t="n">
        <f aca="false">K35*Timeline!K$9*INDEX(ResSh,1,K$7-FYBase)*INDEX(P_RES_N,1,6)/1000000</f>
        <v>0</v>
      </c>
      <c r="L41" s="124" t="n">
        <f aca="false">L35*Timeline!L$9*INDEX(ResSh,1,L$7-FYBase)*INDEX(P_RES_N,1,7)/1000000</f>
        <v>0</v>
      </c>
      <c r="M41" s="124" t="n">
        <f aca="false">M35*Timeline!M$9*INDEX(ResSh,1,M$7-FYBase)*INDEX(P_RES_N,1,8)/1000000</f>
        <v>0</v>
      </c>
      <c r="N41" s="124" t="n">
        <f aca="false">N35*Timeline!N$9*INDEX(ResSh,1,N$7-FYBase)*INDEX(P_RES_N,1,9)/1000000</f>
        <v>0</v>
      </c>
      <c r="O41" s="124" t="n">
        <f aca="false">O35*Timeline!O$9*INDEX(ResSh,1,O$7-FYBase)*INDEX(P_RES_N,1,10)/1000000</f>
        <v>0</v>
      </c>
      <c r="P41" s="125" t="n">
        <f aca="false">P35*Timeline!P$9*INDEX(ResSh,1,P$7-FYBase)*INDEX(P_RES_N,1,11)/1000000</f>
        <v>0</v>
      </c>
      <c r="Q41" s="125" t="n">
        <f aca="false">Q35*Timeline!Q$9*INDEX(ResSh,1,Q$7-FYBase)*INDEX(P_RES_N,1,12)/1000000</f>
        <v>0</v>
      </c>
      <c r="R41" s="125" t="n">
        <f aca="false">R35*Timeline!R$9*INDEX(ResSh,1,R$7-FYBase)*INDEX(P_RES_N,1,13)/1000000</f>
        <v>0</v>
      </c>
      <c r="S41" s="125" t="n">
        <f aca="false">S35*Timeline!S$9*INDEX(ResSh,1,S$7-FYBase)*INDEX(P_RES_N,1,14)/1000000</f>
        <v>32.851004868864</v>
      </c>
      <c r="T41" s="125" t="n">
        <f aca="false">T35*Timeline!T$9*INDEX(ResSh,1,T$7-FYBase)*INDEX(P_RES_N,1,15)/1000000</f>
        <v>33.212004922368</v>
      </c>
      <c r="U41" s="125" t="n">
        <f aca="false">U35*Timeline!U$9*INDEX(ResSh,1,U$7-FYBase)*INDEX(P_RES_N,1,16)/1000000</f>
        <v>58.81914392832</v>
      </c>
      <c r="V41" s="125" t="n">
        <f aca="false">V35*Timeline!V$9*INDEX(ResSh,1,V$7-FYBase)*INDEX(P_RES_N,1,17)/1000000</f>
        <v>681.272891365248</v>
      </c>
      <c r="W41" s="125" t="n">
        <f aca="false">W35*Timeline!W$9*INDEX(ResSh,1,W$7-FYBase)*INDEX(P_RES_N,1,18)/1000000</f>
        <v>1524.55448606653</v>
      </c>
      <c r="X41" s="125" t="n">
        <f aca="false">X35*Timeline!X$9*INDEX(ResSh,1,X$7-FYBase)*INDEX(P_RES_N,1,19)/1000000</f>
        <v>2316.03732293124</v>
      </c>
      <c r="Y41" s="125" t="n">
        <f aca="false">Y35*Timeline!Y$9*INDEX(ResSh,1,Y$7-FYBase)*INDEX(P_RES_N,1,20)/1000000</f>
        <v>2813.01000391584</v>
      </c>
      <c r="Z41" s="125" t="n">
        <f aca="false">Z35*Timeline!Z$9*INDEX(ResSh,1,Z$7-FYBase)*INDEX(P_RES_N,1,21)/1000000</f>
        <v>3601.22341031194</v>
      </c>
      <c r="AA41" s="125" t="n">
        <f aca="false">AA35*Timeline!AA$9*INDEX(ResSh,1,AA$7-FYBase)*INDEX(P_RES_N,1,22)/1000000</f>
        <v>4436.58353579275</v>
      </c>
      <c r="AB41" s="125" t="n">
        <f aca="false">AB35*Timeline!AB$9*INDEX(ResSh,1,AB$7-FYBase)*INDEX(P_RES_N,1,23)/1000000</f>
        <v>5433.34790480411</v>
      </c>
      <c r="AC41" s="125" t="n">
        <f aca="false">AC35*Timeline!AC$9*INDEX(ResSh,1,AC$7-FYBase)*INDEX(P_RES_N,1,24)/1000000</f>
        <v>6351.1981940155</v>
      </c>
      <c r="AD41" s="125" t="n">
        <f aca="false">AD35*Timeline!AD$9*INDEX(ResSh,1,AD$7-FYBase)*INDEX(P_RES_N,1,25)/1000000</f>
        <v>7461.09926877913</v>
      </c>
      <c r="AE41" s="125" t="n">
        <f aca="false">AE35*Timeline!AE$9*INDEX(ResSh,1,AE$7-FYBase)*INDEX(P_RES_N,1,26)/1000000</f>
        <v>8765.6191807628</v>
      </c>
      <c r="AF41" s="125" t="n">
        <f aca="false">AF35*Timeline!AF$9*INDEX(ResSh,1,AF$7-FYBase)*INDEX(P_RES_N,1,27)/1000000</f>
        <v>8725.91538607984</v>
      </c>
      <c r="AG41" s="125" t="n">
        <f aca="false">AG35*Timeline!AG$9*INDEX(ResSh,1,AG$7-FYBase)*INDEX(P_RES_N,1,28)/1000000</f>
        <v>8591.97413123885</v>
      </c>
      <c r="AI41" s="125" t="n">
        <f aca="false">SUMIF($F$7:$AG$7,AI$7,$F41:$AG41)</f>
        <v>0</v>
      </c>
      <c r="AJ41" s="125" t="n">
        <f aca="false">SUMIF($F$7:$AG$7,AJ$7,$F41:$AG41)</f>
        <v>0</v>
      </c>
      <c r="AK41" s="125" t="n">
        <f aca="false">SUMIF($F$7:$AG$7,AK$7,$F41:$AG41)</f>
        <v>0</v>
      </c>
      <c r="AL41" s="125" t="n">
        <f aca="false">SUMIF($F$7:$AG$7,AL$7,$F41:$AG41)</f>
        <v>124.882153719552</v>
      </c>
      <c r="AM41" s="125" t="n">
        <f aca="false">SUMIF($F$7:$AG$7,AM$7,$F41:$AG41)</f>
        <v>7334.87470427886</v>
      </c>
      <c r="AN41" s="125" t="n">
        <f aca="false">SUMIF($F$7:$AG$7,AN$7,$F41:$AG41)</f>
        <v>19822.3530449243</v>
      </c>
      <c r="AO41" s="125" t="n">
        <f aca="false">SUMIF($F$7:$AG$7,AO$7,$F41:$AG41)</f>
        <v>33544.6079668606</v>
      </c>
    </row>
    <row r="42" customFormat="false" ht="15" hidden="false" customHeight="false" outlineLevel="0" collapsed="false">
      <c r="A42" s="107" t="s">
        <v>2059</v>
      </c>
      <c r="B42" s="22" t="s">
        <v>613</v>
      </c>
      <c r="C42" s="22" t="s">
        <v>540</v>
      </c>
      <c r="D42" s="22"/>
      <c r="F42" s="124" t="n">
        <f aca="false">F39+F40+F41</f>
        <v>71.024508828</v>
      </c>
      <c r="G42" s="124" t="n">
        <f aca="false">G39+G40+G41</f>
        <v>71.024508828</v>
      </c>
      <c r="H42" s="124" t="n">
        <f aca="false">H39+H40+H41</f>
        <v>71.804997936</v>
      </c>
      <c r="I42" s="124" t="n">
        <f aca="false">I39+I40+I41</f>
        <v>78.986544984</v>
      </c>
      <c r="J42" s="124" t="n">
        <f aca="false">J39+J40+J41</f>
        <v>123.183472896</v>
      </c>
      <c r="K42" s="124" t="n">
        <f aca="false">K39+K40+K41</f>
        <v>160.864704</v>
      </c>
      <c r="L42" s="124" t="n">
        <f aca="false">L39+L40+L41</f>
        <v>193.18843809239</v>
      </c>
      <c r="M42" s="124" t="n">
        <f aca="false">M39+M40+M41</f>
        <v>296.324361323021</v>
      </c>
      <c r="N42" s="124" t="n">
        <f aca="false">N39+N40+N41</f>
        <v>350.40140672652</v>
      </c>
      <c r="O42" s="124" t="n">
        <f aca="false">O39+O40+O41</f>
        <v>360.053265381264</v>
      </c>
      <c r="P42" s="125" t="n">
        <f aca="false">P39+P40+P41</f>
        <v>390.541695006528</v>
      </c>
      <c r="Q42" s="125" t="n">
        <f aca="false">Q39+Q40+Q41</f>
        <v>431.477326372176</v>
      </c>
      <c r="R42" s="125" t="n">
        <f aca="false">R39+R40+R41</f>
        <v>651.706143458704</v>
      </c>
      <c r="S42" s="125" t="n">
        <f aca="false">S39+S40+S41</f>
        <v>1178.80331888138</v>
      </c>
      <c r="T42" s="125" t="n">
        <f aca="false">T39+T40+T41</f>
        <v>1705.23721605381</v>
      </c>
      <c r="U42" s="125" t="n">
        <f aca="false">U39+U40+U41</f>
        <v>2052.14473713934</v>
      </c>
      <c r="V42" s="125" t="n">
        <f aca="false">V39+V40+V41</f>
        <v>2993.19444050174</v>
      </c>
      <c r="W42" s="125" t="n">
        <f aca="false">W39+W40+W41</f>
        <v>3983.37247008818</v>
      </c>
      <c r="X42" s="125" t="n">
        <f aca="false">X39+X40+X41</f>
        <v>4759.64445454571</v>
      </c>
      <c r="Y42" s="125" t="n">
        <f aca="false">Y39+Y40+Y41</f>
        <v>5215.19673540557</v>
      </c>
      <c r="Z42" s="125" t="n">
        <f aca="false">Z39+Z40+Z41</f>
        <v>6041.17310305903</v>
      </c>
      <c r="AA42" s="125" t="n">
        <f aca="false">AA39+AA40+AA41</f>
        <v>6991.36587880924</v>
      </c>
      <c r="AB42" s="125" t="n">
        <f aca="false">AB39+AB40+AB41</f>
        <v>7973.0957744055</v>
      </c>
      <c r="AC42" s="125" t="n">
        <f aca="false">AC39+AC40+AC41</f>
        <v>8848.63663975491</v>
      </c>
      <c r="AD42" s="125" t="n">
        <f aca="false">AD39+AD40+AD41</f>
        <v>9863.62074277915</v>
      </c>
      <c r="AE42" s="125" t="n">
        <f aca="false">AE39+AE40+AE41</f>
        <v>11154.5153557166</v>
      </c>
      <c r="AF42" s="125" t="n">
        <f aca="false">AF39+AF40+AF41</f>
        <v>11101.0478589546</v>
      </c>
      <c r="AG42" s="125" t="n">
        <f aca="false">AG39+AG40+AG41</f>
        <v>10915.7081771088</v>
      </c>
      <c r="AI42" s="125" t="n">
        <f aca="false">SUMIF($F$7:$AG$7,AI$7,$F42:$AG42)</f>
        <v>292.840560576</v>
      </c>
      <c r="AJ42" s="125" t="n">
        <f aca="false">SUMIF($F$7:$AG$7,AJ$7,$F42:$AG42)</f>
        <v>773.560976311411</v>
      </c>
      <c r="AK42" s="125" t="n">
        <f aca="false">SUMIF($F$7:$AG$7,AK$7,$F42:$AG42)</f>
        <v>1532.47369348649</v>
      </c>
      <c r="AL42" s="125" t="n">
        <f aca="false">SUMIF($F$7:$AG$7,AL$7,$F42:$AG42)</f>
        <v>5587.89141553323</v>
      </c>
      <c r="AM42" s="125" t="n">
        <f aca="false">SUMIF($F$7:$AG$7,AM$7,$F42:$AG42)</f>
        <v>16951.4081005412</v>
      </c>
      <c r="AN42" s="125" t="n">
        <f aca="false">SUMIF($F$7:$AG$7,AN$7,$F42:$AG42)</f>
        <v>29854.2713960287</v>
      </c>
      <c r="AO42" s="125" t="n">
        <f aca="false">SUMIF($F$7:$AG$7,AO$7,$F42:$AG42)</f>
        <v>43034.8921345592</v>
      </c>
    </row>
    <row r="43" customFormat="false" ht="15" hidden="false" customHeight="false" outlineLevel="0" collapsed="false">
      <c r="A43" s="107" t="s">
        <v>2060</v>
      </c>
      <c r="B43" s="22" t="s">
        <v>613</v>
      </c>
      <c r="C43" s="22" t="s">
        <v>540</v>
      </c>
      <c r="D43" s="22" t="s">
        <v>2061</v>
      </c>
      <c r="F43" s="124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24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24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24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24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24" t="n">
        <f aca="false">K33*Timeline!K$9*(1-INDEX(ResSh,1,K$7-FYBase))*((1-INDEX(SpotSh,1,K$7-FYBase))*INDEX(P_OD_H,1,6)*IF(K$5&lt;=LastHist,RealOD_B,RealOD)+INDEX(SpotSh,1,K$7-FYBase)*INDEX(P_SPOT_H,1,6))*(1+INDEX(StudioUp,1,K$7-FYBase))/1000000</f>
        <v>28.00375578</v>
      </c>
      <c r="L43" s="124" t="n">
        <f aca="false">L33*Timeline!L$9*(1-INDEX(ResSh,1,L$7-FYBase))*((1-INDEX(SpotSh,1,L$7-FYBase))*INDEX(P_OD_H,1,7)*IF(L$5&lt;=LastHist,RealOD_B,RealOD)+INDEX(SpotSh,1,L$7-FYBase)*INDEX(P_SPOT_H,1,7))*(1+INDEX(StudioUp,1,L$7-FYBase))/1000000</f>
        <v>28.31148936</v>
      </c>
      <c r="M43" s="124" t="n">
        <f aca="false">M33*Timeline!M$9*(1-INDEX(ResSh,1,M$7-FYBase))*((1-INDEX(SpotSh,1,M$7-FYBase))*INDEX(P_OD_H,1,8)*IF(M$5&lt;=LastHist,RealOD_B,RealOD)+INDEX(SpotSh,1,M$7-FYBase)*INDEX(P_SPOT_H,1,8))*(1+INDEX(StudioUp,1,M$7-FYBase))/1000000</f>
        <v>28.31148936</v>
      </c>
      <c r="N43" s="124" t="n">
        <f aca="false">N33*Timeline!N$9*(1-INDEX(ResSh,1,N$7-FYBase))*((1-INDEX(SpotSh,1,N$7-FYBase))*INDEX(P_OD_H,1,9)*IF(N$5&lt;=LastHist,RealOD_B,RealOD)+INDEX(SpotSh,1,N$7-FYBase)*INDEX(P_SPOT_H,1,9))*(1+INDEX(StudioUp,1,N$7-FYBase))/1000000</f>
        <v>24.179067</v>
      </c>
      <c r="O43" s="124" t="n">
        <f aca="false">O33*Timeline!O$9*(1-INDEX(ResSh,1,O$7-FYBase))*((1-INDEX(SpotSh,1,O$7-FYBase))*INDEX(P_OD_H,1,10)*IF(O$5&lt;=LastHist,RealOD_B,RealOD)+INDEX(SpotSh,1,O$7-FYBase)*INDEX(P_SPOT_H,1,10))*(1+INDEX(StudioUp,1,O$7-FYBase))/1000000</f>
        <v>24.4477233</v>
      </c>
      <c r="P43" s="125" t="n">
        <f aca="false">P33*Timeline!P$9*(1-INDEX(ResSh,1,P$7-FYBase))*((1-INDEX(SpotSh,1,P$7-FYBase))*INDEX(P_OD_H,1,11)*IF(P$5&lt;=LastHist,RealOD_B,RealOD)+INDEX(SpotSh,1,P$7-FYBase)*INDEX(P_SPOT_H,1,11))*(1+INDEX(StudioUp,1,P$7-FYBase))/1000000</f>
        <v>26.5853412</v>
      </c>
      <c r="Q43" s="125" t="n">
        <f aca="false">Q33*Timeline!Q$9*(1-INDEX(ResSh,1,Q$7-FYBase))*((1-INDEX(SpotSh,1,Q$7-FYBase))*INDEX(P_OD_H,1,12)*IF(Q$5&lt;=LastHist,RealOD_B,RealOD)+INDEX(SpotSh,1,Q$7-FYBase)*INDEX(P_SPOT_H,1,12))*(1+INDEX(StudioUp,1,Q$7-FYBase))/1000000</f>
        <v>31.413492</v>
      </c>
      <c r="R43" s="125" t="n">
        <f aca="false">R33*Timeline!R$9*(1-INDEX(ResSh,1,R$7-FYBase))*((1-INDEX(SpotSh,1,R$7-FYBase))*INDEX(P_OD_H,1,13)*IF(R$5&lt;=LastHist,RealOD_B,RealOD)+INDEX(SpotSh,1,R$7-FYBase)*INDEX(P_SPOT_H,1,13))*(1+INDEX(StudioUp,1,R$7-FYBase))/1000000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3" s="125" t="n">
        <f aca="false">S33*Timeline!S$9*(1-INDEX(ResSh,1,S$7-FYBase))*((1-INDEX(SpotSh,1,S$7-FYBase))*INDEX(P_OD_H,1,14)*IF(S$5&lt;=LastHist,RealOD_B,RealOD)+INDEX(SpotSh,1,S$7-FYBase)*INDEX(P_SPOT_H,1,14))*(1+INDEX(StudioUp,1,S$7-FYBase))/1000000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3" s="125" t="n">
        <f aca="false">T33*Timeline!T$9*(1-INDEX(ResSh,1,T$7-FYBase))*((1-INDEX(SpotSh,1,T$7-FYBase))*INDEX(P_OD_H,1,15)*IF(T$5&lt;=LastHist,RealOD_B,RealOD)+INDEX(SpotSh,1,T$7-FYBase)*INDEX(P_SPOT_H,1,15))*(1+INDEX(StudioUp,1,T$7-FYBase))/1000000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3" s="125" t="n">
        <f aca="false">U33*Timeline!U$9*(1-INDEX(ResSh,1,U$7-FYBase))*((1-INDEX(SpotSh,1,U$7-FYBase))*INDEX(P_OD_H,1,16)*IF(U$5&lt;=LastHist,RealOD_B,RealOD)+INDEX(SpotSh,1,U$7-FYBase)*INDEX(P_SPOT_H,1,16))*(1+INDEX(StudioUp,1,U$7-FYBase))/1000000</f>
        <v>27.9151713</v>
      </c>
      <c r="V43" s="125" t="n">
        <f aca="false">V33*Timeline!V$9*(1-INDEX(ResSh,1,V$7-FYBase))*((1-INDEX(SpotSh,1,V$7-FYBase))*INDEX(P_OD_H,1,17)*IF(V$5&lt;=LastHist,RealOD_B,RealOD)+INDEX(SpotSh,1,V$7-FYBase)*INDEX(P_SPOT_H,1,17))*(1+INDEX(StudioUp,1,V$7-FYBase))/1000000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3" s="125" t="n">
        <f aca="false">W33*Timeline!W$9*(1-INDEX(ResSh,1,W$7-FYBase))*((1-INDEX(SpotSh,1,W$7-FYBase))*INDEX(P_OD_H,1,18)*IF(W$5&lt;=LastHist,RealOD_B,RealOD)+INDEX(SpotSh,1,W$7-FYBase)*INDEX(P_SPOT_H,1,18))*(1+INDEX(StudioUp,1,W$7-FYBase))/1000000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3" s="125" t="n">
        <f aca="false">X33*Timeline!X$9*(1-INDEX(ResSh,1,X$7-FYBase))*((1-INDEX(SpotSh,1,X$7-FYBase))*INDEX(P_OD_H,1,19)*IF(X$5&lt;=LastHist,RealOD_B,RealOD)+INDEX(SpotSh,1,X$7-FYBase)*INDEX(P_SPOT_H,1,19))*(1+INDEX(StudioUp,1,X$7-FYBase))/1000000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3" s="125" t="n">
        <f aca="false">Y33*Timeline!Y$9*(1-INDEX(ResSh,1,Y$7-FYBase))*((1-INDEX(SpotSh,1,Y$7-FYBase))*INDEX(P_OD_H,1,20)*IF(Y$5&lt;=LastHist,RealOD_B,RealOD)+INDEX(SpotSh,1,Y$7-FYBase)*INDEX(P_SPOT_H,1,20))*(1+INDEX(StudioUp,1,Y$7-FYBase))/1000000</f>
        <v>24.75954324</v>
      </c>
      <c r="Z43" s="125" t="n">
        <f aca="false">Z33*Timeline!Z$9*(1-INDEX(ResSh,1,Z$7-FYBase))*((1-INDEX(SpotSh,1,Z$7-FYBase))*INDEX(P_OD_H,1,21)*IF(Z$5&lt;=LastHist,RealOD_B,RealOD)+INDEX(SpotSh,1,Z$7-FYBase)*INDEX(P_SPOT_H,1,21))*(1+INDEX(StudioUp,1,Z$7-FYBase))/1000000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3" s="125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3" s="125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3" s="125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3" s="125" t="n">
        <f aca="false">AD33*Timeline!AD$9*(1-INDEX(ResSh,1,AD$7-FYBase))*((1-INDEX(SpotSh,1,AD$7-FYBase))*INDEX(P_OD_H,1,25)*IF(AD$5&lt;=LastHist,RealOD_B,RealOD)+INDEX(SpotSh,1,AD$7-FYBase)*INDEX(P_SPOT_H,1,25))*(1+INDEX(StudioUp,1,AD$7-FYBase))/1000000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3" s="125" t="n">
        <f aca="false">AE33*Timeline!AE$9*(1-INDEX(ResSh,1,AE$7-FYBase))*((1-INDEX(SpotSh,1,AE$7-FYBase))*INDEX(P_OD_H,1,26)*IF(AE$5&lt;=LastHist,RealOD_B,RealOD)+INDEX(SpotSh,1,AE$7-FYBase)*INDEX(P_SPOT_H,1,26))*(1+INDEX(StudioUp,1,AE$7-FYBase))/1000000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3" s="125" t="n">
        <f aca="false">AF33*Timeline!AF$9*(1-INDEX(ResSh,1,AF$7-FYBase))*((1-INDEX(SpotSh,1,AF$7-FYBase))*INDEX(P_OD_H,1,27)*IF(AF$5&lt;=LastHist,RealOD_B,RealOD)+INDEX(SpotSh,1,AF$7-FYBase)*INDEX(P_SPOT_H,1,27))*(1+INDEX(StudioUp,1,AF$7-FYBase))/1000000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3" s="125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3" s="125" t="n">
        <f aca="false">SUMIF($F$7:$AG$7,AI$7,$F43:$AG43)</f>
        <v>65.97213003612</v>
      </c>
      <c r="AJ43" s="125" t="n">
        <f aca="false">SUMIF($F$7:$AG$7,AJ$7,$F43:$AG43)</f>
        <v>106.07084128872</v>
      </c>
      <c r="AK43" s="125" t="n">
        <f aca="false">SUMIF($F$7:$AG$7,AK$7,$F43:$AG43)</f>
        <v>106.6256235</v>
      </c>
      <c r="AL43" s="125" t="n">
        <f aca="false">SUMIF($F$7:$AG$7,AL$7,$F43:$AG43)</f>
        <v>117.785295591523</v>
      </c>
      <c r="AM43" s="125" t="n">
        <f aca="false">SUMIF($F$7:$AG$7,AM$7,$F43:$AG43)</f>
        <v>104.774448006238</v>
      </c>
      <c r="AN43" s="125" t="n">
        <f aca="false">SUMIF($F$7:$AG$7,AN$7,$F43:$AG43)</f>
        <v>88.7998706763917</v>
      </c>
      <c r="AO43" s="125" t="n">
        <f aca="false">SUMIF($F$7:$AG$7,AO$7,$F43:$AG43)</f>
        <v>75.479890074933</v>
      </c>
    </row>
    <row r="44" customFormat="false" ht="15" hidden="false" customHeight="false" outlineLevel="0" collapsed="false">
      <c r="A44" s="107" t="s">
        <v>2062</v>
      </c>
      <c r="B44" s="22" t="s">
        <v>613</v>
      </c>
      <c r="C44" s="22" t="s">
        <v>540</v>
      </c>
      <c r="D44" s="22" t="s">
        <v>2061</v>
      </c>
      <c r="F44" s="124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24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24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24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24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24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24" t="n">
        <f aca="false">L34*Timeline!L$9*(1-INDEX(ResSh,1,L$7-FYBase))*((1-INDEX(SpotSh,1,L$7-FYBase))*INDEX(P_OD_B,1,7)*IF(L$5&lt;=LastHist,RealOD_B,RealOD)+INDEX(SpotSh,1,L$7-FYBase)*INDEX(P_SPOT_B,1,7))*(1+INDEX(StudioUp,1,L$7-FYBase))/1000000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4" s="124" t="n">
        <f aca="false">M34*Timeline!M$9*(1-INDEX(ResSh,1,M$7-FYBase))*((1-INDEX(SpotSh,1,M$7-FYBase))*INDEX(P_OD_B,1,8)*IF(M$5&lt;=LastHist,RealOD_B,RealOD)+INDEX(SpotSh,1,M$7-FYBase)*INDEX(P_SPOT_B,1,8))*(1+INDEX(StudioUp,1,M$7-FYBase))/1000000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4" s="124" t="n">
        <f aca="false">N34*Timeline!N$9*(1-INDEX(ResSh,1,N$7-FYBase))*((1-INDEX(SpotSh,1,N$7-FYBase))*INDEX(P_OD_B,1,9)*IF(N$5&lt;=LastHist,RealOD_B,RealOD)+INDEX(SpotSh,1,N$7-FYBase)*INDEX(P_SPOT_B,1,9))*(1+INDEX(StudioUp,1,N$7-FYBase))/1000000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4" s="124" t="n">
        <f aca="false">O34*Timeline!O$9*(1-INDEX(ResSh,1,O$7-FYBase))*((1-INDEX(SpotSh,1,O$7-FYBase))*INDEX(P_OD_B,1,10)*IF(O$5&lt;=LastHist,RealOD_B,RealOD)+INDEX(SpotSh,1,O$7-FYBase)*INDEX(P_SPOT_B,1,10))*(1+INDEX(StudioUp,1,O$7-FYBase))/1000000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4" s="125" t="n">
        <f aca="false">P34*Timeline!P$9*(1-INDEX(ResSh,1,P$7-FYBase))*((1-INDEX(SpotSh,1,P$7-FYBase))*INDEX(P_OD_B,1,11)*IF(P$5&lt;=LastHist,RealOD_B,RealOD)+INDEX(SpotSh,1,P$7-FYBase)*INDEX(P_SPOT_B,1,11))*(1+INDEX(StudioUp,1,P$7-FYBase))/1000000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4" s="125" t="n">
        <f aca="false">Q34*Timeline!Q$9*(1-INDEX(ResSh,1,Q$7-FYBase))*((1-INDEX(SpotSh,1,Q$7-FYBase))*INDEX(P_OD_B,1,12)*IF(Q$5&lt;=LastHist,RealOD_B,RealOD)+INDEX(SpotSh,1,Q$7-FYBase)*INDEX(P_SPOT_B,1,12))*(1+INDEX(StudioUp,1,Q$7-FYBase))/1000000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4" s="125" t="n">
        <f aca="false">R34*Timeline!R$9*(1-INDEX(ResSh,1,R$7-FYBase))*((1-INDEX(SpotSh,1,R$7-FYBase))*INDEX(P_OD_B,1,13)*IF(R$5&lt;=LastHist,RealOD_B,RealOD)+INDEX(SpotSh,1,R$7-FYBase)*INDEX(P_SPOT_B,1,13))*(1+INDEX(StudioUp,1,R$7-FYBase))/1000000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4" s="125" t="n">
        <f aca="false">S34*Timeline!S$9*(1-INDEX(ResSh,1,S$7-FYBase))*((1-INDEX(SpotSh,1,S$7-FYBase))*INDEX(P_OD_B,1,14)*IF(S$5&lt;=LastHist,RealOD_B,RealOD)+INDEX(SpotSh,1,S$7-FYBase)*INDEX(P_SPOT_B,1,14))*(1+INDEX(StudioUp,1,S$7-FYBase))/1000000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4" s="125" t="n">
        <f aca="false">T34*Timeline!T$9*(1-INDEX(ResSh,1,T$7-FYBase))*((1-INDEX(SpotSh,1,T$7-FYBase))*INDEX(P_OD_B,1,15)*IF(T$5&lt;=LastHist,RealOD_B,RealOD)+INDEX(SpotSh,1,T$7-FYBase)*INDEX(P_SPOT_B,1,15))*(1+INDEX(StudioUp,1,T$7-FYBase))/1000000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4" s="125" t="n">
        <f aca="false">U34*Timeline!U$9*(1-INDEX(ResSh,1,U$7-FYBase))*((1-INDEX(SpotSh,1,U$7-FYBase))*INDEX(P_OD_B,1,16)*IF(U$5&lt;=LastHist,RealOD_B,RealOD)+INDEX(SpotSh,1,U$7-FYBase)*INDEX(P_SPOT_B,1,16))*(1+INDEX(StudioUp,1,U$7-FYBase))/1000000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4" s="125" t="n">
        <f aca="false">V34*Timeline!V$9*(1-INDEX(ResSh,1,V$7-FYBase))*((1-INDEX(SpotSh,1,V$7-FYBase))*INDEX(P_OD_B,1,17)*IF(V$5&lt;=LastHist,RealOD_B,RealOD)+INDEX(SpotSh,1,V$7-FYBase)*INDEX(P_SPOT_B,1,17))*(1+INDEX(StudioUp,1,V$7-FYBase))/1000000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4" s="125" t="n">
        <f aca="false">W34*Timeline!W$9*(1-INDEX(ResSh,1,W$7-FYBase))*((1-INDEX(SpotSh,1,W$7-FYBase))*INDEX(P_OD_B,1,18)*IF(W$5&lt;=LastHist,RealOD_B,RealOD)+INDEX(SpotSh,1,W$7-FYBase)*INDEX(P_SPOT_B,1,18))*(1+INDEX(StudioUp,1,W$7-FYBase))/1000000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4" s="125" t="n">
        <f aca="false">X34*Timeline!X$9*(1-INDEX(ResSh,1,X$7-FYBase))*((1-INDEX(SpotSh,1,X$7-FYBase))*INDEX(P_OD_B,1,19)*IF(X$5&lt;=LastHist,RealOD_B,RealOD)+INDEX(SpotSh,1,X$7-FYBase)*INDEX(P_SPOT_B,1,19))*(1+INDEX(StudioUp,1,X$7-FYBase))/1000000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4" s="125" t="n">
        <f aca="false">Y34*Timeline!Y$9*(1-INDEX(ResSh,1,Y$7-FYBase))*((1-INDEX(SpotSh,1,Y$7-FYBase))*INDEX(P_OD_B,1,20)*IF(Y$5&lt;=LastHist,RealOD_B,RealOD)+INDEX(SpotSh,1,Y$7-FYBase)*INDEX(P_SPOT_B,1,20))*(1+INDEX(StudioUp,1,Y$7-FYBase))/1000000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4" s="125" t="n">
        <f aca="false">Z34*Timeline!Z$9*(1-INDEX(ResSh,1,Z$7-FYBase))*((1-INDEX(SpotSh,1,Z$7-FYBase))*INDEX(P_OD_B,1,21)*IF(Z$5&lt;=LastHist,RealOD_B,RealOD)+INDEX(SpotSh,1,Z$7-FYBase)*INDEX(P_SPOT_B,1,21))*(1+INDEX(StudioUp,1,Z$7-FYBase))/1000000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4" s="125" t="n">
        <f aca="false">AA34*Timeline!AA$9*(1-INDEX(ResSh,1,AA$7-FYBase))*((1-INDEX(SpotSh,1,AA$7-FYBase))*INDEX(P_OD_B,1,22)*IF(AA$5&lt;=LastHist,RealOD_B,RealOD)+INDEX(SpotSh,1,AA$7-FYBase)*INDEX(P_SPOT_B,1,22))*(1+INDEX(StudioUp,1,AA$7-FYBase))/1000000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4" s="125" t="n">
        <f aca="false">AB34*Timeline!AB$9*(1-INDEX(ResSh,1,AB$7-FYBase))*((1-INDEX(SpotSh,1,AB$7-FYBase))*INDEX(P_OD_B,1,23)*IF(AB$5&lt;=LastHist,RealOD_B,RealOD)+INDEX(SpotSh,1,AB$7-FYBase)*INDEX(P_SPOT_B,1,23))*(1+INDEX(StudioUp,1,AB$7-FYBase))/1000000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4" s="125" t="n">
        <f aca="false">AC34*Timeline!AC$9*(1-INDEX(ResSh,1,AC$7-FYBase))*((1-INDEX(SpotSh,1,AC$7-FYBase))*INDEX(P_OD_B,1,24)*IF(AC$5&lt;=LastHist,RealOD_B,RealOD)+INDEX(SpotSh,1,AC$7-FYBase)*INDEX(P_SPOT_B,1,24))*(1+INDEX(StudioUp,1,AC$7-FYBase))/1000000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4" s="125" t="n">
        <f aca="false">AD34*Timeline!AD$9*(1-INDEX(ResSh,1,AD$7-FYBase))*((1-INDEX(SpotSh,1,AD$7-FYBase))*INDEX(P_OD_B,1,25)*IF(AD$5&lt;=LastHist,RealOD_B,RealOD)+INDEX(SpotSh,1,AD$7-FYBase)*INDEX(P_SPOT_B,1,25))*(1+INDEX(StudioUp,1,AD$7-FYBase))/1000000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4" s="125" t="n">
        <f aca="false">AE34*Timeline!AE$9*(1-INDEX(ResSh,1,AE$7-FYBase))*((1-INDEX(SpotSh,1,AE$7-FYBase))*INDEX(P_OD_B,1,26)*IF(AE$5&lt;=LastHist,RealOD_B,RealOD)+INDEX(SpotSh,1,AE$7-FYBase)*INDEX(P_SPOT_B,1,26))*(1+INDEX(StudioUp,1,AE$7-FYBase))/1000000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4" s="125" t="n">
        <f aca="false">AF34*Timeline!AF$9*(1-INDEX(ResSh,1,AF$7-FYBase))*((1-INDEX(SpotSh,1,AF$7-FYBase))*INDEX(P_OD_B,1,27)*IF(AF$5&lt;=LastHist,RealOD_B,RealOD)+INDEX(SpotSh,1,AF$7-FYBase)*INDEX(P_SPOT_B,1,27))*(1+INDEX(StudioUp,1,AF$7-FYBase))/1000000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4" s="125" t="n">
        <f aca="false">AG34*Timeline!AG$9*(1-INDEX(ResSh,1,AG$7-FYBase))*((1-INDEX(SpotSh,1,AG$7-FYBase))*INDEX(P_OD_B,1,28)*IF(AG$5&lt;=LastHist,RealOD_B,RealOD)+INDEX(SpotSh,1,AG$7-FYBase)*INDEX(P_SPOT_B,1,28))*(1+INDEX(StudioUp,1,AG$7-FYBase))/1000000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4" s="125" t="n">
        <f aca="false">SUMIF($F$7:$AG$7,AI$7,$F44:$AG44)</f>
        <v>0</v>
      </c>
      <c r="AJ44" s="125" t="n">
        <f aca="false">SUMIF($F$7:$AG$7,AJ$7,$F44:$AG44)</f>
        <v>28.3055215018477</v>
      </c>
      <c r="AK44" s="125" t="n">
        <f aca="false">SUMIF($F$7:$AG$7,AK$7,$F44:$AG44)</f>
        <v>131.385015952794</v>
      </c>
      <c r="AL44" s="125" t="n">
        <f aca="false">SUMIF($F$7:$AG$7,AL$7,$F44:$AG44)</f>
        <v>734.264639185162</v>
      </c>
      <c r="AM44" s="125" t="n">
        <f aca="false">SUMIF($F$7:$AG$7,AM$7,$F44:$AG44)</f>
        <v>1440.11283455838</v>
      </c>
      <c r="AN44" s="125" t="n">
        <f aca="false">SUMIF($F$7:$AG$7,AN$7,$F44:$AG44)</f>
        <v>1522.86104127981</v>
      </c>
      <c r="AO44" s="125" t="n">
        <f aca="false">SUMIF($F$7:$AG$7,AO$7,$F44:$AG44)</f>
        <v>1449.13015358815</v>
      </c>
    </row>
    <row r="45" customFormat="false" ht="15" hidden="false" customHeight="false" outlineLevel="0" collapsed="false">
      <c r="A45" s="107" t="s">
        <v>2063</v>
      </c>
      <c r="B45" s="22" t="s">
        <v>613</v>
      </c>
      <c r="C45" s="22" t="s">
        <v>540</v>
      </c>
      <c r="D45" s="22" t="s">
        <v>2061</v>
      </c>
      <c r="F45" s="124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24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24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24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24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24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24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24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24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24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5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5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5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5" t="n">
        <f aca="false">S35*Timeline!S$9*(1-INDEX(ResSh,1,S$7-FYBase))*((1-INDEX(SpotSh,1,S$7-FYBase))*INDEX(P_OD_N,1,14)*IF(S$5&lt;=LastHist,RealOD_B,RealOD)+INDEX(SpotSh,1,S$7-FYBase)*INDEX(P_SPOT_N,1,14))*(1+INDEX(StudioUp,1,S$7-FYBase))/1000000</f>
        <v>5.0261831428536</v>
      </c>
      <c r="T45" s="125" t="n">
        <f aca="false">T35*Timeline!T$9*(1-INDEX(ResSh,1,T$7-FYBase))*((1-INDEX(SpotSh,1,T$7-FYBase))*INDEX(P_OD_N,1,15)*IF(T$5&lt;=LastHist,RealOD_B,RealOD)+INDEX(SpotSh,1,T$7-FYBase)*INDEX(P_SPOT_N,1,15))*(1+INDEX(StudioUp,1,T$7-FYBase))/1000000</f>
        <v>5.0814159246432</v>
      </c>
      <c r="U45" s="125" t="n">
        <f aca="false">U35*Timeline!U$9*(1-INDEX(ResSh,1,U$7-FYBase))*((1-INDEX(SpotSh,1,U$7-FYBase))*INDEX(P_OD_N,1,16)*IF(U$5&lt;=LastHist,RealOD_B,RealOD)+INDEX(SpotSh,1,U$7-FYBase)*INDEX(P_SPOT_N,1,16))*(1+INDEX(StudioUp,1,U$7-FYBase))/1000000</f>
        <v>8.99929213336799</v>
      </c>
      <c r="V45" s="125" t="n">
        <f aca="false">V35*Timeline!V$9*(1-INDEX(ResSh,1,V$7-FYBase))*((1-INDEX(SpotSh,1,V$7-FYBase))*INDEX(P_OD_N,1,17)*IF(V$5&lt;=LastHist,RealOD_B,RealOD)+INDEX(SpotSh,1,V$7-FYBase)*INDEX(P_SPOT_N,1,17))*(1+INDEX(StudioUp,1,V$7-FYBase))/1000000</f>
        <v>108.766252306858</v>
      </c>
      <c r="W45" s="125" t="n">
        <f aca="false">W35*Timeline!W$9*(1-INDEX(ResSh,1,W$7-FYBase))*((1-INDEX(SpotSh,1,W$7-FYBase))*INDEX(P_OD_N,1,18)*IF(W$5&lt;=LastHist,RealOD_B,RealOD)+INDEX(SpotSh,1,W$7-FYBase)*INDEX(P_SPOT_N,1,18))*(1+INDEX(StudioUp,1,W$7-FYBase))/1000000</f>
        <v>243.397440275022</v>
      </c>
      <c r="X45" s="125" t="n">
        <f aca="false">X35*Timeline!X$9*(1-INDEX(ResSh,1,X$7-FYBase))*((1-INDEX(SpotSh,1,X$7-FYBase))*INDEX(P_OD_N,1,19)*IF(X$5&lt;=LastHist,RealOD_B,RealOD)+INDEX(SpotSh,1,X$7-FYBase)*INDEX(P_SPOT_N,1,19))*(1+INDEX(StudioUp,1,X$7-FYBase))/1000000</f>
        <v>369.758877845888</v>
      </c>
      <c r="Y45" s="125" t="n">
        <f aca="false">Y35*Timeline!Y$9*(1-INDEX(ResSh,1,Y$7-FYBase))*((1-INDEX(SpotSh,1,Y$7-FYBase))*INDEX(P_OD_N,1,20)*IF(Y$5&lt;=LastHist,RealOD_B,RealOD)+INDEX(SpotSh,1,Y$7-FYBase)*INDEX(P_SPOT_N,1,20))*(1+INDEX(StudioUp,1,Y$7-FYBase))/1000000</f>
        <v>449.101321519619</v>
      </c>
      <c r="Z45" s="125" t="n">
        <f aca="false">Z35*Timeline!Z$9*(1-INDEX(ResSh,1,Z$7-FYBase))*((1-INDEX(SpotSh,1,Z$7-FYBase))*INDEX(P_OD_N,1,21)*IF(Z$5&lt;=LastHist,RealOD_B,RealOD)+INDEX(SpotSh,1,Z$7-FYBase)*INDEX(P_SPOT_N,1,21))*(1+INDEX(StudioUp,1,Z$7-FYBase))/1000000</f>
        <v>574.940789548243</v>
      </c>
      <c r="AA45" s="125" t="n">
        <f aca="false">AA35*Timeline!AA$9*(1-INDEX(ResSh,1,AA$7-FYBase))*((1-INDEX(SpotSh,1,AA$7-FYBase))*INDEX(P_OD_N,1,22)*IF(AA$5&lt;=LastHist,RealOD_B,RealOD)+INDEX(SpotSh,1,AA$7-FYBase)*INDEX(P_SPOT_N,1,22))*(1+INDEX(StudioUp,1,AA$7-FYBase))/1000000</f>
        <v>708.307302918614</v>
      </c>
      <c r="AB45" s="125" t="n">
        <f aca="false">AB35*Timeline!AB$9*(1-INDEX(ResSh,1,AB$7-FYBase))*((1-INDEX(SpotSh,1,AB$7-FYBase))*INDEX(P_OD_N,1,23)*IF(AB$5&lt;=LastHist,RealOD_B,RealOD)+INDEX(SpotSh,1,AB$7-FYBase)*INDEX(P_SPOT_N,1,23))*(1+INDEX(StudioUp,1,AB$7-FYBase))/1000000</f>
        <v>867.442249023862</v>
      </c>
      <c r="AC45" s="125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1013.97844237838</v>
      </c>
      <c r="AD45" s="125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1191.17583546924</v>
      </c>
      <c r="AE45" s="125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1399.44442164738</v>
      </c>
      <c r="AF45" s="125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1393.10565049597</v>
      </c>
      <c r="AG45" s="125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1371.72172563564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0</v>
      </c>
      <c r="AL45" s="125" t="n">
        <f aca="false">SUMIF($F$7:$AG$7,AL$7,$F45:$AG45)</f>
        <v>19.1068912008648</v>
      </c>
      <c r="AM45" s="125" t="n">
        <f aca="false">SUMIF($F$7:$AG$7,AM$7,$F45:$AG45)</f>
        <v>1171.02389194739</v>
      </c>
      <c r="AN45" s="125" t="n">
        <f aca="false">SUMIF($F$7:$AG$7,AN$7,$F45:$AG45)</f>
        <v>3164.6687838691</v>
      </c>
      <c r="AO45" s="125" t="n">
        <f aca="false">SUMIF($F$7:$AG$7,AO$7,$F45:$AG45)</f>
        <v>5355.44763324822</v>
      </c>
    </row>
    <row r="46" customFormat="false" ht="15" hidden="false" customHeight="false" outlineLevel="0" collapsed="false">
      <c r="A46" s="107" t="s">
        <v>2064</v>
      </c>
      <c r="B46" s="22" t="s">
        <v>613</v>
      </c>
      <c r="C46" s="22" t="s">
        <v>540</v>
      </c>
      <c r="D46" s="22"/>
      <c r="F46" s="124" t="n">
        <f aca="false">F43+F44+F45</f>
        <v>16.0006459587975</v>
      </c>
      <c r="G46" s="124" t="n">
        <f aca="false">G43+G44+G45</f>
        <v>16.0006459587975</v>
      </c>
      <c r="H46" s="124" t="n">
        <f aca="false">H43+H44+H45</f>
        <v>16.17647723307</v>
      </c>
      <c r="I46" s="124" t="n">
        <f aca="false">I43+I44+I45</f>
        <v>17.794360885455</v>
      </c>
      <c r="J46" s="124" t="n">
        <f aca="false">J43+J44+J45</f>
        <v>21.44410678872</v>
      </c>
      <c r="K46" s="124" t="n">
        <f aca="false">K43+K44+K45</f>
        <v>28.00375578</v>
      </c>
      <c r="L46" s="124" t="n">
        <f aca="false">L43+L44+L45</f>
        <v>33.5773296939427</v>
      </c>
      <c r="M46" s="124" t="n">
        <f aca="false">M43+M44+M45</f>
        <v>51.3511705279049</v>
      </c>
      <c r="N46" s="124" t="n">
        <f aca="false">N43+N44+N45</f>
        <v>51.7893933084907</v>
      </c>
      <c r="O46" s="124" t="n">
        <f aca="false">O43+O44+O45</f>
        <v>53.2119486627729</v>
      </c>
      <c r="P46" s="125" t="n">
        <f aca="false">P43+P44+P45</f>
        <v>59.3318848170708</v>
      </c>
      <c r="Q46" s="125" t="n">
        <f aca="false">Q43+Q44+Q45</f>
        <v>73.67741266446</v>
      </c>
      <c r="R46" s="125" t="n">
        <f aca="false">R43+R44+R45</f>
        <v>106.719867754044</v>
      </c>
      <c r="S46" s="125" t="n">
        <f aca="false">S43+S44+S45</f>
        <v>184.765855246416</v>
      </c>
      <c r="T46" s="125" t="n">
        <f aca="false">T43+T44+T45</f>
        <v>263.695500794202</v>
      </c>
      <c r="U46" s="125" t="n">
        <f aca="false">U43+U44+U45</f>
        <v>315.975602182889</v>
      </c>
      <c r="V46" s="125" t="n">
        <f aca="false">V43+V44+V45</f>
        <v>480.091539424706</v>
      </c>
      <c r="W46" s="125" t="n">
        <f aca="false">W43+W44+W45</f>
        <v>638.434699653373</v>
      </c>
      <c r="X46" s="125" t="n">
        <f aca="false">X43+X44+X45</f>
        <v>762.34978396867</v>
      </c>
      <c r="Y46" s="125" t="n">
        <f aca="false">Y43+Y44+Y45</f>
        <v>835.035151465256</v>
      </c>
      <c r="Z46" s="125" t="n">
        <f aca="false">Z43+Z44+Z45</f>
        <v>966.933706370985</v>
      </c>
      <c r="AA46" s="125" t="n">
        <f aca="false">AA43+AA44+AA45</f>
        <v>1118.74140180029</v>
      </c>
      <c r="AB46" s="125" t="n">
        <f aca="false">AB43+AB44+AB45</f>
        <v>1275.45881012297</v>
      </c>
      <c r="AC46" s="125" t="n">
        <f aca="false">AC43+AC44+AC45</f>
        <v>1415.19577753105</v>
      </c>
      <c r="AD46" s="125" t="n">
        <f aca="false">AD43+AD44+AD45</f>
        <v>1577.1426226503</v>
      </c>
      <c r="AE46" s="125" t="n">
        <f aca="false">AE43+AE44+AE45</f>
        <v>1783.22036013748</v>
      </c>
      <c r="AF46" s="125" t="n">
        <f aca="false">AF43+AF44+AF45</f>
        <v>1774.66857112896</v>
      </c>
      <c r="AG46" s="125" t="n">
        <f aca="false">AG43+AG44+AG45</f>
        <v>1745.02612299457</v>
      </c>
      <c r="AI46" s="125" t="n">
        <f aca="false">SUMIF($F$7:$AG$7,AI$7,$F46:$AG46)</f>
        <v>65.97213003612</v>
      </c>
      <c r="AJ46" s="125" t="n">
        <f aca="false">SUMIF($F$7:$AG$7,AJ$7,$F46:$AG46)</f>
        <v>134.376362790568</v>
      </c>
      <c r="AK46" s="125" t="n">
        <f aca="false">SUMIF($F$7:$AG$7,AK$7,$F46:$AG46)</f>
        <v>238.010639452794</v>
      </c>
      <c r="AL46" s="125" t="n">
        <f aca="false">SUMIF($F$7:$AG$7,AL$7,$F46:$AG46)</f>
        <v>871.15682597755</v>
      </c>
      <c r="AM46" s="125" t="n">
        <f aca="false">SUMIF($F$7:$AG$7,AM$7,$F46:$AG46)</f>
        <v>2715.911174512</v>
      </c>
      <c r="AN46" s="125" t="n">
        <f aca="false">SUMIF($F$7:$AG$7,AN$7,$F46:$AG46)</f>
        <v>4776.3296958253</v>
      </c>
      <c r="AO46" s="125" t="n">
        <f aca="false">SUMIF($F$7:$AG$7,AO$7,$F46:$AG46)</f>
        <v>6880.05767691131</v>
      </c>
    </row>
    <row r="47" customFormat="false" ht="15" hidden="false" customHeight="false" outlineLevel="0" collapsed="false">
      <c r="A47" s="3" t="s">
        <v>2065</v>
      </c>
      <c r="E47" s="76" t="n">
        <f aca="false">(INDEX(H_AIRev,1,LastHist)-INDEX(Book_A,1,LastHist)-INDEX(Book_Post,1,LastHist)-INDEX(AssetLight,1,INDEX(Q_Yr,1,LastHist)-FYBase)/4)/(INDEX($F$42:$AG$42,1,LastHist)+INDEX($F$46:$AG$46,1,LastHist))</f>
        <v>0.750319556751226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7" t="s">
        <v>2066</v>
      </c>
      <c r="B48" s="22" t="s">
        <v>619</v>
      </c>
      <c r="C48" s="22" t="s">
        <v>626</v>
      </c>
      <c r="D48" s="22" t="s">
        <v>2067</v>
      </c>
      <c r="F48" s="119" t="n">
        <f aca="false">IF(F$5&lt;=LastHist,UtilQ2,Util_Res)</f>
        <v>0.750319556751226</v>
      </c>
      <c r="G48" s="119" t="n">
        <f aca="false">IF(G$5&lt;=LastHist,UtilQ2,Util_Res)</f>
        <v>0.750319556751226</v>
      </c>
      <c r="H48" s="119" t="n">
        <f aca="false">IF(H$5&lt;=LastHist,UtilQ2,Util_Res)</f>
        <v>0.750319556751226</v>
      </c>
      <c r="I48" s="119" t="n">
        <f aca="false">IF(I$5&lt;=LastHist,UtilQ2,Util_Res)</f>
        <v>0.750319556751226</v>
      </c>
      <c r="J48" s="119" t="n">
        <f aca="false">IF(J$5&lt;=LastHist,UtilQ2,Util_Res)</f>
        <v>0.750319556751226</v>
      </c>
      <c r="K48" s="119" t="n">
        <f aca="false">IF(K$5&lt;=LastHist,UtilQ2,Util_Res)</f>
        <v>0.750319556751226</v>
      </c>
      <c r="L48" s="119" t="n">
        <f aca="false">IF(L$5&lt;=LastHist,UtilQ2,Util_Res)</f>
        <v>0.750319556751226</v>
      </c>
      <c r="M48" s="119" t="n">
        <f aca="false">IF(M$5&lt;=LastHist,UtilQ2,Util_Res)</f>
        <v>0.750319556751226</v>
      </c>
      <c r="N48" s="119" t="n">
        <f aca="false">IF(N$5&lt;=LastHist,UtilQ2,Util_Res)</f>
        <v>0.750319556751226</v>
      </c>
      <c r="O48" s="119" t="n">
        <f aca="false">IF(O$5&lt;=LastHist,UtilQ2,Util_Res)</f>
        <v>0.750319556751226</v>
      </c>
      <c r="P48" s="25" t="n">
        <f aca="false">IF(P$5&lt;=LastHist,UtilQ2,Util_Res)</f>
        <v>0.750319556751226</v>
      </c>
      <c r="Q48" s="25" t="n">
        <f aca="false">IF(Q$5&lt;=LastHist,UtilQ2,Util_Res)</f>
        <v>0.750319556751226</v>
      </c>
      <c r="R48" s="25" t="n">
        <f aca="false">IF(R$5&lt;=LastHist,UtilQ2,Util_Res)</f>
        <v>0.750319556751226</v>
      </c>
      <c r="S48" s="25" t="n">
        <f aca="false">IF(S$5&lt;=LastHist,UtilQ2,Util_Res)</f>
        <v>0.750319556751226</v>
      </c>
      <c r="T48" s="25" t="n">
        <f aca="false">IF(T$5&lt;=LastHist,UtilQ2,Util_Res)</f>
        <v>0.750319556751226</v>
      </c>
      <c r="U48" s="25" t="n">
        <f aca="false">IF(U$5&lt;=LastHist,UtilQ2,Util_Res)</f>
        <v>0.750319556751226</v>
      </c>
      <c r="V48" s="25" t="n">
        <f aca="false">IF(V$5&lt;=LastHist,UtilQ2,Util_Res)</f>
        <v>0.750319556751226</v>
      </c>
      <c r="W48" s="25" t="n">
        <f aca="false">IF(W$5&lt;=LastHist,UtilQ2,Util_Res)</f>
        <v>0.750319556751226</v>
      </c>
      <c r="X48" s="25" t="n">
        <f aca="false">IF(X$5&lt;=LastHist,UtilQ2,Util_Res)</f>
        <v>0.750319556751226</v>
      </c>
      <c r="Y48" s="25" t="n">
        <f aca="false">IF(Y$5&lt;=LastHist,UtilQ2,Util_Res)</f>
        <v>0.750319556751226</v>
      </c>
      <c r="Z48" s="25" t="n">
        <f aca="false">IF(Z$5&lt;=LastHist,UtilQ2,Util_Res)</f>
        <v>0.750319556751226</v>
      </c>
      <c r="AA48" s="25" t="n">
        <f aca="false">IF(AA$5&lt;=LastHist,UtilQ2,Util_Res)</f>
        <v>0.750319556751226</v>
      </c>
      <c r="AB48" s="25" t="n">
        <f aca="false">IF(AB$5&lt;=LastHist,UtilQ2,Util_Res)</f>
        <v>0.750319556751226</v>
      </c>
      <c r="AC48" s="25" t="n">
        <f aca="false">IF(AC$5&lt;=LastHist,UtilQ2,Util_Res)</f>
        <v>0.750319556751226</v>
      </c>
      <c r="AD48" s="25" t="n">
        <f aca="false">IF(AD$5&lt;=LastHist,UtilQ2,Util_Res)</f>
        <v>0.750319556751226</v>
      </c>
      <c r="AE48" s="25" t="n">
        <f aca="false">IF(AE$5&lt;=LastHist,UtilQ2,Util_Res)</f>
        <v>0.750319556751226</v>
      </c>
      <c r="AF48" s="25" t="n">
        <f aca="false">IF(AF$5&lt;=LastHist,UtilQ2,Util_Res)</f>
        <v>0.750319556751226</v>
      </c>
      <c r="AG48" s="25" t="n">
        <f aca="false">IF(AG$5&lt;=LastHist,UtilQ2,Util_Res)</f>
        <v>0.750319556751226</v>
      </c>
      <c r="AI48" s="25" t="n">
        <f aca="false">AVERAGEIF($F$7:$AG$7,AI$7,$F48:$AG48)</f>
        <v>0.750319556751226</v>
      </c>
      <c r="AJ48" s="25" t="n">
        <f aca="false">AVERAGEIF($F$7:$AG$7,AJ$7,$F48:$AG48)</f>
        <v>0.750319556751226</v>
      </c>
      <c r="AK48" s="25" t="n">
        <f aca="false">AVERAGEIF($F$7:$AG$7,AK$7,$F48:$AG48)</f>
        <v>0.750319556751226</v>
      </c>
      <c r="AL48" s="25" t="n">
        <f aca="false">AVERAGEIF($F$7:$AG$7,AL$7,$F48:$AG48)</f>
        <v>0.750319556751226</v>
      </c>
      <c r="AM48" s="25" t="n">
        <f aca="false">AVERAGEIF($F$7:$AG$7,AM$7,$F48:$AG48)</f>
        <v>0.750319556751226</v>
      </c>
      <c r="AN48" s="25" t="n">
        <f aca="false">AVERAGEIF($F$7:$AG$7,AN$7,$F48:$AG48)</f>
        <v>0.750319556751226</v>
      </c>
      <c r="AO48" s="25" t="n">
        <f aca="false">AVERAGEIF($F$7:$AG$7,AO$7,$F48:$AG48)</f>
        <v>0.750319556751226</v>
      </c>
    </row>
    <row r="49" customFormat="false" ht="15" hidden="false" customHeight="false" outlineLevel="0" collapsed="false">
      <c r="A49" s="107" t="s">
        <v>2068</v>
      </c>
      <c r="B49" s="22" t="s">
        <v>619</v>
      </c>
      <c r="C49" s="22" t="s">
        <v>626</v>
      </c>
      <c r="D49" s="22" t="s">
        <v>2069</v>
      </c>
      <c r="F49" s="119" t="n">
        <f aca="false">IF(F$5&lt;=LastHist,UtilQ2,Util_OD)</f>
        <v>0.750319556751226</v>
      </c>
      <c r="G49" s="119" t="n">
        <f aca="false">IF(G$5&lt;=LastHist,UtilQ2,Util_OD)</f>
        <v>0.750319556751226</v>
      </c>
      <c r="H49" s="119" t="n">
        <f aca="false">IF(H$5&lt;=LastHist,UtilQ2,Util_OD)</f>
        <v>0.750319556751226</v>
      </c>
      <c r="I49" s="119" t="n">
        <f aca="false">IF(I$5&lt;=LastHist,UtilQ2,Util_OD)</f>
        <v>0.750319556751226</v>
      </c>
      <c r="J49" s="119" t="n">
        <f aca="false">IF(J$5&lt;=LastHist,UtilQ2,Util_OD)</f>
        <v>0.750319556751226</v>
      </c>
      <c r="K49" s="119" t="n">
        <f aca="false">IF(K$5&lt;=LastHist,UtilQ2,Util_OD)</f>
        <v>0.750319556751226</v>
      </c>
      <c r="L49" s="119" t="n">
        <f aca="false">IF(L$5&lt;=LastHist,UtilQ2,Util_OD)</f>
        <v>0.750319556751226</v>
      </c>
      <c r="M49" s="119" t="n">
        <f aca="false">IF(M$5&lt;=LastHist,UtilQ2,Util_OD)</f>
        <v>0.750319556751226</v>
      </c>
      <c r="N49" s="119" t="n">
        <f aca="false">IF(N$5&lt;=LastHist,UtilQ2,Util_OD)</f>
        <v>0.750319556751226</v>
      </c>
      <c r="O49" s="119" t="n">
        <f aca="false">IF(O$5&lt;=LastHist,UtilQ2,Util_OD)</f>
        <v>0.750319556751226</v>
      </c>
      <c r="P49" s="25" t="n">
        <f aca="false">IF(P$5&lt;=LastHist,UtilQ2,Util_OD)</f>
        <v>0.750319556751226</v>
      </c>
      <c r="Q49" s="25" t="n">
        <f aca="false">IF(Q$5&lt;=LastHist,UtilQ2,Util_OD)</f>
        <v>0.750319556751226</v>
      </c>
      <c r="R49" s="25" t="n">
        <f aca="false">IF(R$5&lt;=LastHist,UtilQ2,Util_OD)</f>
        <v>0.750319556751226</v>
      </c>
      <c r="S49" s="25" t="n">
        <f aca="false">IF(S$5&lt;=LastHist,UtilQ2,Util_OD)</f>
        <v>0.750319556751226</v>
      </c>
      <c r="T49" s="25" t="n">
        <f aca="false">IF(T$5&lt;=LastHist,UtilQ2,Util_OD)</f>
        <v>0.750319556751226</v>
      </c>
      <c r="U49" s="25" t="n">
        <f aca="false">IF(U$5&lt;=LastHist,UtilQ2,Util_OD)</f>
        <v>0.750319556751226</v>
      </c>
      <c r="V49" s="25" t="n">
        <f aca="false">IF(V$5&lt;=LastHist,UtilQ2,Util_OD)</f>
        <v>0.750319556751226</v>
      </c>
      <c r="W49" s="25" t="n">
        <f aca="false">IF(W$5&lt;=LastHist,UtilQ2,Util_OD)</f>
        <v>0.750319556751226</v>
      </c>
      <c r="X49" s="25" t="n">
        <f aca="false">IF(X$5&lt;=LastHist,UtilQ2,Util_OD)</f>
        <v>0.750319556751226</v>
      </c>
      <c r="Y49" s="25" t="n">
        <f aca="false">IF(Y$5&lt;=LastHist,UtilQ2,Util_OD)</f>
        <v>0.750319556751226</v>
      </c>
      <c r="Z49" s="25" t="n">
        <f aca="false">IF(Z$5&lt;=LastHist,UtilQ2,Util_OD)</f>
        <v>0.750319556751226</v>
      </c>
      <c r="AA49" s="25" t="n">
        <f aca="false">IF(AA$5&lt;=LastHist,UtilQ2,Util_OD)</f>
        <v>0.750319556751226</v>
      </c>
      <c r="AB49" s="25" t="n">
        <f aca="false">IF(AB$5&lt;=LastHist,UtilQ2,Util_OD)</f>
        <v>0.750319556751226</v>
      </c>
      <c r="AC49" s="25" t="n">
        <f aca="false">IF(AC$5&lt;=LastHist,UtilQ2,Util_OD)</f>
        <v>0.750319556751226</v>
      </c>
      <c r="AD49" s="25" t="n">
        <f aca="false">IF(AD$5&lt;=LastHist,UtilQ2,Util_OD)</f>
        <v>0.750319556751226</v>
      </c>
      <c r="AE49" s="25" t="n">
        <f aca="false">IF(AE$5&lt;=LastHist,UtilQ2,Util_OD)</f>
        <v>0.750319556751226</v>
      </c>
      <c r="AF49" s="25" t="n">
        <f aca="false">IF(AF$5&lt;=LastHist,UtilQ2,Util_OD)</f>
        <v>0.750319556751226</v>
      </c>
      <c r="AG49" s="25" t="n">
        <f aca="false">IF(AG$5&lt;=LastHist,UtilQ2,Util_OD)</f>
        <v>0.750319556751226</v>
      </c>
      <c r="AI49" s="25" t="n">
        <f aca="false">AVERAGEIF($F$7:$AG$7,AI$7,$F49:$AG49)</f>
        <v>0.750319556751226</v>
      </c>
      <c r="AJ49" s="25" t="n">
        <f aca="false">AVERAGEIF($F$7:$AG$7,AJ$7,$F49:$AG49)</f>
        <v>0.750319556751226</v>
      </c>
      <c r="AK49" s="25" t="n">
        <f aca="false">AVERAGEIF($F$7:$AG$7,AK$7,$F49:$AG49)</f>
        <v>0.750319556751226</v>
      </c>
      <c r="AL49" s="25" t="n">
        <f aca="false">AVERAGEIF($F$7:$AG$7,AL$7,$F49:$AG49)</f>
        <v>0.750319556751226</v>
      </c>
      <c r="AM49" s="25" t="n">
        <f aca="false">AVERAGEIF($F$7:$AG$7,AM$7,$F49:$AG49)</f>
        <v>0.750319556751226</v>
      </c>
      <c r="AN49" s="25" t="n">
        <f aca="false">AVERAGEIF($F$7:$AG$7,AN$7,$F49:$AG49)</f>
        <v>0.750319556751226</v>
      </c>
      <c r="AO49" s="25" t="n">
        <f aca="false">AVERAGEIF($F$7:$AG$7,AO$7,$F49:$AG49)</f>
        <v>0.750319556751226</v>
      </c>
    </row>
    <row r="50" customFormat="false" ht="15" hidden="false" customHeight="false" outlineLevel="0" collapsed="false">
      <c r="A50" s="3" t="s">
        <v>2070</v>
      </c>
      <c r="B50" s="22" t="s">
        <v>613</v>
      </c>
      <c r="C50" s="22" t="s">
        <v>540</v>
      </c>
      <c r="D50" s="22"/>
      <c r="F50" s="126" t="n">
        <f aca="false">F42*F48</f>
        <v>53.2910779822985</v>
      </c>
      <c r="G50" s="126" t="n">
        <f aca="false">G42*G48</f>
        <v>53.2910779822985</v>
      </c>
      <c r="H50" s="126" t="n">
        <f aca="false">H42*H48</f>
        <v>53.8766942238622</v>
      </c>
      <c r="I50" s="126" t="n">
        <f aca="false">I42*I48</f>
        <v>59.2651494217056</v>
      </c>
      <c r="J50" s="126" t="n">
        <f aca="false">J42*J48</f>
        <v>92.4269687824033</v>
      </c>
      <c r="K50" s="126" t="n">
        <f aca="false">K42*K48</f>
        <v>120.699933402197</v>
      </c>
      <c r="L50" s="126" t="n">
        <f aca="false">L42*L48</f>
        <v>144.953063238944</v>
      </c>
      <c r="M50" s="126" t="n">
        <f aca="false">M42*M48</f>
        <v>222.337963442479</v>
      </c>
      <c r="N50" s="126" t="n">
        <f aca="false">N42*N48</f>
        <v>262.913028180048</v>
      </c>
      <c r="O50" s="126" t="n">
        <f aca="false">O42*O48</f>
        <v>270.155006487702</v>
      </c>
      <c r="P50" s="99" t="n">
        <f aca="false">P42*P48</f>
        <v>293.03107149017</v>
      </c>
      <c r="Q50" s="99" t="n">
        <f aca="false">Q42*Q48</f>
        <v>323.745876271775</v>
      </c>
      <c r="R50" s="99" t="n">
        <f aca="false">R42*R48</f>
        <v>488.987864691985</v>
      </c>
      <c r="S50" s="99" t="n">
        <f aca="false">S42*S48</f>
        <v>884.479183719947</v>
      </c>
      <c r="T50" s="99" t="n">
        <f aca="false">T42*T48</f>
        <v>1279.47283210519</v>
      </c>
      <c r="U50" s="99" t="n">
        <f aca="false">U42*U48</f>
        <v>1539.76432955975</v>
      </c>
      <c r="V50" s="99" t="n">
        <f aca="false">V42*V48</f>
        <v>2245.8523258675</v>
      </c>
      <c r="W50" s="99" t="n">
        <f aca="false">W42*W48</f>
        <v>2988.8022661316</v>
      </c>
      <c r="X50" s="99" t="n">
        <f aca="false">X42*X48</f>
        <v>3571.25431742817</v>
      </c>
      <c r="Y50" s="99" t="n">
        <f aca="false">Y42*Y48</f>
        <v>3913.06410287995</v>
      </c>
      <c r="Z50" s="99" t="n">
        <f aca="false">Z42*Z48</f>
        <v>4532.81032494468</v>
      </c>
      <c r="AA50" s="99" t="n">
        <f aca="false">AA42*AA48</f>
        <v>5245.75854727379</v>
      </c>
      <c r="AB50" s="99" t="n">
        <f aca="false">AB42*AB48</f>
        <v>5982.369687387</v>
      </c>
      <c r="AC50" s="99" t="n">
        <f aca="false">AC42*AC48</f>
        <v>6639.30512139356</v>
      </c>
      <c r="AD50" s="99" t="n">
        <f aca="false">AD42*AD48</f>
        <v>7400.86754368425</v>
      </c>
      <c r="AE50" s="99" t="n">
        <f aca="false">AE42*AE48</f>
        <v>8369.45101747605</v>
      </c>
      <c r="AF50" s="99" t="n">
        <f aca="false">AF42*AF48</f>
        <v>8329.33330900496</v>
      </c>
      <c r="AG50" s="99" t="n">
        <f aca="false">AG42*AG48</f>
        <v>8190.26932107401</v>
      </c>
      <c r="AI50" s="99" t="n">
        <f aca="false">SUMIF($F$7:$AG$7,AI$7,$F50:$AG50)</f>
        <v>219.723999610165</v>
      </c>
      <c r="AJ50" s="99" t="n">
        <f aca="false">SUMIF($F$7:$AG$7,AJ$7,$F50:$AG50)</f>
        <v>580.417928866023</v>
      </c>
      <c r="AK50" s="99" t="n">
        <f aca="false">SUMIF($F$7:$AG$7,AK$7,$F50:$AG50)</f>
        <v>1149.8449824297</v>
      </c>
      <c r="AL50" s="99" t="n">
        <f aca="false">SUMIF($F$7:$AG$7,AL$7,$F50:$AG50)</f>
        <v>4192.70421007687</v>
      </c>
      <c r="AM50" s="99" t="n">
        <f aca="false">SUMIF($F$7:$AG$7,AM$7,$F50:$AG50)</f>
        <v>12718.9730123072</v>
      </c>
      <c r="AN50" s="99" t="n">
        <f aca="false">SUMIF($F$7:$AG$7,AN$7,$F50:$AG50)</f>
        <v>22400.243680999</v>
      </c>
      <c r="AO50" s="99" t="n">
        <f aca="false">SUMIF($F$7:$AG$7,AO$7,$F50:$AG50)</f>
        <v>32289.9211912393</v>
      </c>
    </row>
    <row r="51" customFormat="false" ht="15" hidden="false" customHeight="false" outlineLevel="0" collapsed="false">
      <c r="A51" s="3" t="s">
        <v>2071</v>
      </c>
      <c r="B51" s="22" t="s">
        <v>613</v>
      </c>
      <c r="C51" s="22" t="s">
        <v>540</v>
      </c>
      <c r="D51" s="22"/>
      <c r="F51" s="126" t="n">
        <f aca="false">F46*F49</f>
        <v>12.0055975835382</v>
      </c>
      <c r="G51" s="126" t="n">
        <f aca="false">G46*G49</f>
        <v>12.0055975835382</v>
      </c>
      <c r="H51" s="126" t="n">
        <f aca="false">H46*H49</f>
        <v>12.1375272273134</v>
      </c>
      <c r="I51" s="126" t="n">
        <f aca="false">I46*I49</f>
        <v>13.3514569722459</v>
      </c>
      <c r="J51" s="126" t="n">
        <f aca="false">J46*J49</f>
        <v>16.0899327006383</v>
      </c>
      <c r="K51" s="126" t="n">
        <f aca="false">K46*K49</f>
        <v>21.0117656242192</v>
      </c>
      <c r="L51" s="126" t="n">
        <f aca="false">L46*L49</f>
        <v>25.1937271328489</v>
      </c>
      <c r="M51" s="126" t="n">
        <f aca="false">M46*M49</f>
        <v>38.5297875091542</v>
      </c>
      <c r="N51" s="126" t="n">
        <f aca="false">N46*N49</f>
        <v>38.8585946316417</v>
      </c>
      <c r="O51" s="126" t="n">
        <f aca="false">O46*O49</f>
        <v>39.9259657345207</v>
      </c>
      <c r="P51" s="99" t="n">
        <f aca="false">P46*P49</f>
        <v>44.5178735171593</v>
      </c>
      <c r="Q51" s="99" t="n">
        <f aca="false">Q46*Q49</f>
        <v>55.2816036129748</v>
      </c>
      <c r="R51" s="99" t="n">
        <f aca="false">R46*R49</f>
        <v>80.0740038697635</v>
      </c>
      <c r="S51" s="99" t="n">
        <f aca="false">S46*S49</f>
        <v>138.633434611252</v>
      </c>
      <c r="T51" s="99" t="n">
        <f aca="false">T46*T49</f>
        <v>197.855891273198</v>
      </c>
      <c r="U51" s="99" t="n">
        <f aca="false">U46*U49</f>
        <v>237.082673774067</v>
      </c>
      <c r="V51" s="99" t="n">
        <f aca="false">V46*V49</f>
        <v>360.222071061159</v>
      </c>
      <c r="W51" s="99" t="n">
        <f aca="false">W46*W49</f>
        <v>479.030040858521</v>
      </c>
      <c r="X51" s="99" t="n">
        <f aca="false">X46*X49</f>
        <v>572.005951996765</v>
      </c>
      <c r="Y51" s="99" t="n">
        <f aca="false">Y46*Y49</f>
        <v>626.543204719103</v>
      </c>
      <c r="Z51" s="99" t="n">
        <f aca="false">Z46*Z49</f>
        <v>725.509269972097</v>
      </c>
      <c r="AA51" s="99" t="n">
        <f aca="false">AA46*AA49</f>
        <v>839.41355271804</v>
      </c>
      <c r="AB51" s="99" t="n">
        <f aca="false">AB46*AB49</f>
        <v>957.001689065912</v>
      </c>
      <c r="AC51" s="99" t="n">
        <f aca="false">AC46*AC49</f>
        <v>1061.8490685133</v>
      </c>
      <c r="AD51" s="99" t="n">
        <f aca="false">AD46*AD49</f>
        <v>1183.36095356044</v>
      </c>
      <c r="AE51" s="99" t="n">
        <f aca="false">AE46*AE49</f>
        <v>1337.98511020812</v>
      </c>
      <c r="AF51" s="99" t="n">
        <f aca="false">AF46*AF49</f>
        <v>1331.56853566981</v>
      </c>
      <c r="AG51" s="99" t="n">
        <f aca="false">AG46*AG49</f>
        <v>1309.32722712459</v>
      </c>
      <c r="AI51" s="99" t="n">
        <f aca="false">SUMIF($F$7:$AG$7,AI$7,$F51:$AG51)</f>
        <v>49.5001793666358</v>
      </c>
      <c r="AJ51" s="99" t="n">
        <f aca="false">SUMIF($F$7:$AG$7,AJ$7,$F51:$AG51)</f>
        <v>100.825212966861</v>
      </c>
      <c r="AK51" s="99" t="n">
        <f aca="false">SUMIF($F$7:$AG$7,AK$7,$F51:$AG51)</f>
        <v>178.584037496296</v>
      </c>
      <c r="AL51" s="99" t="n">
        <f aca="false">SUMIF($F$7:$AG$7,AL$7,$F51:$AG51)</f>
        <v>653.64600352828</v>
      </c>
      <c r="AM51" s="99" t="n">
        <f aca="false">SUMIF($F$7:$AG$7,AM$7,$F51:$AG51)</f>
        <v>2037.80126863555</v>
      </c>
      <c r="AN51" s="99" t="n">
        <f aca="false">SUMIF($F$7:$AG$7,AN$7,$F51:$AG51)</f>
        <v>3583.77358026935</v>
      </c>
      <c r="AO51" s="99" t="n">
        <f aca="false">SUMIF($F$7:$AG$7,AO$7,$F51:$AG51)</f>
        <v>5162.24182656296</v>
      </c>
    </row>
    <row r="53" customFormat="false" ht="15" hidden="false" customHeight="false" outlineLevel="0" collapsed="false">
      <c r="A53" s="58" t="s">
        <v>2072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</row>
    <row r="54" customFormat="false" ht="15" hidden="false" customHeight="false" outlineLevel="0" collapsed="false">
      <c r="A54" s="107" t="s">
        <v>2073</v>
      </c>
      <c r="B54" s="22" t="s">
        <v>763</v>
      </c>
      <c r="C54" s="22" t="s">
        <v>540</v>
      </c>
      <c r="D54" s="22"/>
      <c r="F54" s="111" t="n">
        <f aca="false">IF(F$5&lt;NewDealIdx,F33,MIN(F33,INDEX($F$33:$AG$33,1,NewDealIdx-1)))</f>
        <v>13713</v>
      </c>
      <c r="G54" s="111" t="n">
        <f aca="false">IF(G$5&lt;NewDealIdx,G33,MIN(G33,INDEX($F$33:$AG$33,1,NewDealIdx-1)))</f>
        <v>13713</v>
      </c>
      <c r="H54" s="111" t="n">
        <f aca="false">IF(H$5&lt;NewDealIdx,H33,MIN(H33,INDEX($F$33:$AG$33,1,NewDealIdx-1)))</f>
        <v>13713</v>
      </c>
      <c r="I54" s="111" t="n">
        <f aca="false">IF(I$5&lt;NewDealIdx,I33,MIN(I33,INDEX($F$33:$AG$33,1,NewDealIdx-1)))</f>
        <v>15084.5</v>
      </c>
      <c r="J54" s="111" t="n">
        <f aca="false">IF(J$5&lt;NewDealIdx,J33,MIN(J33,INDEX($F$33:$AG$33,1,NewDealIdx-1)))</f>
        <v>23228</v>
      </c>
      <c r="K54" s="111" t="n">
        <f aca="false">IF(K$5&lt;NewDealIdx,K33,MIN(K33,INDEX($F$33:$AG$33,1,NewDealIdx-1)))</f>
        <v>30000</v>
      </c>
      <c r="L54" s="111" t="n">
        <f aca="false">IF(L$5&lt;NewDealIdx,L33,MIN(L33,INDEX($F$33:$AG$33,1,NewDealIdx-1)))</f>
        <v>30000</v>
      </c>
      <c r="M54" s="111" t="n">
        <f aca="false">IF(M$5&lt;NewDealIdx,M33,MIN(M33,INDEX($F$33:$AG$33,1,NewDealIdx-1)))</f>
        <v>30000</v>
      </c>
      <c r="N54" s="111" t="n">
        <f aca="false">IF(N$5&lt;NewDealIdx,N33,MIN(N33,INDEX($F$33:$AG$33,1,NewDealIdx-1)))</f>
        <v>30000</v>
      </c>
      <c r="O54" s="111" t="n">
        <f aca="false">IF(O$5&lt;NewDealIdx,O33,MIN(O33,INDEX($F$33:$AG$33,1,NewDealIdx-1)))</f>
        <v>30000</v>
      </c>
      <c r="P54" s="33" t="n">
        <f aca="false">IF(P$5&lt;NewDealIdx,P33,MIN(P33,INDEX($F$33:$AG$33,1,NewDealIdx-1)))</f>
        <v>30000</v>
      </c>
      <c r="Q54" s="33" t="n">
        <f aca="false">IF(Q$5&lt;NewDealIdx,Q33,MIN(Q33,INDEX($F$33:$AG$33,1,NewDealIdx-1)))</f>
        <v>30000</v>
      </c>
      <c r="R54" s="33" t="n">
        <f aca="false">IF(R$5&lt;NewDealIdx,R33,MIN(R33,INDEX($F$33:$AG$33,1,NewDealIdx-1)))</f>
        <v>30000</v>
      </c>
      <c r="S54" s="33" t="n">
        <f aca="false">IF(S$5&lt;NewDealIdx,S33,MIN(S33,INDEX($F$33:$AG$33,1,NewDealIdx-1)))</f>
        <v>30000</v>
      </c>
      <c r="T54" s="33" t="n">
        <f aca="false">IF(T$5&lt;NewDealIdx,T33,MIN(T33,INDEX($F$33:$AG$33,1,NewDealIdx-1)))</f>
        <v>30000</v>
      </c>
      <c r="U54" s="33" t="n">
        <f aca="false">IF(U$5&lt;NewDealIdx,U33,MIN(U33,INDEX($F$33:$AG$33,1,NewDealIdx-1)))</f>
        <v>30000</v>
      </c>
      <c r="V54" s="33" t="n">
        <f aca="false">IF(V$5&lt;NewDealIdx,V33,MIN(V33,INDEX($F$33:$AG$33,1,NewDealIdx-1)))</f>
        <v>30000</v>
      </c>
      <c r="W54" s="33" t="n">
        <f aca="false">IF(W$5&lt;NewDealIdx,W33,MIN(W33,INDEX($F$33:$AG$33,1,NewDealIdx-1)))</f>
        <v>30000</v>
      </c>
      <c r="X54" s="33" t="n">
        <f aca="false">IF(X$5&lt;NewDealIdx,X33,MIN(X33,INDEX($F$33:$AG$33,1,NewDealIdx-1)))</f>
        <v>30000</v>
      </c>
      <c r="Y54" s="33" t="n">
        <f aca="false">IF(Y$5&lt;NewDealIdx,Y33,MIN(Y33,INDEX($F$33:$AG$33,1,NewDealIdx-1)))</f>
        <v>30000</v>
      </c>
      <c r="Z54" s="33" t="n">
        <f aca="false">IF(Z$5&lt;NewDealIdx,Z33,MIN(Z33,INDEX($F$33:$AG$33,1,NewDealIdx-1)))</f>
        <v>30000</v>
      </c>
      <c r="AA54" s="33" t="n">
        <f aca="false">IF(AA$5&lt;NewDealIdx,AA33,MIN(AA33,INDEX($F$33:$AG$33,1,NewDealIdx-1)))</f>
        <v>30000</v>
      </c>
      <c r="AB54" s="33" t="n">
        <f aca="false">IF(AB$5&lt;NewDealIdx,AB33,MIN(AB33,INDEX($F$33:$AG$33,1,NewDealIdx-1)))</f>
        <v>30000</v>
      </c>
      <c r="AC54" s="33" t="n">
        <f aca="false">IF(AC$5&lt;NewDealIdx,AC33,MIN(AC33,INDEX($F$33:$AG$33,1,NewDealIdx-1)))</f>
        <v>30000</v>
      </c>
      <c r="AD54" s="33" t="n">
        <f aca="false">IF(AD$5&lt;NewDealIdx,AD33,MIN(AD33,INDEX($F$33:$AG$33,1,NewDealIdx-1)))</f>
        <v>30000</v>
      </c>
      <c r="AE54" s="33" t="n">
        <f aca="false">IF(AE$5&lt;NewDealIdx,AE33,MIN(AE33,INDEX($F$33:$AG$33,1,NewDealIdx-1)))</f>
        <v>30000</v>
      </c>
      <c r="AF54" s="33" t="n">
        <f aca="false">IF(AF$5&lt;NewDealIdx,AF33,MIN(AF33,INDEX($F$33:$AG$33,1,NewDealIdx-1)))</f>
        <v>30000</v>
      </c>
      <c r="AG54" s="33" t="n">
        <f aca="false">IF(AG$5&lt;NewDealIdx,AG33,MIN(AG33,INDEX($F$33:$AG$33,1,NewDealIdx-1)))</f>
        <v>30000</v>
      </c>
      <c r="AI54" s="33" t="n">
        <f aca="false">AVERAGEIF($F$7:$AG$7,AI$7,$F54:$AG54)</f>
        <v>14055.875</v>
      </c>
      <c r="AJ54" s="33" t="n">
        <f aca="false">AVERAGEIF($F$7:$AG$7,AJ$7,$F54:$AG54)</f>
        <v>28307</v>
      </c>
      <c r="AK54" s="33" t="n">
        <f aca="false">AVERAGEIF($F$7:$AG$7,AK$7,$F54:$AG54)</f>
        <v>30000</v>
      </c>
      <c r="AL54" s="33" t="n">
        <f aca="false">AVERAGEIF($F$7:$AG$7,AL$7,$F54:$AG54)</f>
        <v>30000</v>
      </c>
      <c r="AM54" s="33" t="n">
        <f aca="false">AVERAGEIF($F$7:$AG$7,AM$7,$F54:$AG54)</f>
        <v>30000</v>
      </c>
      <c r="AN54" s="33" t="n">
        <f aca="false">AVERAGEIF($F$7:$AG$7,AN$7,$F54:$AG54)</f>
        <v>30000</v>
      </c>
      <c r="AO54" s="33" t="n">
        <f aca="false">AVERAGEIF($F$7:$AG$7,AO$7,$F54:$AG54)</f>
        <v>30000</v>
      </c>
    </row>
    <row r="55" customFormat="false" ht="15" hidden="false" customHeight="false" outlineLevel="0" collapsed="false">
      <c r="A55" s="107" t="s">
        <v>2074</v>
      </c>
      <c r="B55" s="22" t="s">
        <v>763</v>
      </c>
      <c r="C55" s="22" t="s">
        <v>540</v>
      </c>
      <c r="D55" s="22"/>
      <c r="F55" s="111" t="n">
        <f aca="false">IF(F$5&lt;NewDealIdx,F34,MIN(F34,INDEX($F$34:$AG$34,1,NewDealIdx-1)))</f>
        <v>0</v>
      </c>
      <c r="G55" s="111" t="n">
        <f aca="false">IF(G$5&lt;NewDealIdx,G34,MIN(G34,INDEX($F$34:$AG$34,1,NewDealIdx-1)))</f>
        <v>0</v>
      </c>
      <c r="H55" s="111" t="n">
        <f aca="false">IF(H$5&lt;NewDealIdx,H34,MIN(H34,INDEX($F$34:$AG$34,1,NewDealIdx-1)))</f>
        <v>0</v>
      </c>
      <c r="I55" s="111" t="n">
        <f aca="false">IF(I$5&lt;NewDealIdx,I34,MIN(I34,INDEX($F$34:$AG$34,1,NewDealIdx-1)))</f>
        <v>0</v>
      </c>
      <c r="J55" s="111" t="n">
        <f aca="false">IF(J$5&lt;NewDealIdx,J34,MIN(J34,INDEX($F$34:$AG$34,1,NewDealIdx-1)))</f>
        <v>0</v>
      </c>
      <c r="K55" s="111" t="n">
        <f aca="false">IF(K$5&lt;NewDealIdx,K34,MIN(K34,INDEX($F$34:$AG$34,1,NewDealIdx-1)))</f>
        <v>0</v>
      </c>
      <c r="L55" s="111" t="n">
        <f aca="false">IF(L$5&lt;NewDealIdx,L34,MIN(L34,INDEX($F$34:$AG$34,1,NewDealIdx-1)))</f>
        <v>2558</v>
      </c>
      <c r="M55" s="111" t="n">
        <f aca="false">IF(M$5&lt;NewDealIdx,M34,MIN(M34,INDEX($F$34:$AG$34,1,NewDealIdx-1)))</f>
        <v>11192.0416666667</v>
      </c>
      <c r="N55" s="111" t="n">
        <f aca="false">IF(N$5&lt;NewDealIdx,N34,MIN(N34,INDEX($F$34:$AG$34,1,NewDealIdx-1)))</f>
        <v>15704.625</v>
      </c>
      <c r="O55" s="111" t="n">
        <f aca="false">IF(O$5&lt;NewDealIdx,O34,MIN(O34,INDEX($F$34:$AG$34,1,NewDealIdx-1)))</f>
        <v>16181.1666666667</v>
      </c>
      <c r="P55" s="33" t="n">
        <f aca="false">IF(P$5&lt;NewDealIdx,P34,MIN(P34,INDEX($F$34:$AG$34,1,NewDealIdx-1)))</f>
        <v>18221.1666666667</v>
      </c>
      <c r="Q55" s="33" t="n">
        <f aca="false">IF(Q$5&lt;NewDealIdx,Q34,MIN(Q34,INDEX($F$34:$AG$34,1,NewDealIdx-1)))</f>
        <v>19549.1666666667</v>
      </c>
      <c r="R55" s="33" t="n">
        <f aca="false">IF(R$5&lt;NewDealIdx,R34,MIN(R34,INDEX($F$34:$AG$34,1,NewDealIdx-1)))</f>
        <v>19549.1666666667</v>
      </c>
      <c r="S55" s="33" t="n">
        <f aca="false">IF(S$5&lt;NewDealIdx,S34,MIN(S34,INDEX($F$34:$AG$34,1,NewDealIdx-1)))</f>
        <v>19549.1666666667</v>
      </c>
      <c r="T55" s="33" t="n">
        <f aca="false">IF(T$5&lt;NewDealIdx,T34,MIN(T34,INDEX($F$34:$AG$34,1,NewDealIdx-1)))</f>
        <v>19549.1666666667</v>
      </c>
      <c r="U55" s="33" t="n">
        <f aca="false">IF(U$5&lt;NewDealIdx,U34,MIN(U34,INDEX($F$34:$AG$34,1,NewDealIdx-1)))</f>
        <v>19549.1666666667</v>
      </c>
      <c r="V55" s="33" t="n">
        <f aca="false">IF(V$5&lt;NewDealIdx,V34,MIN(V34,INDEX($F$34:$AG$34,1,NewDealIdx-1)))</f>
        <v>19549.1666666667</v>
      </c>
      <c r="W55" s="33" t="n">
        <f aca="false">IF(W$5&lt;NewDealIdx,W34,MIN(W34,INDEX($F$34:$AG$34,1,NewDealIdx-1)))</f>
        <v>19549.1666666667</v>
      </c>
      <c r="X55" s="33" t="n">
        <f aca="false">IF(X$5&lt;NewDealIdx,X34,MIN(X34,INDEX($F$34:$AG$34,1,NewDealIdx-1)))</f>
        <v>19549.1666666667</v>
      </c>
      <c r="Y55" s="33" t="n">
        <f aca="false">IF(Y$5&lt;NewDealIdx,Y34,MIN(Y34,INDEX($F$34:$AG$34,1,NewDealIdx-1)))</f>
        <v>19549.1666666667</v>
      </c>
      <c r="Z55" s="33" t="n">
        <f aca="false">IF(Z$5&lt;NewDealIdx,Z34,MIN(Z34,INDEX($F$34:$AG$34,1,NewDealIdx-1)))</f>
        <v>19549.1666666667</v>
      </c>
      <c r="AA55" s="33" t="n">
        <f aca="false">IF(AA$5&lt;NewDealIdx,AA34,MIN(AA34,INDEX($F$34:$AG$34,1,NewDealIdx-1)))</f>
        <v>19549.1666666667</v>
      </c>
      <c r="AB55" s="33" t="n">
        <f aca="false">IF(AB$5&lt;NewDealIdx,AB34,MIN(AB34,INDEX($F$34:$AG$34,1,NewDealIdx-1)))</f>
        <v>19549.1666666667</v>
      </c>
      <c r="AC55" s="33" t="n">
        <f aca="false">IF(AC$5&lt;NewDealIdx,AC34,MIN(AC34,INDEX($F$34:$AG$34,1,NewDealIdx-1)))</f>
        <v>19549.1666666667</v>
      </c>
      <c r="AD55" s="33" t="n">
        <f aca="false">IF(AD$5&lt;NewDealIdx,AD34,MIN(AD34,INDEX($F$34:$AG$34,1,NewDealIdx-1)))</f>
        <v>19549.1666666667</v>
      </c>
      <c r="AE55" s="33" t="n">
        <f aca="false">IF(AE$5&lt;NewDealIdx,AE34,MIN(AE34,INDEX($F$34:$AG$34,1,NewDealIdx-1)))</f>
        <v>19549.1666666667</v>
      </c>
      <c r="AF55" s="33" t="n">
        <f aca="false">IF(AF$5&lt;NewDealIdx,AF34,MIN(AF34,INDEX($F$34:$AG$34,1,NewDealIdx-1)))</f>
        <v>19549.1666666667</v>
      </c>
      <c r="AG55" s="33" t="n">
        <f aca="false">IF(AG$5&lt;NewDealIdx,AG34,MIN(AG34,INDEX($F$34:$AG$34,1,NewDealIdx-1)))</f>
        <v>19549.1666666667</v>
      </c>
      <c r="AI55" s="33" t="n">
        <f aca="false">AVERAGEIF($F$7:$AG$7,AI$7,$F55:$AG55)</f>
        <v>0</v>
      </c>
      <c r="AJ55" s="33" t="n">
        <f aca="false">AVERAGEIF($F$7:$AG$7,AJ$7,$F55:$AG55)</f>
        <v>3437.51041666667</v>
      </c>
      <c r="AK55" s="33" t="n">
        <f aca="false">AVERAGEIF($F$7:$AG$7,AK$7,$F55:$AG55)</f>
        <v>17414.03125</v>
      </c>
      <c r="AL55" s="33" t="n">
        <f aca="false">AVERAGEIF($F$7:$AG$7,AL$7,$F55:$AG55)</f>
        <v>19549.1666666667</v>
      </c>
      <c r="AM55" s="33" t="n">
        <f aca="false">AVERAGEIF($F$7:$AG$7,AM$7,$F55:$AG55)</f>
        <v>19549.1666666667</v>
      </c>
      <c r="AN55" s="33" t="n">
        <f aca="false">AVERAGEIF($F$7:$AG$7,AN$7,$F55:$AG55)</f>
        <v>19549.1666666667</v>
      </c>
      <c r="AO55" s="33" t="n">
        <f aca="false">AVERAGEIF($F$7:$AG$7,AO$7,$F55:$AG55)</f>
        <v>19549.1666666667</v>
      </c>
    </row>
    <row r="56" customFormat="false" ht="15" hidden="false" customHeight="false" outlineLevel="0" collapsed="false">
      <c r="A56" s="107" t="s">
        <v>2075</v>
      </c>
      <c r="B56" s="22" t="s">
        <v>763</v>
      </c>
      <c r="C56" s="22" t="s">
        <v>540</v>
      </c>
      <c r="D56" s="22"/>
      <c r="F56" s="111" t="n">
        <f aca="false">IF(F$5&lt;NewDealIdx,F35,MIN(F35,INDEX($F$35:$AG$35,1,NewDealIdx-1)))</f>
        <v>0</v>
      </c>
      <c r="G56" s="111" t="n">
        <f aca="false">IF(G$5&lt;NewDealIdx,G35,MIN(G35,INDEX($F$35:$AG$35,1,NewDealIdx-1)))</f>
        <v>0</v>
      </c>
      <c r="H56" s="111" t="n">
        <f aca="false">IF(H$5&lt;NewDealIdx,H35,MIN(H35,INDEX($F$35:$AG$35,1,NewDealIdx-1)))</f>
        <v>0</v>
      </c>
      <c r="I56" s="111" t="n">
        <f aca="false">IF(I$5&lt;NewDealIdx,I35,MIN(I35,INDEX($F$35:$AG$35,1,NewDealIdx-1)))</f>
        <v>0</v>
      </c>
      <c r="J56" s="111" t="n">
        <f aca="false">IF(J$5&lt;NewDealIdx,J35,MIN(J35,INDEX($F$35:$AG$35,1,NewDealIdx-1)))</f>
        <v>0</v>
      </c>
      <c r="K56" s="111" t="n">
        <f aca="false">IF(K$5&lt;NewDealIdx,K35,MIN(K35,INDEX($F$35:$AG$35,1,NewDealIdx-1)))</f>
        <v>0</v>
      </c>
      <c r="L56" s="111" t="n">
        <f aca="false">IF(L$5&lt;NewDealIdx,L35,MIN(L35,INDEX($F$35:$AG$35,1,NewDealIdx-1)))</f>
        <v>0</v>
      </c>
      <c r="M56" s="111" t="n">
        <f aca="false">IF(M$5&lt;NewDealIdx,M35,MIN(M35,INDEX($F$35:$AG$35,1,NewDealIdx-1)))</f>
        <v>0</v>
      </c>
      <c r="N56" s="111" t="n">
        <f aca="false">IF(N$5&lt;NewDealIdx,N35,MIN(N35,INDEX($F$35:$AG$35,1,NewDealIdx-1)))</f>
        <v>0</v>
      </c>
      <c r="O56" s="111" t="n">
        <f aca="false">IF(O$5&lt;NewDealIdx,O35,MIN(O35,INDEX($F$35:$AG$35,1,NewDealIdx-1)))</f>
        <v>0</v>
      </c>
      <c r="P56" s="33" t="n">
        <f aca="false">IF(P$5&lt;NewDealIdx,P35,MIN(P35,INDEX($F$35:$AG$35,1,NewDealIdx-1)))</f>
        <v>0</v>
      </c>
      <c r="Q56" s="33" t="n">
        <f aca="false">IF(Q$5&lt;NewDealIdx,Q35,MIN(Q35,INDEX($F$35:$AG$35,1,NewDealIdx-1)))</f>
        <v>0</v>
      </c>
      <c r="R56" s="33" t="n">
        <f aca="false">IF(R$5&lt;NewDealIdx,R35,MIN(R35,INDEX($F$35:$AG$35,1,NewDealIdx-1)))</f>
        <v>0</v>
      </c>
      <c r="S56" s="33" t="n">
        <f aca="false">IF(S$5&lt;NewDealIdx,S35,MIN(S35,INDEX($F$35:$AG$35,1,NewDealIdx-1)))</f>
        <v>0</v>
      </c>
      <c r="T56" s="33" t="n">
        <f aca="false">IF(T$5&lt;NewDealIdx,T35,MIN(T35,INDEX($F$35:$AG$35,1,NewDealIdx-1)))</f>
        <v>0</v>
      </c>
      <c r="U56" s="33" t="n">
        <f aca="false">IF(U$5&lt;NewDealIdx,U35,MIN(U35,INDEX($F$35:$AG$35,1,NewDealIdx-1)))</f>
        <v>0</v>
      </c>
      <c r="V56" s="33" t="n">
        <f aca="false">IF(V$5&lt;NewDealIdx,V35,MIN(V35,INDEX($F$35:$AG$35,1,NewDealIdx-1)))</f>
        <v>0</v>
      </c>
      <c r="W56" s="33" t="n">
        <f aca="false">IF(W$5&lt;NewDealIdx,W35,MIN(W35,INDEX($F$35:$AG$35,1,NewDealIdx-1)))</f>
        <v>0</v>
      </c>
      <c r="X56" s="33" t="n">
        <f aca="false">IF(X$5&lt;NewDealIdx,X35,MIN(X35,INDEX($F$35:$AG$35,1,NewDealIdx-1)))</f>
        <v>0</v>
      </c>
      <c r="Y56" s="33" t="n">
        <f aca="false">IF(Y$5&lt;NewDealIdx,Y35,MIN(Y35,INDEX($F$35:$AG$35,1,NewDealIdx-1)))</f>
        <v>0</v>
      </c>
      <c r="Z56" s="33" t="n">
        <f aca="false">IF(Z$5&lt;NewDealIdx,Z35,MIN(Z35,INDEX($F$35:$AG$35,1,NewDealIdx-1)))</f>
        <v>0</v>
      </c>
      <c r="AA56" s="33" t="n">
        <f aca="false">IF(AA$5&lt;NewDealIdx,AA35,MIN(AA35,INDEX($F$35:$AG$35,1,NewDealIdx-1)))</f>
        <v>0</v>
      </c>
      <c r="AB56" s="33" t="n">
        <f aca="false">IF(AB$5&lt;NewDealIdx,AB35,MIN(AB35,INDEX($F$35:$AG$35,1,NewDealIdx-1)))</f>
        <v>0</v>
      </c>
      <c r="AC56" s="33" t="n">
        <f aca="false">IF(AC$5&lt;NewDealIdx,AC35,MIN(AC35,INDEX($F$35:$AG$35,1,NewDealIdx-1)))</f>
        <v>0</v>
      </c>
      <c r="AD56" s="33" t="n">
        <f aca="false">IF(AD$5&lt;NewDealIdx,AD35,MIN(AD35,INDEX($F$35:$AG$35,1,NewDealIdx-1)))</f>
        <v>0</v>
      </c>
      <c r="AE56" s="33" t="n">
        <f aca="false">IF(AE$5&lt;NewDealIdx,AE35,MIN(AE35,INDEX($F$35:$AG$35,1,NewDealIdx-1)))</f>
        <v>0</v>
      </c>
      <c r="AF56" s="33" t="n">
        <f aca="false">IF(AF$5&lt;NewDealIdx,AF35,MIN(AF35,INDEX($F$35:$AG$35,1,NewDealIdx-1)))</f>
        <v>0</v>
      </c>
      <c r="AG56" s="33" t="n">
        <f aca="false">IF(AG$5&lt;NewDealIdx,AG35,MIN(AG35,INDEX($F$35:$AG$35,1,NewDealIdx-1)))</f>
        <v>0</v>
      </c>
      <c r="AI56" s="33" t="n">
        <f aca="false">AVERAGEIF($F$7:$AG$7,AI$7,$F56:$AG56)</f>
        <v>0</v>
      </c>
      <c r="AJ56" s="33" t="n">
        <f aca="false">AVERAGEIF($F$7:$AG$7,AJ$7,$F56:$AG56)</f>
        <v>0</v>
      </c>
      <c r="AK56" s="33" t="n">
        <f aca="false">AVERAGEIF($F$7:$AG$7,AK$7,$F56:$AG56)</f>
        <v>0</v>
      </c>
      <c r="AL56" s="33" t="n">
        <f aca="false">AVERAGEIF($F$7:$AG$7,AL$7,$F56:$AG56)</f>
        <v>0</v>
      </c>
      <c r="AM56" s="33" t="n">
        <f aca="false">AVERAGEIF($F$7:$AG$7,AM$7,$F56:$AG56)</f>
        <v>0</v>
      </c>
      <c r="AN56" s="33" t="n">
        <f aca="false">AVERAGEIF($F$7:$AG$7,AN$7,$F56:$AG56)</f>
        <v>0</v>
      </c>
      <c r="AO56" s="33" t="n">
        <f aca="false">AVERAGEIF($F$7:$AG$7,AO$7,$F56:$AG56)</f>
        <v>0</v>
      </c>
    </row>
    <row r="57" customFormat="false" ht="15" hidden="false" customHeight="false" outlineLevel="0" collapsed="false">
      <c r="A57" s="107" t="s">
        <v>2076</v>
      </c>
      <c r="B57" s="22" t="s">
        <v>613</v>
      </c>
      <c r="C57" s="22" t="s">
        <v>540</v>
      </c>
      <c r="D57" s="22"/>
      <c r="F57" s="124" t="n">
        <f aca="false">IF(F33&gt;0,F54/F33,0)*(F39*F48+F43*F49)+IF(F34&gt;0,F55/F34,0)*(F40*F48+F44*F49)+IF(F35&gt;0,F56/F35,0)*(F41*F48+F45*F49)</f>
        <v>65.2966755658367</v>
      </c>
      <c r="G57" s="124" t="n">
        <f aca="false">IF(G33&gt;0,G54/G33,0)*(G39*G48+G43*G49)+IF(G34&gt;0,G55/G34,0)*(G40*G48+G44*G49)+IF(G35&gt;0,G56/G35,0)*(G41*G48+G45*G49)</f>
        <v>65.2966755658367</v>
      </c>
      <c r="H57" s="124" t="n">
        <f aca="false">IF(H33&gt;0,H54/H33,0)*(H39*H48+H43*H49)+IF(H34&gt;0,H55/H34,0)*(H40*H48+H44*H49)+IF(H35&gt;0,H56/H35,0)*(H41*H48+H45*H49)</f>
        <v>66.0142214511756</v>
      </c>
      <c r="I57" s="124" t="n">
        <f aca="false">IF(I33&gt;0,I54/I33,0)*(I39*I48+I43*I49)+IF(I34&gt;0,I55/I34,0)*(I40*I48+I44*I49)+IF(I35&gt;0,I56/I35,0)*(I41*I48+I45*I49)</f>
        <v>72.6166063939516</v>
      </c>
      <c r="J57" s="124" t="n">
        <f aca="false">IF(J33&gt;0,J54/J33,0)*(J39*J48+J43*J49)+IF(J34&gt;0,J55/J34,0)*(J40*J48+J44*J49)+IF(J35&gt;0,J56/J35,0)*(J41*J48+J45*J49)</f>
        <v>108.516901483042</v>
      </c>
      <c r="K57" s="124" t="n">
        <f aca="false">IF(K33&gt;0,K54/K33,0)*(K39*K48+K43*K49)+IF(K34&gt;0,K55/K34,0)*(K40*K48+K44*K49)+IF(K35&gt;0,K56/K35,0)*(K41*K48+K45*K49)</f>
        <v>141.711699026416</v>
      </c>
      <c r="L57" s="124" t="n">
        <f aca="false">IF(L33&gt;0,L54/L33,0)*(L39*L48+L43*L49)+IF(L34&gt;0,L55/L34,0)*(L40*L48+L44*L49)+IF(L35&gt;0,L56/L35,0)*(L41*L48+L45*L49)</f>
        <v>170.146790371793</v>
      </c>
      <c r="M57" s="124" t="n">
        <f aca="false">IF(M33&gt;0,M54/M33,0)*(M39*M48+M43*M49)+IF(M34&gt;0,M55/M34,0)*(M40*M48+M44*M49)+IF(M35&gt;0,M56/M35,0)*(M41*M48+M45*M49)</f>
        <v>260.867750951633</v>
      </c>
      <c r="N57" s="124" t="n">
        <f aca="false">IF(N33&gt;0,N54/N33,0)*(N39*N48+N43*N49)+IF(N34&gt;0,N55/N34,0)*(N40*N48+N44*N49)+IF(N35&gt;0,N56/N35,0)*(N41*N48+N45*N49)</f>
        <v>301.77162281169</v>
      </c>
      <c r="O57" s="124" t="n">
        <f aca="false">IF(O33&gt;0,O54/O33,0)*(O39*O48+O43*O49)+IF(O34&gt;0,O55/O34,0)*(O40*O48+O44*O49)+IF(O35&gt;0,O56/O35,0)*(O41*O48+O45*O49)</f>
        <v>310.080972222222</v>
      </c>
      <c r="P57" s="125" t="n">
        <f aca="false">IF(P33&gt;0,P54/P33,0)*(P39*P48+P43*P49)+IF(P34&gt;0,P55/P34,0)*(P40*P48+P44*P49)+IF(P35&gt;0,P56/P35,0)*(P41*P48+P45*P49)</f>
        <v>337.54894500733</v>
      </c>
      <c r="Q57" s="125" t="n">
        <f aca="false">IF(Q33&gt;0,Q54/Q33,0)*(Q39*Q48+Q43*Q49)+IF(Q34&gt;0,Q55/Q34,0)*(Q40*Q48+Q44*Q49)+IF(Q35&gt;0,Q56/Q35,0)*(Q41*Q48+Q45*Q49)</f>
        <v>379.02747988475</v>
      </c>
      <c r="R57" s="125" t="n">
        <f aca="false">IF(R33&gt;0,R54/R33,0)*(R39*R48+R43*R49)+IF(R34&gt;0,R55/R34,0)*(R40*R48+R44*R49)+IF(R35&gt;0,R56/R35,0)*(R41*R48+R45*R49)</f>
        <v>378.342573741619</v>
      </c>
      <c r="S57" s="125" t="n">
        <f aca="false">IF(S33&gt;0,S54/S33,0)*(S39*S48+S43*S49)+IF(S34&gt;0,S55/S34,0)*(S40*S48+S44*S49)+IF(S35&gt;0,S56/S35,0)*(S41*S48+S45*S49)</f>
        <v>374.742918618639</v>
      </c>
      <c r="T57" s="125" t="n">
        <f aca="false">IF(T33&gt;0,T54/T33,0)*(T39*T48+T43*T49)+IF(T34&gt;0,T55/T34,0)*(T40*T48+T44*T49)+IF(T35&gt;0,T56/T35,0)*(T41*T48+T45*T49)</f>
        <v>364.903740951444</v>
      </c>
      <c r="U57" s="125" t="n">
        <f aca="false">IF(U33&gt;0,U54/U33,0)*(U39*U48+U43*U49)+IF(U34&gt;0,U55/U34,0)*(U40*U48+U44*U49)+IF(U35&gt;0,U56/U35,0)*(U41*U48+U45*U49)</f>
        <v>348.551790255926</v>
      </c>
      <c r="V57" s="125" t="n">
        <f aca="false">IF(V33&gt;0,V54/V33,0)*(V39*V48+V43*V49)+IF(V34&gt;0,V55/V34,0)*(V40*V48+V44*V49)+IF(V35&gt;0,V56/V35,0)*(V41*V48+V45*V49)</f>
        <v>342.39623374654</v>
      </c>
      <c r="W57" s="125" t="n">
        <f aca="false">IF(W33&gt;0,W54/W33,0)*(W39*W48+W43*W49)+IF(W34&gt;0,W55/W34,0)*(W40*W48+W44*W49)+IF(W35&gt;0,W56/W35,0)*(W41*W48+W45*W49)</f>
        <v>334.00512032514</v>
      </c>
      <c r="X57" s="125" t="n">
        <f aca="false">IF(X33&gt;0,X54/X33,0)*(X39*X48+X43*X49)+IF(X34&gt;0,X55/X34,0)*(X40*X48+X44*X49)+IF(X35&gt;0,X56/X35,0)*(X41*X48+X45*X49)</f>
        <v>328.942715204705</v>
      </c>
      <c r="Y57" s="125" t="n">
        <f aca="false">IF(Y33&gt;0,Y54/Y33,0)*(Y39*Y48+Y43*Y49)+IF(Y34&gt;0,Y55/Y34,0)*(Y40*Y48+Y44*Y49)+IF(Y35&gt;0,Y56/Y35,0)*(Y41*Y48+Y45*Y49)</f>
        <v>320.485297010926</v>
      </c>
      <c r="Z57" s="125" t="n">
        <f aca="false">IF(Z33&gt;0,Z54/Z33,0)*(Z39*Z48+Z43*Z49)+IF(Z34&gt;0,Z55/Z34,0)*(Z40*Z48+Z44*Z49)+IF(Z35&gt;0,Z56/Z35,0)*(Z41*Z48+Z45*Z49)</f>
        <v>305.504410892581</v>
      </c>
      <c r="AA57" s="125" t="n">
        <f aca="false">IF(AA33&gt;0,AA54/AA33,0)*(AA39*AA48+AA43*AA49)+IF(AA34&gt;0,AA55/AA34,0)*(AA40*AA48+AA44*AA49)+IF(AA35&gt;0,AA56/AA35,0)*(AA41*AA48+AA45*AA49)</f>
        <v>301.049304871097</v>
      </c>
      <c r="AB57" s="125" t="n">
        <f aca="false">IF(AB33&gt;0,AB54/AB33,0)*(AB39*AB48+AB43*AB49)+IF(AB34&gt;0,AB55/AB34,0)*(AB40*AB48+AB44*AB49)+IF(AB35&gt;0,AB56/AB35,0)*(AB41*AB48+AB45*AB49)</f>
        <v>296.668602607332</v>
      </c>
      <c r="AC57" s="125" t="n">
        <f aca="false">IF(AC33&gt;0,AC54/AC33,0)*(AC39*AC48+AC43*AC49)+IF(AC34&gt;0,AC55/AC34,0)*(AC40*AC48+AC44*AC49)+IF(AC35&gt;0,AC56/AC35,0)*(AC41*AC48+AC45*AC49)</f>
        <v>289.217817193757</v>
      </c>
      <c r="AD57" s="125" t="n">
        <f aca="false">IF(AD33&gt;0,AD54/AD33,0)*(AD39*AD48+AD43*AD49)+IF(AD34&gt;0,AD55/AD34,0)*(AD40*AD48+AD44*AD49)+IF(AD35&gt;0,AD56/AD35,0)*(AD41*AD48+AD45*AD49)</f>
        <v>275.866380256798</v>
      </c>
      <c r="AE57" s="125" t="n">
        <f aca="false">IF(AE33&gt;0,AE54/AE33,0)*(AE39*AE48+AE43*AE49)+IF(AE34&gt;0,AE55/AE34,0)*(AE40*AE48+AE44*AE49)+IF(AE35&gt;0,AE56/AE35,0)*(AE41*AE48+AE45*AE49)</f>
        <v>272.008164579477</v>
      </c>
      <c r="AF57" s="125" t="n">
        <f aca="false">IF(AF33&gt;0,AF54/AF33,0)*(AF39*AF48+AF43*AF49)+IF(AF34&gt;0,AF55/AF34,0)*(AF40*AF48+AF44*AF49)+IF(AF35&gt;0,AF56/AF35,0)*(AF41*AF48+AF45*AF49)</f>
        <v>268.211569218565</v>
      </c>
      <c r="AG57" s="125" t="n">
        <f aca="false">IF(AG33&gt;0,AG54/AG33,0)*(AG39*AG48+AG43*AG49)+IF(AG34&gt;0,AG55/AG34,0)*(AG40*AG48+AG44*AG49)+IF(AG35&gt;0,AG56/AG35,0)*(AG41*AG48+AG45*AG49)</f>
        <v>261.632140465095</v>
      </c>
      <c r="AI57" s="125" t="n">
        <f aca="false">SUMIF($F$7:$AG$7,AI$7,$F57:$AG57)</f>
        <v>269.224178976801</v>
      </c>
      <c r="AJ57" s="125" t="n">
        <f aca="false">SUMIF($F$7:$AG$7,AJ$7,$F57:$AG57)</f>
        <v>681.243141832884</v>
      </c>
      <c r="AK57" s="125" t="n">
        <f aca="false">SUMIF($F$7:$AG$7,AK$7,$F57:$AG57)</f>
        <v>1328.42901992599</v>
      </c>
      <c r="AL57" s="125" t="n">
        <f aca="false">SUMIF($F$7:$AG$7,AL$7,$F57:$AG57)</f>
        <v>1466.54102356763</v>
      </c>
      <c r="AM57" s="125" t="n">
        <f aca="false">SUMIF($F$7:$AG$7,AM$7,$F57:$AG57)</f>
        <v>1325.82936628731</v>
      </c>
      <c r="AN57" s="125" t="n">
        <f aca="false">SUMIF($F$7:$AG$7,AN$7,$F57:$AG57)</f>
        <v>1192.44013556477</v>
      </c>
      <c r="AO57" s="125" t="n">
        <f aca="false">SUMIF($F$7:$AG$7,AO$7,$F57:$AG57)</f>
        <v>1077.71825451994</v>
      </c>
    </row>
    <row r="58" customFormat="false" ht="15" hidden="false" customHeight="false" outlineLevel="0" collapsed="false">
      <c r="A58" s="107" t="s">
        <v>2077</v>
      </c>
      <c r="B58" s="22" t="s">
        <v>664</v>
      </c>
      <c r="C58" s="22" t="s">
        <v>540</v>
      </c>
      <c r="D58" s="22"/>
      <c r="F58" s="111" t="n">
        <f aca="false">(F33-F54)/GPUMW_H+(F34-F55)/GPUMW_B+(F35-F56)/GPUMW_N</f>
        <v>0</v>
      </c>
      <c r="G58" s="111" t="n">
        <f aca="false">(G33-G54)/GPUMW_H+(G34-G55)/GPUMW_B+(G35-G56)/GPUMW_N</f>
        <v>0</v>
      </c>
      <c r="H58" s="111" t="n">
        <f aca="false">(H33-H54)/GPUMW_H+(H34-H55)/GPUMW_B+(H35-H56)/GPUMW_N</f>
        <v>0</v>
      </c>
      <c r="I58" s="111" t="n">
        <f aca="false">(I33-I54)/GPUMW_H+(I34-I55)/GPUMW_B+(I35-I56)/GPUMW_N</f>
        <v>0</v>
      </c>
      <c r="J58" s="111" t="n">
        <f aca="false">(J33-J54)/GPUMW_H+(J34-J55)/GPUMW_B+(J35-J56)/GPUMW_N</f>
        <v>0</v>
      </c>
      <c r="K58" s="111" t="n">
        <f aca="false">(K33-K54)/GPUMW_H+(K34-K55)/GPUMW_B+(K35-K56)/GPUMW_N</f>
        <v>0</v>
      </c>
      <c r="L58" s="111" t="n">
        <f aca="false">(L33-L54)/GPUMW_H+(L34-L55)/GPUMW_B+(L35-L56)/GPUMW_N</f>
        <v>0</v>
      </c>
      <c r="M58" s="111" t="n">
        <f aca="false">(M33-M54)/GPUMW_H+(M34-M55)/GPUMW_B+(M35-M56)/GPUMW_N</f>
        <v>0</v>
      </c>
      <c r="N58" s="111" t="n">
        <f aca="false">(N33-N54)/GPUMW_H+(N34-N55)/GPUMW_B+(N35-N56)/GPUMW_N</f>
        <v>0</v>
      </c>
      <c r="O58" s="111" t="n">
        <f aca="false">(O33-O54)/GPUMW_H+(O34-O55)/GPUMW_B+(O35-O56)/GPUMW_N</f>
        <v>0</v>
      </c>
      <c r="P58" s="33" t="n">
        <f aca="false">(P33-P54)/GPUMW_H+(P34-P55)/GPUMW_B+(P35-P56)/GPUMW_N</f>
        <v>0</v>
      </c>
      <c r="Q58" s="33" t="n">
        <f aca="false">(Q33-Q54)/GPUMW_H+(Q34-Q55)/GPUMW_B+(Q35-Q56)/GPUMW_N</f>
        <v>0</v>
      </c>
      <c r="R58" s="33" t="n">
        <f aca="false">(R33-R54)/GPUMW_H+(R34-R55)/GPUMW_B+(R35-R56)/GPUMW_N</f>
        <v>33.478</v>
      </c>
      <c r="S58" s="33" t="n">
        <f aca="false">(S33-S54)/GPUMW_H+(S34-S55)/GPUMW_B+(S35-S56)/GPUMW_N</f>
        <v>116.475625</v>
      </c>
      <c r="T58" s="33" t="n">
        <f aca="false">(T33-T54)/GPUMW_H+(T34-T55)/GPUMW_B+(T35-T56)/GPUMW_N</f>
        <v>208.836625</v>
      </c>
      <c r="U58" s="33" t="n">
        <f aca="false">(U33-U54)/GPUMW_H+(U34-U55)/GPUMW_B+(U35-U56)/GPUMW_N</f>
        <v>285.731979166667</v>
      </c>
      <c r="V58" s="33" t="n">
        <f aca="false">(V33-V54)/GPUMW_H+(V34-V55)/GPUMW_B+(V35-V56)/GPUMW_N</f>
        <v>445.613020833333</v>
      </c>
      <c r="W58" s="33" t="n">
        <f aca="false">(W33-W54)/GPUMW_H+(W34-W55)/GPUMW_B+(W35-W56)/GPUMW_N</f>
        <v>616.752833333334</v>
      </c>
      <c r="X58" s="33" t="n">
        <f aca="false">(X33-X54)/GPUMW_H+(X34-X55)/GPUMW_B+(X35-X56)/GPUMW_N</f>
        <v>746.071583333334</v>
      </c>
      <c r="Y58" s="33" t="n">
        <f aca="false">(Y33-Y54)/GPUMW_H+(Y34-Y55)/GPUMW_B+(Y35-Y56)/GPUMW_N</f>
        <v>833.671583333334</v>
      </c>
      <c r="Z58" s="33" t="n">
        <f aca="false">(Z33-Z54)/GPUMW_H+(Z34-Z55)/GPUMW_B+(Z35-Z56)/GPUMW_N</f>
        <v>1010.49520833333</v>
      </c>
      <c r="AA58" s="33" t="n">
        <f aca="false">(AA33-AA54)/GPUMW_H+(AA34-AA55)/GPUMW_B+(AA35-AA56)/GPUMW_N</f>
        <v>1181.06883333333</v>
      </c>
      <c r="AB58" s="33" t="n">
        <f aca="false">(AB33-AB54)/GPUMW_H+(AB34-AB55)/GPUMW_B+(AB35-AB56)/GPUMW_N</f>
        <v>1356.28758333333</v>
      </c>
      <c r="AC58" s="33" t="n">
        <f aca="false">(AC33-AC54)/GPUMW_H+(AC34-AC55)/GPUMW_B+(AC35-AC56)/GPUMW_N</f>
        <v>1531.50633333333</v>
      </c>
      <c r="AD58" s="33" t="n">
        <f aca="false">(AD33-AD54)/GPUMW_H+(AD34-AD55)/GPUMW_B+(AD35-AD56)/GPUMW_N</f>
        <v>1775.56102083333</v>
      </c>
      <c r="AE58" s="33" t="n">
        <f aca="false">(AE33-AE54)/GPUMW_H+(AE34-AE55)/GPUMW_B+(AE35-AE56)/GPUMW_N</f>
        <v>2019.61570833333</v>
      </c>
      <c r="AF58" s="33" t="n">
        <f aca="false">(AF33-AF54)/GPUMW_H+(AF34-AF55)/GPUMW_B+(AF35-AF56)/GPUMW_N</f>
        <v>2019.61570833333</v>
      </c>
      <c r="AG58" s="33" t="n">
        <f aca="false">(AG33-AG54)/GPUMW_H+(AG34-AG55)/GPUMW_B+(AG35-AG56)/GPUMW_N</f>
        <v>2017.11570833333</v>
      </c>
      <c r="AI58" s="33" t="n">
        <f aca="false">AVERAGEIF($F$7:$AG$7,AI$7,$F58:$AG58)</f>
        <v>0</v>
      </c>
      <c r="AJ58" s="33" t="n">
        <f aca="false">AVERAGEIF($F$7:$AG$7,AJ$7,$F58:$AG58)</f>
        <v>0</v>
      </c>
      <c r="AK58" s="33" t="n">
        <f aca="false">AVERAGEIF($F$7:$AG$7,AK$7,$F58:$AG58)</f>
        <v>0</v>
      </c>
      <c r="AL58" s="33" t="n">
        <f aca="false">AVERAGEIF($F$7:$AG$7,AL$7,$F58:$AG58)</f>
        <v>161.130557291667</v>
      </c>
      <c r="AM58" s="33" t="n">
        <f aca="false">AVERAGEIF($F$7:$AG$7,AM$7,$F58:$AG58)</f>
        <v>660.527255208334</v>
      </c>
      <c r="AN58" s="33" t="n">
        <f aca="false">AVERAGEIF($F$7:$AG$7,AN$7,$F58:$AG58)</f>
        <v>1269.83948958333</v>
      </c>
      <c r="AO58" s="33" t="n">
        <f aca="false">AVERAGEIF($F$7:$AG$7,AO$7,$F58:$AG58)</f>
        <v>1957.97703645833</v>
      </c>
    </row>
    <row r="59" customFormat="false" ht="15" hidden="false" customHeight="false" outlineLevel="0" collapsed="false">
      <c r="A59" s="107" t="s">
        <v>2078</v>
      </c>
      <c r="B59" s="22" t="s">
        <v>664</v>
      </c>
      <c r="C59" s="22" t="s">
        <v>540</v>
      </c>
      <c r="D59" s="22"/>
      <c r="F59" s="111" t="n">
        <f aca="false">(F34-F55)/GPUMW_B+(F33-F54)/GPUMW_H</f>
        <v>0</v>
      </c>
      <c r="G59" s="111" t="n">
        <f aca="false">(G34-G55)/GPUMW_B+(G33-G54)/GPUMW_H</f>
        <v>0</v>
      </c>
      <c r="H59" s="111" t="n">
        <f aca="false">(H34-H55)/GPUMW_B+(H33-H54)/GPUMW_H</f>
        <v>0</v>
      </c>
      <c r="I59" s="111" t="n">
        <f aca="false">(I34-I55)/GPUMW_B+(I33-I54)/GPUMW_H</f>
        <v>0</v>
      </c>
      <c r="J59" s="111" t="n">
        <f aca="false">(J34-J55)/GPUMW_B+(J33-J54)/GPUMW_H</f>
        <v>0</v>
      </c>
      <c r="K59" s="111" t="n">
        <f aca="false">(K34-K55)/GPUMW_B+(K33-K54)/GPUMW_H</f>
        <v>0</v>
      </c>
      <c r="L59" s="111" t="n">
        <f aca="false">(L34-L55)/GPUMW_B+(L33-L54)/GPUMW_H</f>
        <v>0</v>
      </c>
      <c r="M59" s="111" t="n">
        <f aca="false">(M34-M55)/GPUMW_B+(M33-M54)/GPUMW_H</f>
        <v>0</v>
      </c>
      <c r="N59" s="111" t="n">
        <f aca="false">(N34-N55)/GPUMW_B+(N33-N54)/GPUMW_H</f>
        <v>0</v>
      </c>
      <c r="O59" s="111" t="n">
        <f aca="false">(O34-O55)/GPUMW_B+(O33-O54)/GPUMW_H</f>
        <v>0</v>
      </c>
      <c r="P59" s="33" t="n">
        <f aca="false">(P34-P55)/GPUMW_B+(P33-P54)/GPUMW_H</f>
        <v>0</v>
      </c>
      <c r="Q59" s="33" t="n">
        <f aca="false">(Q34-Q55)/GPUMW_B+(Q33-Q54)/GPUMW_H</f>
        <v>0</v>
      </c>
      <c r="R59" s="33" t="n">
        <f aca="false">(R34-R55)/GPUMW_B+(R33-R54)/GPUMW_H</f>
        <v>33.478</v>
      </c>
      <c r="S59" s="33" t="n">
        <f aca="false">(S34-S55)/GPUMW_B+(S33-S54)/GPUMW_H</f>
        <v>111.26</v>
      </c>
      <c r="T59" s="33" t="n">
        <f aca="false">(T34-T55)/GPUMW_B+(T33-T54)/GPUMW_H</f>
        <v>203.621</v>
      </c>
      <c r="U59" s="33" t="n">
        <f aca="false">(U34-U55)/GPUMW_B+(U33-U54)/GPUMW_H</f>
        <v>276.495</v>
      </c>
      <c r="V59" s="33" t="n">
        <f aca="false">(V34-V55)/GPUMW_B+(V33-V54)/GPUMW_H</f>
        <v>337.45</v>
      </c>
      <c r="W59" s="33" t="n">
        <f aca="false">(W34-W55)/GPUMW_B+(W33-W54)/GPUMW_H</f>
        <v>370.932</v>
      </c>
      <c r="X59" s="33" t="n">
        <f aca="false">(X34-X55)/GPUMW_B+(X33-X54)/GPUMW_H</f>
        <v>370.932</v>
      </c>
      <c r="Y59" s="33" t="n">
        <f aca="false">(Y34-Y55)/GPUMW_B+(Y33-Y54)/GPUMW_H</f>
        <v>370.932</v>
      </c>
      <c r="Z59" s="33" t="n">
        <f aca="false">(Z34-Z55)/GPUMW_B+(Z33-Z54)/GPUMW_H</f>
        <v>395.49</v>
      </c>
      <c r="AA59" s="33" t="n">
        <f aca="false">(AA34-AA55)/GPUMW_B+(AA33-AA54)/GPUMW_H</f>
        <v>420.048</v>
      </c>
      <c r="AB59" s="33" t="n">
        <f aca="false">(AB34-AB55)/GPUMW_B+(AB33-AB54)/GPUMW_H</f>
        <v>420.048</v>
      </c>
      <c r="AC59" s="33" t="n">
        <f aca="false">(AC34-AC55)/GPUMW_B+(AC33-AC54)/GPUMW_H</f>
        <v>420.048</v>
      </c>
      <c r="AD59" s="33" t="n">
        <f aca="false">(AD34-AD55)/GPUMW_B+(AD33-AD54)/GPUMW_H</f>
        <v>420.048</v>
      </c>
      <c r="AE59" s="33" t="n">
        <f aca="false">(AE34-AE55)/GPUMW_B+(AE33-AE54)/GPUMW_H</f>
        <v>420.048</v>
      </c>
      <c r="AF59" s="33" t="n">
        <f aca="false">(AF34-AF55)/GPUMW_B+(AF33-AF54)/GPUMW_H</f>
        <v>420.048</v>
      </c>
      <c r="AG59" s="33" t="n">
        <f aca="false">(AG34-AG55)/GPUMW_B+(AG33-AG54)/GPUMW_H</f>
        <v>417.548</v>
      </c>
      <c r="AI59" s="33" t="n">
        <f aca="false">AVERAGEIF($F$7:$AG$7,AI$7,$F59:$AG59)</f>
        <v>0</v>
      </c>
      <c r="AJ59" s="33" t="n">
        <f aca="false">AVERAGEIF($F$7:$AG$7,AJ$7,$F59:$AG59)</f>
        <v>0</v>
      </c>
      <c r="AK59" s="33" t="n">
        <f aca="false">AVERAGEIF($F$7:$AG$7,AK$7,$F59:$AG59)</f>
        <v>0</v>
      </c>
      <c r="AL59" s="33" t="n">
        <f aca="false">AVERAGEIF($F$7:$AG$7,AL$7,$F59:$AG59)</f>
        <v>156.2135</v>
      </c>
      <c r="AM59" s="33" t="n">
        <f aca="false">AVERAGEIF($F$7:$AG$7,AM$7,$F59:$AG59)</f>
        <v>362.5615</v>
      </c>
      <c r="AN59" s="33" t="n">
        <f aca="false">AVERAGEIF($F$7:$AG$7,AN$7,$F59:$AG59)</f>
        <v>413.9085</v>
      </c>
      <c r="AO59" s="33" t="n">
        <f aca="false">AVERAGEIF($F$7:$AG$7,AO$7,$F59:$AG59)</f>
        <v>419.423</v>
      </c>
    </row>
    <row r="60" customFormat="false" ht="15" hidden="false" customHeight="false" outlineLevel="0" collapsed="false">
      <c r="A60" s="107" t="s">
        <v>2079</v>
      </c>
      <c r="B60" s="22" t="s">
        <v>664</v>
      </c>
      <c r="C60" s="22" t="s">
        <v>540</v>
      </c>
      <c r="D60" s="22"/>
      <c r="F60" s="111" t="n">
        <f aca="false">(F35-F56)/GPUMW_N</f>
        <v>0</v>
      </c>
      <c r="G60" s="111" t="n">
        <f aca="false">(G35-G56)/GPUMW_N</f>
        <v>0</v>
      </c>
      <c r="H60" s="111" t="n">
        <f aca="false">(H35-H56)/GPUMW_N</f>
        <v>0</v>
      </c>
      <c r="I60" s="111" t="n">
        <f aca="false">(I35-I56)/GPUMW_N</f>
        <v>0</v>
      </c>
      <c r="J60" s="111" t="n">
        <f aca="false">(J35-J56)/GPUMW_N</f>
        <v>0</v>
      </c>
      <c r="K60" s="111" t="n">
        <f aca="false">(K35-K56)/GPUMW_N</f>
        <v>0</v>
      </c>
      <c r="L60" s="111" t="n">
        <f aca="false">(L35-L56)/GPUMW_N</f>
        <v>0</v>
      </c>
      <c r="M60" s="111" t="n">
        <f aca="false">(M35-M56)/GPUMW_N</f>
        <v>0</v>
      </c>
      <c r="N60" s="111" t="n">
        <f aca="false">(N35-N56)/GPUMW_N</f>
        <v>0</v>
      </c>
      <c r="O60" s="111" t="n">
        <f aca="false">(O35-O56)/GPUMW_N</f>
        <v>0</v>
      </c>
      <c r="P60" s="33" t="n">
        <f aca="false">(P35-P56)/GPUMW_N</f>
        <v>0</v>
      </c>
      <c r="Q60" s="33" t="n">
        <f aca="false">(Q35-Q56)/GPUMW_N</f>
        <v>0</v>
      </c>
      <c r="R60" s="33" t="n">
        <f aca="false">(R35-R56)/GPUMW_N</f>
        <v>0</v>
      </c>
      <c r="S60" s="33" t="n">
        <f aca="false">(S35-S56)/GPUMW_N</f>
        <v>5.215625</v>
      </c>
      <c r="T60" s="33" t="n">
        <f aca="false">(T35-T56)/GPUMW_N</f>
        <v>5.215625</v>
      </c>
      <c r="U60" s="33" t="n">
        <f aca="false">(U35-U56)/GPUMW_N</f>
        <v>9.23697916666666</v>
      </c>
      <c r="V60" s="33" t="n">
        <f aca="false">(V35-V56)/GPUMW_N</f>
        <v>108.163020833333</v>
      </c>
      <c r="W60" s="33" t="n">
        <f aca="false">(W35-W56)/GPUMW_N</f>
        <v>245.820833333333</v>
      </c>
      <c r="X60" s="33" t="n">
        <f aca="false">(X35-X56)/GPUMW_N</f>
        <v>375.139583333333</v>
      </c>
      <c r="Y60" s="33" t="n">
        <f aca="false">(Y35-Y56)/GPUMW_N</f>
        <v>462.739583333333</v>
      </c>
      <c r="Z60" s="33" t="n">
        <f aca="false">(Z35-Z56)/GPUMW_N</f>
        <v>615.005208333333</v>
      </c>
      <c r="AA60" s="33" t="n">
        <f aca="false">(AA35-AA56)/GPUMW_N</f>
        <v>761.020833333333</v>
      </c>
      <c r="AB60" s="33" t="n">
        <f aca="false">(AB35-AB56)/GPUMW_N</f>
        <v>936.239583333333</v>
      </c>
      <c r="AC60" s="33" t="n">
        <f aca="false">(AC35-AC56)/GPUMW_N</f>
        <v>1111.45833333333</v>
      </c>
      <c r="AD60" s="33" t="n">
        <f aca="false">(AD35-AD56)/GPUMW_N</f>
        <v>1355.51302083333</v>
      </c>
      <c r="AE60" s="33" t="n">
        <f aca="false">(AE35-AE56)/GPUMW_N</f>
        <v>1599.56770833333</v>
      </c>
      <c r="AF60" s="33" t="n">
        <f aca="false">(AF35-AF56)/GPUMW_N</f>
        <v>1599.56770833333</v>
      </c>
      <c r="AG60" s="33" t="n">
        <f aca="false">(AG35-AG56)/GPUMW_N</f>
        <v>1599.56770833333</v>
      </c>
      <c r="AI60" s="33" t="n">
        <f aca="false">AVERAGEIF($F$7:$AG$7,AI$7,$F60:$AG60)</f>
        <v>0</v>
      </c>
      <c r="AJ60" s="33" t="n">
        <f aca="false">AVERAGEIF($F$7:$AG$7,AJ$7,$F60:$AG60)</f>
        <v>0</v>
      </c>
      <c r="AK60" s="33" t="n">
        <f aca="false">AVERAGEIF($F$7:$AG$7,AK$7,$F60:$AG60)</f>
        <v>0</v>
      </c>
      <c r="AL60" s="33" t="n">
        <f aca="false">AVERAGEIF($F$7:$AG$7,AL$7,$F60:$AG60)</f>
        <v>4.91705729166667</v>
      </c>
      <c r="AM60" s="33" t="n">
        <f aca="false">AVERAGEIF($F$7:$AG$7,AM$7,$F60:$AG60)</f>
        <v>297.965755208333</v>
      </c>
      <c r="AN60" s="33" t="n">
        <f aca="false">AVERAGEIF($F$7:$AG$7,AN$7,$F60:$AG60)</f>
        <v>855.930989583333</v>
      </c>
      <c r="AO60" s="33" t="n">
        <f aca="false">AVERAGEIF($F$7:$AG$7,AO$7,$F60:$AG60)</f>
        <v>1538.55403645833</v>
      </c>
    </row>
    <row r="61" customFormat="false" ht="15" hidden="false" customHeight="false" outlineLevel="0" collapsed="false">
      <c r="A61" s="107" t="s">
        <v>2080</v>
      </c>
      <c r="B61" s="22" t="s">
        <v>664</v>
      </c>
      <c r="C61" s="22" t="s">
        <v>540</v>
      </c>
      <c r="D61" s="22"/>
      <c r="F61" s="111" t="n">
        <f aca="false">MAX(0,F59-E59)</f>
        <v>0</v>
      </c>
      <c r="G61" s="111" t="n">
        <f aca="false">MAX(0,G59-F59)</f>
        <v>0</v>
      </c>
      <c r="H61" s="111" t="n">
        <f aca="false">MAX(0,H59-G59)</f>
        <v>0</v>
      </c>
      <c r="I61" s="111" t="n">
        <f aca="false">MAX(0,I59-H59)</f>
        <v>0</v>
      </c>
      <c r="J61" s="111" t="n">
        <f aca="false">MAX(0,J59-I59)</f>
        <v>0</v>
      </c>
      <c r="K61" s="111" t="n">
        <f aca="false">MAX(0,K59-J59)</f>
        <v>0</v>
      </c>
      <c r="L61" s="111" t="n">
        <f aca="false">MAX(0,L59-K59)</f>
        <v>0</v>
      </c>
      <c r="M61" s="111" t="n">
        <f aca="false">MAX(0,M59-L59)</f>
        <v>0</v>
      </c>
      <c r="N61" s="111" t="n">
        <f aca="false">MAX(0,N59-M59)</f>
        <v>0</v>
      </c>
      <c r="O61" s="111" t="n">
        <f aca="false">MAX(0,O59-N59)</f>
        <v>0</v>
      </c>
      <c r="P61" s="33" t="n">
        <f aca="false">MAX(0,P59-O59)</f>
        <v>0</v>
      </c>
      <c r="Q61" s="33" t="n">
        <f aca="false">MAX(0,Q59-P59)</f>
        <v>0</v>
      </c>
      <c r="R61" s="33" t="n">
        <f aca="false">MAX(0,R59-Q59)</f>
        <v>33.478</v>
      </c>
      <c r="S61" s="33" t="n">
        <f aca="false">MAX(0,S59-R59)</f>
        <v>77.782</v>
      </c>
      <c r="T61" s="33" t="n">
        <f aca="false">MAX(0,T59-S59)</f>
        <v>92.361</v>
      </c>
      <c r="U61" s="33" t="n">
        <f aca="false">MAX(0,U59-T59)</f>
        <v>72.874</v>
      </c>
      <c r="V61" s="33" t="n">
        <f aca="false">MAX(0,V59-U59)</f>
        <v>60.9550000000001</v>
      </c>
      <c r="W61" s="33" t="n">
        <f aca="false">MAX(0,W59-V59)</f>
        <v>33.482</v>
      </c>
      <c r="X61" s="33" t="n">
        <f aca="false">MAX(0,X59-W59)</f>
        <v>0</v>
      </c>
      <c r="Y61" s="33" t="n">
        <f aca="false">MAX(0,Y59-X59)</f>
        <v>0</v>
      </c>
      <c r="Z61" s="33" t="n">
        <f aca="false">MAX(0,Z59-Y59)</f>
        <v>24.558</v>
      </c>
      <c r="AA61" s="33" t="n">
        <f aca="false">MAX(0,AA59-Z59)</f>
        <v>24.5579999999999</v>
      </c>
      <c r="AB61" s="33" t="n">
        <f aca="false">MAX(0,AB59-AA59)</f>
        <v>0</v>
      </c>
      <c r="AC61" s="33" t="n">
        <f aca="false">MAX(0,AC59-AB59)</f>
        <v>0</v>
      </c>
      <c r="AD61" s="33" t="n">
        <f aca="false">MAX(0,AD59-AC59)</f>
        <v>0</v>
      </c>
      <c r="AE61" s="33" t="n">
        <f aca="false">MAX(0,AE59-AD59)</f>
        <v>0</v>
      </c>
      <c r="AF61" s="33" t="n">
        <f aca="false">MAX(0,AF59-AE59)</f>
        <v>0</v>
      </c>
      <c r="AG61" s="33" t="n">
        <f aca="false">MAX(0,AG59-AF59)</f>
        <v>0</v>
      </c>
      <c r="AI61" s="33" t="n">
        <f aca="false">SUMIF($F$7:$AG$7,AI$7,$F61:$AG61)</f>
        <v>0</v>
      </c>
      <c r="AJ61" s="33" t="n">
        <f aca="false">SUMIF($F$7:$AG$7,AJ$7,$F61:$AG61)</f>
        <v>0</v>
      </c>
      <c r="AK61" s="33" t="n">
        <f aca="false">SUMIF($F$7:$AG$7,AK$7,$F61:$AG61)</f>
        <v>0</v>
      </c>
      <c r="AL61" s="33" t="n">
        <f aca="false">SUMIF($F$7:$AG$7,AL$7,$F61:$AG61)</f>
        <v>276.495</v>
      </c>
      <c r="AM61" s="33" t="n">
        <f aca="false">SUMIF($F$7:$AG$7,AM$7,$F61:$AG61)</f>
        <v>94.4370000000001</v>
      </c>
      <c r="AN61" s="33" t="n">
        <f aca="false">SUMIF($F$7:$AG$7,AN$7,$F61:$AG61)</f>
        <v>49.1159999999999</v>
      </c>
      <c r="AO61" s="33" t="n">
        <f aca="false">SUMIF($F$7:$AG$7,AO$7,$F61:$AG61)</f>
        <v>0</v>
      </c>
    </row>
    <row r="62" customFormat="false" ht="15" hidden="false" customHeight="false" outlineLevel="0" collapsed="false">
      <c r="A62" s="107" t="s">
        <v>2081</v>
      </c>
      <c r="B62" s="22" t="s">
        <v>664</v>
      </c>
      <c r="C62" s="22" t="s">
        <v>540</v>
      </c>
      <c r="D62" s="22"/>
      <c r="F62" s="111" t="n">
        <f aca="false">MAX(0,F60-E60)</f>
        <v>0</v>
      </c>
      <c r="G62" s="111" t="n">
        <f aca="false">MAX(0,G60-F60)</f>
        <v>0</v>
      </c>
      <c r="H62" s="111" t="n">
        <f aca="false">MAX(0,H60-G60)</f>
        <v>0</v>
      </c>
      <c r="I62" s="111" t="n">
        <f aca="false">MAX(0,I60-H60)</f>
        <v>0</v>
      </c>
      <c r="J62" s="111" t="n">
        <f aca="false">MAX(0,J60-I60)</f>
        <v>0</v>
      </c>
      <c r="K62" s="111" t="n">
        <f aca="false">MAX(0,K60-J60)</f>
        <v>0</v>
      </c>
      <c r="L62" s="111" t="n">
        <f aca="false">MAX(0,L60-K60)</f>
        <v>0</v>
      </c>
      <c r="M62" s="111" t="n">
        <f aca="false">MAX(0,M60-L60)</f>
        <v>0</v>
      </c>
      <c r="N62" s="111" t="n">
        <f aca="false">MAX(0,N60-M60)</f>
        <v>0</v>
      </c>
      <c r="O62" s="111" t="n">
        <f aca="false">MAX(0,O60-N60)</f>
        <v>0</v>
      </c>
      <c r="P62" s="33" t="n">
        <f aca="false">MAX(0,P60-O60)</f>
        <v>0</v>
      </c>
      <c r="Q62" s="33" t="n">
        <f aca="false">MAX(0,Q60-P60)</f>
        <v>0</v>
      </c>
      <c r="R62" s="33" t="n">
        <f aca="false">MAX(0,R60-Q60)</f>
        <v>0</v>
      </c>
      <c r="S62" s="33" t="n">
        <f aca="false">MAX(0,S60-R60)</f>
        <v>5.215625</v>
      </c>
      <c r="T62" s="33" t="n">
        <f aca="false">MAX(0,T60-S60)</f>
        <v>0</v>
      </c>
      <c r="U62" s="33" t="n">
        <f aca="false">MAX(0,U60-T60)</f>
        <v>4.02135416666666</v>
      </c>
      <c r="V62" s="33" t="n">
        <f aca="false">MAX(0,V60-U60)</f>
        <v>98.9260416666667</v>
      </c>
      <c r="W62" s="33" t="n">
        <f aca="false">MAX(0,W60-V60)</f>
        <v>137.6578125</v>
      </c>
      <c r="X62" s="33" t="n">
        <f aca="false">MAX(0,X60-W60)</f>
        <v>129.31875</v>
      </c>
      <c r="Y62" s="33" t="n">
        <f aca="false">MAX(0,Y60-X60)</f>
        <v>87.6</v>
      </c>
      <c r="Z62" s="33" t="n">
        <f aca="false">MAX(0,Z60-Y60)</f>
        <v>152.265625</v>
      </c>
      <c r="AA62" s="33" t="n">
        <f aca="false">MAX(0,AA60-Z60)</f>
        <v>146.015625</v>
      </c>
      <c r="AB62" s="33" t="n">
        <f aca="false">MAX(0,AB60-AA60)</f>
        <v>175.21875</v>
      </c>
      <c r="AC62" s="33" t="n">
        <f aca="false">MAX(0,AC60-AB60)</f>
        <v>175.21875</v>
      </c>
      <c r="AD62" s="33" t="n">
        <f aca="false">MAX(0,AD60-AC60)</f>
        <v>244.0546875</v>
      </c>
      <c r="AE62" s="33" t="n">
        <f aca="false">MAX(0,AE60-AD60)</f>
        <v>244.0546875</v>
      </c>
      <c r="AF62" s="33" t="n">
        <f aca="false">MAX(0,AF60-AE60)</f>
        <v>0</v>
      </c>
      <c r="AG62" s="33" t="n">
        <f aca="false">MAX(0,AG60-AF60)</f>
        <v>0</v>
      </c>
      <c r="AI62" s="33" t="n">
        <f aca="false">SUMIF($F$7:$AG$7,AI$7,$F62:$AG62)</f>
        <v>0</v>
      </c>
      <c r="AJ62" s="33" t="n">
        <f aca="false">SUMIF($F$7:$AG$7,AJ$7,$F62:$AG62)</f>
        <v>0</v>
      </c>
      <c r="AK62" s="33" t="n">
        <f aca="false">SUMIF($F$7:$AG$7,AK$7,$F62:$AG62)</f>
        <v>0</v>
      </c>
      <c r="AL62" s="33" t="n">
        <f aca="false">SUMIF($F$7:$AG$7,AL$7,$F62:$AG62)</f>
        <v>9.23697916666666</v>
      </c>
      <c r="AM62" s="33" t="n">
        <f aca="false">SUMIF($F$7:$AG$7,AM$7,$F62:$AG62)</f>
        <v>453.502604166667</v>
      </c>
      <c r="AN62" s="33" t="n">
        <f aca="false">SUMIF($F$7:$AG$7,AN$7,$F62:$AG62)</f>
        <v>648.71875</v>
      </c>
      <c r="AO62" s="33" t="n">
        <f aca="false">SUMIF($F$7:$AG$7,AO$7,$F62:$AG62)</f>
        <v>488.109375</v>
      </c>
    </row>
    <row r="63" customFormat="false" ht="15" hidden="false" customHeight="false" outlineLevel="0" collapsed="false">
      <c r="A63" s="107" t="s">
        <v>2082</v>
      </c>
      <c r="B63" s="22" t="s">
        <v>664</v>
      </c>
      <c r="C63" s="22" t="s">
        <v>540</v>
      </c>
      <c r="D63" s="22"/>
      <c r="F63" s="111" t="n">
        <f aca="false">F61+F62</f>
        <v>0</v>
      </c>
      <c r="G63" s="111" t="n">
        <f aca="false">G61+G62</f>
        <v>0</v>
      </c>
      <c r="H63" s="111" t="n">
        <f aca="false">H61+H62</f>
        <v>0</v>
      </c>
      <c r="I63" s="111" t="n">
        <f aca="false">I61+I62</f>
        <v>0</v>
      </c>
      <c r="J63" s="111" t="n">
        <f aca="false">J61+J62</f>
        <v>0</v>
      </c>
      <c r="K63" s="111" t="n">
        <f aca="false">K61+K62</f>
        <v>0</v>
      </c>
      <c r="L63" s="111" t="n">
        <f aca="false">L61+L62</f>
        <v>0</v>
      </c>
      <c r="M63" s="111" t="n">
        <f aca="false">M61+M62</f>
        <v>0</v>
      </c>
      <c r="N63" s="111" t="n">
        <f aca="false">N61+N62</f>
        <v>0</v>
      </c>
      <c r="O63" s="111" t="n">
        <f aca="false">O61+O62</f>
        <v>0</v>
      </c>
      <c r="P63" s="33" t="n">
        <f aca="false">P61+P62</f>
        <v>0</v>
      </c>
      <c r="Q63" s="33" t="n">
        <f aca="false">Q61+Q62</f>
        <v>0</v>
      </c>
      <c r="R63" s="33" t="n">
        <f aca="false">R61+R62</f>
        <v>33.478</v>
      </c>
      <c r="S63" s="33" t="n">
        <f aca="false">S61+S62</f>
        <v>82.997625</v>
      </c>
      <c r="T63" s="33" t="n">
        <f aca="false">T61+T62</f>
        <v>92.361</v>
      </c>
      <c r="U63" s="33" t="n">
        <f aca="false">U61+U62</f>
        <v>76.8953541666667</v>
      </c>
      <c r="V63" s="33" t="n">
        <f aca="false">V61+V62</f>
        <v>159.881041666667</v>
      </c>
      <c r="W63" s="33" t="n">
        <f aca="false">W61+W62</f>
        <v>171.1398125</v>
      </c>
      <c r="X63" s="33" t="n">
        <f aca="false">X61+X62</f>
        <v>129.31875</v>
      </c>
      <c r="Y63" s="33" t="n">
        <f aca="false">Y61+Y62</f>
        <v>87.6</v>
      </c>
      <c r="Z63" s="33" t="n">
        <f aca="false">Z61+Z62</f>
        <v>176.823625</v>
      </c>
      <c r="AA63" s="33" t="n">
        <f aca="false">AA61+AA62</f>
        <v>170.573625</v>
      </c>
      <c r="AB63" s="33" t="n">
        <f aca="false">AB61+AB62</f>
        <v>175.21875</v>
      </c>
      <c r="AC63" s="33" t="n">
        <f aca="false">AC61+AC62</f>
        <v>175.21875</v>
      </c>
      <c r="AD63" s="33" t="n">
        <f aca="false">AD61+AD62</f>
        <v>244.0546875</v>
      </c>
      <c r="AE63" s="33" t="n">
        <f aca="false">AE61+AE62</f>
        <v>244.0546875</v>
      </c>
      <c r="AF63" s="33" t="n">
        <f aca="false">AF61+AF62</f>
        <v>0</v>
      </c>
      <c r="AG63" s="33" t="n">
        <f aca="false">AG61+AG62</f>
        <v>0</v>
      </c>
      <c r="AI63" s="33" t="n">
        <f aca="false">SUMIF($F$7:$AG$7,AI$7,$F63:$AG63)</f>
        <v>0</v>
      </c>
      <c r="AJ63" s="33" t="n">
        <f aca="false">SUMIF($F$7:$AG$7,AJ$7,$F63:$AG63)</f>
        <v>0</v>
      </c>
      <c r="AK63" s="33" t="n">
        <f aca="false">SUMIF($F$7:$AG$7,AK$7,$F63:$AG63)</f>
        <v>0</v>
      </c>
      <c r="AL63" s="33" t="n">
        <f aca="false">SUMIF($F$7:$AG$7,AL$7,$F63:$AG63)</f>
        <v>285.731979166667</v>
      </c>
      <c r="AM63" s="33" t="n">
        <f aca="false">SUMIF($F$7:$AG$7,AM$7,$F63:$AG63)</f>
        <v>547.939604166667</v>
      </c>
      <c r="AN63" s="33" t="n">
        <f aca="false">SUMIF($F$7:$AG$7,AN$7,$F63:$AG63)</f>
        <v>697.83475</v>
      </c>
      <c r="AO63" s="33" t="n">
        <f aca="false">SUMIF($F$7:$AG$7,AO$7,$F63:$AG63)</f>
        <v>488.109375</v>
      </c>
    </row>
    <row r="64" customFormat="false" ht="15" hidden="false" customHeight="false" outlineLevel="0" collapsed="false">
      <c r="A64" s="107" t="s">
        <v>2083</v>
      </c>
      <c r="B64" s="22" t="s">
        <v>600</v>
      </c>
      <c r="C64" s="22" t="s">
        <v>2084</v>
      </c>
      <c r="D64" s="22" t="s">
        <v>2085</v>
      </c>
      <c r="F64" s="117" t="n">
        <f aca="false">MYRate*IF(NDBasis=2,ND_GrossX,1)*IF(MYPathMode=1,(1+MYDecl)^(MAX(0,F$5-(MYDeclIdx-1))/4)*IF(AND(MYStressOn=1,F$5&gt;=PxCycIdx),1-MYStressCut,1),INDEX(P_OD_B,1,1)/INDEX(P_OD_B,1,NewDealIdx-1))</f>
        <v>16</v>
      </c>
      <c r="G64" s="117" t="n">
        <f aca="false">MYRate*IF(NDBasis=2,ND_GrossX,1)*IF(MYPathMode=1,(1+MYDecl)^(MAX(0,G$5-(MYDeclIdx-1))/4)*IF(AND(MYStressOn=1,G$5&gt;=PxCycIdx),1-MYStressCut,1),INDEX(P_OD_B,1,2)/INDEX(P_OD_B,1,NewDealIdx-1))</f>
        <v>16</v>
      </c>
      <c r="H64" s="117" t="n">
        <f aca="false">MYRate*IF(NDBasis=2,ND_GrossX,1)*IF(MYPathMode=1,(1+MYDecl)^(MAX(0,H$5-(MYDeclIdx-1))/4)*IF(AND(MYStressOn=1,H$5&gt;=PxCycIdx),1-MYStressCut,1),INDEX(P_OD_B,1,3)/INDEX(P_OD_B,1,NewDealIdx-1))</f>
        <v>16</v>
      </c>
      <c r="I64" s="117" t="n">
        <f aca="false">MYRate*IF(NDBasis=2,ND_GrossX,1)*IF(MYPathMode=1,(1+MYDecl)^(MAX(0,I$5-(MYDeclIdx-1))/4)*IF(AND(MYStressOn=1,I$5&gt;=PxCycIdx),1-MYStressCut,1),INDEX(P_OD_B,1,4)/INDEX(P_OD_B,1,NewDealIdx-1))</f>
        <v>16</v>
      </c>
      <c r="J64" s="117" t="n">
        <f aca="false">MYRate*IF(NDBasis=2,ND_GrossX,1)*IF(MYPathMode=1,(1+MYDecl)^(MAX(0,J$5-(MYDeclIdx-1))/4)*IF(AND(MYStressOn=1,J$5&gt;=PxCycIdx),1-MYStressCut,1),INDEX(P_OD_B,1,5)/INDEX(P_OD_B,1,NewDealIdx-1))</f>
        <v>16</v>
      </c>
      <c r="K64" s="117" t="n">
        <f aca="false">MYRate*IF(NDBasis=2,ND_GrossX,1)*IF(MYPathMode=1,(1+MYDecl)^(MAX(0,K$5-(MYDeclIdx-1))/4)*IF(AND(MYStressOn=1,K$5&gt;=PxCycIdx),1-MYStressCut,1),INDEX(P_OD_B,1,6)/INDEX(P_OD_B,1,NewDealIdx-1))</f>
        <v>16</v>
      </c>
      <c r="L64" s="117" t="n">
        <f aca="false">MYRate*IF(NDBasis=2,ND_GrossX,1)*IF(MYPathMode=1,(1+MYDecl)^(MAX(0,L$5-(MYDeclIdx-1))/4)*IF(AND(MYStressOn=1,L$5&gt;=PxCycIdx),1-MYStressCut,1),INDEX(P_OD_B,1,7)/INDEX(P_OD_B,1,NewDealIdx-1))</f>
        <v>16</v>
      </c>
      <c r="M64" s="117" t="n">
        <f aca="false">MYRate*IF(NDBasis=2,ND_GrossX,1)*IF(MYPathMode=1,(1+MYDecl)^(MAX(0,M$5-(MYDeclIdx-1))/4)*IF(AND(MYStressOn=1,M$5&gt;=PxCycIdx),1-MYStressCut,1),INDEX(P_OD_B,1,8)/INDEX(P_OD_B,1,NewDealIdx-1))</f>
        <v>16</v>
      </c>
      <c r="N64" s="117" t="n">
        <f aca="false">MYRate*IF(NDBasis=2,ND_GrossX,1)*IF(MYPathMode=1,(1+MYDecl)^(MAX(0,N$5-(MYDeclIdx-1))/4)*IF(AND(MYStressOn=1,N$5&gt;=PxCycIdx),1-MYStressCut,1),INDEX(P_OD_B,1,9)/INDEX(P_OD_B,1,NewDealIdx-1))</f>
        <v>16</v>
      </c>
      <c r="O64" s="117" t="n">
        <f aca="false">MYRate*IF(NDBasis=2,ND_GrossX,1)*IF(MYPathMode=1,(1+MYDecl)^(MAX(0,O$5-(MYDeclIdx-1))/4)*IF(AND(MYStressOn=1,O$5&gt;=PxCycIdx),1-MYStressCut,1),INDEX(P_OD_B,1,10)/INDEX(P_OD_B,1,NewDealIdx-1))</f>
        <v>16</v>
      </c>
      <c r="P64" s="30" t="n">
        <f aca="false">MYRate*IF(NDBasis=2,ND_GrossX,1)*IF(MYPathMode=1,(1+MYDecl)^(MAX(0,P$5-(MYDeclIdx-1))/4)*IF(AND(MYStressOn=1,P$5&gt;=PxCycIdx),1-MYStressCut,1),INDEX(P_OD_B,1,11)/INDEX(P_OD_B,1,NewDealIdx-1))</f>
        <v>16</v>
      </c>
      <c r="Q64" s="30" t="n">
        <f aca="false">MYRate*IF(NDBasis=2,ND_GrossX,1)*IF(MYPathMode=1,(1+MYDecl)^(MAX(0,Q$5-(MYDeclIdx-1))/4)*IF(AND(MYStressOn=1,Q$5&gt;=PxCycIdx),1-MYStressCut,1),INDEX(P_OD_B,1,12)/INDEX(P_OD_B,1,NewDealIdx-1))</f>
        <v>16</v>
      </c>
      <c r="R64" s="30" t="n">
        <f aca="false">MYRate*IF(NDBasis=2,ND_GrossX,1)*IF(MYPathMode=1,(1+MYDecl)^(MAX(0,R$5-(MYDeclIdx-1))/4)*IF(AND(MYStressOn=1,R$5&gt;=PxCycIdx),1-MYStressCut,1),INDEX(P_OD_B,1,13)/INDEX(P_OD_B,1,NewDealIdx-1))</f>
        <v>16</v>
      </c>
      <c r="S64" s="30" t="n">
        <f aca="false">MYRate*IF(NDBasis=2,ND_GrossX,1)*IF(MYPathMode=1,(1+MYDecl)^(MAX(0,S$5-(MYDeclIdx-1))/4)*IF(AND(MYStressOn=1,S$5&gt;=PxCycIdx),1-MYStressCut,1),INDEX(P_OD_B,1,14)/INDEX(P_OD_B,1,NewDealIdx-1))</f>
        <v>16</v>
      </c>
      <c r="T64" s="30" t="n">
        <f aca="false">MYRate*IF(NDBasis=2,ND_GrossX,1)*IF(MYPathMode=1,(1+MYDecl)^(MAX(0,T$5-(MYDeclIdx-1))/4)*IF(AND(MYStressOn=1,T$5&gt;=PxCycIdx),1-MYStressCut,1),INDEX(P_OD_B,1,15)/INDEX(P_OD_B,1,NewDealIdx-1))</f>
        <v>16</v>
      </c>
      <c r="U64" s="30" t="n">
        <f aca="false">MYRate*IF(NDBasis=2,ND_GrossX,1)*IF(MYPathMode=1,(1+MYDecl)^(MAX(0,U$5-(MYDeclIdx-1))/4)*IF(AND(MYStressOn=1,U$5&gt;=PxCycIdx),1-MYStressCut,1),INDEX(P_OD_B,1,16)/INDEX(P_OD_B,1,NewDealIdx-1))</f>
        <v>16</v>
      </c>
      <c r="V64" s="30" t="n">
        <f aca="false">MYRate*IF(NDBasis=2,ND_GrossX,1)*IF(MYPathMode=1,(1+MYDecl)^(MAX(0,V$5-(MYDeclIdx-1))/4)*IF(AND(MYStressOn=1,V$5&gt;=PxCycIdx),1-MYStressCut,1),INDEX(P_OD_B,1,17)/INDEX(P_OD_B,1,NewDealIdx-1))</f>
        <v>16</v>
      </c>
      <c r="W64" s="30" t="n">
        <f aca="false">MYRate*IF(NDBasis=2,ND_GrossX,1)*IF(MYPathMode=1,(1+MYDecl)^(MAX(0,W$5-(MYDeclIdx-1))/4)*IF(AND(MYStressOn=1,W$5&gt;=PxCycIdx),1-MYStressCut,1),INDEX(P_OD_B,1,18)/INDEX(P_OD_B,1,NewDealIdx-1))</f>
        <v>16</v>
      </c>
      <c r="X64" s="30" t="n">
        <f aca="false">MYRate*IF(NDBasis=2,ND_GrossX,1)*IF(MYPathMode=1,(1+MYDecl)^(MAX(0,X$5-(MYDeclIdx-1))/4)*IF(AND(MYStressOn=1,X$5&gt;=PxCycIdx),1-MYStressCut,1),INDEX(P_OD_B,1,19)/INDEX(P_OD_B,1,NewDealIdx-1))</f>
        <v>16</v>
      </c>
      <c r="Y64" s="30" t="n">
        <f aca="false">MYRate*IF(NDBasis=2,ND_GrossX,1)*IF(MYPathMode=1,(1+MYDecl)^(MAX(0,Y$5-(MYDeclIdx-1))/4)*IF(AND(MYStressOn=1,Y$5&gt;=PxCycIdx),1-MYStressCut,1),INDEX(P_OD_B,1,20)/INDEX(P_OD_B,1,NewDealIdx-1))</f>
        <v>16</v>
      </c>
      <c r="Z64" s="30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4" s="30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4" s="30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4" s="30" t="n">
        <f aca="false">MYRate*IF(NDBasis=2,ND_GrossX,1)*IF(MYPathMode=1,(1+MYDecl)^(MAX(0,AC$5-(MYDeclIdx-1))/4)*IF(AND(MYStressOn=1,AC$5&gt;=PxCycIdx),1-MYStressCut,1),INDEX(P_OD_B,1,24)/INDEX(P_OD_B,1,NewDealIdx-1))</f>
        <v>15.52</v>
      </c>
      <c r="AD64" s="30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4" s="30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4" s="30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4" s="30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4" s="30" t="n">
        <f aca="false">AVERAGEIF($F$7:$AG$7,AI$7,$F64:$AG64)</f>
        <v>16</v>
      </c>
      <c r="AJ64" s="30" t="n">
        <f aca="false">AVERAGEIF($F$7:$AG$7,AJ$7,$F64:$AG64)</f>
        <v>16</v>
      </c>
      <c r="AK64" s="30" t="n">
        <f aca="false">AVERAGEIF($F$7:$AG$7,AK$7,$F64:$AG64)</f>
        <v>16</v>
      </c>
      <c r="AL64" s="30" t="n">
        <f aca="false">AVERAGEIF($F$7:$AG$7,AL$7,$F64:$AG64)</f>
        <v>16</v>
      </c>
      <c r="AM64" s="30" t="n">
        <f aca="false">AVERAGEIF($F$7:$AG$7,AM$7,$F64:$AG64)</f>
        <v>16</v>
      </c>
      <c r="AN64" s="30" t="n">
        <f aca="false">AVERAGEIF($F$7:$AG$7,AN$7,$F64:$AG64)</f>
        <v>15.6988577984846</v>
      </c>
      <c r="AO64" s="30" t="n">
        <f aca="false">AVERAGEIF($F$7:$AG$7,AO$7,$F64:$AG64)</f>
        <v>15.2278920645301</v>
      </c>
    </row>
    <row r="65" customFormat="false" ht="15" hidden="false" customHeight="false" outlineLevel="0" collapsed="false">
      <c r="A65" s="107" t="s">
        <v>2086</v>
      </c>
      <c r="B65" s="22" t="s">
        <v>600</v>
      </c>
      <c r="C65" s="22" t="s">
        <v>626</v>
      </c>
      <c r="D65" s="22" t="s">
        <v>2087</v>
      </c>
      <c r="F65" s="117" t="n">
        <f aca="false">IF(RubinMode=1,RubinMW*IF(MYPathMode=1,(1+MYDecl)^(MAX(0,F$5-(MYDeclIdx-1))/4)*IF(AND(MYStressOn=1,F$5&gt;=PxCycIdx),1-MYStressCut,1),1),F64*IF(ND_GenOn=1,Rubin_Prem*GPUMW_N/ND_GPUMW_GB,1))</f>
        <v>18</v>
      </c>
      <c r="G65" s="117" t="n">
        <f aca="false">IF(RubinMode=1,RubinMW*IF(MYPathMode=1,(1+MYDecl)^(MAX(0,G$5-(MYDeclIdx-1))/4)*IF(AND(MYStressOn=1,G$5&gt;=PxCycIdx),1-MYStressCut,1),1),G64*IF(ND_GenOn=1,Rubin_Prem*GPUMW_N/ND_GPUMW_GB,1))</f>
        <v>18</v>
      </c>
      <c r="H65" s="117" t="n">
        <f aca="false">IF(RubinMode=1,RubinMW*IF(MYPathMode=1,(1+MYDecl)^(MAX(0,H$5-(MYDeclIdx-1))/4)*IF(AND(MYStressOn=1,H$5&gt;=PxCycIdx),1-MYStressCut,1),1),H64*IF(ND_GenOn=1,Rubin_Prem*GPUMW_N/ND_GPUMW_GB,1))</f>
        <v>18</v>
      </c>
      <c r="I65" s="117" t="n">
        <f aca="false">IF(RubinMode=1,RubinMW*IF(MYPathMode=1,(1+MYDecl)^(MAX(0,I$5-(MYDeclIdx-1))/4)*IF(AND(MYStressOn=1,I$5&gt;=PxCycIdx),1-MYStressCut,1),1),I64*IF(ND_GenOn=1,Rubin_Prem*GPUMW_N/ND_GPUMW_GB,1))</f>
        <v>18</v>
      </c>
      <c r="J65" s="117" t="n">
        <f aca="false">IF(RubinMode=1,RubinMW*IF(MYPathMode=1,(1+MYDecl)^(MAX(0,J$5-(MYDeclIdx-1))/4)*IF(AND(MYStressOn=1,J$5&gt;=PxCycIdx),1-MYStressCut,1),1),J64*IF(ND_GenOn=1,Rubin_Prem*GPUMW_N/ND_GPUMW_GB,1))</f>
        <v>18</v>
      </c>
      <c r="K65" s="117" t="n">
        <f aca="false">IF(RubinMode=1,RubinMW*IF(MYPathMode=1,(1+MYDecl)^(MAX(0,K$5-(MYDeclIdx-1))/4)*IF(AND(MYStressOn=1,K$5&gt;=PxCycIdx),1-MYStressCut,1),1),K64*IF(ND_GenOn=1,Rubin_Prem*GPUMW_N/ND_GPUMW_GB,1))</f>
        <v>18</v>
      </c>
      <c r="L65" s="117" t="n">
        <f aca="false">IF(RubinMode=1,RubinMW*IF(MYPathMode=1,(1+MYDecl)^(MAX(0,L$5-(MYDeclIdx-1))/4)*IF(AND(MYStressOn=1,L$5&gt;=PxCycIdx),1-MYStressCut,1),1),L64*IF(ND_GenOn=1,Rubin_Prem*GPUMW_N/ND_GPUMW_GB,1))</f>
        <v>18</v>
      </c>
      <c r="M65" s="117" t="n">
        <f aca="false">IF(RubinMode=1,RubinMW*IF(MYPathMode=1,(1+MYDecl)^(MAX(0,M$5-(MYDeclIdx-1))/4)*IF(AND(MYStressOn=1,M$5&gt;=PxCycIdx),1-MYStressCut,1),1),M64*IF(ND_GenOn=1,Rubin_Prem*GPUMW_N/ND_GPUMW_GB,1))</f>
        <v>18</v>
      </c>
      <c r="N65" s="117" t="n">
        <f aca="false">IF(RubinMode=1,RubinMW*IF(MYPathMode=1,(1+MYDecl)^(MAX(0,N$5-(MYDeclIdx-1))/4)*IF(AND(MYStressOn=1,N$5&gt;=PxCycIdx),1-MYStressCut,1),1),N64*IF(ND_GenOn=1,Rubin_Prem*GPUMW_N/ND_GPUMW_GB,1))</f>
        <v>18</v>
      </c>
      <c r="O65" s="117" t="n">
        <f aca="false">IF(RubinMode=1,RubinMW*IF(MYPathMode=1,(1+MYDecl)^(MAX(0,O$5-(MYDeclIdx-1))/4)*IF(AND(MYStressOn=1,O$5&gt;=PxCycIdx),1-MYStressCut,1),1),O64*IF(ND_GenOn=1,Rubin_Prem*GPUMW_N/ND_GPUMW_GB,1))</f>
        <v>18</v>
      </c>
      <c r="P65" s="30" t="n">
        <f aca="false">IF(RubinMode=1,RubinMW*IF(MYPathMode=1,(1+MYDecl)^(MAX(0,P$5-(MYDeclIdx-1))/4)*IF(AND(MYStressOn=1,P$5&gt;=PxCycIdx),1-MYStressCut,1),1),P64*IF(ND_GenOn=1,Rubin_Prem*GPUMW_N/ND_GPUMW_GB,1))</f>
        <v>18</v>
      </c>
      <c r="Q65" s="30" t="n">
        <f aca="false">IF(RubinMode=1,RubinMW*IF(MYPathMode=1,(1+MYDecl)^(MAX(0,Q$5-(MYDeclIdx-1))/4)*IF(AND(MYStressOn=1,Q$5&gt;=PxCycIdx),1-MYStressCut,1),1),Q64*IF(ND_GenOn=1,Rubin_Prem*GPUMW_N/ND_GPUMW_GB,1))</f>
        <v>18</v>
      </c>
      <c r="R65" s="30" t="n">
        <f aca="false">IF(RubinMode=1,RubinMW*IF(MYPathMode=1,(1+MYDecl)^(MAX(0,R$5-(MYDeclIdx-1))/4)*IF(AND(MYStressOn=1,R$5&gt;=PxCycIdx),1-MYStressCut,1),1),R64*IF(ND_GenOn=1,Rubin_Prem*GPUMW_N/ND_GPUMW_GB,1))</f>
        <v>18</v>
      </c>
      <c r="S65" s="30" t="n">
        <f aca="false">IF(RubinMode=1,RubinMW*IF(MYPathMode=1,(1+MYDecl)^(MAX(0,S$5-(MYDeclIdx-1))/4)*IF(AND(MYStressOn=1,S$5&gt;=PxCycIdx),1-MYStressCut,1),1),S64*IF(ND_GenOn=1,Rubin_Prem*GPUMW_N/ND_GPUMW_GB,1))</f>
        <v>18</v>
      </c>
      <c r="T65" s="30" t="n">
        <f aca="false">IF(RubinMode=1,RubinMW*IF(MYPathMode=1,(1+MYDecl)^(MAX(0,T$5-(MYDeclIdx-1))/4)*IF(AND(MYStressOn=1,T$5&gt;=PxCycIdx),1-MYStressCut,1),1),T64*IF(ND_GenOn=1,Rubin_Prem*GPUMW_N/ND_GPUMW_GB,1))</f>
        <v>18</v>
      </c>
      <c r="U65" s="30" t="n">
        <f aca="false">IF(RubinMode=1,RubinMW*IF(MYPathMode=1,(1+MYDecl)^(MAX(0,U$5-(MYDeclIdx-1))/4)*IF(AND(MYStressOn=1,U$5&gt;=PxCycIdx),1-MYStressCut,1),1),U64*IF(ND_GenOn=1,Rubin_Prem*GPUMW_N/ND_GPUMW_GB,1))</f>
        <v>18</v>
      </c>
      <c r="V65" s="30" t="n">
        <f aca="false">IF(RubinMode=1,RubinMW*IF(MYPathMode=1,(1+MYDecl)^(MAX(0,V$5-(MYDeclIdx-1))/4)*IF(AND(MYStressOn=1,V$5&gt;=PxCycIdx),1-MYStressCut,1),1),V64*IF(ND_GenOn=1,Rubin_Prem*GPUMW_N/ND_GPUMW_GB,1))</f>
        <v>18</v>
      </c>
      <c r="W65" s="30" t="n">
        <f aca="false">IF(RubinMode=1,RubinMW*IF(MYPathMode=1,(1+MYDecl)^(MAX(0,W$5-(MYDeclIdx-1))/4)*IF(AND(MYStressOn=1,W$5&gt;=PxCycIdx),1-MYStressCut,1),1),W64*IF(ND_GenOn=1,Rubin_Prem*GPUMW_N/ND_GPUMW_GB,1))</f>
        <v>18</v>
      </c>
      <c r="X65" s="30" t="n">
        <f aca="false">IF(RubinMode=1,RubinMW*IF(MYPathMode=1,(1+MYDecl)^(MAX(0,X$5-(MYDeclIdx-1))/4)*IF(AND(MYStressOn=1,X$5&gt;=PxCycIdx),1-MYStressCut,1),1),X64*IF(ND_GenOn=1,Rubin_Prem*GPUMW_N/ND_GPUMW_GB,1))</f>
        <v>18</v>
      </c>
      <c r="Y65" s="30" t="n">
        <f aca="false">IF(RubinMode=1,RubinMW*IF(MYPathMode=1,(1+MYDecl)^(MAX(0,Y$5-(MYDeclIdx-1))/4)*IF(AND(MYStressOn=1,Y$5&gt;=PxCycIdx),1-MYStressCut,1),1),Y64*IF(ND_GenOn=1,Rubin_Prem*GPUMW_N/ND_GPUMW_GB,1))</f>
        <v>18</v>
      </c>
      <c r="Z65" s="30" t="n">
        <f aca="false">IF(RubinMode=1,RubinMW*IF(MYPathMode=1,(1+MYDecl)^(MAX(0,Z$5-(MYDeclIdx-1))/4)*IF(AND(MYStressOn=1,Z$5&gt;=PxCycIdx),1-MYStressCut,1),1),Z64*IF(ND_GenOn=1,Rubin_Prem*GPUMW_N/ND_GPUMW_GB,1))</f>
        <v>17.8634541110669</v>
      </c>
      <c r="AA65" s="30" t="n">
        <f aca="false">IF(RubinMode=1,RubinMW*IF(MYPathMode=1,(1+MYDecl)^(MAX(0,AA$5-(MYDeclIdx-1))/4)*IF(AND(MYStressOn=1,AA$5&gt;=PxCycIdx),1-MYStressCut,1),1),AA64*IF(ND_GenOn=1,Rubin_Prem*GPUMW_N/ND_GPUMW_GB,1))</f>
        <v>17.727944043233</v>
      </c>
      <c r="AB65" s="30" t="n">
        <f aca="false">IF(RubinMode=1,RubinMW*IF(MYPathMode=1,(1+MYDecl)^(MAX(0,AB$5-(MYDeclIdx-1))/4)*IF(AND(MYStressOn=1,AB$5&gt;=PxCycIdx),1-MYStressCut,1),1),AB64*IF(ND_GenOn=1,Rubin_Prem*GPUMW_N/ND_GPUMW_GB,1))</f>
        <v>17.5934619388808</v>
      </c>
      <c r="AC65" s="30" t="n">
        <f aca="false">IF(RubinMode=1,RubinMW*IF(MYPathMode=1,(1+MYDecl)^(MAX(0,AC$5-(MYDeclIdx-1))/4)*IF(AND(MYStressOn=1,AC$5&gt;=PxCycIdx),1-MYStressCut,1),1),AC64*IF(ND_GenOn=1,Rubin_Prem*GPUMW_N/ND_GPUMW_GB,1))</f>
        <v>17.46</v>
      </c>
      <c r="AD65" s="30" t="n">
        <f aca="false">IF(RubinMode=1,RubinMW*IF(MYPathMode=1,(1+MYDecl)^(MAX(0,AD$5-(MYDeclIdx-1))/4)*IF(AND(MYStressOn=1,AD$5&gt;=PxCycIdx),1-MYStressCut,1),1),AD64*IF(ND_GenOn=1,Rubin_Prem*GPUMW_N/ND_GPUMW_GB,1))</f>
        <v>17.3275504877349</v>
      </c>
      <c r="AE65" s="30" t="n">
        <f aca="false">IF(RubinMode=1,RubinMW*IF(MYPathMode=1,(1+MYDecl)^(MAX(0,AE$5-(MYDeclIdx-1))/4)*IF(AND(MYStressOn=1,AE$5&gt;=PxCycIdx),1-MYStressCut,1),1),AE64*IF(ND_GenOn=1,Rubin_Prem*GPUMW_N/ND_GPUMW_GB,1))</f>
        <v>17.196105721936</v>
      </c>
      <c r="AF65" s="30" t="n">
        <f aca="false">IF(RubinMode=1,RubinMW*IF(MYPathMode=1,(1+MYDecl)^(MAX(0,AF$5-(MYDeclIdx-1))/4)*IF(AND(MYStressOn=1,AF$5&gt;=PxCycIdx),1-MYStressCut,1),1),AF64*IF(ND_GenOn=1,Rubin_Prem*GPUMW_N/ND_GPUMW_GB,1))</f>
        <v>17.0656580807144</v>
      </c>
      <c r="AG65" s="30" t="n">
        <f aca="false">IF(RubinMode=1,RubinMW*IF(MYPathMode=1,(1+MYDecl)^(MAX(0,AG$5-(MYDeclIdx-1))/4)*IF(AND(MYStressOn=1,AG$5&gt;=PxCycIdx),1-MYStressCut,1),1),AG64*IF(ND_GenOn=1,Rubin_Prem*GPUMW_N/ND_GPUMW_GB,1))</f>
        <v>16.9362</v>
      </c>
      <c r="AI65" s="30" t="n">
        <f aca="false">AVERAGEIF($F$7:$AG$7,AI$7,$F65:$AG65)</f>
        <v>18</v>
      </c>
      <c r="AJ65" s="30" t="n">
        <f aca="false">AVERAGEIF($F$7:$AG$7,AJ$7,$F65:$AG65)</f>
        <v>18</v>
      </c>
      <c r="AK65" s="30" t="n">
        <f aca="false">AVERAGEIF($F$7:$AG$7,AK$7,$F65:$AG65)</f>
        <v>18</v>
      </c>
      <c r="AL65" s="30" t="n">
        <f aca="false">AVERAGEIF($F$7:$AG$7,AL$7,$F65:$AG65)</f>
        <v>18</v>
      </c>
      <c r="AM65" s="30" t="n">
        <f aca="false">AVERAGEIF($F$7:$AG$7,AM$7,$F65:$AG65)</f>
        <v>18</v>
      </c>
      <c r="AN65" s="30" t="n">
        <f aca="false">AVERAGEIF($F$7:$AG$7,AN$7,$F65:$AG65)</f>
        <v>17.6612150232952</v>
      </c>
      <c r="AO65" s="30" t="n">
        <f aca="false">AVERAGEIF($F$7:$AG$7,AO$7,$F65:$AG65)</f>
        <v>17.1313785725963</v>
      </c>
    </row>
    <row r="66" customFormat="false" ht="15" hidden="false" customHeight="false" outlineLevel="0" collapsed="false">
      <c r="A66" s="107" t="s">
        <v>2088</v>
      </c>
      <c r="B66" s="22" t="s">
        <v>600</v>
      </c>
      <c r="C66" s="22" t="s">
        <v>540</v>
      </c>
      <c r="D66" s="22"/>
      <c r="F66" s="117" t="n">
        <f aca="false">IF(F63&gt;0,(F61*F64+F62*F65)/F63,F64)</f>
        <v>16</v>
      </c>
      <c r="G66" s="117" t="n">
        <f aca="false">IF(G63&gt;0,(G61*G64+G62*G65)/G63,G64)</f>
        <v>16</v>
      </c>
      <c r="H66" s="117" t="n">
        <f aca="false">IF(H63&gt;0,(H61*H64+H62*H65)/H63,H64)</f>
        <v>16</v>
      </c>
      <c r="I66" s="117" t="n">
        <f aca="false">IF(I63&gt;0,(I61*I64+I62*I65)/I63,I64)</f>
        <v>16</v>
      </c>
      <c r="J66" s="117" t="n">
        <f aca="false">IF(J63&gt;0,(J61*J64+J62*J65)/J63,J64)</f>
        <v>16</v>
      </c>
      <c r="K66" s="117" t="n">
        <f aca="false">IF(K63&gt;0,(K61*K64+K62*K65)/K63,K64)</f>
        <v>16</v>
      </c>
      <c r="L66" s="117" t="n">
        <f aca="false">IF(L63&gt;0,(L61*L64+L62*L65)/L63,L64)</f>
        <v>16</v>
      </c>
      <c r="M66" s="117" t="n">
        <f aca="false">IF(M63&gt;0,(M61*M64+M62*M65)/M63,M64)</f>
        <v>16</v>
      </c>
      <c r="N66" s="117" t="n">
        <f aca="false">IF(N63&gt;0,(N61*N64+N62*N65)/N63,N64)</f>
        <v>16</v>
      </c>
      <c r="O66" s="117" t="n">
        <f aca="false">IF(O63&gt;0,(O61*O64+O62*O65)/O63,O64)</f>
        <v>16</v>
      </c>
      <c r="P66" s="30" t="n">
        <f aca="false">IF(P63&gt;0,(P61*P64+P62*P65)/P63,P64)</f>
        <v>16</v>
      </c>
      <c r="Q66" s="30" t="n">
        <f aca="false">IF(Q63&gt;0,(Q61*Q64+Q62*Q65)/Q63,Q64)</f>
        <v>16</v>
      </c>
      <c r="R66" s="30" t="n">
        <f aca="false">IF(R63&gt;0,(R61*R64+R62*R65)/R63,R64)</f>
        <v>16</v>
      </c>
      <c r="S66" s="30" t="n">
        <f aca="false">IF(S63&gt;0,(S61*S64+S62*S65)/S63,S64)</f>
        <v>16.1256813071458</v>
      </c>
      <c r="T66" s="30" t="n">
        <f aca="false">IF(T63&gt;0,(T61*T64+T62*T65)/T63,T64)</f>
        <v>16</v>
      </c>
      <c r="U66" s="30" t="n">
        <f aca="false">IF(U63&gt;0,(U61*U64+U62*U65)/U63,U64)</f>
        <v>16.1045929031798</v>
      </c>
      <c r="V66" s="30" t="n">
        <f aca="false">IF(V63&gt;0,(V61*V64+V62*V65)/V63,V64)</f>
        <v>17.2374955859109</v>
      </c>
      <c r="W66" s="30" t="n">
        <f aca="false">IF(W63&gt;0,(W61*W64+W62*W65)/W63,W64)</f>
        <v>17.6087175799611</v>
      </c>
      <c r="X66" s="30" t="n">
        <f aca="false">IF(X63&gt;0,(X61*X64+X62*X65)/X63,X64)</f>
        <v>18</v>
      </c>
      <c r="Y66" s="30" t="n">
        <f aca="false">IF(Y63&gt;0,(Y61*Y64+Y62*Y65)/Y63,Y64)</f>
        <v>18</v>
      </c>
      <c r="Z66" s="30" t="n">
        <f aca="false">IF(Z63&gt;0,(Z61*Z64+Z62*Z65)/Z63,Z64)</f>
        <v>17.5877929159953</v>
      </c>
      <c r="AA66" s="30" t="n">
        <f aca="false">IF(AA63&gt;0,(AA61*AA64+AA62*AA65)/AA63,AA64)</f>
        <v>17.4443500820957</v>
      </c>
      <c r="AB66" s="30" t="n">
        <f aca="false">IF(AB63&gt;0,(AB61*AB64+AB62*AB65)/AB63,AB64)</f>
        <v>17.5934619388808</v>
      </c>
      <c r="AC66" s="30" t="n">
        <f aca="false">IF(AC63&gt;0,(AC61*AC64+AC62*AC65)/AC63,AC64)</f>
        <v>17.46</v>
      </c>
      <c r="AD66" s="30" t="n">
        <f aca="false">IF(AD63&gt;0,(AD61*AD64+AD62*AD65)/AD63,AD64)</f>
        <v>17.3275504877349</v>
      </c>
      <c r="AE66" s="30" t="n">
        <f aca="false">IF(AE63&gt;0,(AE61*AE64+AE62*AE65)/AE63,AE64)</f>
        <v>17.196105721936</v>
      </c>
      <c r="AF66" s="30" t="n">
        <f aca="false">IF(AF63&gt;0,(AF61*AF64+AF62*AF65)/AF63,AF64)</f>
        <v>15.1694738495239</v>
      </c>
      <c r="AG66" s="30" t="n">
        <f aca="false">IF(AG63&gt;0,(AG61*AG64+AG62*AG65)/AG63,AG64)</f>
        <v>15.0544</v>
      </c>
      <c r="AI66" s="30" t="n">
        <f aca="false">AVERAGEIF($F$7:$AG$7,AI$7,$F66:$AG66)</f>
        <v>16</v>
      </c>
      <c r="AJ66" s="30" t="n">
        <f aca="false">AVERAGEIF($F$7:$AG$7,AJ$7,$F66:$AG66)</f>
        <v>16</v>
      </c>
      <c r="AK66" s="30" t="n">
        <f aca="false">AVERAGEIF($F$7:$AG$7,AK$7,$F66:$AG66)</f>
        <v>16</v>
      </c>
      <c r="AL66" s="30" t="n">
        <f aca="false">AVERAGEIF($F$7:$AG$7,AL$7,$F66:$AG66)</f>
        <v>16.0575685525814</v>
      </c>
      <c r="AM66" s="30" t="n">
        <f aca="false">AVERAGEIF($F$7:$AG$7,AM$7,$F66:$AG66)</f>
        <v>17.711553291468</v>
      </c>
      <c r="AN66" s="30" t="n">
        <f aca="false">AVERAGEIF($F$7:$AG$7,AN$7,$F66:$AG66)</f>
        <v>17.5214012342429</v>
      </c>
      <c r="AO66" s="30" t="n">
        <f aca="false">AVERAGEIF($F$7:$AG$7,AO$7,$F66:$AG66)</f>
        <v>16.1868825147987</v>
      </c>
    </row>
    <row r="67" customFormat="false" ht="15" hidden="false" customHeight="false" outlineLevel="0" collapsed="false">
      <c r="A67" s="107" t="s">
        <v>2089</v>
      </c>
      <c r="B67" s="22" t="s">
        <v>737</v>
      </c>
      <c r="C67" s="22" t="s">
        <v>626</v>
      </c>
      <c r="D67" s="22"/>
      <c r="F67" s="127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7" s="127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7" s="127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7" s="127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7" s="127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7" s="127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7" s="127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7" s="127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7" s="127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7" s="127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7" s="55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7" s="55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7" s="55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7" s="55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7" s="55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7" s="55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7" s="55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7" s="55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7" s="55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7" s="55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7" s="55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7" s="55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7" s="55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7" s="55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7" s="55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7" s="55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7" s="55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7" s="55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7" s="55" t="n">
        <f aca="false">AVERAGEIF($F$7:$AG$7,AI$7,$F67:$AG67)</f>
        <v>1</v>
      </c>
      <c r="AJ67" s="55" t="n">
        <f aca="false">AVERAGEIF($F$7:$AG$7,AJ$7,$F67:$AG67)</f>
        <v>1</v>
      </c>
      <c r="AK67" s="55" t="n">
        <f aca="false">AVERAGEIF($F$7:$AG$7,AK$7,$F67:$AG67)</f>
        <v>1</v>
      </c>
      <c r="AL67" s="55" t="n">
        <f aca="false">AVERAGEIF($F$7:$AG$7,AL$7,$F67:$AG67)</f>
        <v>0.78</v>
      </c>
      <c r="AM67" s="55" t="n">
        <f aca="false">AVERAGEIF($F$7:$AG$7,AM$7,$F67:$AG67)</f>
        <v>0.992325088605909</v>
      </c>
      <c r="AN67" s="55" t="n">
        <f aca="false">AVERAGEIF($F$7:$AG$7,AN$7,$F67:$AG67)</f>
        <v>0.94011246635667</v>
      </c>
      <c r="AO67" s="55" t="n">
        <f aca="false">AVERAGEIF($F$7:$AG$7,AO$7,$F67:$AG67)</f>
        <v>0.88370571837527</v>
      </c>
    </row>
    <row r="68" customFormat="false" ht="15" hidden="false" customHeight="false" outlineLevel="0" collapsed="false">
      <c r="A68" s="107" t="s">
        <v>2090</v>
      </c>
      <c r="B68" s="22" t="s">
        <v>600</v>
      </c>
      <c r="C68" s="22" t="s">
        <v>604</v>
      </c>
      <c r="D68" s="22"/>
      <c r="F68" s="117" t="n">
        <f aca="false">STRate*F67</f>
        <v>45</v>
      </c>
      <c r="G68" s="117" t="n">
        <f aca="false">STRate*G67</f>
        <v>45</v>
      </c>
      <c r="H68" s="117" t="n">
        <f aca="false">STRate*H67</f>
        <v>45</v>
      </c>
      <c r="I68" s="117" t="n">
        <f aca="false">STRate*I67</f>
        <v>45</v>
      </c>
      <c r="J68" s="117" t="n">
        <f aca="false">STRate*J67</f>
        <v>45</v>
      </c>
      <c r="K68" s="117" t="n">
        <f aca="false">STRate*K67</f>
        <v>45</v>
      </c>
      <c r="L68" s="117" t="n">
        <f aca="false">STRate*L67</f>
        <v>45</v>
      </c>
      <c r="M68" s="117" t="n">
        <f aca="false">STRate*M67</f>
        <v>45</v>
      </c>
      <c r="N68" s="117" t="n">
        <f aca="false">STRate*N67</f>
        <v>45</v>
      </c>
      <c r="O68" s="117" t="n">
        <f aca="false">STRate*O67</f>
        <v>45</v>
      </c>
      <c r="P68" s="30" t="n">
        <f aca="false">STRate*P67</f>
        <v>45</v>
      </c>
      <c r="Q68" s="30" t="n">
        <f aca="false">STRate*Q67</f>
        <v>45</v>
      </c>
      <c r="R68" s="30" t="n">
        <f aca="false">STRate*R67</f>
        <v>35.1</v>
      </c>
      <c r="S68" s="30" t="n">
        <f aca="false">STRate*S67</f>
        <v>35.1</v>
      </c>
      <c r="T68" s="30" t="n">
        <f aca="false">STRate*T67</f>
        <v>35.1</v>
      </c>
      <c r="U68" s="30" t="n">
        <f aca="false">STRate*U67</f>
        <v>35.1</v>
      </c>
      <c r="V68" s="30" t="n">
        <f aca="false">STRate*V67</f>
        <v>45</v>
      </c>
      <c r="W68" s="30" t="n">
        <f aca="false">STRate*W67</f>
        <v>45</v>
      </c>
      <c r="X68" s="30" t="n">
        <f aca="false">STRate*X67</f>
        <v>44.3092579745318</v>
      </c>
      <c r="Y68" s="30" t="n">
        <f aca="false">STRate*Y67</f>
        <v>44.3092579745318</v>
      </c>
      <c r="Z68" s="30" t="n">
        <f aca="false">STRate*Z67</f>
        <v>42.9594194760404</v>
      </c>
      <c r="AA68" s="30" t="n">
        <f aca="false">STRate*AA67</f>
        <v>42.9594194760404</v>
      </c>
      <c r="AB68" s="30" t="n">
        <f aca="false">STRate*AB67</f>
        <v>41.6507024960599</v>
      </c>
      <c r="AC68" s="30" t="n">
        <f aca="false">STRate*AC67</f>
        <v>41.6507024960599</v>
      </c>
      <c r="AD68" s="30" t="n">
        <f aca="false">STRate*AD67</f>
        <v>40.3818543074779</v>
      </c>
      <c r="AE68" s="30" t="n">
        <f aca="false">STRate*AE67</f>
        <v>40.3818543074779</v>
      </c>
      <c r="AF68" s="30" t="n">
        <f aca="false">STRate*AF67</f>
        <v>39.1516603462963</v>
      </c>
      <c r="AG68" s="30" t="n">
        <f aca="false">STRate*AG67</f>
        <v>39.1516603462963</v>
      </c>
      <c r="AI68" s="30" t="n">
        <f aca="false">AVERAGEIF($F$7:$AG$7,AI$7,$F68:$AG68)</f>
        <v>45</v>
      </c>
      <c r="AJ68" s="30" t="n">
        <f aca="false">AVERAGEIF($F$7:$AG$7,AJ$7,$F68:$AG68)</f>
        <v>45</v>
      </c>
      <c r="AK68" s="30" t="n">
        <f aca="false">AVERAGEIF($F$7:$AG$7,AK$7,$F68:$AG68)</f>
        <v>45</v>
      </c>
      <c r="AL68" s="30" t="n">
        <f aca="false">AVERAGEIF($F$7:$AG$7,AL$7,$F68:$AG68)</f>
        <v>35.1</v>
      </c>
      <c r="AM68" s="30" t="n">
        <f aca="false">AVERAGEIF($F$7:$AG$7,AM$7,$F68:$AG68)</f>
        <v>44.6546289872659</v>
      </c>
      <c r="AN68" s="30" t="n">
        <f aca="false">AVERAGEIF($F$7:$AG$7,AN$7,$F68:$AG68)</f>
        <v>42.3050609860501</v>
      </c>
      <c r="AO68" s="30" t="n">
        <f aca="false">AVERAGEIF($F$7:$AG$7,AO$7,$F68:$AG68)</f>
        <v>39.7667573268871</v>
      </c>
    </row>
    <row r="69" customFormat="false" ht="15" hidden="false" customHeight="false" outlineLevel="0" collapsed="false">
      <c r="A69" s="107" t="s">
        <v>2091</v>
      </c>
      <c r="B69" s="22" t="s">
        <v>664</v>
      </c>
      <c r="C69" s="22" t="s">
        <v>540</v>
      </c>
      <c r="D69" s="22"/>
      <c r="F69" s="111" t="n">
        <f aca="false">F54/GPUMW_H+F55/GPUMW_B+F56/GPUMW_N</f>
        <v>19.2328190743338</v>
      </c>
      <c r="G69" s="111" t="n">
        <f aca="false">G54/GPUMW_H+G55/GPUMW_B+G56/GPUMW_N</f>
        <v>19.2328190743338</v>
      </c>
      <c r="H69" s="111" t="n">
        <f aca="false">H54/GPUMW_H+H55/GPUMW_B+H56/GPUMW_N</f>
        <v>19.2328190743338</v>
      </c>
      <c r="I69" s="111" t="n">
        <f aca="false">I54/GPUMW_H+I55/GPUMW_B+I56/GPUMW_N</f>
        <v>21.156381486676</v>
      </c>
      <c r="J69" s="111" t="n">
        <f aca="false">J54/GPUMW_H+J55/GPUMW_B+J56/GPUMW_N</f>
        <v>32.577840112202</v>
      </c>
      <c r="K69" s="111" t="n">
        <f aca="false">K54/GPUMW_H+K55/GPUMW_B+K56/GPUMW_N</f>
        <v>42.0757363253857</v>
      </c>
      <c r="L69" s="111" t="n">
        <f aca="false">L54/GPUMW_H+L55/GPUMW_B+L56/GPUMW_N</f>
        <v>47.1917363253857</v>
      </c>
      <c r="M69" s="111" t="n">
        <f aca="false">M54/GPUMW_H+M55/GPUMW_B+M56/GPUMW_N</f>
        <v>64.459819658719</v>
      </c>
      <c r="N69" s="111" t="n">
        <f aca="false">N54/GPUMW_H+N55/GPUMW_B+N56/GPUMW_N</f>
        <v>73.4849863253857</v>
      </c>
      <c r="O69" s="111" t="n">
        <f aca="false">O54/GPUMW_H+O55/GPUMW_B+O56/GPUMW_N</f>
        <v>74.438069658719</v>
      </c>
      <c r="P69" s="33" t="n">
        <f aca="false">P54/GPUMW_H+P55/GPUMW_B+P56/GPUMW_N</f>
        <v>78.518069658719</v>
      </c>
      <c r="Q69" s="33" t="n">
        <f aca="false">Q54/GPUMW_H+Q55/GPUMW_B+Q56/GPUMW_N</f>
        <v>81.174069658719</v>
      </c>
      <c r="R69" s="33" t="n">
        <f aca="false">R54/GPUMW_H+R55/GPUMW_B+R56/GPUMW_N</f>
        <v>81.174069658719</v>
      </c>
      <c r="S69" s="33" t="n">
        <f aca="false">S54/GPUMW_H+S55/GPUMW_B+S56/GPUMW_N</f>
        <v>81.174069658719</v>
      </c>
      <c r="T69" s="33" t="n">
        <f aca="false">T54/GPUMW_H+T55/GPUMW_B+T56/GPUMW_N</f>
        <v>81.174069658719</v>
      </c>
      <c r="U69" s="33" t="n">
        <f aca="false">U54/GPUMW_H+U55/GPUMW_B+U56/GPUMW_N</f>
        <v>81.174069658719</v>
      </c>
      <c r="V69" s="33" t="n">
        <f aca="false">V54/GPUMW_H+V55/GPUMW_B+V56/GPUMW_N</f>
        <v>81.174069658719</v>
      </c>
      <c r="W69" s="33" t="n">
        <f aca="false">W54/GPUMW_H+W55/GPUMW_B+W56/GPUMW_N</f>
        <v>81.174069658719</v>
      </c>
      <c r="X69" s="33" t="n">
        <f aca="false">X54/GPUMW_H+X55/GPUMW_B+X56/GPUMW_N</f>
        <v>81.174069658719</v>
      </c>
      <c r="Y69" s="33" t="n">
        <f aca="false">Y54/GPUMW_H+Y55/GPUMW_B+Y56/GPUMW_N</f>
        <v>81.174069658719</v>
      </c>
      <c r="Z69" s="33" t="n">
        <f aca="false">Z54/GPUMW_H+Z55/GPUMW_B+Z56/GPUMW_N</f>
        <v>81.174069658719</v>
      </c>
      <c r="AA69" s="33" t="n">
        <f aca="false">AA54/GPUMW_H+AA55/GPUMW_B+AA56/GPUMW_N</f>
        <v>81.174069658719</v>
      </c>
      <c r="AB69" s="33" t="n">
        <f aca="false">AB54/GPUMW_H+AB55/GPUMW_B+AB56/GPUMW_N</f>
        <v>81.174069658719</v>
      </c>
      <c r="AC69" s="33" t="n">
        <f aca="false">AC54/GPUMW_H+AC55/GPUMW_B+AC56/GPUMW_N</f>
        <v>81.174069658719</v>
      </c>
      <c r="AD69" s="33" t="n">
        <f aca="false">AD54/GPUMW_H+AD55/GPUMW_B+AD56/GPUMW_N</f>
        <v>81.174069658719</v>
      </c>
      <c r="AE69" s="33" t="n">
        <f aca="false">AE54/GPUMW_H+AE55/GPUMW_B+AE56/GPUMW_N</f>
        <v>81.174069658719</v>
      </c>
      <c r="AF69" s="33" t="n">
        <f aca="false">AF54/GPUMW_H+AF55/GPUMW_B+AF56/GPUMW_N</f>
        <v>81.174069658719</v>
      </c>
      <c r="AG69" s="33" t="n">
        <f aca="false">AG54/GPUMW_H+AG55/GPUMW_B+AG56/GPUMW_N</f>
        <v>81.174069658719</v>
      </c>
      <c r="AI69" s="33" t="n">
        <f aca="false">AVERAGEIF($F$7:$AG$7,AI$7,$F69:$AG69)</f>
        <v>19.7137096774194</v>
      </c>
      <c r="AJ69" s="33" t="n">
        <f aca="false">AVERAGEIF($F$7:$AG$7,AJ$7,$F69:$AG69)</f>
        <v>46.5762831054231</v>
      </c>
      <c r="AK69" s="33" t="n">
        <f aca="false">AVERAGEIF($F$7:$AG$7,AK$7,$F69:$AG69)</f>
        <v>76.9037988253857</v>
      </c>
      <c r="AL69" s="33" t="n">
        <f aca="false">AVERAGEIF($F$7:$AG$7,AL$7,$F69:$AG69)</f>
        <v>81.174069658719</v>
      </c>
      <c r="AM69" s="33" t="n">
        <f aca="false">AVERAGEIF($F$7:$AG$7,AM$7,$F69:$AG69)</f>
        <v>81.174069658719</v>
      </c>
      <c r="AN69" s="33" t="n">
        <f aca="false">AVERAGEIF($F$7:$AG$7,AN$7,$F69:$AG69)</f>
        <v>81.174069658719</v>
      </c>
      <c r="AO69" s="33" t="n">
        <f aca="false">AVERAGEIF($F$7:$AG$7,AO$7,$F69:$AG69)</f>
        <v>81.174069658719</v>
      </c>
    </row>
    <row r="70" customFormat="false" ht="15" hidden="false" customHeight="false" outlineLevel="0" collapsed="false">
      <c r="A70" s="107" t="s">
        <v>2092</v>
      </c>
      <c r="B70" s="22" t="s">
        <v>664</v>
      </c>
      <c r="C70" s="22" t="s">
        <v>626</v>
      </c>
      <c r="D70" s="22" t="s">
        <v>2093</v>
      </c>
      <c r="F70" s="111" t="n">
        <f aca="false">IF(F$5&lt;NewDealIdx,0,IF(STMode=1,MIN(STShare*F12,F69+IF(STGBOnly=1,F59,F58)),STShare*F58))</f>
        <v>0</v>
      </c>
      <c r="G70" s="111" t="n">
        <f aca="false">IF(G$5&lt;NewDealIdx,0,IF(STMode=1,MIN(STShare*G12,G69+IF(STGBOnly=1,G59,G58)),STShare*G58))</f>
        <v>0</v>
      </c>
      <c r="H70" s="111" t="n">
        <f aca="false">IF(H$5&lt;NewDealIdx,0,IF(STMode=1,MIN(STShare*H12,H69+IF(STGBOnly=1,H59,H58)),STShare*H58))</f>
        <v>0</v>
      </c>
      <c r="I70" s="111" t="n">
        <f aca="false">IF(I$5&lt;NewDealIdx,0,IF(STMode=1,MIN(STShare*I12,I69+IF(STGBOnly=1,I59,I58)),STShare*I58))</f>
        <v>0</v>
      </c>
      <c r="J70" s="111" t="n">
        <f aca="false">IF(J$5&lt;NewDealIdx,0,IF(STMode=1,MIN(STShare*J12,J69+IF(STGBOnly=1,J59,J58)),STShare*J58))</f>
        <v>0</v>
      </c>
      <c r="K70" s="111" t="n">
        <f aca="false">IF(K$5&lt;NewDealIdx,0,IF(STMode=1,MIN(STShare*K12,K69+IF(STGBOnly=1,K59,K58)),STShare*K58))</f>
        <v>0</v>
      </c>
      <c r="L70" s="111" t="n">
        <f aca="false">IF(L$5&lt;NewDealIdx,0,IF(STMode=1,MIN(STShare*L12,L69+IF(STGBOnly=1,L59,L58)),STShare*L58))</f>
        <v>0</v>
      </c>
      <c r="M70" s="111" t="n">
        <f aca="false">IF(M$5&lt;NewDealIdx,0,IF(STMode=1,MIN(STShare*M12,M69+IF(STGBOnly=1,M59,M58)),STShare*M58))</f>
        <v>0</v>
      </c>
      <c r="N70" s="111" t="n">
        <f aca="false">IF(N$5&lt;NewDealIdx,0,IF(STMode=1,MIN(STShare*N12,N69+IF(STGBOnly=1,N59,N58)),STShare*N58))</f>
        <v>0</v>
      </c>
      <c r="O70" s="111" t="n">
        <f aca="false">IF(O$5&lt;NewDealIdx,0,IF(STMode=1,MIN(STShare*O12,O69+IF(STGBOnly=1,O59,O58)),STShare*O58))</f>
        <v>0</v>
      </c>
      <c r="P70" s="33" t="n">
        <f aca="false">IF(P$5&lt;NewDealIdx,0,IF(STMode=1,MIN(STShare*P12,P69+IF(STGBOnly=1,P59,P58)),STShare*P58))</f>
        <v>0</v>
      </c>
      <c r="Q70" s="33" t="n">
        <f aca="false">IF(Q$5&lt;NewDealIdx,0,IF(STMode=1,MIN(STShare*Q12,Q69+IF(STGBOnly=1,Q59,Q58)),STShare*Q58))</f>
        <v>0</v>
      </c>
      <c r="R70" s="33" t="n">
        <f aca="false">IF(R$5&lt;NewDealIdx,0,IF(STMode=1,MIN(STShare*R12,R69+IF(STGBOnly=1,R59,R58)),STShare*R58))</f>
        <v>12.96773</v>
      </c>
      <c r="S70" s="33" t="n">
        <f aca="false">IF(S$5&lt;NewDealIdx,0,IF(STMode=1,MIN(STShare*S12,S69+IF(STGBOnly=1,S59,S58)),STShare*S58))</f>
        <v>18.88779375</v>
      </c>
      <c r="T70" s="33" t="n">
        <f aca="false">IF(T$5&lt;NewDealIdx,0,IF(STMode=1,MIN(STShare*T12,T69+IF(STGBOnly=1,T59,T58)),STShare*T58))</f>
        <v>27.08322625</v>
      </c>
      <c r="U70" s="33" t="n">
        <f aca="false">IF(U$5&lt;NewDealIdx,0,IF(STMode=1,MIN(STShare*U12,U69+IF(STGBOnly=1,U59,U58)),STShare*U58))</f>
        <v>36.0536025</v>
      </c>
      <c r="V70" s="33" t="n">
        <f aca="false">IF(V$5&lt;NewDealIdx,0,IF(STMode=1,MIN(STShare*V12,V69+IF(STGBOnly=1,V59,V58)),STShare*V58))</f>
        <v>47.3629525</v>
      </c>
      <c r="W70" s="33" t="n">
        <f aca="false">IF(W$5&lt;NewDealIdx,0,IF(STMode=1,MIN(STShare*W12,W69+IF(STGBOnly=1,W59,W58)),STShare*W58))</f>
        <v>56.3725775</v>
      </c>
      <c r="X70" s="33" t="n">
        <f aca="false">IF(X$5&lt;NewDealIdx,0,IF(STMode=1,MIN(STShare*X12,X69+IF(STGBOnly=1,X59,X58)),STShare*X58))</f>
        <v>62.4861025</v>
      </c>
      <c r="Y70" s="33" t="n">
        <f aca="false">IF(Y$5&lt;NewDealIdx,0,IF(STMode=1,MIN(STShare*Y12,Y69+IF(STGBOnly=1,Y59,Y58)),STShare*Y58))</f>
        <v>66.63509</v>
      </c>
      <c r="Z70" s="33" t="n">
        <f aca="false">IF(Z$5&lt;NewDealIdx,0,IF(STMode=1,MIN(STShare*Z12,Z69+IF(STGBOnly=1,Z59,Z58)),STShare*Z58))</f>
        <v>74.7919775</v>
      </c>
      <c r="AA70" s="33" t="n">
        <f aca="false">IF(AA$5&lt;NewDealIdx,0,IF(STMode=1,MIN(STShare*AA12,AA69+IF(STGBOnly=1,AA59,AA58)),STShare*AA58))</f>
        <v>82.636365</v>
      </c>
      <c r="AB70" s="33" t="n">
        <f aca="false">IF(AB$5&lt;NewDealIdx,0,IF(STMode=1,MIN(STShare*AB12,AB69+IF(STGBOnly=1,AB59,AB58)),STShare*AB58))</f>
        <v>90.413715</v>
      </c>
      <c r="AC70" s="33" t="n">
        <f aca="false">IF(AC$5&lt;NewDealIdx,0,IF(STMode=1,MIN(STShare*AC12,AC69+IF(STGBOnly=1,AC59,AC58)),STShare*AC58))</f>
        <v>98.191065</v>
      </c>
      <c r="AD70" s="33" t="n">
        <f aca="false">IF(AD$5&lt;NewDealIdx,0,IF(STMode=1,MIN(STShare*AD12,AD69+IF(STGBOnly=1,AD59,AD58)),STShare*AD58))</f>
        <v>109.32994</v>
      </c>
      <c r="AE70" s="33" t="n">
        <f aca="false">IF(AE$5&lt;NewDealIdx,0,IF(STMode=1,MIN(STShare*AE12,AE69+IF(STGBOnly=1,AE59,AE58)),STShare*AE58))</f>
        <v>120.468815</v>
      </c>
      <c r="AF70" s="33" t="n">
        <f aca="false">IF(AF$5&lt;NewDealIdx,0,IF(STMode=1,MIN(STShare*AF12,AF69+IF(STGBOnly=1,AF59,AF58)),STShare*AF58))</f>
        <v>120.468815</v>
      </c>
      <c r="AG70" s="33" t="n">
        <f aca="false">IF(AG$5&lt;NewDealIdx,0,IF(STMode=1,MIN(STShare*AG12,AG69+IF(STGBOnly=1,AG59,AG58)),STShare*AG58))</f>
        <v>120.468815</v>
      </c>
      <c r="AI70" s="33" t="n">
        <f aca="false">AVERAGEIF($F$7:$AG$7,AI$7,$F70:$AG70)</f>
        <v>0</v>
      </c>
      <c r="AJ70" s="33" t="n">
        <f aca="false">AVERAGEIF($F$7:$AG$7,AJ$7,$F70:$AG70)</f>
        <v>0</v>
      </c>
      <c r="AK70" s="33" t="n">
        <f aca="false">AVERAGEIF($F$7:$AG$7,AK$7,$F70:$AG70)</f>
        <v>0</v>
      </c>
      <c r="AL70" s="33" t="n">
        <f aca="false">AVERAGEIF($F$7:$AG$7,AL$7,$F70:$AG70)</f>
        <v>23.748088125</v>
      </c>
      <c r="AM70" s="33" t="n">
        <f aca="false">AVERAGEIF($F$7:$AG$7,AM$7,$F70:$AG70)</f>
        <v>58.214180625</v>
      </c>
      <c r="AN70" s="33" t="n">
        <f aca="false">AVERAGEIF($F$7:$AG$7,AN$7,$F70:$AG70)</f>
        <v>86.508280625</v>
      </c>
      <c r="AO70" s="33" t="n">
        <f aca="false">AVERAGEIF($F$7:$AG$7,AO$7,$F70:$AG70)</f>
        <v>117.68409625</v>
      </c>
    </row>
    <row r="71" customFormat="false" ht="15" hidden="false" customHeight="false" outlineLevel="0" collapsed="false">
      <c r="A71" s="107" t="s">
        <v>2094</v>
      </c>
      <c r="B71" s="22" t="s">
        <v>619</v>
      </c>
      <c r="C71" s="22" t="s">
        <v>540</v>
      </c>
      <c r="D71" s="22"/>
      <c r="F71" s="128" t="n">
        <f aca="false">IF(F69+IF(STGBOnly=1,F59,F58)&gt;0,F70/(F69+IF(STGBOnly=1,F59,F58)),0)</f>
        <v>0</v>
      </c>
      <c r="G71" s="128" t="n">
        <f aca="false">IF(G69+IF(STGBOnly=1,G59,G58)&gt;0,G70/(G69+IF(STGBOnly=1,G59,G58)),0)</f>
        <v>0</v>
      </c>
      <c r="H71" s="128" t="n">
        <f aca="false">IF(H69+IF(STGBOnly=1,H59,H58)&gt;0,H70/(H69+IF(STGBOnly=1,H59,H58)),0)</f>
        <v>0</v>
      </c>
      <c r="I71" s="128" t="n">
        <f aca="false">IF(I69+IF(STGBOnly=1,I59,I58)&gt;0,I70/(I69+IF(STGBOnly=1,I59,I58)),0)</f>
        <v>0</v>
      </c>
      <c r="J71" s="128" t="n">
        <f aca="false">IF(J69+IF(STGBOnly=1,J59,J58)&gt;0,J70/(J69+IF(STGBOnly=1,J59,J58)),0)</f>
        <v>0</v>
      </c>
      <c r="K71" s="128" t="n">
        <f aca="false">IF(K69+IF(STGBOnly=1,K59,K58)&gt;0,K70/(K69+IF(STGBOnly=1,K59,K58)),0)</f>
        <v>0</v>
      </c>
      <c r="L71" s="128" t="n">
        <f aca="false">IF(L69+IF(STGBOnly=1,L59,L58)&gt;0,L70/(L69+IF(STGBOnly=1,L59,L58)),0)</f>
        <v>0</v>
      </c>
      <c r="M71" s="128" t="n">
        <f aca="false">IF(M69+IF(STGBOnly=1,M59,M58)&gt;0,M70/(M69+IF(STGBOnly=1,M59,M58)),0)</f>
        <v>0</v>
      </c>
      <c r="N71" s="128" t="n">
        <f aca="false">IF(N69+IF(STGBOnly=1,N59,N58)&gt;0,N70/(N69+IF(STGBOnly=1,N59,N58)),0)</f>
        <v>0</v>
      </c>
      <c r="O71" s="128" t="n">
        <f aca="false">IF(O69+IF(STGBOnly=1,O59,O58)&gt;0,O70/(O69+IF(STGBOnly=1,O59,O58)),0)</f>
        <v>0</v>
      </c>
      <c r="P71" s="27" t="n">
        <f aca="false">IF(P69+IF(STGBOnly=1,P59,P58)&gt;0,P70/(P69+IF(STGBOnly=1,P59,P58)),0)</f>
        <v>0</v>
      </c>
      <c r="Q71" s="27" t="n">
        <f aca="false">IF(Q69+IF(STGBOnly=1,Q59,Q58)&gt;0,Q70/(Q69+IF(STGBOnly=1,Q59,Q58)),0)</f>
        <v>0</v>
      </c>
      <c r="R71" s="27" t="n">
        <f aca="false">IF(R69+IF(STGBOnly=1,R59,R58)&gt;0,R70/(R69+IF(STGBOnly=1,R59,R58)),0)</f>
        <v>0.113105066821738</v>
      </c>
      <c r="S71" s="27" t="n">
        <f aca="false">IF(S69+IF(STGBOnly=1,S59,S58)&gt;0,S70/(S69+IF(STGBOnly=1,S59,S58)),0)</f>
        <v>0.0981520256963718</v>
      </c>
      <c r="T71" s="27" t="n">
        <f aca="false">IF(T69+IF(STGBOnly=1,T59,T58)&gt;0,T70/(T69+IF(STGBOnly=1,T59,T58)),0)</f>
        <v>0.0950972440725708</v>
      </c>
      <c r="U71" s="27" t="n">
        <f aca="false">IF(U69+IF(STGBOnly=1,U59,U58)&gt;0,U70/(U69+IF(STGBOnly=1,U59,U58)),0)</f>
        <v>0.100801566471492</v>
      </c>
      <c r="V71" s="27" t="n">
        <f aca="false">IF(V69+IF(STGBOnly=1,V59,V58)&gt;0,V70/(V69+IF(STGBOnly=1,V59,V58)),0)</f>
        <v>0.113139582582082</v>
      </c>
      <c r="W71" s="27" t="n">
        <f aca="false">IF(W69+IF(STGBOnly=1,W59,W58)&gt;0,W70/(W69+IF(STGBOnly=1,W59,W58)),0)</f>
        <v>0.12468883141196</v>
      </c>
      <c r="X71" s="27" t="n">
        <f aca="false">IF(X69+IF(STGBOnly=1,X59,X58)&gt;0,X70/(X69+IF(STGBOnly=1,X59,X58)),0)</f>
        <v>0.138211155951011</v>
      </c>
      <c r="Y71" s="27" t="n">
        <f aca="false">IF(Y69+IF(STGBOnly=1,Y59,Y58)&gt;0,Y70/(Y69+IF(STGBOnly=1,Y59,Y58)),0)</f>
        <v>0.147388178288119</v>
      </c>
      <c r="Z71" s="27" t="n">
        <f aca="false">IF(Z69+IF(STGBOnly=1,Z59,Z58)&gt;0,Z70/(Z69+IF(STGBOnly=1,Z59,Z58)),0)</f>
        <v>0.156907101375502</v>
      </c>
      <c r="AA71" s="27" t="n">
        <f aca="false">IF(AA69+IF(STGBOnly=1,AA59,AA58)&gt;0,AA70/(AA69+IF(STGBOnly=1,AA59,AA58)),0)</f>
        <v>0.164869765324314</v>
      </c>
      <c r="AB71" s="27" t="n">
        <f aca="false">IF(AB69+IF(STGBOnly=1,AB59,AB58)&gt;0,AB70/(AB69+IF(STGBOnly=1,AB59,AB58)),0)</f>
        <v>0.180386540164847</v>
      </c>
      <c r="AC71" s="27" t="n">
        <f aca="false">IF(AC69+IF(STGBOnly=1,AC59,AC58)&gt;0,AC70/(AC69+IF(STGBOnly=1,AC59,AC58)),0)</f>
        <v>0.195903315005379</v>
      </c>
      <c r="AD71" s="27" t="n">
        <f aca="false">IF(AD69+IF(STGBOnly=1,AD59,AD58)&gt;0,AD70/(AD69+IF(STGBOnly=1,AD59,AD58)),0)</f>
        <v>0.218126747839421</v>
      </c>
      <c r="AE71" s="27" t="n">
        <f aca="false">IF(AE69+IF(STGBOnly=1,AE59,AE58)&gt;0,AE70/(AE69+IF(STGBOnly=1,AE59,AE58)),0)</f>
        <v>0.240350180673463</v>
      </c>
      <c r="AF71" s="27" t="n">
        <f aca="false">IF(AF69+IF(STGBOnly=1,AF59,AF58)&gt;0,AF70/(AF69+IF(STGBOnly=1,AF59,AF58)),0)</f>
        <v>0.240350180673463</v>
      </c>
      <c r="AG71" s="27" t="n">
        <f aca="false">IF(AG69+IF(STGBOnly=1,AG59,AG58)&gt;0,AG70/(AG69+IF(STGBOnly=1,AG59,AG58)),0)</f>
        <v>0.241555010955176</v>
      </c>
      <c r="AI71" s="27" t="n">
        <f aca="false">AVERAGEIF($F$7:$AG$7,AI$7,$F71:$AG71)</f>
        <v>0</v>
      </c>
      <c r="AJ71" s="27" t="n">
        <f aca="false">AVERAGEIF($F$7:$AG$7,AJ$7,$F71:$AG71)</f>
        <v>0</v>
      </c>
      <c r="AK71" s="27" t="n">
        <f aca="false">AVERAGEIF($F$7:$AG$7,AK$7,$F71:$AG71)</f>
        <v>0</v>
      </c>
      <c r="AL71" s="27" t="n">
        <f aca="false">AVERAGEIF($F$7:$AG$7,AL$7,$F71:$AG71)</f>
        <v>0.101788975765543</v>
      </c>
      <c r="AM71" s="27" t="n">
        <f aca="false">AVERAGEIF($F$7:$AG$7,AM$7,$F71:$AG71)</f>
        <v>0.130856937058293</v>
      </c>
      <c r="AN71" s="27" t="n">
        <f aca="false">AVERAGEIF($F$7:$AG$7,AN$7,$F71:$AG71)</f>
        <v>0.17451668046751</v>
      </c>
      <c r="AO71" s="27" t="n">
        <f aca="false">AVERAGEIF($F$7:$AG$7,AO$7,$F71:$AG71)</f>
        <v>0.235095530035381</v>
      </c>
    </row>
    <row r="72" customFormat="false" ht="15" hidden="false" customHeight="false" outlineLevel="0" collapsed="false">
      <c r="A72" s="107" t="s">
        <v>2095</v>
      </c>
      <c r="B72" s="22" t="s">
        <v>613</v>
      </c>
      <c r="C72" s="22" t="s">
        <v>540</v>
      </c>
      <c r="D72" s="22"/>
      <c r="F72" s="124" t="n">
        <f aca="false">SUMPRODUCT($F$63:F63,$F$66:F66)/4</f>
        <v>0</v>
      </c>
      <c r="G72" s="124" t="n">
        <f aca="false">SUMPRODUCT($F$63:G63,$F$66:G66)/4</f>
        <v>0</v>
      </c>
      <c r="H72" s="124" t="n">
        <f aca="false">SUMPRODUCT($F$63:H63,$F$66:H66)/4</f>
        <v>0</v>
      </c>
      <c r="I72" s="124" t="n">
        <f aca="false">SUMPRODUCT($F$63:I63,$F$66:I66)/4</f>
        <v>0</v>
      </c>
      <c r="J72" s="124" t="n">
        <f aca="false">SUMPRODUCT($F$63:J63,$F$66:J66)/4</f>
        <v>0</v>
      </c>
      <c r="K72" s="124" t="n">
        <f aca="false">SUMPRODUCT($F$63:K63,$F$66:K66)/4</f>
        <v>0</v>
      </c>
      <c r="L72" s="124" t="n">
        <f aca="false">SUMPRODUCT($F$63:L63,$F$66:L66)/4</f>
        <v>0</v>
      </c>
      <c r="M72" s="124" t="n">
        <f aca="false">SUMPRODUCT($F$63:M63,$F$66:M66)/4</f>
        <v>0</v>
      </c>
      <c r="N72" s="124" t="n">
        <f aca="false">SUMPRODUCT($F$63:N63,$F$66:N66)/4</f>
        <v>0</v>
      </c>
      <c r="O72" s="124" t="n">
        <f aca="false">SUMPRODUCT($F$63:O63,$F$66:O66)/4</f>
        <v>0</v>
      </c>
      <c r="P72" s="125" t="n">
        <f aca="false">SUMPRODUCT($F$63:P63,$F$66:P66)/4</f>
        <v>0</v>
      </c>
      <c r="Q72" s="125" t="n">
        <f aca="false">SUMPRODUCT($F$63:Q63,$F$66:Q66)/4</f>
        <v>0</v>
      </c>
      <c r="R72" s="125" t="n">
        <f aca="false">SUMPRODUCT($F$63:R63,$F$66:R66)/4</f>
        <v>133.912</v>
      </c>
      <c r="S72" s="125" t="n">
        <f aca="false">SUMPRODUCT($F$63:S63,$F$66:S66)/4</f>
        <v>468.5103125</v>
      </c>
      <c r="T72" s="125" t="n">
        <f aca="false">SUMPRODUCT($F$63:T63,$F$66:T66)/4</f>
        <v>837.9543125</v>
      </c>
      <c r="U72" s="125" t="n">
        <f aca="false">SUMPRODUCT($F$63:U63,$F$66:U66)/4</f>
        <v>1147.54640625</v>
      </c>
      <c r="V72" s="125" t="n">
        <f aca="false">SUMPRODUCT($F$63:V63,$F$66:V66)/4</f>
        <v>1836.53359375</v>
      </c>
      <c r="W72" s="125" t="n">
        <f aca="false">SUMPRODUCT($F$63:W63,$F$66:W66)/4</f>
        <v>2589.92175</v>
      </c>
      <c r="X72" s="125" t="n">
        <f aca="false">SUMPRODUCT($F$63:X63,$F$66:X66)/4</f>
        <v>3171.856125</v>
      </c>
      <c r="Y72" s="125" t="n">
        <f aca="false">SUMPRODUCT($F$63:Y63,$F$66:Y66)/4</f>
        <v>3566.056125</v>
      </c>
      <c r="Z72" s="125" t="n">
        <f aca="false">SUMPRODUCT($F$63:Z63,$F$66:Z66)/4</f>
        <v>4343.5404497889</v>
      </c>
      <c r="AA72" s="125" t="n">
        <f aca="false">SUMPRODUCT($F$63:AA63,$F$66:AA66)/4</f>
        <v>5087.42695710693</v>
      </c>
      <c r="AB72" s="125" t="n">
        <f aca="false">SUMPRODUCT($F$63:AB63,$F$66:AB66)/4</f>
        <v>5858.10305938275</v>
      </c>
      <c r="AC72" s="125" t="n">
        <f aca="false">SUMPRODUCT($F$63:AC63,$F$66:AC66)/4</f>
        <v>6622.93290313275</v>
      </c>
      <c r="AD72" s="125" t="n">
        <f aca="false">SUMPRODUCT($F$63:AD63,$F$66:AD66)/4</f>
        <v>7680.1503829889</v>
      </c>
      <c r="AE72" s="125" t="n">
        <f aca="false">SUMPRODUCT($F$63:AE63,$F$66:AE66)/4</f>
        <v>8729.34793503491</v>
      </c>
      <c r="AF72" s="125" t="n">
        <f aca="false">SUMPRODUCT($F$63:AF63,$F$66:AF66)/4</f>
        <v>8729.34793503491</v>
      </c>
      <c r="AG72" s="125" t="n">
        <f aca="false">SUMPRODUCT($F$63:AG63,$F$66:AG66)/4</f>
        <v>8729.34793503491</v>
      </c>
      <c r="AI72" s="125" t="n">
        <f aca="false">SUMIF($F$7:$AG$7,AI$7,$F72:$AG72)</f>
        <v>0</v>
      </c>
      <c r="AJ72" s="125" t="n">
        <f aca="false">SUMIF($F$7:$AG$7,AJ$7,$F72:$AG72)</f>
        <v>0</v>
      </c>
      <c r="AK72" s="125" t="n">
        <f aca="false">SUMIF($F$7:$AG$7,AK$7,$F72:$AG72)</f>
        <v>0</v>
      </c>
      <c r="AL72" s="125" t="n">
        <f aca="false">SUMIF($F$7:$AG$7,AL$7,$F72:$AG72)</f>
        <v>2587.92303125</v>
      </c>
      <c r="AM72" s="125" t="n">
        <f aca="false">SUMIF($F$7:$AG$7,AM$7,$F72:$AG72)</f>
        <v>11164.36759375</v>
      </c>
      <c r="AN72" s="125" t="n">
        <f aca="false">SUMIF($F$7:$AG$7,AN$7,$F72:$AG72)</f>
        <v>21912.0033694113</v>
      </c>
      <c r="AO72" s="125" t="n">
        <f aca="false">SUMIF($F$7:$AG$7,AO$7,$F72:$AG72)</f>
        <v>33868.1941880936</v>
      </c>
    </row>
    <row r="74" customFormat="false" ht="15" hidden="false" customHeight="false" outlineLevel="0" collapsed="false">
      <c r="A74" s="58" t="s">
        <v>2096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</row>
    <row r="75" customFormat="false" ht="15" hidden="false" customHeight="false" outlineLevel="0" collapsed="false">
      <c r="A75" s="107" t="s">
        <v>2097</v>
      </c>
      <c r="B75" s="22" t="s">
        <v>613</v>
      </c>
      <c r="C75" s="22" t="s">
        <v>540</v>
      </c>
      <c r="D75" s="22"/>
      <c r="F75" s="124" t="n">
        <f aca="false">SUMPRODUCT(($F$5:$AG$5&gt;=LastHist+1)*($F$5:$AG$5&lt;=LastHist+8)*$F$26:$AG$26)+SUMPRODUCT(($F$5:$AG$5&gt;=LastHist+1)*($F$5:$AG$5&lt;=LastHist+8)*$F$27:$AG$27)+SUMPRODUCT(($F$5:$AG$5&gt;=LastHist+1)*($F$5:$AG$5&lt;=LastHist+8)*($F$5:$AG$5&lt;NewDealIdx)*($F$50:$AG$50+$F$51:$AG$51))+SUMPRODUCT(($F$5:$AG$5&gt;=NewDealIdx)*($F$5:$AG$5&lt;=LastHist+8)*$F$57:$AG$57)</f>
        <v>9873.65242167201</v>
      </c>
    </row>
    <row r="76" customFormat="false" ht="15" hidden="false" customHeight="false" outlineLevel="0" collapsed="false">
      <c r="A76" s="107" t="s">
        <v>2098</v>
      </c>
      <c r="B76" s="22" t="s">
        <v>613</v>
      </c>
      <c r="C76" s="22" t="s">
        <v>604</v>
      </c>
      <c r="D76" s="22"/>
      <c r="F76" s="124" t="n">
        <f aca="false">MAX(0,RPO_Tot*RPO24Pct-RPO_Cov)</f>
        <v>3622.74757832799</v>
      </c>
    </row>
    <row r="77" customFormat="false" ht="15" hidden="false" customHeight="false" outlineLevel="0" collapsed="false">
      <c r="A77" s="107" t="s">
        <v>2099</v>
      </c>
      <c r="B77" s="22" t="s">
        <v>619</v>
      </c>
      <c r="C77" s="22" t="s">
        <v>540</v>
      </c>
      <c r="D77" s="22"/>
      <c r="F77" s="128" t="n">
        <f aca="false">IFERROR(MIN(1,RPO_New/SUMPRODUCT(($F$5:$AG$5&gt;=LastHist+1)*($F$5:$AG$5&lt;=LastHist+8)*$F$72:$AG$72)),1)</f>
        <v>0.516474502037109</v>
      </c>
    </row>
    <row r="78" customFormat="false" ht="15" hidden="false" customHeight="false" outlineLevel="0" collapsed="false">
      <c r="A78" s="107" t="s">
        <v>2100</v>
      </c>
      <c r="B78" s="22" t="s">
        <v>664</v>
      </c>
      <c r="C78" s="22" t="s">
        <v>540</v>
      </c>
      <c r="D78" s="22"/>
      <c r="F78" s="111" t="n">
        <f aca="false">RPO_Sold*INDEX(ND_MW,1,LastHist+8)</f>
        <v>318.537112475809</v>
      </c>
    </row>
    <row r="79" customFormat="false" ht="15" hidden="false" customHeight="false" outlineLevel="0" collapsed="false">
      <c r="A79" s="107" t="s">
        <v>2101</v>
      </c>
      <c r="B79" s="22" t="s">
        <v>664</v>
      </c>
      <c r="C79" s="22" t="s">
        <v>540</v>
      </c>
      <c r="D79" s="22"/>
      <c r="F79" s="111" t="n">
        <f aca="false">E79+F63</f>
        <v>0</v>
      </c>
      <c r="G79" s="111" t="n">
        <f aca="false">F79+G63</f>
        <v>0</v>
      </c>
      <c r="H79" s="111" t="n">
        <f aca="false">G79+H63</f>
        <v>0</v>
      </c>
      <c r="I79" s="111" t="n">
        <f aca="false">H79+I63</f>
        <v>0</v>
      </c>
      <c r="J79" s="111" t="n">
        <f aca="false">I79+J63</f>
        <v>0</v>
      </c>
      <c r="K79" s="111" t="n">
        <f aca="false">J79+K63</f>
        <v>0</v>
      </c>
      <c r="L79" s="111" t="n">
        <f aca="false">K79+L63</f>
        <v>0</v>
      </c>
      <c r="M79" s="111" t="n">
        <f aca="false">L79+M63</f>
        <v>0</v>
      </c>
      <c r="N79" s="111" t="n">
        <f aca="false">M79+N63</f>
        <v>0</v>
      </c>
      <c r="O79" s="111" t="n">
        <f aca="false">N79+O63</f>
        <v>0</v>
      </c>
      <c r="P79" s="33" t="n">
        <f aca="false">O79+P63</f>
        <v>0</v>
      </c>
      <c r="Q79" s="33" t="n">
        <f aca="false">P79+Q63</f>
        <v>0</v>
      </c>
      <c r="R79" s="33" t="n">
        <f aca="false">Q79+R63</f>
        <v>33.478</v>
      </c>
      <c r="S79" s="33" t="n">
        <f aca="false">R79+S63</f>
        <v>116.475625</v>
      </c>
      <c r="T79" s="33" t="n">
        <f aca="false">S79+T63</f>
        <v>208.836625</v>
      </c>
      <c r="U79" s="33" t="n">
        <f aca="false">T79+U63</f>
        <v>285.731979166667</v>
      </c>
      <c r="V79" s="33" t="n">
        <f aca="false">U79+V63</f>
        <v>445.613020833333</v>
      </c>
      <c r="W79" s="33" t="n">
        <f aca="false">V79+W63</f>
        <v>616.752833333334</v>
      </c>
      <c r="X79" s="33" t="n">
        <f aca="false">W79+X63</f>
        <v>746.071583333334</v>
      </c>
      <c r="Y79" s="33" t="n">
        <f aca="false">X79+Y63</f>
        <v>833.671583333334</v>
      </c>
      <c r="Z79" s="33" t="n">
        <f aca="false">Y79+Z63</f>
        <v>1010.49520833333</v>
      </c>
      <c r="AA79" s="33" t="n">
        <f aca="false">Z79+AA63</f>
        <v>1181.06883333333</v>
      </c>
      <c r="AB79" s="33" t="n">
        <f aca="false">AA79+AB63</f>
        <v>1356.28758333333</v>
      </c>
      <c r="AC79" s="33" t="n">
        <f aca="false">AB79+AC63</f>
        <v>1531.50633333333</v>
      </c>
      <c r="AD79" s="33" t="n">
        <f aca="false">AC79+AD63</f>
        <v>1775.56102083333</v>
      </c>
      <c r="AE79" s="33" t="n">
        <f aca="false">AD79+AE63</f>
        <v>2019.61570833333</v>
      </c>
      <c r="AF79" s="33" t="n">
        <f aca="false">AE79+AF63</f>
        <v>2019.61570833333</v>
      </c>
      <c r="AG79" s="33" t="n">
        <f aca="false">AF79+AG63</f>
        <v>2019.61570833333</v>
      </c>
      <c r="AI79" s="33" t="n">
        <f aca="false">INDEX($F79:$AG79,1,MATCH(AI$7,$F$7:$AG$7,1))</f>
        <v>0</v>
      </c>
      <c r="AJ79" s="33" t="n">
        <f aca="false">INDEX($F79:$AG79,1,MATCH(AJ$7,$F$7:$AG$7,1))</f>
        <v>0</v>
      </c>
      <c r="AK79" s="33" t="n">
        <f aca="false">INDEX($F79:$AG79,1,MATCH(AK$7,$F$7:$AG$7,1))</f>
        <v>0</v>
      </c>
      <c r="AL79" s="33" t="n">
        <f aca="false">INDEX($F79:$AG79,1,MATCH(AL$7,$F$7:$AG$7,1))</f>
        <v>285.731979166667</v>
      </c>
      <c r="AM79" s="33" t="n">
        <f aca="false">INDEX($F79:$AG79,1,MATCH(AM$7,$F$7:$AG$7,1))</f>
        <v>833.671583333334</v>
      </c>
      <c r="AN79" s="33" t="n">
        <f aca="false">INDEX($F79:$AG79,1,MATCH(AN$7,$F$7:$AG$7,1))</f>
        <v>1531.50633333333</v>
      </c>
      <c r="AO79" s="33" t="n">
        <f aca="false">INDEX($F79:$AG79,1,MATCH(AO$7,$F$7:$AG$7,1))</f>
        <v>2019.61570833333</v>
      </c>
    </row>
    <row r="80" customFormat="false" ht="15" hidden="false" customHeight="false" outlineLevel="0" collapsed="false">
      <c r="A80" s="107" t="s">
        <v>2102</v>
      </c>
      <c r="B80" s="22" t="s">
        <v>664</v>
      </c>
      <c r="C80" s="22" t="s">
        <v>540</v>
      </c>
      <c r="D80" s="22"/>
      <c r="F80" s="116" t="n">
        <f aca="false">MIN(F63,MAX(0,RPO_SoldMW-E79))</f>
        <v>0</v>
      </c>
      <c r="G80" s="116" t="n">
        <f aca="false">MIN(G63,MAX(0,RPO_SoldMW-F79))</f>
        <v>0</v>
      </c>
      <c r="H80" s="116" t="n">
        <f aca="false">MIN(H63,MAX(0,RPO_SoldMW-G79))</f>
        <v>0</v>
      </c>
      <c r="I80" s="116" t="n">
        <f aca="false">MIN(I63,MAX(0,RPO_SoldMW-H79))</f>
        <v>0</v>
      </c>
      <c r="J80" s="116" t="n">
        <f aca="false">MIN(J63,MAX(0,RPO_SoldMW-I79))</f>
        <v>0</v>
      </c>
      <c r="K80" s="116" t="n">
        <f aca="false">MIN(K63,MAX(0,RPO_SoldMW-J79))</f>
        <v>0</v>
      </c>
      <c r="L80" s="116" t="n">
        <f aca="false">MIN(L63,MAX(0,RPO_SoldMW-K79))</f>
        <v>0</v>
      </c>
      <c r="M80" s="116" t="n">
        <f aca="false">MIN(M63,MAX(0,RPO_SoldMW-L79))</f>
        <v>0</v>
      </c>
      <c r="N80" s="116" t="n">
        <f aca="false">MIN(N63,MAX(0,RPO_SoldMW-M79))</f>
        <v>0</v>
      </c>
      <c r="O80" s="116" t="n">
        <f aca="false">MIN(O63,MAX(0,RPO_SoldMW-N79))</f>
        <v>0</v>
      </c>
      <c r="P80" s="36" t="n">
        <f aca="false">MIN(P63,MAX(0,RPO_SoldMW-O79))</f>
        <v>0</v>
      </c>
      <c r="Q80" s="36" t="n">
        <f aca="false">MIN(Q63,MAX(0,RPO_SoldMW-P79))</f>
        <v>0</v>
      </c>
      <c r="R80" s="36" t="n">
        <f aca="false">MIN(R63,MAX(0,RPO_SoldMW-Q79))</f>
        <v>33.478</v>
      </c>
      <c r="S80" s="36" t="n">
        <f aca="false">MIN(S63,MAX(0,RPO_SoldMW-R79))</f>
        <v>82.997625</v>
      </c>
      <c r="T80" s="36" t="n">
        <f aca="false">MIN(T63,MAX(0,RPO_SoldMW-S79))</f>
        <v>92.361</v>
      </c>
      <c r="U80" s="36" t="n">
        <f aca="false">MIN(U63,MAX(0,RPO_SoldMW-T79))</f>
        <v>76.8953541666667</v>
      </c>
      <c r="V80" s="36" t="n">
        <f aca="false">MIN(V63,MAX(0,RPO_SoldMW-U79))</f>
        <v>32.8051333091426</v>
      </c>
      <c r="W80" s="36" t="n">
        <f aca="false">MIN(W63,MAX(0,RPO_SoldMW-V79))</f>
        <v>0</v>
      </c>
      <c r="X80" s="36" t="n">
        <f aca="false">MIN(X63,MAX(0,RPO_SoldMW-W79))</f>
        <v>0</v>
      </c>
      <c r="Y80" s="36" t="n">
        <f aca="false">MIN(Y63,MAX(0,RPO_SoldMW-X79))</f>
        <v>0</v>
      </c>
      <c r="Z80" s="36" t="n">
        <f aca="false">MIN(Z63,MAX(0,RPO_SoldMW-Y79))</f>
        <v>0</v>
      </c>
      <c r="AA80" s="36" t="n">
        <f aca="false">MIN(AA63,MAX(0,RPO_SoldMW-Z79))</f>
        <v>0</v>
      </c>
      <c r="AB80" s="36" t="n">
        <f aca="false">MIN(AB63,MAX(0,RPO_SoldMW-AA79))</f>
        <v>0</v>
      </c>
      <c r="AC80" s="36" t="n">
        <f aca="false">MIN(AC63,MAX(0,RPO_SoldMW-AB79))</f>
        <v>0</v>
      </c>
      <c r="AD80" s="36" t="n">
        <f aca="false">MIN(AD63,MAX(0,RPO_SoldMW-AC79))</f>
        <v>0</v>
      </c>
      <c r="AE80" s="36" t="n">
        <f aca="false">MIN(AE63,MAX(0,RPO_SoldMW-AD79))</f>
        <v>0</v>
      </c>
      <c r="AF80" s="36" t="n">
        <f aca="false">MIN(AF63,MAX(0,RPO_SoldMW-AE79))</f>
        <v>0</v>
      </c>
      <c r="AG80" s="36" t="n">
        <f aca="false">MIN(AG63,MAX(0,RPO_SoldMW-AF79))</f>
        <v>0</v>
      </c>
      <c r="AI80" s="36" t="n">
        <f aca="false">SUMIF($F$7:$AG$7,AI$7,$F80:$AG80)</f>
        <v>0</v>
      </c>
      <c r="AJ80" s="36" t="n">
        <f aca="false">SUMIF($F$7:$AG$7,AJ$7,$F80:$AG80)</f>
        <v>0</v>
      </c>
      <c r="AK80" s="36" t="n">
        <f aca="false">SUMIF($F$7:$AG$7,AK$7,$F80:$AG80)</f>
        <v>0</v>
      </c>
      <c r="AL80" s="36" t="n">
        <f aca="false">SUMIF($F$7:$AG$7,AL$7,$F80:$AG80)</f>
        <v>285.731979166667</v>
      </c>
      <c r="AM80" s="36" t="n">
        <f aca="false">SUMIF($F$7:$AG$7,AM$7,$F80:$AG80)</f>
        <v>32.8051333091426</v>
      </c>
      <c r="AN80" s="36" t="n">
        <f aca="false">SUMIF($F$7:$AG$7,AN$7,$F80:$AG80)</f>
        <v>0</v>
      </c>
      <c r="AO80" s="36" t="n">
        <f aca="false">SUMIF($F$7:$AG$7,AO$7,$F80:$AG80)</f>
        <v>0</v>
      </c>
    </row>
    <row r="81" customFormat="false" ht="15" hidden="false" customHeight="false" outlineLevel="0" collapsed="false">
      <c r="A81" s="107" t="s">
        <v>2103</v>
      </c>
      <c r="B81" s="22" t="s">
        <v>737</v>
      </c>
      <c r="C81" s="22" t="s">
        <v>540</v>
      </c>
      <c r="D81" s="22"/>
      <c r="F81" s="127" t="n">
        <f aca="false">IF(F63&gt;0,(F80+(F63-F80)*MYRateU/MYRate)/F63,0)</f>
        <v>0</v>
      </c>
      <c r="G81" s="127" t="n">
        <f aca="false">IF(G63&gt;0,(G80+(G63-G80)*MYRateU/MYRate)/G63,0)</f>
        <v>0</v>
      </c>
      <c r="H81" s="127" t="n">
        <f aca="false">IF(H63&gt;0,(H80+(H63-H80)*MYRateU/MYRate)/H63,0)</f>
        <v>0</v>
      </c>
      <c r="I81" s="127" t="n">
        <f aca="false">IF(I63&gt;0,(I80+(I63-I80)*MYRateU/MYRate)/I63,0)</f>
        <v>0</v>
      </c>
      <c r="J81" s="127" t="n">
        <f aca="false">IF(J63&gt;0,(J80+(J63-J80)*MYRateU/MYRate)/J63,0)</f>
        <v>0</v>
      </c>
      <c r="K81" s="127" t="n">
        <f aca="false">IF(K63&gt;0,(K80+(K63-K80)*MYRateU/MYRate)/K63,0)</f>
        <v>0</v>
      </c>
      <c r="L81" s="127" t="n">
        <f aca="false">IF(L63&gt;0,(L80+(L63-L80)*MYRateU/MYRate)/L63,0)</f>
        <v>0</v>
      </c>
      <c r="M81" s="127" t="n">
        <f aca="false">IF(M63&gt;0,(M80+(M63-M80)*MYRateU/MYRate)/M63,0)</f>
        <v>0</v>
      </c>
      <c r="N81" s="127" t="n">
        <f aca="false">IF(N63&gt;0,(N80+(N63-N80)*MYRateU/MYRate)/N63,0)</f>
        <v>0</v>
      </c>
      <c r="O81" s="127" t="n">
        <f aca="false">IF(O63&gt;0,(O80+(O63-O80)*MYRateU/MYRate)/O63,0)</f>
        <v>0</v>
      </c>
      <c r="P81" s="55" t="n">
        <f aca="false">IF(P63&gt;0,(P80+(P63-P80)*MYRateU/MYRate)/P63,0)</f>
        <v>0</v>
      </c>
      <c r="Q81" s="55" t="n">
        <f aca="false">IF(Q63&gt;0,(Q80+(Q63-Q80)*MYRateU/MYRate)/Q63,0)</f>
        <v>0</v>
      </c>
      <c r="R81" s="55" t="n">
        <f aca="false">IF(R63&gt;0,(R80+(R63-R80)*MYRateU/MYRate)/R63,0)</f>
        <v>1</v>
      </c>
      <c r="S81" s="55" t="n">
        <f aca="false">IF(S63&gt;0,(S80+(S63-S80)*MYRateU/MYRate)/S63,0)</f>
        <v>1</v>
      </c>
      <c r="T81" s="55" t="n">
        <f aca="false">IF(T63&gt;0,(T80+(T63-T80)*MYRateU/MYRate)/T63,0)</f>
        <v>1</v>
      </c>
      <c r="U81" s="55" t="n">
        <f aca="false">IF(U63&gt;0,(U80+(U63-U80)*MYRateU/MYRate)/U63,0)</f>
        <v>1</v>
      </c>
      <c r="V81" s="55" t="n">
        <f aca="false">IF(V63&gt;0,(V80+(V63-V80)*MYRateU/MYRate)/V63,0)</f>
        <v>1</v>
      </c>
      <c r="W81" s="55" t="n">
        <f aca="false">IF(W63&gt;0,(W80+(W63-W80)*MYRateU/MYRate)/W63,0)</f>
        <v>1</v>
      </c>
      <c r="X81" s="55" t="n">
        <f aca="false">IF(X63&gt;0,(X80+(X63-X80)*MYRateU/MYRate)/X63,0)</f>
        <v>1</v>
      </c>
      <c r="Y81" s="55" t="n">
        <f aca="false">IF(Y63&gt;0,(Y80+(Y63-Y80)*MYRateU/MYRate)/Y63,0)</f>
        <v>1</v>
      </c>
      <c r="Z81" s="55" t="n">
        <f aca="false">IF(Z63&gt;0,(Z80+(Z63-Z80)*MYRateU/MYRate)/Z63,0)</f>
        <v>1</v>
      </c>
      <c r="AA81" s="55" t="n">
        <f aca="false">IF(AA63&gt;0,(AA80+(AA63-AA80)*MYRateU/MYRate)/AA63,0)</f>
        <v>1</v>
      </c>
      <c r="AB81" s="55" t="n">
        <f aca="false">IF(AB63&gt;0,(AB80+(AB63-AB80)*MYRateU/MYRate)/AB63,0)</f>
        <v>1</v>
      </c>
      <c r="AC81" s="55" t="n">
        <f aca="false">IF(AC63&gt;0,(AC80+(AC63-AC80)*MYRateU/MYRate)/AC63,0)</f>
        <v>1</v>
      </c>
      <c r="AD81" s="55" t="n">
        <f aca="false">IF(AD63&gt;0,(AD80+(AD63-AD80)*MYRateU/MYRate)/AD63,0)</f>
        <v>1</v>
      </c>
      <c r="AE81" s="55" t="n">
        <f aca="false">IF(AE63&gt;0,(AE80+(AE63-AE80)*MYRateU/MYRate)/AE63,0)</f>
        <v>1</v>
      </c>
      <c r="AF81" s="55" t="n">
        <f aca="false">IF(AF63&gt;0,(AF80+(AF63-AF80)*MYRateU/MYRate)/AF63,0)</f>
        <v>0</v>
      </c>
      <c r="AG81" s="55" t="n">
        <f aca="false">IF(AG63&gt;0,(AG80+(AG63-AG80)*MYRateU/MYRate)/AG63,0)</f>
        <v>0</v>
      </c>
      <c r="AI81" s="55" t="n">
        <f aca="false">AVERAGEIF($F$7:$AG$7,AI$7,$F81:$AG81)</f>
        <v>0</v>
      </c>
      <c r="AJ81" s="55" t="n">
        <f aca="false">AVERAGEIF($F$7:$AG$7,AJ$7,$F81:$AG81)</f>
        <v>0</v>
      </c>
      <c r="AK81" s="55" t="n">
        <f aca="false">AVERAGEIF($F$7:$AG$7,AK$7,$F81:$AG81)</f>
        <v>0</v>
      </c>
      <c r="AL81" s="55" t="n">
        <f aca="false">AVERAGEIF($F$7:$AG$7,AL$7,$F81:$AG81)</f>
        <v>1</v>
      </c>
      <c r="AM81" s="55" t="n">
        <f aca="false">AVERAGEIF($F$7:$AG$7,AM$7,$F81:$AG81)</f>
        <v>1</v>
      </c>
      <c r="AN81" s="55" t="n">
        <f aca="false">AVERAGEIF($F$7:$AG$7,AN$7,$F81:$AG81)</f>
        <v>1</v>
      </c>
      <c r="AO81" s="55" t="n">
        <f aca="false">AVERAGEIF($F$7:$AG$7,AO$7,$F81:$AG81)</f>
        <v>0.5</v>
      </c>
    </row>
    <row r="82" customFormat="false" ht="15" hidden="false" customHeight="false" outlineLevel="0" collapsed="false">
      <c r="A82" s="107" t="s">
        <v>2104</v>
      </c>
      <c r="B82" s="22" t="s">
        <v>613</v>
      </c>
      <c r="C82" s="22" t="s">
        <v>540</v>
      </c>
      <c r="D82" s="22" t="s">
        <v>2105</v>
      </c>
      <c r="F82" s="124" t="n">
        <f aca="false">IF(STMode=1,1-F71,1-STShare)*SUMPRODUCT($F$64:F64,$F$61:F61,$F$81:F81)/4+IF(STMode=1,IF(STGBOnly=1,1,1-F71),1-STShare)*SUMPRODUCT($F$65:F65,$F$62:F62,$F$81:F81)/4</f>
        <v>0</v>
      </c>
      <c r="G82" s="124" t="n">
        <f aca="false">IF(STMode=1,1-G71,1-STShare)*SUMPRODUCT($F$64:G64,$F$61:G61,$F$81:G81)/4+IF(STMode=1,IF(STGBOnly=1,1,1-G71),1-STShare)*SUMPRODUCT($F$65:G65,$F$62:G62,$F$81:G81)/4</f>
        <v>0</v>
      </c>
      <c r="H82" s="124" t="n">
        <f aca="false">IF(STMode=1,1-H71,1-STShare)*SUMPRODUCT($F$64:H64,$F$61:H61,$F$81:H81)/4+IF(STMode=1,IF(STGBOnly=1,1,1-H71),1-STShare)*SUMPRODUCT($F$65:H65,$F$62:H62,$F$81:H81)/4</f>
        <v>0</v>
      </c>
      <c r="I82" s="124" t="n">
        <f aca="false">IF(STMode=1,1-I71,1-STShare)*SUMPRODUCT($F$64:I64,$F$61:I61,$F$81:I81)/4+IF(STMode=1,IF(STGBOnly=1,1,1-I71),1-STShare)*SUMPRODUCT($F$65:I65,$F$62:I62,$F$81:I81)/4</f>
        <v>0</v>
      </c>
      <c r="J82" s="124" t="n">
        <f aca="false">IF(STMode=1,1-J71,1-STShare)*SUMPRODUCT($F$64:J64,$F$61:J61,$F$81:J81)/4+IF(STMode=1,IF(STGBOnly=1,1,1-J71),1-STShare)*SUMPRODUCT($F$65:J65,$F$62:J62,$F$81:J81)/4</f>
        <v>0</v>
      </c>
      <c r="K82" s="124" t="n">
        <f aca="false">IF(STMode=1,1-K71,1-STShare)*SUMPRODUCT($F$64:K64,$F$61:K61,$F$81:K81)/4+IF(STMode=1,IF(STGBOnly=1,1,1-K71),1-STShare)*SUMPRODUCT($F$65:K65,$F$62:K62,$F$81:K81)/4</f>
        <v>0</v>
      </c>
      <c r="L82" s="124" t="n">
        <f aca="false">IF(STMode=1,1-L71,1-STShare)*SUMPRODUCT($F$64:L64,$F$61:L61,$F$81:L81)/4+IF(STMode=1,IF(STGBOnly=1,1,1-L71),1-STShare)*SUMPRODUCT($F$65:L65,$F$62:L62,$F$81:L81)/4</f>
        <v>0</v>
      </c>
      <c r="M82" s="124" t="n">
        <f aca="false">IF(STMode=1,1-M71,1-STShare)*SUMPRODUCT($F$64:M64,$F$61:M61,$F$81:M81)/4+IF(STMode=1,IF(STGBOnly=1,1,1-M71),1-STShare)*SUMPRODUCT($F$65:M65,$F$62:M62,$F$81:M81)/4</f>
        <v>0</v>
      </c>
      <c r="N82" s="124" t="n">
        <f aca="false">IF(STMode=1,1-N71,1-STShare)*SUMPRODUCT($F$64:N64,$F$61:N61,$F$81:N81)/4+IF(STMode=1,IF(STGBOnly=1,1,1-N71),1-STShare)*SUMPRODUCT($F$65:N65,$F$62:N62,$F$81:N81)/4</f>
        <v>0</v>
      </c>
      <c r="O82" s="124" t="n">
        <f aca="false">IF(STMode=1,1-O71,1-STShare)*SUMPRODUCT($F$64:O64,$F$61:O61,$F$81:O81)/4+IF(STMode=1,IF(STGBOnly=1,1,1-O71),1-STShare)*SUMPRODUCT($F$65:O65,$F$62:O62,$F$81:O81)/4</f>
        <v>0</v>
      </c>
      <c r="P82" s="125" t="n">
        <f aca="false">IF(STMode=1,1-P71,1-STShare)*SUMPRODUCT($F$64:P64,$F$61:P61,$F$81:P81)/4+IF(STMode=1,IF(STGBOnly=1,1,1-P71),1-STShare)*SUMPRODUCT($F$65:P65,$F$62:P62,$F$81:P81)/4</f>
        <v>0</v>
      </c>
      <c r="Q82" s="125" t="n">
        <f aca="false">IF(STMode=1,1-Q71,1-STShare)*SUMPRODUCT($F$64:Q64,$F$61:Q61,$F$81:Q81)/4+IF(STMode=1,IF(STGBOnly=1,1,1-Q71),1-STShare)*SUMPRODUCT($F$65:Q65,$F$62:Q62,$F$81:Q81)/4</f>
        <v>0</v>
      </c>
      <c r="R82" s="125" t="n">
        <f aca="false">IF(STMode=1,1-R71,1-STShare)*SUMPRODUCT($F$64:R64,$F$61:R61,$F$81:R81)/4+IF(STMode=1,IF(STGBOnly=1,1,1-R71),1-STShare)*SUMPRODUCT($F$65:R65,$F$62:R62,$F$81:R81)/4</f>
        <v>118.765874291767</v>
      </c>
      <c r="S82" s="125" t="n">
        <f aca="false">IF(STMode=1,1-S71,1-STShare)*SUMPRODUCT($F$64:S64,$F$61:S61,$F$81:S81)/4+IF(STMode=1,IF(STGBOnly=1,1,1-S71),1-STShare)*SUMPRODUCT($F$65:S65,$F$62:S62,$F$81:S81)/4</f>
        <v>424.828734984087</v>
      </c>
      <c r="T82" s="125" t="n">
        <f aca="false">IF(STMode=1,1-T71,1-STShare)*SUMPRODUCT($F$64:T64,$F$61:T61,$F$81:T81)/4+IF(STMode=1,IF(STGBOnly=1,1,1-T71),1-STShare)*SUMPRODUCT($F$65:T65,$F$62:T62,$F$81:T81)/4</f>
        <v>760.499128758796</v>
      </c>
      <c r="U82" s="125" t="n">
        <f aca="false">IF(STMode=1,1-U71,1-STShare)*SUMPRODUCT($F$64:U64,$F$61:U61,$F$81:U81)/4+IF(STMode=1,IF(STGBOnly=1,1,1-U71),1-STShare)*SUMPRODUCT($F$65:U65,$F$62:U62,$F$81:U81)/4</f>
        <v>1036.06188976386</v>
      </c>
      <c r="V82" s="125" t="n">
        <f aca="false">IF(STMode=1,1-V71,1-STShare)*SUMPRODUCT($F$64:V64,$F$61:V61,$F$81:V81)/4+IF(STMode=1,IF(STGBOnly=1,1,1-V71),1-STShare)*SUMPRODUCT($F$65:V65,$F$62:V62,$F$81:V81)/4</f>
        <v>1683.81778518071</v>
      </c>
      <c r="W82" s="125" t="n">
        <f aca="false">IF(STMode=1,1-W71,1-STShare)*SUMPRODUCT($F$64:W64,$F$61:W61,$F$81:W81)/4+IF(STMode=1,IF(STGBOnly=1,1,1-W71),1-STShare)*SUMPRODUCT($F$65:W65,$F$62:W62,$F$81:W81)/4</f>
        <v>2404.9174395468</v>
      </c>
      <c r="X82" s="125" t="n">
        <f aca="false">IF(STMode=1,1-X71,1-STShare)*SUMPRODUCT($F$64:X64,$F$61:X61,$F$81:X81)/4+IF(STMode=1,IF(STGBOnly=1,1,1-X71),1-STShare)*SUMPRODUCT($F$65:X65,$F$62:X62,$F$81:X81)/4</f>
        <v>2966.78836300312</v>
      </c>
      <c r="Y82" s="125" t="n">
        <f aca="false">IF(STMode=1,1-Y71,1-STShare)*SUMPRODUCT($F$64:Y64,$F$61:Y61,$F$81:Y81)/4+IF(STMode=1,IF(STGBOnly=1,1,1-Y71),1-STShare)*SUMPRODUCT($F$65:Y65,$F$62:Y62,$F$81:Y81)/4</f>
        <v>3347.37215800493</v>
      </c>
      <c r="Z82" s="125" t="n">
        <f aca="false">IF(STMode=1,1-Z71,1-STShare)*SUMPRODUCT($F$64:Z64,$F$61:Z61,$F$81:Z81)/4+IF(STMode=1,IF(STGBOnly=1,1,1-Z71),1-STShare)*SUMPRODUCT($F$65:Z65,$F$62:Z62,$F$81:Z81)/4</f>
        <v>4095.43661517075</v>
      </c>
      <c r="AA82" s="125" t="n">
        <f aca="false">IF(STMode=1,1-AA71,1-STShare)*SUMPRODUCT($F$64:AA64,$F$61:AA61,$F$81:AA81)/4+IF(STMode=1,IF(STGBOnly=1,1,1-AA71),1-STShare)*SUMPRODUCT($F$65:AA65,$F$62:AA62,$F$81:AA81)/4</f>
        <v>4810.78173557788</v>
      </c>
      <c r="AB82" s="125" t="n">
        <f aca="false">IF(STMode=1,1-AB71,1-STShare)*SUMPRODUCT($F$64:AB64,$F$61:AB61,$F$81:AB81)/4+IF(STMode=1,IF(STGBOnly=1,1,1-AB71),1-STShare)*SUMPRODUCT($F$65:AB65,$F$62:AB62,$F$81:AB81)/4</f>
        <v>5555.42127739198</v>
      </c>
      <c r="AC82" s="125" t="n">
        <f aca="false">IF(STMode=1,1-AC71,1-STShare)*SUMPRODUCT($F$64:AC64,$F$61:AC61,$F$81:AC81)/4+IF(STMode=1,IF(STGBOnly=1,1,1-AC71),1-STShare)*SUMPRODUCT($F$65:AC65,$F$62:AC62,$F$81:AC81)/4</f>
        <v>6294.21456068026</v>
      </c>
      <c r="AD82" s="125" t="n">
        <f aca="false">IF(STMode=1,1-AD71,1-STShare)*SUMPRODUCT($F$64:AD64,$F$61:AD61,$F$81:AD81)/4+IF(STMode=1,IF(STGBOnly=1,1,1-AD71),1-STShare)*SUMPRODUCT($F$65:AD65,$F$62:AD62,$F$81:AD81)/4</f>
        <v>7314.14196198614</v>
      </c>
      <c r="AE82" s="125" t="n">
        <f aca="false">IF(STMode=1,1-AE71,1-STShare)*SUMPRODUCT($F$64:AE64,$F$61:AE61,$F$81:AE81)/4+IF(STMode=1,IF(STGBOnly=1,1,1-AE71),1-STShare)*SUMPRODUCT($F$65:AE65,$F$62:AE62,$F$81:AE81)/4</f>
        <v>8326.04943548188</v>
      </c>
      <c r="AF82" s="125" t="n">
        <f aca="false">IF(STMode=1,1-AF71,1-STShare)*SUMPRODUCT($F$64:AF64,$F$61:AF61,$F$81:AF81)/4+IF(STMode=1,IF(STGBOnly=1,1,1-AF71),1-STShare)*SUMPRODUCT($F$65:AF65,$F$62:AF62,$F$81:AF81)/4</f>
        <v>8326.04943548188</v>
      </c>
      <c r="AG82" s="125" t="n">
        <f aca="false">IF(STMode=1,1-AG71,1-STShare)*SUMPRODUCT($F$64:AG64,$F$61:AG61,$F$81:AG81)/4+IF(STMode=1,IF(STGBOnly=1,1,1-AG71),1-STShare)*SUMPRODUCT($F$65:AG65,$F$62:AG62,$F$81:AG81)/4</f>
        <v>8324.02777590388</v>
      </c>
      <c r="AI82" s="125" t="n">
        <f aca="false">SUMIF($F$7:$AG$7,AI$7,$F82:$AG82)</f>
        <v>0</v>
      </c>
      <c r="AJ82" s="125" t="n">
        <f aca="false">SUMIF($F$7:$AG$7,AJ$7,$F82:$AG82)</f>
        <v>0</v>
      </c>
      <c r="AK82" s="125" t="n">
        <f aca="false">SUMIF($F$7:$AG$7,AK$7,$F82:$AG82)</f>
        <v>0</v>
      </c>
      <c r="AL82" s="125" t="n">
        <f aca="false">SUMIF($F$7:$AG$7,AL$7,$F82:$AG82)</f>
        <v>2340.15562779851</v>
      </c>
      <c r="AM82" s="125" t="n">
        <f aca="false">SUMIF($F$7:$AG$7,AM$7,$F82:$AG82)</f>
        <v>10402.8957457355</v>
      </c>
      <c r="AN82" s="125" t="n">
        <f aca="false">SUMIF($F$7:$AG$7,AN$7,$F82:$AG82)</f>
        <v>20755.8541888209</v>
      </c>
      <c r="AO82" s="125" t="n">
        <f aca="false">SUMIF($F$7:$AG$7,AO$7,$F82:$AG82)</f>
        <v>32290.2686088538</v>
      </c>
    </row>
    <row r="83" customFormat="false" ht="15" hidden="false" customHeight="false" outlineLevel="0" collapsed="false">
      <c r="A83" s="107" t="s">
        <v>2106</v>
      </c>
      <c r="B83" s="22" t="s">
        <v>613</v>
      </c>
      <c r="C83" s="22" t="s">
        <v>540</v>
      </c>
      <c r="D83" s="22" t="s">
        <v>2107</v>
      </c>
      <c r="F83" s="124" t="n">
        <f aca="false">F70*F68*IF(STMode=1,STOcc,1)/4</f>
        <v>0</v>
      </c>
      <c r="G83" s="124" t="n">
        <f aca="false">G70*G68*IF(STMode=1,STOcc,1)/4</f>
        <v>0</v>
      </c>
      <c r="H83" s="124" t="n">
        <f aca="false">H70*H68*IF(STMode=1,STOcc,1)/4</f>
        <v>0</v>
      </c>
      <c r="I83" s="124" t="n">
        <f aca="false">I70*I68*IF(STMode=1,STOcc,1)/4</f>
        <v>0</v>
      </c>
      <c r="J83" s="124" t="n">
        <f aca="false">J70*J68*IF(STMode=1,STOcc,1)/4</f>
        <v>0</v>
      </c>
      <c r="K83" s="124" t="n">
        <f aca="false">K70*K68*IF(STMode=1,STOcc,1)/4</f>
        <v>0</v>
      </c>
      <c r="L83" s="124" t="n">
        <f aca="false">L70*L68*IF(STMode=1,STOcc,1)/4</f>
        <v>0</v>
      </c>
      <c r="M83" s="124" t="n">
        <f aca="false">M70*M68*IF(STMode=1,STOcc,1)/4</f>
        <v>0</v>
      </c>
      <c r="N83" s="124" t="n">
        <f aca="false">N70*N68*IF(STMode=1,STOcc,1)/4</f>
        <v>0</v>
      </c>
      <c r="O83" s="124" t="n">
        <f aca="false">O70*O68*IF(STMode=1,STOcc,1)/4</f>
        <v>0</v>
      </c>
      <c r="P83" s="125" t="n">
        <f aca="false">P70*P68*IF(STMode=1,STOcc,1)/4</f>
        <v>0</v>
      </c>
      <c r="Q83" s="125" t="n">
        <f aca="false">Q70*Q68*IF(STMode=1,STOcc,1)/4</f>
        <v>0</v>
      </c>
      <c r="R83" s="125" t="n">
        <f aca="false">R70*R68*IF(STMode=1,STOcc,1)/4</f>
        <v>96.7230561375</v>
      </c>
      <c r="S83" s="125" t="n">
        <f aca="false">S70*S68*IF(STMode=1,STOcc,1)/4</f>
        <v>140.879331632813</v>
      </c>
      <c r="T83" s="125" t="n">
        <f aca="false">T70*T68*IF(STMode=1,STOcc,1)/4</f>
        <v>202.007013792188</v>
      </c>
      <c r="U83" s="125" t="n">
        <f aca="false">U70*U68*IF(STMode=1,STOcc,1)/4</f>
        <v>268.914807646875</v>
      </c>
      <c r="V83" s="125" t="n">
        <f aca="false">V70*V68*IF(STMode=1,STOcc,1)/4</f>
        <v>452.90823328125</v>
      </c>
      <c r="W83" s="125" t="n">
        <f aca="false">W70*W68*IF(STMode=1,STOcc,1)/4</f>
        <v>539.06277234375</v>
      </c>
      <c r="X83" s="125" t="n">
        <f aca="false">X70*X68*IF(STMode=1,STOcc,1)/4</f>
        <v>588.351477542802</v>
      </c>
      <c r="Y83" s="125" t="n">
        <f aca="false">Y70*Y68*IF(STMode=1,STOcc,1)/4</f>
        <v>627.417171005306</v>
      </c>
      <c r="Z83" s="125" t="n">
        <f aca="false">Z70*Z68*IF(STMode=1,STOcc,1)/4</f>
        <v>682.766736158828</v>
      </c>
      <c r="AA83" s="125" t="n">
        <f aca="false">AA70*AA68*IF(STMode=1,STOcc,1)/4</f>
        <v>754.377181952163</v>
      </c>
      <c r="AB83" s="125" t="n">
        <f aca="false">AB70*AB68*IF(STMode=1,STOcc,1)/4</f>
        <v>800.231383318567</v>
      </c>
      <c r="AC83" s="125" t="n">
        <f aca="false">AC70*AC68*IF(STMode=1,STOcc,1)/4</f>
        <v>869.066952668335</v>
      </c>
      <c r="AD83" s="125" t="n">
        <f aca="false">AD70*AD68*IF(STMode=1,STOcc,1)/4</f>
        <v>938.175963061627</v>
      </c>
      <c r="AE83" s="125" t="n">
        <f aca="false">AE70*AE68*IF(STMode=1,STOcc,1)/4</f>
        <v>1033.76025388396</v>
      </c>
      <c r="AF83" s="125" t="n">
        <f aca="false">AF70*AF68*IF(STMode=1,STOcc,1)/4</f>
        <v>1002.26775203017</v>
      </c>
      <c r="AG83" s="125" t="n">
        <f aca="false">AG70*AG68*IF(STMode=1,STOcc,1)/4</f>
        <v>1002.26775203017</v>
      </c>
      <c r="AI83" s="125" t="n">
        <f aca="false">SUMIF($F$7:$AG$7,AI$7,$F83:$AG83)</f>
        <v>0</v>
      </c>
      <c r="AJ83" s="125" t="n">
        <f aca="false">SUMIF($F$7:$AG$7,AJ$7,$F83:$AG83)</f>
        <v>0</v>
      </c>
      <c r="AK83" s="125" t="n">
        <f aca="false">SUMIF($F$7:$AG$7,AK$7,$F83:$AG83)</f>
        <v>0</v>
      </c>
      <c r="AL83" s="125" t="n">
        <f aca="false">SUMIF($F$7:$AG$7,AL$7,$F83:$AG83)</f>
        <v>708.524209209375</v>
      </c>
      <c r="AM83" s="125" t="n">
        <f aca="false">SUMIF($F$7:$AG$7,AM$7,$F83:$AG83)</f>
        <v>2207.73965417311</v>
      </c>
      <c r="AN83" s="125" t="n">
        <f aca="false">SUMIF($F$7:$AG$7,AN$7,$F83:$AG83)</f>
        <v>3106.44225409789</v>
      </c>
      <c r="AO83" s="125" t="n">
        <f aca="false">SUMIF($F$7:$AG$7,AO$7,$F83:$AG83)</f>
        <v>3976.47172100593</v>
      </c>
    </row>
    <row r="84" customFormat="false" ht="15" hidden="false" customHeight="false" outlineLevel="0" collapsed="false">
      <c r="A84" s="3" t="s">
        <v>2108</v>
      </c>
      <c r="B84" s="22" t="s">
        <v>613</v>
      </c>
      <c r="C84" s="22" t="s">
        <v>540</v>
      </c>
      <c r="D84" s="22"/>
      <c r="F84" s="126" t="n">
        <f aca="false">IF(AND(NewDealOn=1,F$5&gt;=NewDealIdx),F57*IF(STMode=1,1-F71,1)+F82+F83-F50-F51,0)</f>
        <v>0</v>
      </c>
      <c r="G84" s="126" t="n">
        <f aca="false">IF(AND(NewDealOn=1,G$5&gt;=NewDealIdx),G57*IF(STMode=1,1-G71,1)+G82+G83-G50-G51,0)</f>
        <v>0</v>
      </c>
      <c r="H84" s="126" t="n">
        <f aca="false">IF(AND(NewDealOn=1,H$5&gt;=NewDealIdx),H57*IF(STMode=1,1-H71,1)+H82+H83-H50-H51,0)</f>
        <v>0</v>
      </c>
      <c r="I84" s="126" t="n">
        <f aca="false">IF(AND(NewDealOn=1,I$5&gt;=NewDealIdx),I57*IF(STMode=1,1-I71,1)+I82+I83-I50-I51,0)</f>
        <v>0</v>
      </c>
      <c r="J84" s="126" t="n">
        <f aca="false">IF(AND(NewDealOn=1,J$5&gt;=NewDealIdx),J57*IF(STMode=1,1-J71,1)+J82+J83-J50-J51,0)</f>
        <v>0</v>
      </c>
      <c r="K84" s="126" t="n">
        <f aca="false">IF(AND(NewDealOn=1,K$5&gt;=NewDealIdx),K57*IF(STMode=1,1-K71,1)+K82+K83-K50-K51,0)</f>
        <v>0</v>
      </c>
      <c r="L84" s="126" t="n">
        <f aca="false">IF(AND(NewDealOn=1,L$5&gt;=NewDealIdx),L57*IF(STMode=1,1-L71,1)+L82+L83-L50-L51,0)</f>
        <v>0</v>
      </c>
      <c r="M84" s="126" t="n">
        <f aca="false">IF(AND(NewDealOn=1,M$5&gt;=NewDealIdx),M57*IF(STMode=1,1-M71,1)+M82+M83-M50-M51,0)</f>
        <v>0</v>
      </c>
      <c r="N84" s="126" t="n">
        <f aca="false">IF(AND(NewDealOn=1,N$5&gt;=NewDealIdx),N57*IF(STMode=1,1-N71,1)+N82+N83-N50-N51,0)</f>
        <v>0</v>
      </c>
      <c r="O84" s="126" t="n">
        <f aca="false">IF(AND(NewDealOn=1,O$5&gt;=NewDealIdx),O57*IF(STMode=1,1-O71,1)+O82+O83-O50-O51,0)</f>
        <v>0</v>
      </c>
      <c r="P84" s="99" t="n">
        <f aca="false">IF(AND(NewDealOn=1,P$5&gt;=NewDealIdx),P57*IF(STMode=1,1-P71,1)+P82+P83-P50-P51,0)</f>
        <v>0</v>
      </c>
      <c r="Q84" s="99" t="n">
        <f aca="false">IF(AND(NewDealOn=1,Q$5&gt;=NewDealIdx),Q57*IF(STMode=1,1-Q71,1)+Q82+Q83-Q50-Q51,0)</f>
        <v>0</v>
      </c>
      <c r="R84" s="99" t="n">
        <f aca="false">IF(AND(NewDealOn=1,R$5&gt;=NewDealIdx),R57*IF(STMode=1,1-R71,1)+R82+R83-R50-R51,0)</f>
        <v>-18.0228264754164</v>
      </c>
      <c r="S84" s="99" t="n">
        <f aca="false">IF(AND(NewDealOn=1,S$5&gt;=NewDealIdx),S57*IF(STMode=1,1-S71,1)+S82+S83-S50-S51,0)</f>
        <v>-119.443409673451</v>
      </c>
      <c r="T84" s="99" t="n">
        <f aca="false">IF(AND(NewDealOn=1,T$5&gt;=NewDealIdx),T57*IF(STMode=1,1-T71,1)+T82+T83-T50-T51,0)</f>
        <v>-184.620179992211</v>
      </c>
      <c r="U84" s="99" t="n">
        <f aca="false">IF(AND(NewDealOn=1,U$5&gt;=NewDealIdx),U57*IF(STMode=1,1-U71,1)+U82+U83-U50-U51,0)</f>
        <v>-158.453082121398</v>
      </c>
      <c r="V84" s="99" t="n">
        <f aca="false">IF(AND(NewDealOn=1,V$5&gt;=NewDealIdx),V57*IF(STMode=1,1-V71,1)+V82+V83-V50-V51,0)</f>
        <v>-165.69071168392</v>
      </c>
      <c r="W84" s="99" t="n">
        <f aca="false">IF(AND(NewDealOn=1,W$5&gt;=NewDealIdx),W57*IF(STMode=1,1-W71,1)+W82+W83-W50-W51,0)</f>
        <v>-231.493682913385</v>
      </c>
      <c r="X84" s="99" t="n">
        <f aca="false">IF(AND(NewDealOn=1,X$5&gt;=NewDealIdx),X57*IF(STMode=1,1-X71,1)+X82+X83-X50-X51,0)</f>
        <v>-304.641266584413</v>
      </c>
      <c r="Y84" s="99" t="n">
        <f aca="false">IF(AND(NewDealOn=1,Y$5&gt;=NewDealIdx),Y57*IF(STMode=1,1-Y71,1)+Y82+Y83-Y50-Y51,0)</f>
        <v>-291.568425672461</v>
      </c>
      <c r="Z84" s="99" t="n">
        <f aca="false">IF(AND(NewDealOn=1,Z$5&gt;=NewDealIdx),Z57*IF(STMode=1,1-Z71,1)+Z82+Z83-Z50-Z51,0)</f>
        <v>-222.547644265207</v>
      </c>
      <c r="AA84" s="99" t="n">
        <f aca="false">IF(AND(NewDealOn=1,AA$5&gt;=NewDealIdx),AA57*IF(STMode=1,1-AA71,1)+AA82+AA83-AA50-AA51,0)</f>
        <v>-268.597805835839</v>
      </c>
      <c r="AB84" s="99" t="n">
        <f aca="false">IF(AND(NewDealOn=1,AB$5&gt;=NewDealIdx),AB57*IF(STMode=1,1-AB71,1)+AB82+AB83-AB50-AB51,0)</f>
        <v>-340.565135934911</v>
      </c>
      <c r="AC84" s="99" t="n">
        <f aca="false">IF(AND(NewDealOn=1,AC$5&gt;=NewDealIdx),AC57*IF(STMode=1,1-AC71,1)+AC82+AC83-AC50-AC51,0)</f>
        <v>-305.313588511379</v>
      </c>
      <c r="AD84" s="99" t="n">
        <f aca="false">IF(AND(NewDealOn=1,AD$5&gt;=NewDealIdx),AD57*IF(STMode=1,1-AD71,1)+AD82+AD83-AD50-AD51,0)</f>
        <v>-116.218028303769</v>
      </c>
      <c r="AE84" s="99" t="n">
        <f aca="false">IF(AND(NewDealOn=1,AE$5&gt;=NewDealIdx),AE57*IF(STMode=1,1-AE71,1)+AE82+AE83-AE50-AE51,0)</f>
        <v>-140.995485240186</v>
      </c>
      <c r="AF84" s="99" t="n">
        <f aca="false">IF(AND(NewDealOn=1,AF$5&gt;=NewDealIdx),AF57*IF(STMode=1,1-AF71,1)+AF82+AF83-AF50-AF51,0)</f>
        <v>-128.837787064554</v>
      </c>
      <c r="AG84" s="99" t="n">
        <f aca="false">IF(AND(NewDealOn=1,AG$5&gt;=NewDealIdx),AG57*IF(STMode=1,1-AG71,1)+AG82+AG83-AG50-AG51,0)</f>
        <v>25.1325656442727</v>
      </c>
      <c r="AI84" s="99" t="n">
        <f aca="false">SUMIF($F$7:$AG$7,AI$7,$F84:$AG84)</f>
        <v>0</v>
      </c>
      <c r="AJ84" s="99" t="n">
        <f aca="false">SUMIF($F$7:$AG$7,AJ$7,$F84:$AG84)</f>
        <v>0</v>
      </c>
      <c r="AK84" s="99" t="n">
        <f aca="false">SUMIF($F$7:$AG$7,AK$7,$F84:$AG84)</f>
        <v>0</v>
      </c>
      <c r="AL84" s="99" t="n">
        <f aca="false">SUMIF($F$7:$AG$7,AL$7,$F84:$AG84)</f>
        <v>-480.539498262476</v>
      </c>
      <c r="AM84" s="99" t="n">
        <f aca="false">SUMIF($F$7:$AG$7,AM$7,$F84:$AG84)</f>
        <v>-993.394086854179</v>
      </c>
      <c r="AN84" s="99" t="n">
        <f aca="false">SUMIF($F$7:$AG$7,AN$7,$F84:$AG84)</f>
        <v>-1137.02417454734</v>
      </c>
      <c r="AO84" s="99" t="n">
        <f aca="false">SUMIF($F$7:$AG$7,AO$7,$F84:$AG84)</f>
        <v>-360.918734964236</v>
      </c>
    </row>
    <row r="85" customFormat="false" ht="15" hidden="false" customHeight="false" outlineLevel="0" collapsed="false">
      <c r="A85" s="107" t="s">
        <v>2109</v>
      </c>
      <c r="B85" s="22" t="s">
        <v>600</v>
      </c>
      <c r="C85" s="22" t="s">
        <v>540</v>
      </c>
      <c r="D85" s="22"/>
      <c r="F85" s="117" t="n">
        <f aca="false">IF(F58&gt;0,F72*4/F58,0)</f>
        <v>0</v>
      </c>
      <c r="G85" s="117" t="n">
        <f aca="false">IF(G58&gt;0,G72*4/G58,0)</f>
        <v>0</v>
      </c>
      <c r="H85" s="117" t="n">
        <f aca="false">IF(H58&gt;0,H72*4/H58,0)</f>
        <v>0</v>
      </c>
      <c r="I85" s="117" t="n">
        <f aca="false">IF(I58&gt;0,I72*4/I58,0)</f>
        <v>0</v>
      </c>
      <c r="J85" s="117" t="n">
        <f aca="false">IF(J58&gt;0,J72*4/J58,0)</f>
        <v>0</v>
      </c>
      <c r="K85" s="117" t="n">
        <f aca="false">IF(K58&gt;0,K72*4/K58,0)</f>
        <v>0</v>
      </c>
      <c r="L85" s="117" t="n">
        <f aca="false">IF(L58&gt;0,L72*4/L58,0)</f>
        <v>0</v>
      </c>
      <c r="M85" s="117" t="n">
        <f aca="false">IF(M58&gt;0,M72*4/M58,0)</f>
        <v>0</v>
      </c>
      <c r="N85" s="117" t="n">
        <f aca="false">IF(N58&gt;0,N72*4/N58,0)</f>
        <v>0</v>
      </c>
      <c r="O85" s="117" t="n">
        <f aca="false">IF(O58&gt;0,O72*4/O58,0)</f>
        <v>0</v>
      </c>
      <c r="P85" s="30" t="n">
        <f aca="false">IF(P58&gt;0,P72*4/P58,0)</f>
        <v>0</v>
      </c>
      <c r="Q85" s="30" t="n">
        <f aca="false">IF(Q58&gt;0,Q72*4/Q58,0)</f>
        <v>0</v>
      </c>
      <c r="R85" s="30" t="n">
        <f aca="false">IF(R58&gt;0,R72*4/R58,0)</f>
        <v>16</v>
      </c>
      <c r="S85" s="30" t="n">
        <f aca="false">IF(S58&gt;0,S72*4/S58,0)</f>
        <v>16.08955736447</v>
      </c>
      <c r="T85" s="30" t="n">
        <f aca="false">IF(T58&gt;0,T72*4/T58,0)</f>
        <v>16.0499493324028</v>
      </c>
      <c r="U85" s="30" t="n">
        <f aca="false">IF(U58&gt;0,U72*4/U58,0)</f>
        <v>16.0646548502804</v>
      </c>
      <c r="V85" s="30" t="n">
        <f aca="false">IF(V58&gt;0,V72*4/V58,0)</f>
        <v>16.4854571826966</v>
      </c>
      <c r="W85" s="30" t="n">
        <f aca="false">IF(W58&gt;0,W72*4/W58,0)</f>
        <v>16.7971453718494</v>
      </c>
      <c r="X85" s="30" t="n">
        <f aca="false">IF(X58&gt;0,X72*4/X58,0)</f>
        <v>17.0056396509763</v>
      </c>
      <c r="Y85" s="30" t="n">
        <f aca="false">IF(Y58&gt;0,Y72*4/Y58,0)</f>
        <v>17.1101244005058</v>
      </c>
      <c r="Z85" s="30" t="n">
        <f aca="false">IF(Z58&gt;0,Z72*4/Z58,0)</f>
        <v>17.1937102282868</v>
      </c>
      <c r="AA85" s="30" t="n">
        <f aca="false">IF(AA58&gt;0,AA72*4/AA58,0)</f>
        <v>17.2299084135466</v>
      </c>
      <c r="AB85" s="30" t="n">
        <f aca="false">IF(AB58&gt;0,AB72*4/AB58,0)</f>
        <v>17.2768758819877</v>
      </c>
      <c r="AC85" s="30" t="n">
        <f aca="false">IF(AC58&gt;0,AC72*4/AC58,0)</f>
        <v>17.2978270059593</v>
      </c>
      <c r="AD85" s="30" t="n">
        <f aca="false">IF(AD58&gt;0,AD72*4/AD58,0)</f>
        <v>17.3019125625642</v>
      </c>
      <c r="AE85" s="30" t="n">
        <f aca="false">IF(AE58&gt;0,AE72*4/AE58,0)</f>
        <v>17.2891266373418</v>
      </c>
      <c r="AF85" s="30" t="n">
        <f aca="false">IF(AF58&gt;0,AF72*4/AF58,0)</f>
        <v>17.2891266373418</v>
      </c>
      <c r="AG85" s="30" t="n">
        <f aca="false">IF(AG58&gt;0,AG72*4/AG58,0)</f>
        <v>17.3105546676797</v>
      </c>
      <c r="AI85" s="30" t="n">
        <f aca="false">AVERAGEIF($F$7:$AG$7,AI$7,$F85:$AG85)</f>
        <v>0</v>
      </c>
      <c r="AJ85" s="30" t="n">
        <f aca="false">AVERAGEIF($F$7:$AG$7,AJ$7,$F85:$AG85)</f>
        <v>0</v>
      </c>
      <c r="AK85" s="30" t="n">
        <f aca="false">AVERAGEIF($F$7:$AG$7,AK$7,$F85:$AG85)</f>
        <v>0</v>
      </c>
      <c r="AL85" s="30" t="n">
        <f aca="false">AVERAGEIF($F$7:$AG$7,AL$7,$F85:$AG85)</f>
        <v>16.0510403867883</v>
      </c>
      <c r="AM85" s="30" t="n">
        <f aca="false">AVERAGEIF($F$7:$AG$7,AM$7,$F85:$AG85)</f>
        <v>16.849591651507</v>
      </c>
      <c r="AN85" s="30" t="n">
        <f aca="false">AVERAGEIF($F$7:$AG$7,AN$7,$F85:$AG85)</f>
        <v>17.2495803824451</v>
      </c>
      <c r="AO85" s="30" t="n">
        <f aca="false">AVERAGEIF($F$7:$AG$7,AO$7,$F85:$AG85)</f>
        <v>17.2976801262319</v>
      </c>
    </row>
    <row r="87" customFormat="false" ht="15" hidden="false" customHeight="false" outlineLevel="0" collapsed="false">
      <c r="A87" s="58" t="s">
        <v>2110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</row>
    <row r="88" customFormat="false" ht="15" hidden="false" customHeight="false" outlineLevel="0" collapsed="false">
      <c r="A88" s="107" t="s">
        <v>1236</v>
      </c>
      <c r="B88" s="22" t="s">
        <v>613</v>
      </c>
      <c r="C88" s="22" t="s">
        <v>626</v>
      </c>
      <c r="D88" s="22"/>
      <c r="F88" s="124" t="n">
        <f aca="false">INDEX(AssetLight,1,F$7-FYBase)/4</f>
        <v>0</v>
      </c>
      <c r="G88" s="124" t="n">
        <f aca="false">INDEX(AssetLight,1,G$7-FYBase)/4</f>
        <v>0</v>
      </c>
      <c r="H88" s="124" t="n">
        <f aca="false">INDEX(AssetLight,1,H$7-FYBase)/4</f>
        <v>0</v>
      </c>
      <c r="I88" s="124" t="n">
        <f aca="false">INDEX(AssetLight,1,I$7-FYBase)/4</f>
        <v>0</v>
      </c>
      <c r="J88" s="124" t="n">
        <f aca="false">INDEX(AssetLight,1,J$7-FYBase)/4</f>
        <v>0</v>
      </c>
      <c r="K88" s="124" t="n">
        <f aca="false">INDEX(AssetLight,1,K$7-FYBase)/4</f>
        <v>0</v>
      </c>
      <c r="L88" s="124" t="n">
        <f aca="false">INDEX(AssetLight,1,L$7-FYBase)/4</f>
        <v>0</v>
      </c>
      <c r="M88" s="124" t="n">
        <f aca="false">INDEX(AssetLight,1,M$7-FYBase)/4</f>
        <v>0</v>
      </c>
      <c r="N88" s="124" t="n">
        <f aca="false">INDEX(AssetLight,1,N$7-FYBase)/4</f>
        <v>0</v>
      </c>
      <c r="O88" s="124" t="n">
        <f aca="false">INDEX(AssetLight,1,O$7-FYBase)/4</f>
        <v>0</v>
      </c>
      <c r="P88" s="125" t="n">
        <f aca="false">INDEX(AssetLight,1,P$7-FYBase)/4</f>
        <v>0</v>
      </c>
      <c r="Q88" s="125" t="n">
        <f aca="false">INDEX(AssetLight,1,Q$7-FYBase)/4</f>
        <v>0</v>
      </c>
      <c r="R88" s="125" t="n">
        <f aca="false">INDEX(AssetLight,1,R$7-FYBase)/4</f>
        <v>0</v>
      </c>
      <c r="S88" s="125" t="n">
        <f aca="false">INDEX(AssetLight,1,S$7-FYBase)/4</f>
        <v>0</v>
      </c>
      <c r="T88" s="125" t="n">
        <f aca="false">INDEX(AssetLight,1,T$7-FYBase)/4</f>
        <v>0</v>
      </c>
      <c r="U88" s="125" t="n">
        <f aca="false">INDEX(AssetLight,1,U$7-FYBase)/4</f>
        <v>0</v>
      </c>
      <c r="V88" s="125" t="n">
        <f aca="false">INDEX(AssetLight,1,V$7-FYBase)/4</f>
        <v>0</v>
      </c>
      <c r="W88" s="125" t="n">
        <f aca="false">INDEX(AssetLight,1,W$7-FYBase)/4</f>
        <v>0</v>
      </c>
      <c r="X88" s="125" t="n">
        <f aca="false">INDEX(AssetLight,1,X$7-FYBase)/4</f>
        <v>0</v>
      </c>
      <c r="Y88" s="125" t="n">
        <f aca="false">INDEX(AssetLight,1,Y$7-FYBase)/4</f>
        <v>0</v>
      </c>
      <c r="Z88" s="125" t="n">
        <f aca="false">INDEX(AssetLight,1,Z$7-FYBase)/4</f>
        <v>0</v>
      </c>
      <c r="AA88" s="125" t="n">
        <f aca="false">INDEX(AssetLight,1,AA$7-FYBase)/4</f>
        <v>0</v>
      </c>
      <c r="AB88" s="125" t="n">
        <f aca="false">INDEX(AssetLight,1,AB$7-FYBase)/4</f>
        <v>0</v>
      </c>
      <c r="AC88" s="125" t="n">
        <f aca="false">INDEX(AssetLight,1,AC$7-FYBase)/4</f>
        <v>0</v>
      </c>
      <c r="AD88" s="125" t="n">
        <f aca="false">INDEX(AssetLight,1,AD$7-FYBase)/4</f>
        <v>0</v>
      </c>
      <c r="AE88" s="125" t="n">
        <f aca="false">INDEX(AssetLight,1,AE$7-FYBase)/4</f>
        <v>0</v>
      </c>
      <c r="AF88" s="125" t="n">
        <f aca="false">INDEX(AssetLight,1,AF$7-FYBase)/4</f>
        <v>0</v>
      </c>
      <c r="AG88" s="125" t="n">
        <f aca="false">INDEX(AssetLight,1,AG$7-FYBase)/4</f>
        <v>0</v>
      </c>
      <c r="AI88" s="125" t="n">
        <f aca="false">SUMIF($F$7:$AG$7,AI$7,$F88:$AG88)</f>
        <v>0</v>
      </c>
      <c r="AJ88" s="125" t="n">
        <f aca="false">SUMIF($F$7:$AG$7,AJ$7,$F88:$AG88)</f>
        <v>0</v>
      </c>
      <c r="AK88" s="125" t="n">
        <f aca="false">SUMIF($F$7:$AG$7,AK$7,$F88:$AG88)</f>
        <v>0</v>
      </c>
      <c r="AL88" s="125" t="n">
        <f aca="false">SUMIF($F$7:$AG$7,AL$7,$F88:$AG88)</f>
        <v>0</v>
      </c>
      <c r="AM88" s="125" t="n">
        <f aca="false">SUMIF($F$7:$AG$7,AM$7,$F88:$AG88)</f>
        <v>0</v>
      </c>
      <c r="AN88" s="125" t="n">
        <f aca="false">SUMIF($F$7:$AG$7,AN$7,$F88:$AG88)</f>
        <v>0</v>
      </c>
      <c r="AO88" s="125" t="n">
        <f aca="false">SUMIF($F$7:$AG$7,AO$7,$F88:$AG88)</f>
        <v>0</v>
      </c>
    </row>
    <row r="89" customFormat="false" ht="15" hidden="false" customHeight="false" outlineLevel="0" collapsed="false">
      <c r="A89" s="107" t="s">
        <v>2111</v>
      </c>
      <c r="B89" s="22" t="s">
        <v>613</v>
      </c>
      <c r="C89" s="22" t="s">
        <v>540</v>
      </c>
      <c r="D89" s="22"/>
      <c r="F89" s="124" t="n">
        <f aca="false">F26+F27+F50+F51+F84+F88</f>
        <v>65.2966755658367</v>
      </c>
      <c r="G89" s="124" t="n">
        <f aca="false">G26+G27+G50+G51+G84+G88</f>
        <v>65.2966755658367</v>
      </c>
      <c r="H89" s="124" t="n">
        <f aca="false">H26+H27+H50+H51+H84+H88</f>
        <v>66.0142214511756</v>
      </c>
      <c r="I89" s="124" t="n">
        <f aca="false">I26+I27+I50+I51+I84+I88</f>
        <v>72.6166063939516</v>
      </c>
      <c r="J89" s="124" t="n">
        <f aca="false">J26+J27+J50+J51+J84+J88</f>
        <v>108.516901483042</v>
      </c>
      <c r="K89" s="124" t="n">
        <f aca="false">K26+K27+K50+K51+K84+K88</f>
        <v>141.711699026416</v>
      </c>
      <c r="L89" s="124" t="n">
        <f aca="false">L26+L27+L50+L51+L84+L88</f>
        <v>170.146790371793</v>
      </c>
      <c r="M89" s="124" t="n">
        <f aca="false">M26+M27+M50+M51+M84+M88</f>
        <v>308.954903729411</v>
      </c>
      <c r="N89" s="124" t="n">
        <f aca="false">N26+N27+N50+N51+N84+N88</f>
        <v>470.189886700579</v>
      </c>
      <c r="O89" s="124" t="n">
        <f aca="false">O26+O27+O50+O51+O84+O88</f>
        <v>574.9</v>
      </c>
      <c r="P89" s="125" t="n">
        <f aca="false">P26+P27+P50+P51+P84+P88</f>
        <v>667.138407680941</v>
      </c>
      <c r="Q89" s="125" t="n">
        <f aca="false">Q26+Q27+Q50+Q51+Q84+Q88</f>
        <v>801.394173895167</v>
      </c>
      <c r="R89" s="125" t="n">
        <f aca="false">R26+R27+R50+R51+R84+R88</f>
        <v>1019.79435176515</v>
      </c>
      <c r="S89" s="125" t="n">
        <f aca="false">S26+S27+S50+S51+S84+S88</f>
        <v>1458.36990310219</v>
      </c>
      <c r="T89" s="125" t="n">
        <f aca="false">T26+T27+T50+T51+T84+T88</f>
        <v>2106.11486283062</v>
      </c>
      <c r="U89" s="125" t="n">
        <f aca="false">U26+U27+U50+U51+U84+U88</f>
        <v>2888.81947676798</v>
      </c>
      <c r="V89" s="125" t="n">
        <f aca="false">V26+V27+V50+V51+V84+V88</f>
        <v>3981.59326857807</v>
      </c>
      <c r="W89" s="125" t="n">
        <f aca="false">W26+W27+W50+W51+W84+W88</f>
        <v>4850.01862407673</v>
      </c>
      <c r="X89" s="125" t="n">
        <f aca="false">X26+X27+X50+X51+X84+X88</f>
        <v>5452.29900284052</v>
      </c>
      <c r="Y89" s="125" t="n">
        <f aca="false">Y26+Y27+Y50+Y51+Y84+Y88</f>
        <v>5861.71888192659</v>
      </c>
      <c r="Z89" s="125" t="n">
        <f aca="false">Z26+Z27+Z50+Z51+Z84+Z88</f>
        <v>6649.45195065157</v>
      </c>
      <c r="AA89" s="125" t="n">
        <f aca="false">AA26+AA27+AA50+AA51+AA84+AA88</f>
        <v>7430.25429415599</v>
      </c>
      <c r="AB89" s="125" t="n">
        <f aca="false">AB26+AB27+AB50+AB51+AB84+AB88</f>
        <v>8212.486240518</v>
      </c>
      <c r="AC89" s="125" t="n">
        <f aca="false">AC26+AC27+AC50+AC51+AC84+AC88</f>
        <v>9009.52060139548</v>
      </c>
      <c r="AD89" s="125" t="n">
        <f aca="false">AD26+AD27+AD50+AD51+AD84+AD88</f>
        <v>10081.6904689409</v>
      </c>
      <c r="AE89" s="125" t="n">
        <f aca="false">AE26+AE27+AE50+AE51+AE84+AE88</f>
        <v>11180.120642444</v>
      </c>
      <c r="AF89" s="125" t="n">
        <f aca="false">AF26+AF27+AF50+AF51+AF84+AF88</f>
        <v>11145.7440576102</v>
      </c>
      <c r="AG89" s="125" t="n">
        <f aca="false">AG26+AG27+AG50+AG51+AG84+AG88</f>
        <v>11259.9808053103</v>
      </c>
      <c r="AI89" s="125" t="n">
        <f aca="false">SUMIF($F$7:$AG$7,AI$7,$F89:$AG89)</f>
        <v>269.224178976801</v>
      </c>
      <c r="AJ89" s="125" t="n">
        <f aca="false">SUMIF($F$7:$AG$7,AJ$7,$F89:$AG89)</f>
        <v>729.330294610662</v>
      </c>
      <c r="AK89" s="125" t="n">
        <f aca="false">SUMIF($F$7:$AG$7,AK$7,$F89:$AG89)</f>
        <v>2513.62246827669</v>
      </c>
      <c r="AL89" s="125" t="n">
        <f aca="false">SUMIF($F$7:$AG$7,AL$7,$F89:$AG89)</f>
        <v>7473.09859446594</v>
      </c>
      <c r="AM89" s="125" t="n">
        <f aca="false">SUMIF($F$7:$AG$7,AM$7,$F89:$AG89)</f>
        <v>20145.6297774219</v>
      </c>
      <c r="AN89" s="125" t="n">
        <f aca="false">SUMIF($F$7:$AG$7,AN$7,$F89:$AG89)</f>
        <v>31301.713086721</v>
      </c>
      <c r="AO89" s="125" t="n">
        <f aca="false">SUMIF($F$7:$AG$7,AO$7,$F89:$AG89)</f>
        <v>43667.5359743054</v>
      </c>
    </row>
    <row r="90" customFormat="false" ht="15" hidden="false" customHeight="false" outlineLevel="0" collapsed="false">
      <c r="A90" s="107" t="s">
        <v>2112</v>
      </c>
      <c r="B90" s="22" t="s">
        <v>613</v>
      </c>
      <c r="C90" s="22" t="s">
        <v>604</v>
      </c>
      <c r="D90" s="22" t="s">
        <v>2113</v>
      </c>
      <c r="F90" s="124" t="n">
        <f aca="false">IF(F$5&lt;=LastHist,0,JuneExitOn*MAX(0,INDEX(H_ARR,1,LastHist)/4-INDEX($E$89:$AG$89,1,LastHist+2)))</f>
        <v>0</v>
      </c>
      <c r="G90" s="124" t="n">
        <f aca="false">IF(G$5&lt;=LastHist,0,JuneExitOn*MAX(0,INDEX(H_ARR,1,LastHist)/4-INDEX($E$89:$AG$89,1,LastHist+2)))</f>
        <v>0</v>
      </c>
      <c r="H90" s="124" t="n">
        <f aca="false">IF(H$5&lt;=LastHist,0,JuneExitOn*MAX(0,INDEX(H_ARR,1,LastHist)/4-INDEX($E$89:$AG$89,1,LastHist+2)))</f>
        <v>0</v>
      </c>
      <c r="I90" s="124" t="n">
        <f aca="false">IF(I$5&lt;=LastHist,0,JuneExitOn*MAX(0,INDEX(H_ARR,1,LastHist)/4-INDEX($E$89:$AG$89,1,LastHist+2)))</f>
        <v>0</v>
      </c>
      <c r="J90" s="124" t="n">
        <f aca="false">IF(J$5&lt;=LastHist,0,JuneExitOn*MAX(0,INDEX(H_ARR,1,LastHist)/4-INDEX($E$89:$AG$89,1,LastHist+2)))</f>
        <v>0</v>
      </c>
      <c r="K90" s="124" t="n">
        <f aca="false">IF(K$5&lt;=LastHist,0,JuneExitOn*MAX(0,INDEX(H_ARR,1,LastHist)/4-INDEX($E$89:$AG$89,1,LastHist+2)))</f>
        <v>0</v>
      </c>
      <c r="L90" s="124" t="n">
        <f aca="false">IF(L$5&lt;=LastHist,0,JuneExitOn*MAX(0,INDEX(H_ARR,1,LastHist)/4-INDEX($E$89:$AG$89,1,LastHist+2)))</f>
        <v>0</v>
      </c>
      <c r="M90" s="124" t="n">
        <f aca="false">IF(M$5&lt;=LastHist,0,JuneExitOn*MAX(0,INDEX(H_ARR,1,LastHist)/4-INDEX($E$89:$AG$89,1,LastHist+2)))</f>
        <v>0</v>
      </c>
      <c r="N90" s="124" t="n">
        <f aca="false">IF(N$5&lt;=LastHist,0,JuneExitOn*MAX(0,INDEX(H_ARR,1,LastHist)/4-INDEX($E$89:$AG$89,1,LastHist+2)))</f>
        <v>0</v>
      </c>
      <c r="O90" s="124" t="n">
        <f aca="false">IF(O$5&lt;=LastHist,0,JuneExitOn*MAX(0,INDEX(H_ARR,1,LastHist)/4-INDEX($E$89:$AG$89,1,LastHist+2)))</f>
        <v>0</v>
      </c>
      <c r="P90" s="125" t="n">
        <f aca="false">IF(P$5&lt;=LastHist,0,JuneExitOn*MAX(0,INDEX(H_ARR,1,LastHist)/4-INDEX($E$89:$AG$89,1,LastHist+2)))</f>
        <v>0</v>
      </c>
      <c r="Q90" s="125" t="n">
        <f aca="false">IF(Q$5&lt;=LastHist,0,JuneExitOn*MAX(0,INDEX(H_ARR,1,LastHist)/4-INDEX($E$89:$AG$89,1,LastHist+2)))</f>
        <v>0</v>
      </c>
      <c r="R90" s="125" t="n">
        <f aca="false">IF(R$5&lt;=LastHist,0,JuneExitOn*MAX(0,INDEX(H_ARR,1,LastHist)/4-INDEX($E$89:$AG$89,1,LastHist+2)))</f>
        <v>0</v>
      </c>
      <c r="S90" s="125" t="n">
        <f aca="false">IF(S$5&lt;=LastHist,0,JuneExitOn*MAX(0,INDEX(H_ARR,1,LastHist)/4-INDEX($E$89:$AG$89,1,LastHist+2)))</f>
        <v>0</v>
      </c>
      <c r="T90" s="125" t="n">
        <f aca="false">IF(T$5&lt;=LastHist,0,JuneExitOn*MAX(0,INDEX(H_ARR,1,LastHist)/4-INDEX($E$89:$AG$89,1,LastHist+2)))</f>
        <v>0</v>
      </c>
      <c r="U90" s="125" t="n">
        <f aca="false">IF(U$5&lt;=LastHist,0,JuneExitOn*MAX(0,INDEX(H_ARR,1,LastHist)/4-INDEX($E$89:$AG$89,1,LastHist+2)))</f>
        <v>0</v>
      </c>
      <c r="V90" s="125" t="n">
        <f aca="false">IF(V$5&lt;=LastHist,0,JuneExitOn*MAX(0,INDEX(H_ARR,1,LastHist)/4-INDEX($E$89:$AG$89,1,LastHist+2)))</f>
        <v>0</v>
      </c>
      <c r="W90" s="125" t="n">
        <f aca="false">IF(W$5&lt;=LastHist,0,JuneExitOn*MAX(0,INDEX(H_ARR,1,LastHist)/4-INDEX($E$89:$AG$89,1,LastHist+2)))</f>
        <v>0</v>
      </c>
      <c r="X90" s="125" t="n">
        <f aca="false">IF(X$5&lt;=LastHist,0,JuneExitOn*MAX(0,INDEX(H_ARR,1,LastHist)/4-INDEX($E$89:$AG$89,1,LastHist+2)))</f>
        <v>0</v>
      </c>
      <c r="Y90" s="125" t="n">
        <f aca="false">IF(Y$5&lt;=LastHist,0,JuneExitOn*MAX(0,INDEX(H_ARR,1,LastHist)/4-INDEX($E$89:$AG$89,1,LastHist+2)))</f>
        <v>0</v>
      </c>
      <c r="Z90" s="125" t="n">
        <f aca="false">IF(Z$5&lt;=LastHist,0,JuneExitOn*MAX(0,INDEX(H_ARR,1,LastHist)/4-INDEX($E$89:$AG$89,1,LastHist+2)))</f>
        <v>0</v>
      </c>
      <c r="AA90" s="125" t="n">
        <f aca="false">IF(AA$5&lt;=LastHist,0,JuneExitOn*MAX(0,INDEX(H_ARR,1,LastHist)/4-INDEX($E$89:$AG$89,1,LastHist+2)))</f>
        <v>0</v>
      </c>
      <c r="AB90" s="125" t="n">
        <f aca="false">IF(AB$5&lt;=LastHist,0,JuneExitOn*MAX(0,INDEX(H_ARR,1,LastHist)/4-INDEX($E$89:$AG$89,1,LastHist+2)))</f>
        <v>0</v>
      </c>
      <c r="AC90" s="125" t="n">
        <f aca="false">IF(AC$5&lt;=LastHist,0,JuneExitOn*MAX(0,INDEX(H_ARR,1,LastHist)/4-INDEX($E$89:$AG$89,1,LastHist+2)))</f>
        <v>0</v>
      </c>
      <c r="AD90" s="125" t="n">
        <f aca="false">IF(AD$5&lt;=LastHist,0,JuneExitOn*MAX(0,INDEX(H_ARR,1,LastHist)/4-INDEX($E$89:$AG$89,1,LastHist+2)))</f>
        <v>0</v>
      </c>
      <c r="AE90" s="125" t="n">
        <f aca="false">IF(AE$5&lt;=LastHist,0,JuneExitOn*MAX(0,INDEX(H_ARR,1,LastHist)/4-INDEX($E$89:$AG$89,1,LastHist+2)))</f>
        <v>0</v>
      </c>
      <c r="AF90" s="125" t="n">
        <f aca="false">IF(AF$5&lt;=LastHist,0,JuneExitOn*MAX(0,INDEX(H_ARR,1,LastHist)/4-INDEX($E$89:$AG$89,1,LastHist+2)))</f>
        <v>0</v>
      </c>
      <c r="AG90" s="125" t="n">
        <f aca="false">IF(AG$5&lt;=LastHist,0,JuneExitOn*MAX(0,INDEX(H_ARR,1,LastHist)/4-INDEX($E$89:$AG$89,1,LastHist+2)))</f>
        <v>0</v>
      </c>
      <c r="AI90" s="125" t="n">
        <f aca="false">SUMIF($F$7:$AG$7,AI$7,$F90:$AG90)</f>
        <v>0</v>
      </c>
      <c r="AJ90" s="125" t="n">
        <f aca="false">SUMIF($F$7:$AG$7,AJ$7,$F90:$AG90)</f>
        <v>0</v>
      </c>
      <c r="AK90" s="125" t="n">
        <f aca="false">SUMIF($F$7:$AG$7,AK$7,$F90:$AG90)</f>
        <v>0</v>
      </c>
      <c r="AL90" s="125" t="n">
        <f aca="false">SUMIF($F$7:$AG$7,AL$7,$F90:$AG90)</f>
        <v>0</v>
      </c>
      <c r="AM90" s="125" t="n">
        <f aca="false">SUMIF($F$7:$AG$7,AM$7,$F90:$AG90)</f>
        <v>0</v>
      </c>
      <c r="AN90" s="125" t="n">
        <f aca="false">SUMIF($F$7:$AG$7,AN$7,$F90:$AG90)</f>
        <v>0</v>
      </c>
      <c r="AO90" s="125" t="n">
        <f aca="false">SUMIF($F$7:$AG$7,AO$7,$F90:$AG90)</f>
        <v>0</v>
      </c>
    </row>
    <row r="91" customFormat="false" ht="15" hidden="false" customHeight="false" outlineLevel="0" collapsed="false">
      <c r="A91" s="3" t="s">
        <v>2114</v>
      </c>
      <c r="B91" s="22" t="s">
        <v>613</v>
      </c>
      <c r="C91" s="22" t="s">
        <v>540</v>
      </c>
      <c r="D91" s="22"/>
      <c r="F91" s="126" t="n">
        <f aca="false">F89+F90</f>
        <v>65.2966755658367</v>
      </c>
      <c r="G91" s="126" t="n">
        <f aca="false">G89+G90</f>
        <v>65.2966755658367</v>
      </c>
      <c r="H91" s="126" t="n">
        <f aca="false">H89+H90</f>
        <v>66.0142214511756</v>
      </c>
      <c r="I91" s="126" t="n">
        <f aca="false">I89+I90</f>
        <v>72.6166063939516</v>
      </c>
      <c r="J91" s="126" t="n">
        <f aca="false">J89+J90</f>
        <v>108.516901483042</v>
      </c>
      <c r="K91" s="126" t="n">
        <f aca="false">K89+K90</f>
        <v>141.711699026416</v>
      </c>
      <c r="L91" s="126" t="n">
        <f aca="false">L89+L90</f>
        <v>170.146790371793</v>
      </c>
      <c r="M91" s="126" t="n">
        <f aca="false">M89+M90</f>
        <v>308.954903729411</v>
      </c>
      <c r="N91" s="126" t="n">
        <f aca="false">N89+N90</f>
        <v>470.189886700579</v>
      </c>
      <c r="O91" s="126" t="n">
        <f aca="false">O89+O90</f>
        <v>574.9</v>
      </c>
      <c r="P91" s="99" t="n">
        <f aca="false">P89+P90</f>
        <v>667.138407680941</v>
      </c>
      <c r="Q91" s="99" t="n">
        <f aca="false">Q89+Q90</f>
        <v>801.394173895167</v>
      </c>
      <c r="R91" s="99" t="n">
        <f aca="false">R89+R90</f>
        <v>1019.79435176515</v>
      </c>
      <c r="S91" s="99" t="n">
        <f aca="false">S89+S90</f>
        <v>1458.36990310219</v>
      </c>
      <c r="T91" s="99" t="n">
        <f aca="false">T89+T90</f>
        <v>2106.11486283062</v>
      </c>
      <c r="U91" s="99" t="n">
        <f aca="false">U89+U90</f>
        <v>2888.81947676798</v>
      </c>
      <c r="V91" s="99" t="n">
        <f aca="false">V89+V90</f>
        <v>3981.59326857807</v>
      </c>
      <c r="W91" s="99" t="n">
        <f aca="false">W89+W90</f>
        <v>4850.01862407673</v>
      </c>
      <c r="X91" s="99" t="n">
        <f aca="false">X89+X90</f>
        <v>5452.29900284052</v>
      </c>
      <c r="Y91" s="99" t="n">
        <f aca="false">Y89+Y90</f>
        <v>5861.71888192659</v>
      </c>
      <c r="Z91" s="99" t="n">
        <f aca="false">Z89+Z90</f>
        <v>6649.45195065157</v>
      </c>
      <c r="AA91" s="99" t="n">
        <f aca="false">AA89+AA90</f>
        <v>7430.25429415599</v>
      </c>
      <c r="AB91" s="99" t="n">
        <f aca="false">AB89+AB90</f>
        <v>8212.486240518</v>
      </c>
      <c r="AC91" s="99" t="n">
        <f aca="false">AC89+AC90</f>
        <v>9009.52060139548</v>
      </c>
      <c r="AD91" s="99" t="n">
        <f aca="false">AD89+AD90</f>
        <v>10081.6904689409</v>
      </c>
      <c r="AE91" s="99" t="n">
        <f aca="false">AE89+AE90</f>
        <v>11180.120642444</v>
      </c>
      <c r="AF91" s="99" t="n">
        <f aca="false">AF89+AF90</f>
        <v>11145.7440576102</v>
      </c>
      <c r="AG91" s="99" t="n">
        <f aca="false">AG89+AG90</f>
        <v>11259.9808053103</v>
      </c>
      <c r="AI91" s="99" t="n">
        <f aca="false">SUMIF($F$7:$AG$7,AI$7,$F91:$AG91)</f>
        <v>269.224178976801</v>
      </c>
      <c r="AJ91" s="99" t="n">
        <f aca="false">SUMIF($F$7:$AG$7,AJ$7,$F91:$AG91)</f>
        <v>729.330294610662</v>
      </c>
      <c r="AK91" s="99" t="n">
        <f aca="false">SUMIF($F$7:$AG$7,AK$7,$F91:$AG91)</f>
        <v>2513.62246827669</v>
      </c>
      <c r="AL91" s="99" t="n">
        <f aca="false">SUMIF($F$7:$AG$7,AL$7,$F91:$AG91)</f>
        <v>7473.09859446594</v>
      </c>
      <c r="AM91" s="99" t="n">
        <f aca="false">SUMIF($F$7:$AG$7,AM$7,$F91:$AG91)</f>
        <v>20145.6297774219</v>
      </c>
      <c r="AN91" s="99" t="n">
        <f aca="false">SUMIF($F$7:$AG$7,AN$7,$F91:$AG91)</f>
        <v>31301.713086721</v>
      </c>
      <c r="AO91" s="99" t="n">
        <f aca="false">SUMIF($F$7:$AG$7,AO$7,$F91:$AG91)</f>
        <v>43667.5359743054</v>
      </c>
    </row>
    <row r="92" customFormat="false" ht="15" hidden="false" customHeight="false" outlineLevel="0" collapsed="false">
      <c r="A92" s="107" t="s">
        <v>2115</v>
      </c>
      <c r="B92" s="22" t="s">
        <v>613</v>
      </c>
      <c r="C92" s="22" t="s">
        <v>604</v>
      </c>
      <c r="D92" s="22" t="s">
        <v>2116</v>
      </c>
      <c r="F92" s="124" t="n">
        <f aca="false">INDEX(H_Rev,1,1)-INDEX(H_AIRev,1,1)</f>
        <v>1.1</v>
      </c>
      <c r="G92" s="124" t="n">
        <f aca="false">IF(G$5&lt;=LastHist,INDEX(H_Rev,1,G$5)-INDEX(H_AIRev,1,G$5),F92*(1+OthRev_g))</f>
        <v>1.4</v>
      </c>
      <c r="H92" s="124" t="n">
        <f aca="false">IF(H$5&lt;=LastHist,INDEX(H_Rev,1,H$5)-INDEX(H_AIRev,1,H$5),G92*(1+OthRev_g))</f>
        <v>3.2</v>
      </c>
      <c r="I92" s="124" t="n">
        <f aca="false">IF(I$5&lt;=LastHist,INDEX(H_Rev,1,I$5)-INDEX(H_AIRev,1,I$5),H92*(1+OthRev_g))</f>
        <v>3.5</v>
      </c>
      <c r="J92" s="124" t="n">
        <f aca="false">IF(J$5&lt;=LastHist,INDEX(H_Rev,1,J$5)-INDEX(H_AIRev,1,J$5),I92*(1+OthRev_g))</f>
        <v>9.5</v>
      </c>
      <c r="K92" s="124" t="n">
        <f aca="false">IF(K$5&lt;=LastHist,INDEX(H_Rev,1,K$5)-INDEX(H_AIRev,1,K$5),J92*(1+OthRev_g))</f>
        <v>11.5</v>
      </c>
      <c r="L92" s="124" t="n">
        <f aca="false">IF(L$5&lt;=LastHist,INDEX(H_Rev,1,L$5)-INDEX(H_AIRev,1,L$5),K92*(1+OthRev_g))</f>
        <v>7.29999999999998</v>
      </c>
      <c r="M92" s="124" t="n">
        <f aca="false">IF(M$5&lt;=LastHist,INDEX(H_Rev,1,M$5)-INDEX(H_AIRev,1,M$5),L92*(1+OthRev_g))</f>
        <v>13.5</v>
      </c>
      <c r="N92" s="124" t="n">
        <f aca="false">IF(N$5&lt;=LastHist,INDEX(H_Rev,1,N$5)-INDEX(H_AIRev,1,N$5),M92*(1+OthRev_g))</f>
        <v>9.30000000000001</v>
      </c>
      <c r="O92" s="124" t="n">
        <f aca="false">IF(O$5&lt;=LastHist,INDEX(H_Rev,1,O$5)-INDEX(H_AIRev,1,O$5),N92*(1+OthRev_g))</f>
        <v>7.39999999999998</v>
      </c>
      <c r="P92" s="0" t="n">
        <f aca="false">IF(P$5&lt;=LastHist,INDEX(H_Rev,1,P$5)-INDEX(H_AIRev,1,P$5),O92*(1+OthRev_g))</f>
        <v>7.54799999999998</v>
      </c>
      <c r="Q92" s="0" t="n">
        <f aca="false">IF(Q$5&lt;=LastHist,INDEX(H_Rev,1,Q$5)-INDEX(H_AIRev,1,Q$5),P92*(1+OthRev_g))</f>
        <v>7.69895999999998</v>
      </c>
      <c r="R92" s="0" t="n">
        <f aca="false">IF(R$5&lt;=LastHist,INDEX(H_Rev,1,R$5)-INDEX(H_AIRev,1,R$5),Q92*(1+OthRev_g))</f>
        <v>7.85293919999998</v>
      </c>
      <c r="S92" s="0" t="n">
        <f aca="false">IF(S$5&lt;=LastHist,INDEX(H_Rev,1,S$5)-INDEX(H_AIRev,1,S$5),R92*(1+OthRev_g))</f>
        <v>8.00999798399998</v>
      </c>
      <c r="T92" s="0" t="n">
        <f aca="false">IF(T$5&lt;=LastHist,INDEX(H_Rev,1,T$5)-INDEX(H_AIRev,1,T$5),S92*(1+OthRev_g))</f>
        <v>8.17019794367998</v>
      </c>
      <c r="U92" s="0" t="n">
        <f aca="false">IF(U$5&lt;=LastHist,INDEX(H_Rev,1,U$5)-INDEX(H_AIRev,1,U$5),T92*(1+OthRev_g))</f>
        <v>8.33360190255358</v>
      </c>
      <c r="V92" s="0" t="n">
        <f aca="false">IF(V$5&lt;=LastHist,INDEX(H_Rev,1,V$5)-INDEX(H_AIRev,1,V$5),U92*(1+OthRev_g))</f>
        <v>8.50027394060465</v>
      </c>
      <c r="W92" s="0" t="n">
        <f aca="false">IF(W$5&lt;=LastHist,INDEX(H_Rev,1,W$5)-INDEX(H_AIRev,1,W$5),V92*(1+OthRev_g))</f>
        <v>8.67027941941674</v>
      </c>
      <c r="X92" s="0" t="n">
        <f aca="false">IF(X$5&lt;=LastHist,INDEX(H_Rev,1,X$5)-INDEX(H_AIRev,1,X$5),W92*(1+OthRev_g))</f>
        <v>8.84368500780508</v>
      </c>
      <c r="Y92" s="0" t="n">
        <f aca="false">IF(Y$5&lt;=LastHist,INDEX(H_Rev,1,Y$5)-INDEX(H_AIRev,1,Y$5),X92*(1+OthRev_g))</f>
        <v>9.02055870796118</v>
      </c>
      <c r="Z92" s="0" t="n">
        <f aca="false">IF(Z$5&lt;=LastHist,INDEX(H_Rev,1,Z$5)-INDEX(H_AIRev,1,Z$5),Y92*(1+OthRev_g))</f>
        <v>9.2009698821204</v>
      </c>
      <c r="AA92" s="0" t="n">
        <f aca="false">IF(AA$5&lt;=LastHist,INDEX(H_Rev,1,AA$5)-INDEX(H_AIRev,1,AA$5),Z92*(1+OthRev_g))</f>
        <v>9.38498927976281</v>
      </c>
      <c r="AB92" s="0" t="n">
        <f aca="false">IF(AB$5&lt;=LastHist,INDEX(H_Rev,1,AB$5)-INDEX(H_AIRev,1,AB$5),AA92*(1+OthRev_g))</f>
        <v>9.57268906535807</v>
      </c>
      <c r="AC92" s="0" t="n">
        <f aca="false">IF(AC$5&lt;=LastHist,INDEX(H_Rev,1,AC$5)-INDEX(H_AIRev,1,AC$5),AB92*(1+OthRev_g))</f>
        <v>9.76414284666523</v>
      </c>
      <c r="AD92" s="0" t="n">
        <f aca="false">IF(AD$5&lt;=LastHist,INDEX(H_Rev,1,AD$5)-INDEX(H_AIRev,1,AD$5),AC92*(1+OthRev_g))</f>
        <v>9.95942570359853</v>
      </c>
      <c r="AE92" s="0" t="n">
        <f aca="false">IF(AE$5&lt;=LastHist,INDEX(H_Rev,1,AE$5)-INDEX(H_AIRev,1,AE$5),AD92*(1+OthRev_g))</f>
        <v>10.1586142176705</v>
      </c>
      <c r="AF92" s="0" t="n">
        <f aca="false">IF(AF$5&lt;=LastHist,INDEX(H_Rev,1,AF$5)-INDEX(H_AIRev,1,AF$5),AE92*(1+OthRev_g))</f>
        <v>10.3617865020239</v>
      </c>
      <c r="AG92" s="0" t="n">
        <f aca="false">IF(AG$5&lt;=LastHist,INDEX(H_Rev,1,AG$5)-INDEX(H_AIRev,1,AG$5),AF92*(1+OthRev_g))</f>
        <v>10.5690222320644</v>
      </c>
      <c r="AI92" s="125" t="n">
        <f aca="false">SUMIF($F$7:$AG$7,AI$7,$F92:$AG92)</f>
        <v>9.20000000000001</v>
      </c>
      <c r="AJ92" s="125" t="n">
        <f aca="false">SUMIF($F$7:$AG$7,AJ$7,$F92:$AG92)</f>
        <v>41.8</v>
      </c>
      <c r="AK92" s="125" t="n">
        <f aca="false">SUMIF($F$7:$AG$7,AK$7,$F92:$AG92)</f>
        <v>31.9469599999999</v>
      </c>
      <c r="AL92" s="125" t="n">
        <f aca="false">SUMIF($F$7:$AG$7,AL$7,$F92:$AG92)</f>
        <v>32.3667370302335</v>
      </c>
      <c r="AM92" s="125" t="n">
        <f aca="false">SUMIF($F$7:$AG$7,AM$7,$F92:$AG92)</f>
        <v>35.0347970757876</v>
      </c>
      <c r="AN92" s="125" t="n">
        <f aca="false">SUMIF($F$7:$AG$7,AN$7,$F92:$AG92)</f>
        <v>37.9227910739065</v>
      </c>
      <c r="AO92" s="125" t="n">
        <f aca="false">SUMIF($F$7:$AG$7,AO$7,$F92:$AG92)</f>
        <v>41.0488486553574</v>
      </c>
    </row>
    <row r="93" customFormat="false" ht="15" hidden="false" customHeight="false" outlineLevel="0" collapsed="false">
      <c r="A93" s="3" t="s">
        <v>2117</v>
      </c>
      <c r="B93" s="22" t="s">
        <v>613</v>
      </c>
      <c r="C93" s="22" t="s">
        <v>540</v>
      </c>
      <c r="D93" s="22"/>
      <c r="F93" s="126" t="n">
        <f aca="false">F91+F92</f>
        <v>66.3966755658367</v>
      </c>
      <c r="G93" s="126" t="n">
        <f aca="false">G91+G92</f>
        <v>66.6966755658367</v>
      </c>
      <c r="H93" s="126" t="n">
        <f aca="false">H91+H92</f>
        <v>69.2142214511756</v>
      </c>
      <c r="I93" s="126" t="n">
        <f aca="false">I91+I92</f>
        <v>76.1166063939516</v>
      </c>
      <c r="J93" s="126" t="n">
        <f aca="false">J91+J92</f>
        <v>118.016901483042</v>
      </c>
      <c r="K93" s="126" t="n">
        <f aca="false">K91+K92</f>
        <v>153.211699026416</v>
      </c>
      <c r="L93" s="126" t="n">
        <f aca="false">L91+L92</f>
        <v>177.446790371793</v>
      </c>
      <c r="M93" s="126" t="n">
        <f aca="false">M91+M92</f>
        <v>322.454903729411</v>
      </c>
      <c r="N93" s="126" t="n">
        <f aca="false">N91+N92</f>
        <v>479.489886700579</v>
      </c>
      <c r="O93" s="126" t="n">
        <f aca="false">O91+O92</f>
        <v>582.3</v>
      </c>
      <c r="P93" s="99" t="n">
        <f aca="false">P91+P92</f>
        <v>674.686407680941</v>
      </c>
      <c r="Q93" s="99" t="n">
        <f aca="false">Q91+Q92</f>
        <v>809.093133895167</v>
      </c>
      <c r="R93" s="99" t="n">
        <f aca="false">R91+R92</f>
        <v>1027.64729096515</v>
      </c>
      <c r="S93" s="99" t="n">
        <f aca="false">S91+S92</f>
        <v>1466.37990108619</v>
      </c>
      <c r="T93" s="99" t="n">
        <f aca="false">T91+T92</f>
        <v>2114.2850607743</v>
      </c>
      <c r="U93" s="99" t="n">
        <f aca="false">U91+U92</f>
        <v>2897.15307867053</v>
      </c>
      <c r="V93" s="99" t="n">
        <f aca="false">V91+V92</f>
        <v>3990.09354251867</v>
      </c>
      <c r="W93" s="99" t="n">
        <f aca="false">W91+W92</f>
        <v>4858.68890349615</v>
      </c>
      <c r="X93" s="99" t="n">
        <f aca="false">X91+X92</f>
        <v>5461.14268784833</v>
      </c>
      <c r="Y93" s="99" t="n">
        <f aca="false">Y91+Y92</f>
        <v>5870.73944063455</v>
      </c>
      <c r="Z93" s="99" t="n">
        <f aca="false">Z91+Z92</f>
        <v>6658.65292053369</v>
      </c>
      <c r="AA93" s="99" t="n">
        <f aca="false">AA91+AA92</f>
        <v>7439.63928343576</v>
      </c>
      <c r="AB93" s="99" t="n">
        <f aca="false">AB91+AB92</f>
        <v>8222.05892958336</v>
      </c>
      <c r="AC93" s="99" t="n">
        <f aca="false">AC91+AC92</f>
        <v>9019.28474424214</v>
      </c>
      <c r="AD93" s="99" t="n">
        <f aca="false">AD91+AD92</f>
        <v>10091.6498946445</v>
      </c>
      <c r="AE93" s="99" t="n">
        <f aca="false">AE91+AE92</f>
        <v>11190.2792566616</v>
      </c>
      <c r="AF93" s="99" t="n">
        <f aca="false">AF91+AF92</f>
        <v>11156.1058441122</v>
      </c>
      <c r="AG93" s="99" t="n">
        <f aca="false">AG91+AG92</f>
        <v>11270.5498275423</v>
      </c>
      <c r="AI93" s="99" t="n">
        <f aca="false">SUMIF($F$7:$AG$7,AI$7,$F93:$AG93)</f>
        <v>278.424178976801</v>
      </c>
      <c r="AJ93" s="99" t="n">
        <f aca="false">SUMIF($F$7:$AG$7,AJ$7,$F93:$AG93)</f>
        <v>771.130294610662</v>
      </c>
      <c r="AK93" s="99" t="n">
        <f aca="false">SUMIF($F$7:$AG$7,AK$7,$F93:$AG93)</f>
        <v>2545.56942827669</v>
      </c>
      <c r="AL93" s="99" t="n">
        <f aca="false">SUMIF($F$7:$AG$7,AL$7,$F93:$AG93)</f>
        <v>7505.46533149617</v>
      </c>
      <c r="AM93" s="99" t="n">
        <f aca="false">SUMIF($F$7:$AG$7,AM$7,$F93:$AG93)</f>
        <v>20180.6645744977</v>
      </c>
      <c r="AN93" s="99" t="n">
        <f aca="false">SUMIF($F$7:$AG$7,AN$7,$F93:$AG93)</f>
        <v>31339.635877795</v>
      </c>
      <c r="AO93" s="99" t="n">
        <f aca="false">SUMIF($F$7:$AG$7,AO$7,$F93:$AG93)</f>
        <v>43708.5848229607</v>
      </c>
    </row>
    <row r="94" customFormat="false" ht="15" hidden="false" customHeight="false" outlineLevel="0" collapsed="false">
      <c r="A94" s="3" t="s">
        <v>2118</v>
      </c>
      <c r="B94" s="22" t="s">
        <v>613</v>
      </c>
      <c r="C94" s="22" t="s">
        <v>540</v>
      </c>
      <c r="D94" s="22"/>
      <c r="F94" s="126" t="n">
        <f aca="false">IF(F$5&lt;=LastHist,INDEX(H_Rev,1,F$5),F93)</f>
        <v>11.4</v>
      </c>
      <c r="G94" s="126" t="n">
        <f aca="false">IF(G$5&lt;=LastHist,INDEX(H_Rev,1,G$5),G93)</f>
        <v>14.5</v>
      </c>
      <c r="H94" s="126" t="n">
        <f aca="false">IF(H$5&lt;=LastHist,INDEX(H_Rev,1,H$5),H93)</f>
        <v>32.1</v>
      </c>
      <c r="I94" s="126" t="n">
        <f aca="false">IF(I$5&lt;=LastHist,INDEX(H_Rev,1,I$5),I93)</f>
        <v>35.2</v>
      </c>
      <c r="J94" s="126" t="n">
        <f aca="false">IF(J$5&lt;=LastHist,INDEX(H_Rev,1,J$5),J93)</f>
        <v>50.9</v>
      </c>
      <c r="K94" s="126" t="n">
        <f aca="false">IF(K$5&lt;=LastHist,INDEX(H_Rev,1,K$5),K93)</f>
        <v>105.1</v>
      </c>
      <c r="L94" s="126" t="n">
        <f aca="false">IF(L$5&lt;=LastHist,INDEX(H_Rev,1,L$5),L93)</f>
        <v>146.1</v>
      </c>
      <c r="M94" s="126" t="n">
        <f aca="false">IF(M$5&lt;=LastHist,INDEX(H_Rev,1,M$5),M93)</f>
        <v>227.7</v>
      </c>
      <c r="N94" s="126" t="n">
        <f aca="false">IF(N$5&lt;=LastHist,INDEX(H_Rev,1,N$5),N93)</f>
        <v>399</v>
      </c>
      <c r="O94" s="126" t="n">
        <f aca="false">IF(O$5&lt;=LastHist,INDEX(H_Rev,1,O$5),O93)</f>
        <v>582.3</v>
      </c>
      <c r="P94" s="99" t="n">
        <f aca="false">IF(P$5&lt;=LastHist,INDEX(H_Rev,1,P$5),P93)</f>
        <v>674.686407680941</v>
      </c>
      <c r="Q94" s="99" t="n">
        <f aca="false">IF(Q$5&lt;=LastHist,INDEX(H_Rev,1,Q$5),Q93)</f>
        <v>809.093133895167</v>
      </c>
      <c r="R94" s="99" t="n">
        <f aca="false">IF(R$5&lt;=LastHist,INDEX(H_Rev,1,R$5),R93)</f>
        <v>1027.64729096515</v>
      </c>
      <c r="S94" s="99" t="n">
        <f aca="false">IF(S$5&lt;=LastHist,INDEX(H_Rev,1,S$5),S93)</f>
        <v>1466.37990108619</v>
      </c>
      <c r="T94" s="99" t="n">
        <f aca="false">IF(T$5&lt;=LastHist,INDEX(H_Rev,1,T$5),T93)</f>
        <v>2114.2850607743</v>
      </c>
      <c r="U94" s="99" t="n">
        <f aca="false">IF(U$5&lt;=LastHist,INDEX(H_Rev,1,U$5),U93)</f>
        <v>2897.15307867053</v>
      </c>
      <c r="V94" s="99" t="n">
        <f aca="false">IF(V$5&lt;=LastHist,INDEX(H_Rev,1,V$5),V93)</f>
        <v>3990.09354251867</v>
      </c>
      <c r="W94" s="99" t="n">
        <f aca="false">IF(W$5&lt;=LastHist,INDEX(H_Rev,1,W$5),W93)</f>
        <v>4858.68890349615</v>
      </c>
      <c r="X94" s="99" t="n">
        <f aca="false">IF(X$5&lt;=LastHist,INDEX(H_Rev,1,X$5),X93)</f>
        <v>5461.14268784833</v>
      </c>
      <c r="Y94" s="99" t="n">
        <f aca="false">IF(Y$5&lt;=LastHist,INDEX(H_Rev,1,Y$5),Y93)</f>
        <v>5870.73944063455</v>
      </c>
      <c r="Z94" s="99" t="n">
        <f aca="false">IF(Z$5&lt;=LastHist,INDEX(H_Rev,1,Z$5),Z93)</f>
        <v>6658.65292053369</v>
      </c>
      <c r="AA94" s="99" t="n">
        <f aca="false">IF(AA$5&lt;=LastHist,INDEX(H_Rev,1,AA$5),AA93)</f>
        <v>7439.63928343576</v>
      </c>
      <c r="AB94" s="99" t="n">
        <f aca="false">IF(AB$5&lt;=LastHist,INDEX(H_Rev,1,AB$5),AB93)</f>
        <v>8222.05892958336</v>
      </c>
      <c r="AC94" s="99" t="n">
        <f aca="false">IF(AC$5&lt;=LastHist,INDEX(H_Rev,1,AC$5),AC93)</f>
        <v>9019.28474424214</v>
      </c>
      <c r="AD94" s="99" t="n">
        <f aca="false">IF(AD$5&lt;=LastHist,INDEX(H_Rev,1,AD$5),AD93)</f>
        <v>10091.6498946445</v>
      </c>
      <c r="AE94" s="99" t="n">
        <f aca="false">IF(AE$5&lt;=LastHist,INDEX(H_Rev,1,AE$5),AE93)</f>
        <v>11190.2792566616</v>
      </c>
      <c r="AF94" s="99" t="n">
        <f aca="false">IF(AF$5&lt;=LastHist,INDEX(H_Rev,1,AF$5),AF93)</f>
        <v>11156.1058441122</v>
      </c>
      <c r="AG94" s="99" t="n">
        <f aca="false">IF(AG$5&lt;=LastHist,INDEX(H_Rev,1,AG$5),AG93)</f>
        <v>11270.5498275423</v>
      </c>
      <c r="AI94" s="99" t="n">
        <f aca="false">SUMIF($F$7:$AG$7,AI$7,$F94:$AG94)</f>
        <v>93.2</v>
      </c>
      <c r="AJ94" s="99" t="n">
        <f aca="false">SUMIF($F$7:$AG$7,AJ$7,$F94:$AG94)</f>
        <v>529.8</v>
      </c>
      <c r="AK94" s="99" t="n">
        <f aca="false">SUMIF($F$7:$AG$7,AK$7,$F94:$AG94)</f>
        <v>2465.07954157611</v>
      </c>
      <c r="AL94" s="99" t="n">
        <f aca="false">SUMIF($F$7:$AG$7,AL$7,$F94:$AG94)</f>
        <v>7505.46533149617</v>
      </c>
      <c r="AM94" s="99" t="n">
        <f aca="false">SUMIF($F$7:$AG$7,AM$7,$F94:$AG94)</f>
        <v>20180.6645744977</v>
      </c>
      <c r="AN94" s="99" t="n">
        <f aca="false">SUMIF($F$7:$AG$7,AN$7,$F94:$AG94)</f>
        <v>31339.635877795</v>
      </c>
      <c r="AO94" s="99" t="n">
        <f aca="false">SUMIF($F$7:$AG$7,AO$7,$F94:$AG94)</f>
        <v>43708.5848229607</v>
      </c>
    </row>
    <row r="95" customFormat="false" ht="15" hidden="false" customHeight="false" outlineLevel="0" collapsed="false">
      <c r="A95" s="107" t="s">
        <v>2119</v>
      </c>
      <c r="B95" s="22" t="s">
        <v>613</v>
      </c>
      <c r="C95" s="22" t="s">
        <v>540</v>
      </c>
      <c r="D95" s="22"/>
      <c r="F95" s="124" t="n">
        <f aca="false">IF(F$5&lt;=LastHist,INDEX(H_AIRev,1,F$5),F91)</f>
        <v>10.3</v>
      </c>
      <c r="G95" s="124" t="n">
        <f aca="false">IF(G$5&lt;=LastHist,INDEX(H_AIRev,1,G$5),G91)</f>
        <v>13.1</v>
      </c>
      <c r="H95" s="124" t="n">
        <f aca="false">IF(H$5&lt;=LastHist,INDEX(H_AIRev,1,H$5),H91)</f>
        <v>28.9</v>
      </c>
      <c r="I95" s="124" t="n">
        <f aca="false">IF(I$5&lt;=LastHist,INDEX(H_AIRev,1,I$5),I91)</f>
        <v>31.7</v>
      </c>
      <c r="J95" s="124" t="n">
        <f aca="false">IF(J$5&lt;=LastHist,INDEX(H_AIRev,1,J$5),J91)</f>
        <v>41.4</v>
      </c>
      <c r="K95" s="124" t="n">
        <f aca="false">IF(K$5&lt;=LastHist,INDEX(H_AIRev,1,K$5),K91)</f>
        <v>93.6</v>
      </c>
      <c r="L95" s="124" t="n">
        <f aca="false">IF(L$5&lt;=LastHist,INDEX(H_AIRev,1,L$5),L91)</f>
        <v>138.8</v>
      </c>
      <c r="M95" s="124" t="n">
        <f aca="false">IF(M$5&lt;=LastHist,INDEX(H_AIRev,1,M$5),M91)</f>
        <v>214.2</v>
      </c>
      <c r="N95" s="124" t="n">
        <f aca="false">IF(N$5&lt;=LastHist,INDEX(H_AIRev,1,N$5),N91)</f>
        <v>389.7</v>
      </c>
      <c r="O95" s="124" t="n">
        <f aca="false">IF(O$5&lt;=LastHist,INDEX(H_AIRev,1,O$5),O91)</f>
        <v>574.9</v>
      </c>
      <c r="P95" s="125" t="n">
        <f aca="false">IF(P$5&lt;=LastHist,INDEX(H_AIRev,1,P$5),P91)</f>
        <v>667.138407680941</v>
      </c>
      <c r="Q95" s="125" t="n">
        <f aca="false">IF(Q$5&lt;=LastHist,INDEX(H_AIRev,1,Q$5),Q91)</f>
        <v>801.394173895167</v>
      </c>
      <c r="R95" s="125" t="n">
        <f aca="false">IF(R$5&lt;=LastHist,INDEX(H_AIRev,1,R$5),R91)</f>
        <v>1019.79435176515</v>
      </c>
      <c r="S95" s="125" t="n">
        <f aca="false">IF(S$5&lt;=LastHist,INDEX(H_AIRev,1,S$5),S91)</f>
        <v>1458.36990310219</v>
      </c>
      <c r="T95" s="125" t="n">
        <f aca="false">IF(T$5&lt;=LastHist,INDEX(H_AIRev,1,T$5),T91)</f>
        <v>2106.11486283062</v>
      </c>
      <c r="U95" s="125" t="n">
        <f aca="false">IF(U$5&lt;=LastHist,INDEX(H_AIRev,1,U$5),U91)</f>
        <v>2888.81947676798</v>
      </c>
      <c r="V95" s="125" t="n">
        <f aca="false">IF(V$5&lt;=LastHist,INDEX(H_AIRev,1,V$5),V91)</f>
        <v>3981.59326857807</v>
      </c>
      <c r="W95" s="125" t="n">
        <f aca="false">IF(W$5&lt;=LastHist,INDEX(H_AIRev,1,W$5),W91)</f>
        <v>4850.01862407673</v>
      </c>
      <c r="X95" s="125" t="n">
        <f aca="false">IF(X$5&lt;=LastHist,INDEX(H_AIRev,1,X$5),X91)</f>
        <v>5452.29900284052</v>
      </c>
      <c r="Y95" s="125" t="n">
        <f aca="false">IF(Y$5&lt;=LastHist,INDEX(H_AIRev,1,Y$5),Y91)</f>
        <v>5861.71888192659</v>
      </c>
      <c r="Z95" s="125" t="n">
        <f aca="false">IF(Z$5&lt;=LastHist,INDEX(H_AIRev,1,Z$5),Z91)</f>
        <v>6649.45195065157</v>
      </c>
      <c r="AA95" s="125" t="n">
        <f aca="false">IF(AA$5&lt;=LastHist,INDEX(H_AIRev,1,AA$5),AA91)</f>
        <v>7430.25429415599</v>
      </c>
      <c r="AB95" s="125" t="n">
        <f aca="false">IF(AB$5&lt;=LastHist,INDEX(H_AIRev,1,AB$5),AB91)</f>
        <v>8212.486240518</v>
      </c>
      <c r="AC95" s="125" t="n">
        <f aca="false">IF(AC$5&lt;=LastHist,INDEX(H_AIRev,1,AC$5),AC91)</f>
        <v>9009.52060139548</v>
      </c>
      <c r="AD95" s="125" t="n">
        <f aca="false">IF(AD$5&lt;=LastHist,INDEX(H_AIRev,1,AD$5),AD91)</f>
        <v>10081.6904689409</v>
      </c>
      <c r="AE95" s="125" t="n">
        <f aca="false">IF(AE$5&lt;=LastHist,INDEX(H_AIRev,1,AE$5),AE91)</f>
        <v>11180.120642444</v>
      </c>
      <c r="AF95" s="125" t="n">
        <f aca="false">IF(AF$5&lt;=LastHist,INDEX(H_AIRev,1,AF$5),AF91)</f>
        <v>11145.7440576102</v>
      </c>
      <c r="AG95" s="125" t="n">
        <f aca="false">IF(AG$5&lt;=LastHist,INDEX(H_AIRev,1,AG$5),AG91)</f>
        <v>11259.9808053103</v>
      </c>
      <c r="AI95" s="125" t="n">
        <f aca="false">SUMIF($F$7:$AG$7,AI$7,$F95:$AG95)</f>
        <v>84</v>
      </c>
      <c r="AJ95" s="125" t="n">
        <f aca="false">SUMIF($F$7:$AG$7,AJ$7,$F95:$AG95)</f>
        <v>488</v>
      </c>
      <c r="AK95" s="125" t="n">
        <f aca="false">SUMIF($F$7:$AG$7,AK$7,$F95:$AG95)</f>
        <v>2433.13258157611</v>
      </c>
      <c r="AL95" s="125" t="n">
        <f aca="false">SUMIF($F$7:$AG$7,AL$7,$F95:$AG95)</f>
        <v>7473.09859446594</v>
      </c>
      <c r="AM95" s="125" t="n">
        <f aca="false">SUMIF($F$7:$AG$7,AM$7,$F95:$AG95)</f>
        <v>20145.6297774219</v>
      </c>
      <c r="AN95" s="125" t="n">
        <f aca="false">SUMIF($F$7:$AG$7,AN$7,$F95:$AG95)</f>
        <v>31301.713086721</v>
      </c>
      <c r="AO95" s="125" t="n">
        <f aca="false">SUMIF($F$7:$AG$7,AO$7,$F95:$AG95)</f>
        <v>43667.5359743054</v>
      </c>
    </row>
    <row r="96" customFormat="false" ht="15" hidden="false" customHeight="false" outlineLevel="0" collapsed="false">
      <c r="A96" s="107" t="s">
        <v>2120</v>
      </c>
      <c r="B96" s="22" t="s">
        <v>619</v>
      </c>
      <c r="C96" s="22" t="s">
        <v>540</v>
      </c>
      <c r="D96" s="22" t="s">
        <v>2121</v>
      </c>
      <c r="F96" s="129" t="n">
        <f aca="false">IF(F$5&lt;=LastHist,F91/INDEX(H_AIRev,1,F$5)-1,"")</f>
        <v>5.33948306464434</v>
      </c>
      <c r="G96" s="129" t="n">
        <f aca="false">IF(G$5&lt;=LastHist,G91/INDEX(H_AIRev,1,G$5)-1,"")</f>
        <v>3.98447905082723</v>
      </c>
      <c r="H96" s="129" t="n">
        <f aca="false">IF(H$5&lt;=LastHist,H91/INDEX(H_AIRev,1,H$5)-1,"")</f>
        <v>1.28422911595763</v>
      </c>
      <c r="I96" s="129" t="n">
        <f aca="false">IF(I$5&lt;=LastHist,I91/INDEX(H_AIRev,1,I$5)-1,"")</f>
        <v>1.29074468119721</v>
      </c>
      <c r="J96" s="129" t="n">
        <f aca="false">IF(J$5&lt;=LastHist,J91/INDEX(H_AIRev,1,J$5)-1,"")</f>
        <v>1.62118119524255</v>
      </c>
      <c r="K96" s="129" t="n">
        <f aca="false">IF(K$5&lt;=LastHist,K91/INDEX(H_AIRev,1,K$5)-1,"")</f>
        <v>0.514013878487354</v>
      </c>
      <c r="L96" s="129" t="n">
        <f aca="false">IF(L$5&lt;=LastHist,L91/INDEX(H_AIRev,1,L$5)-1,"")</f>
        <v>0.225841429191591</v>
      </c>
      <c r="M96" s="129" t="n">
        <f aca="false">IF(M$5&lt;=LastHist,M91/INDEX(H_AIRev,1,M$5)-1,"")</f>
        <v>0.442366497336186</v>
      </c>
      <c r="N96" s="129" t="n">
        <f aca="false">IF(N$5&lt;=LastHist,N91/INDEX(H_AIRev,1,N$5)-1,"")</f>
        <v>0.206543204261173</v>
      </c>
      <c r="O96" s="129" t="n">
        <f aca="false">IF(O$5&lt;=LastHist,O91/INDEX(H_AIRev,1,O$5)-1,"")</f>
        <v>0</v>
      </c>
      <c r="P96" s="130" t="str">
        <f aca="false">IF(P$5&lt;=LastHist,P91/INDEX(H_AIRev,1,P$5)-1,"")</f>
        <v/>
      </c>
      <c r="Q96" s="130" t="str">
        <f aca="false">IF(Q$5&lt;=LastHist,Q91/INDEX(H_AIRev,1,Q$5)-1,"")</f>
        <v/>
      </c>
      <c r="R96" s="130" t="str">
        <f aca="false">IF(R$5&lt;=LastHist,R91/INDEX(H_AIRev,1,R$5)-1,"")</f>
        <v/>
      </c>
      <c r="S96" s="130" t="str">
        <f aca="false">IF(S$5&lt;=LastHist,S91/INDEX(H_AIRev,1,S$5)-1,"")</f>
        <v/>
      </c>
      <c r="T96" s="130" t="str">
        <f aca="false">IF(T$5&lt;=LastHist,T91/INDEX(H_AIRev,1,T$5)-1,"")</f>
        <v/>
      </c>
      <c r="U96" s="130" t="str">
        <f aca="false">IF(U$5&lt;=LastHist,U91/INDEX(H_AIRev,1,U$5)-1,"")</f>
        <v/>
      </c>
      <c r="V96" s="130" t="str">
        <f aca="false">IF(V$5&lt;=LastHist,V91/INDEX(H_AIRev,1,V$5)-1,"")</f>
        <v/>
      </c>
      <c r="W96" s="130" t="str">
        <f aca="false">IF(W$5&lt;=LastHist,W91/INDEX(H_AIRev,1,W$5)-1,"")</f>
        <v/>
      </c>
      <c r="X96" s="130" t="str">
        <f aca="false">IF(X$5&lt;=LastHist,X91/INDEX(H_AIRev,1,X$5)-1,"")</f>
        <v/>
      </c>
      <c r="Y96" s="130" t="str">
        <f aca="false">IF(Y$5&lt;=LastHist,Y91/INDEX(H_AIRev,1,Y$5)-1,"")</f>
        <v/>
      </c>
      <c r="Z96" s="130" t="str">
        <f aca="false">IF(Z$5&lt;=LastHist,Z91/INDEX(H_AIRev,1,Z$5)-1,"")</f>
        <v/>
      </c>
      <c r="AA96" s="130" t="str">
        <f aca="false">IF(AA$5&lt;=LastHist,AA91/INDEX(H_AIRev,1,AA$5)-1,"")</f>
        <v/>
      </c>
      <c r="AB96" s="130" t="str">
        <f aca="false">IF(AB$5&lt;=LastHist,AB91/INDEX(H_AIRev,1,AB$5)-1,"")</f>
        <v/>
      </c>
      <c r="AC96" s="130" t="str">
        <f aca="false">IF(AC$5&lt;=LastHist,AC91/INDEX(H_AIRev,1,AC$5)-1,"")</f>
        <v/>
      </c>
      <c r="AD96" s="130" t="str">
        <f aca="false">IF(AD$5&lt;=LastHist,AD91/INDEX(H_AIRev,1,AD$5)-1,"")</f>
        <v/>
      </c>
      <c r="AE96" s="130" t="str">
        <f aca="false">IF(AE$5&lt;=LastHist,AE91/INDEX(H_AIRev,1,AE$5)-1,"")</f>
        <v/>
      </c>
      <c r="AF96" s="130" t="str">
        <f aca="false">IF(AF$5&lt;=LastHist,AF91/INDEX(H_AIRev,1,AF$5)-1,"")</f>
        <v/>
      </c>
      <c r="AG96" s="130" t="str">
        <f aca="false">IF(AG$5&lt;=LastHist,AG91/INDEX(H_AIRev,1,AG$5)-1,"")</f>
        <v/>
      </c>
    </row>
    <row r="98" customFormat="false" ht="15" hidden="false" customHeight="false" outlineLevel="0" collapsed="false">
      <c r="A98" s="58" t="s">
        <v>2122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</row>
    <row r="99" customFormat="false" ht="15" hidden="false" customHeight="false" outlineLevel="0" collapsed="false">
      <c r="A99" s="107" t="s">
        <v>2123</v>
      </c>
      <c r="B99" s="22" t="s">
        <v>619</v>
      </c>
      <c r="C99" s="22" t="s">
        <v>540</v>
      </c>
      <c r="D99" s="22"/>
      <c r="F99" s="119" t="n">
        <f aca="false">IF(F91&lt;&gt;0,F26/F91,0)</f>
        <v>0</v>
      </c>
      <c r="G99" s="119" t="n">
        <f aca="false">IF(G91&lt;&gt;0,G26/G91,0)</f>
        <v>0</v>
      </c>
      <c r="H99" s="119" t="n">
        <f aca="false">IF(H91&lt;&gt;0,H26/H91,0)</f>
        <v>0</v>
      </c>
      <c r="I99" s="119" t="n">
        <f aca="false">IF(I91&lt;&gt;0,I26/I91,0)</f>
        <v>0</v>
      </c>
      <c r="J99" s="119" t="n">
        <f aca="false">IF(J91&lt;&gt;0,J26/J91,0)</f>
        <v>0</v>
      </c>
      <c r="K99" s="119" t="n">
        <f aca="false">IF(K91&lt;&gt;0,K26/K91,0)</f>
        <v>0</v>
      </c>
      <c r="L99" s="119" t="n">
        <f aca="false">IF(L91&lt;&gt;0,L26/L91,0)</f>
        <v>0</v>
      </c>
      <c r="M99" s="119" t="n">
        <f aca="false">IF(M91&lt;&gt;0,M26/M91,0)</f>
        <v>0.155644568826438</v>
      </c>
      <c r="N99" s="119" t="n">
        <f aca="false">IF(N91&lt;&gt;0,N26/N91,0)</f>
        <v>0.358192016997038</v>
      </c>
      <c r="O99" s="119" t="n">
        <f aca="false">IF(O91&lt;&gt;0,O26/O91,0)</f>
        <v>0.460634941342456</v>
      </c>
      <c r="P99" s="25" t="n">
        <f aca="false">IF(P91&lt;&gt;0,P26/P91,0)</f>
        <v>0.494034609428809</v>
      </c>
      <c r="Q99" s="25" t="n">
        <f aca="false">IF(Q91&lt;&gt;0,Q26/Q91,0)</f>
        <v>0.527039885949643</v>
      </c>
      <c r="R99" s="25" t="n">
        <f aca="false">IF(R91&lt;&gt;0,R26/R91,0)</f>
        <v>0.459656703204382</v>
      </c>
      <c r="S99" s="25" t="n">
        <f aca="false">IF(S91&lt;&gt;0,S26/S91,0)</f>
        <v>0.380356652495711</v>
      </c>
      <c r="T99" s="25" t="n">
        <f aca="false">IF(T91&lt;&gt;0,T26/T91,0)</f>
        <v>0.386211755968156</v>
      </c>
      <c r="U99" s="25" t="n">
        <f aca="false">IF(U91&lt;&gt;0,U26/U91,0)</f>
        <v>0.439773258859676</v>
      </c>
      <c r="V99" s="25" t="n">
        <f aca="false">IF(V91&lt;&gt;0,V26/V91,0)</f>
        <v>0.387083631946098</v>
      </c>
      <c r="W99" s="25" t="n">
        <f aca="false">IF(W91&lt;&gt;0,W26/W91,0)</f>
        <v>0.332716248137539</v>
      </c>
      <c r="X99" s="25" t="n">
        <f aca="false">IF(X91&lt;&gt;0,X26/X91,0)</f>
        <v>0.295963225633684</v>
      </c>
      <c r="Y99" s="25" t="n">
        <f aca="false">IF(Y91&lt;&gt;0,Y26/Y91,0)</f>
        <v>0.275291263962769</v>
      </c>
      <c r="Z99" s="25" t="n">
        <f aca="false">IF(Z91&lt;&gt;0,Z26/Z91,0)</f>
        <v>0.242678646597616</v>
      </c>
      <c r="AA99" s="25" t="n">
        <f aca="false">IF(AA91&lt;&gt;0,AA26/AA91,0)</f>
        <v>0.217176954666166</v>
      </c>
      <c r="AB99" s="25" t="n">
        <f aca="false">IF(AB91&lt;&gt;0,AB26/AB91,0)</f>
        <v>0.196491044580212</v>
      </c>
      <c r="AC99" s="25" t="n">
        <f aca="false">IF(AC91&lt;&gt;0,AC26/AC91,0)</f>
        <v>0.179108309020356</v>
      </c>
      <c r="AD99" s="25" t="n">
        <f aca="false">IF(AD91&lt;&gt;0,AD26/AD91,0)</f>
        <v>0.160060458607744</v>
      </c>
      <c r="AE99" s="25" t="n">
        <f aca="false">IF(AE91&lt;&gt;0,AE26/AE91,0)</f>
        <v>0.14433475734366</v>
      </c>
      <c r="AF99" s="25" t="n">
        <f aca="false">IF(AF91&lt;&gt;0,AF26/AF91,0)</f>
        <v>0.144779926011148</v>
      </c>
      <c r="AG99" s="25" t="n">
        <f aca="false">IF(AG91&lt;&gt;0,AG26/AG91,0)</f>
        <v>0.135822401950067</v>
      </c>
      <c r="AI99" s="25" t="n">
        <f aca="false">IF(AI91&lt;&gt;0,AI26/AI91,0)</f>
        <v>0</v>
      </c>
      <c r="AJ99" s="25" t="n">
        <f aca="false">IF(AJ91&lt;&gt;0,AJ26/AJ91,0)</f>
        <v>0.0659332995394743</v>
      </c>
      <c r="AK99" s="25" t="n">
        <f aca="false">IF(AK91&lt;&gt;0,AK26/AK91,0)</f>
        <v>0.471508137482257</v>
      </c>
      <c r="AL99" s="25" t="n">
        <f aca="false">IF(AL91&lt;&gt;0,AL26/AL91,0)</f>
        <v>0.415796451745506</v>
      </c>
      <c r="AM99" s="25" t="n">
        <f aca="false">IF(AM91&lt;&gt;0,AM26/AM91,0)</f>
        <v>0.316805662262602</v>
      </c>
      <c r="AN99" s="25" t="n">
        <f aca="false">IF(AN91&lt;&gt;0,AN26/AN91,0)</f>
        <v>0.206209800151106</v>
      </c>
      <c r="AO99" s="25" t="n">
        <f aca="false">IF(AO91&lt;&gt;0,AO26/AO91,0)</f>
        <v>0.145884064597492</v>
      </c>
    </row>
    <row r="100" customFormat="false" ht="15" hidden="false" customHeight="false" outlineLevel="0" collapsed="false">
      <c r="A100" s="107" t="s">
        <v>2124</v>
      </c>
      <c r="B100" s="22" t="s">
        <v>619</v>
      </c>
      <c r="C100" s="22" t="s">
        <v>540</v>
      </c>
      <c r="D100" s="22"/>
      <c r="F100" s="119" t="n">
        <f aca="false">IF(F91&lt;&gt;0,F50/F91,0)</f>
        <v>0.816137690326465</v>
      </c>
      <c r="G100" s="119" t="n">
        <f aca="false">IF(G91&lt;&gt;0,G50/G91,0)</f>
        <v>0.816137690326465</v>
      </c>
      <c r="H100" s="119" t="n">
        <f aca="false">IF(H91&lt;&gt;0,H50/H91,0)</f>
        <v>0.816137690326465</v>
      </c>
      <c r="I100" s="119" t="n">
        <f aca="false">IF(I91&lt;&gt;0,I50/I91,0)</f>
        <v>0.816137690326465</v>
      </c>
      <c r="J100" s="119" t="n">
        <f aca="false">IF(J91&lt;&gt;0,J50/J91,0)</f>
        <v>0.85172878620062</v>
      </c>
      <c r="K100" s="119" t="n">
        <f aca="false">IF(K91&lt;&gt;0,K50/K91,0)</f>
        <v>0.85172878620062</v>
      </c>
      <c r="L100" s="119" t="n">
        <f aca="false">IF(L91&lt;&gt;0,L50/L91,0)</f>
        <v>0.851929459981012</v>
      </c>
      <c r="M100" s="119" t="n">
        <f aca="false">IF(M91&lt;&gt;0,M50/M91,0)</f>
        <v>0.719645361697211</v>
      </c>
      <c r="N100" s="119" t="n">
        <f aca="false">IF(N91&lt;&gt;0,N50/N91,0)</f>
        <v>0.559163511629236</v>
      </c>
      <c r="O100" s="119" t="n">
        <f aca="false">IF(O91&lt;&gt;0,O50/O91,0)</f>
        <v>0.469916518503568</v>
      </c>
      <c r="P100" s="25" t="n">
        <f aca="false">IF(P91&lt;&gt;0,P50/P91,0)</f>
        <v>0.439235798923321</v>
      </c>
      <c r="Q100" s="25" t="n">
        <f aca="false">IF(Q91&lt;&gt;0,Q50/Q91,0)</f>
        <v>0.403978325295544</v>
      </c>
      <c r="R100" s="25" t="n">
        <f aca="false">IF(R91&lt;&gt;0,R50/R91,0)</f>
        <v>0.479496541479761</v>
      </c>
      <c r="S100" s="25" t="n">
        <f aca="false">IF(S91&lt;&gt;0,S50/S91,0)</f>
        <v>0.606484803230315</v>
      </c>
      <c r="T100" s="25" t="n">
        <f aca="false">IF(T91&lt;&gt;0,T50/T91,0)</f>
        <v>0.607503823597529</v>
      </c>
      <c r="U100" s="25" t="n">
        <f aca="false">IF(U91&lt;&gt;0,U50/U91,0)</f>
        <v>0.533008151579775</v>
      </c>
      <c r="V100" s="25" t="n">
        <f aca="false">IF(V91&lt;&gt;0,V50/V91,0)</f>
        <v>0.564058700719461</v>
      </c>
      <c r="W100" s="25" t="n">
        <f aca="false">IF(W91&lt;&gt;0,W50/W91,0)</f>
        <v>0.61624552353148</v>
      </c>
      <c r="X100" s="25" t="n">
        <f aca="false">IF(X91&lt;&gt;0,X50/X91,0)</f>
        <v>0.654999719488536</v>
      </c>
      <c r="Y100" s="25" t="n">
        <f aca="false">IF(Y91&lt;&gt;0,Y50/Y91,0)</f>
        <v>0.667562566834292</v>
      </c>
      <c r="Z100" s="25" t="n">
        <f aca="false">IF(Z91&lt;&gt;0,Z50/Z91,0)</f>
        <v>0.681681792512316</v>
      </c>
      <c r="AA100" s="25" t="n">
        <f aca="false">IF(AA91&lt;&gt;0,AA50/AA91,0)</f>
        <v>0.705999867514583</v>
      </c>
      <c r="AB100" s="25" t="n">
        <f aca="false">IF(AB91&lt;&gt;0,AB50/AB91,0)</f>
        <v>0.72844806215586</v>
      </c>
      <c r="AC100" s="25" t="n">
        <f aca="false">IF(AC91&lt;&gt;0,AC50/AC91,0)</f>
        <v>0.736921021121279</v>
      </c>
      <c r="AD100" s="25" t="n">
        <f aca="false">IF(AD91&lt;&gt;0,AD50/AD91,0)</f>
        <v>0.734089939230371</v>
      </c>
      <c r="AE100" s="25" t="n">
        <f aca="false">IF(AE91&lt;&gt;0,AE50/AE91,0)</f>
        <v>0.748601136351108</v>
      </c>
      <c r="AF100" s="25" t="n">
        <f aca="false">IF(AF91&lt;&gt;0,AF50/AF91,0)</f>
        <v>0.74731065651178</v>
      </c>
      <c r="AG100" s="25" t="n">
        <f aca="false">IF(AG91&lt;&gt;0,AG50/AG91,0)</f>
        <v>0.727378621925487</v>
      </c>
      <c r="AI100" s="25" t="n">
        <f aca="false">IF(AI91&lt;&gt;0,AI50/AI91,0)</f>
        <v>0.816137690326465</v>
      </c>
      <c r="AJ100" s="25" t="n">
        <f aca="false">IF(AJ91&lt;&gt;0,AJ50/AJ91,0)</f>
        <v>0.795823145089384</v>
      </c>
      <c r="AK100" s="25" t="n">
        <f aca="false">IF(AK91&lt;&gt;0,AK50/AK91,0)</f>
        <v>0.457445378906888</v>
      </c>
      <c r="AL100" s="25" t="n">
        <f aca="false">IF(AL91&lt;&gt;0,AL50/AL91,0)</f>
        <v>0.56103959516628</v>
      </c>
      <c r="AM100" s="25" t="n">
        <f aca="false">IF(AM91&lt;&gt;0,AM50/AM91,0)</f>
        <v>0.631351471898978</v>
      </c>
      <c r="AN100" s="25" t="n">
        <f aca="false">IF(AN91&lt;&gt;0,AN50/AN91,0)</f>
        <v>0.715623570471667</v>
      </c>
      <c r="AO100" s="25" t="n">
        <f aca="false">IF(AO91&lt;&gt;0,AO50/AO91,0)</f>
        <v>0.739449123262625</v>
      </c>
    </row>
    <row r="101" customFormat="false" ht="15" hidden="false" customHeight="false" outlineLevel="0" collapsed="false">
      <c r="A101" s="107" t="s">
        <v>2125</v>
      </c>
      <c r="B101" s="22" t="s">
        <v>619</v>
      </c>
      <c r="C101" s="22" t="s">
        <v>540</v>
      </c>
      <c r="D101" s="22"/>
      <c r="F101" s="119" t="n">
        <f aca="false">IF(F91&lt;&gt;0,F51/F91,0)</f>
        <v>0.183862309673535</v>
      </c>
      <c r="G101" s="119" t="n">
        <f aca="false">IF(G91&lt;&gt;0,G51/G91,0)</f>
        <v>0.183862309673535</v>
      </c>
      <c r="H101" s="119" t="n">
        <f aca="false">IF(H91&lt;&gt;0,H51/H91,0)</f>
        <v>0.183862309673535</v>
      </c>
      <c r="I101" s="119" t="n">
        <f aca="false">IF(I91&lt;&gt;0,I51/I91,0)</f>
        <v>0.183862309673535</v>
      </c>
      <c r="J101" s="119" t="n">
        <f aca="false">IF(J91&lt;&gt;0,J51/J91,0)</f>
        <v>0.14827121379938</v>
      </c>
      <c r="K101" s="119" t="n">
        <f aca="false">IF(K91&lt;&gt;0,K51/K91,0)</f>
        <v>0.14827121379938</v>
      </c>
      <c r="L101" s="119" t="n">
        <f aca="false">IF(L91&lt;&gt;0,L51/L91,0)</f>
        <v>0.148070540018988</v>
      </c>
      <c r="M101" s="119" t="n">
        <f aca="false">IF(M91&lt;&gt;0,M51/M91,0)</f>
        <v>0.124710069476351</v>
      </c>
      <c r="N101" s="119" t="n">
        <f aca="false">IF(N91&lt;&gt;0,N51/N91,0)</f>
        <v>0.0826444713737264</v>
      </c>
      <c r="O101" s="119" t="n">
        <f aca="false">IF(O91&lt;&gt;0,O51/O91,0)</f>
        <v>0.0694485401539759</v>
      </c>
      <c r="P101" s="25" t="n">
        <f aca="false">IF(P91&lt;&gt;0,P51/P91,0)</f>
        <v>0.0667295916478699</v>
      </c>
      <c r="Q101" s="25" t="n">
        <f aca="false">IF(Q91&lt;&gt;0,Q51/Q91,0)</f>
        <v>0.0689817887548136</v>
      </c>
      <c r="R101" s="25" t="n">
        <f aca="false">IF(R91&lt;&gt;0,R51/R91,0)</f>
        <v>0.0785197561951233</v>
      </c>
      <c r="S101" s="25" t="n">
        <f aca="false">IF(S91&lt;&gt;0,S51/S91,0)</f>
        <v>0.0950605428131475</v>
      </c>
      <c r="T101" s="25" t="n">
        <f aca="false">IF(T91&lt;&gt;0,T51/T91,0)</f>
        <v>0.0939435425697911</v>
      </c>
      <c r="U101" s="25" t="n">
        <f aca="false">IF(U91&lt;&gt;0,U51/U91,0)</f>
        <v>0.0820690512787998</v>
      </c>
      <c r="V101" s="25" t="n">
        <f aca="false">IF(V91&lt;&gt;0,V51/V91,0)</f>
        <v>0.0904718404825422</v>
      </c>
      <c r="W101" s="25" t="n">
        <f aca="false">IF(W91&lt;&gt;0,W51/W91,0)</f>
        <v>0.09876870131601</v>
      </c>
      <c r="X101" s="25" t="n">
        <f aca="false">IF(X91&lt;&gt;0,X51/X91,0)</f>
        <v>0.104910965392537</v>
      </c>
      <c r="Y101" s="25" t="n">
        <f aca="false">IF(Y91&lt;&gt;0,Y51/Y91,0)</f>
        <v>0.106887282952262</v>
      </c>
      <c r="Z101" s="25" t="n">
        <f aca="false">IF(Z91&lt;&gt;0,Z51/Z91,0)</f>
        <v>0.109108130317568</v>
      </c>
      <c r="AA101" s="25" t="n">
        <f aca="false">IF(AA91&lt;&gt;0,AA51/AA91,0)</f>
        <v>0.112972385531711</v>
      </c>
      <c r="AB101" s="25" t="n">
        <f aca="false">IF(AB91&lt;&gt;0,AB51/AB91,0)</f>
        <v>0.116530081273603</v>
      </c>
      <c r="AC101" s="25" t="n">
        <f aca="false">IF(AC91&lt;&gt;0,AC51/AC91,0)</f>
        <v>0.117858553800169</v>
      </c>
      <c r="AD101" s="25" t="n">
        <f aca="false">IF(AD91&lt;&gt;0,AD51/AD91,0)</f>
        <v>0.117377235217255</v>
      </c>
      <c r="AE101" s="25" t="n">
        <f aca="false">IF(AE91&lt;&gt;0,AE51/AE91,0)</f>
        <v>0.119675373191289</v>
      </c>
      <c r="AF101" s="25" t="n">
        <f aca="false">IF(AF91&lt;&gt;0,AF51/AF91,0)</f>
        <v>0.119468788156913</v>
      </c>
      <c r="AG101" s="25" t="n">
        <f aca="false">IF(AG91&lt;&gt;0,AG51/AG91,0)</f>
        <v>0.116281479494806</v>
      </c>
      <c r="AI101" s="25" t="n">
        <f aca="false">IF(AI91&lt;&gt;0,AI51/AI91,0)</f>
        <v>0.183862309673535</v>
      </c>
      <c r="AJ101" s="25" t="n">
        <f aca="false">IF(AJ91&lt;&gt;0,AJ51/AJ91,0)</f>
        <v>0.138243555371142</v>
      </c>
      <c r="AK101" s="25" t="n">
        <f aca="false">IF(AK91&lt;&gt;0,AK51/AK91,0)</f>
        <v>0.071046483610855</v>
      </c>
      <c r="AL101" s="25" t="n">
        <f aca="false">IF(AL91&lt;&gt;0,AL51/AL91,0)</f>
        <v>0.087466530150201</v>
      </c>
      <c r="AM101" s="25" t="n">
        <f aca="false">IF(AM91&lt;&gt;0,AM51/AM91,0)</f>
        <v>0.101153515236312</v>
      </c>
      <c r="AN101" s="25" t="n">
        <f aca="false">IF(AN91&lt;&gt;0,AN51/AN91,0)</f>
        <v>0.114491292228657</v>
      </c>
      <c r="AO101" s="25" t="n">
        <f aca="false">IF(AO91&lt;&gt;0,AO51/AO91,0)</f>
        <v>0.118216925031</v>
      </c>
    </row>
    <row r="102" customFormat="false" ht="15" hidden="false" customHeight="false" outlineLevel="0" collapsed="false">
      <c r="A102" s="107" t="s">
        <v>2126</v>
      </c>
      <c r="B102" s="22" t="s">
        <v>619</v>
      </c>
      <c r="C102" s="22" t="s">
        <v>540</v>
      </c>
      <c r="D102" s="22"/>
      <c r="F102" s="119" t="n">
        <f aca="false">IF(F91&lt;&gt;0,F27/F91,0)</f>
        <v>0</v>
      </c>
      <c r="G102" s="119" t="n">
        <f aca="false">IF(G91&lt;&gt;0,G27/G91,0)</f>
        <v>0</v>
      </c>
      <c r="H102" s="119" t="n">
        <f aca="false">IF(H91&lt;&gt;0,H27/H91,0)</f>
        <v>0</v>
      </c>
      <c r="I102" s="119" t="n">
        <f aca="false">IF(I91&lt;&gt;0,I27/I91,0)</f>
        <v>0</v>
      </c>
      <c r="J102" s="119" t="n">
        <f aca="false">IF(J91&lt;&gt;0,J27/J91,0)</f>
        <v>0</v>
      </c>
      <c r="K102" s="119" t="n">
        <f aca="false">IF(K91&lt;&gt;0,K27/K91,0)</f>
        <v>0</v>
      </c>
      <c r="L102" s="119" t="n">
        <f aca="false">IF(L91&lt;&gt;0,L27/L91,0)</f>
        <v>0</v>
      </c>
      <c r="M102" s="119" t="n">
        <f aca="false">IF(M91&lt;&gt;0,M27/M91,0)</f>
        <v>0</v>
      </c>
      <c r="N102" s="119" t="n">
        <f aca="false">IF(N91&lt;&gt;0,N27/N91,0)</f>
        <v>0</v>
      </c>
      <c r="O102" s="119" t="n">
        <f aca="false">IF(O91&lt;&gt;0,O27/O91,0)</f>
        <v>0</v>
      </c>
      <c r="P102" s="25" t="n">
        <f aca="false">IF(P91&lt;&gt;0,P27/P91,0)</f>
        <v>0</v>
      </c>
      <c r="Q102" s="25" t="n">
        <f aca="false">IF(Q91&lt;&gt;0,Q27/Q91,0)</f>
        <v>0</v>
      </c>
      <c r="R102" s="25" t="n">
        <f aca="false">IF(R91&lt;&gt;0,R27/R91,0)</f>
        <v>0</v>
      </c>
      <c r="S102" s="25" t="n">
        <f aca="false">IF(S91&lt;&gt;0,S27/S91,0)</f>
        <v>0</v>
      </c>
      <c r="T102" s="25" t="n">
        <f aca="false">IF(T91&lt;&gt;0,T27/T91,0)</f>
        <v>0</v>
      </c>
      <c r="U102" s="25" t="n">
        <f aca="false">IF(U91&lt;&gt;0,U27/U91,0)</f>
        <v>0</v>
      </c>
      <c r="V102" s="25" t="n">
        <f aca="false">IF(V91&lt;&gt;0,V27/V91,0)</f>
        <v>0</v>
      </c>
      <c r="W102" s="25" t="n">
        <f aca="false">IF(W91&lt;&gt;0,W27/W91,0)</f>
        <v>0</v>
      </c>
      <c r="X102" s="25" t="n">
        <f aca="false">IF(X91&lt;&gt;0,X27/X91,0)</f>
        <v>0</v>
      </c>
      <c r="Y102" s="25" t="n">
        <f aca="false">IF(Y91&lt;&gt;0,Y27/Y91,0)</f>
        <v>0</v>
      </c>
      <c r="Z102" s="25" t="n">
        <f aca="false">IF(Z91&lt;&gt;0,Z27/Z91,0)</f>
        <v>0</v>
      </c>
      <c r="AA102" s="25" t="n">
        <f aca="false">IF(AA91&lt;&gt;0,AA27/AA91,0)</f>
        <v>0</v>
      </c>
      <c r="AB102" s="25" t="n">
        <f aca="false">IF(AB91&lt;&gt;0,AB27/AB91,0)</f>
        <v>0</v>
      </c>
      <c r="AC102" s="25" t="n">
        <f aca="false">IF(AC91&lt;&gt;0,AC27/AC91,0)</f>
        <v>0</v>
      </c>
      <c r="AD102" s="25" t="n">
        <f aca="false">IF(AD91&lt;&gt;0,AD27/AD91,0)</f>
        <v>0</v>
      </c>
      <c r="AE102" s="25" t="n">
        <f aca="false">IF(AE91&lt;&gt;0,AE27/AE91,0)</f>
        <v>0</v>
      </c>
      <c r="AF102" s="25" t="n">
        <f aca="false">IF(AF91&lt;&gt;0,AF27/AF91,0)</f>
        <v>0</v>
      </c>
      <c r="AG102" s="25" t="n">
        <f aca="false">IF(AG91&lt;&gt;0,AG27/AG91,0)</f>
        <v>0.0182854710090979</v>
      </c>
      <c r="AI102" s="25" t="n">
        <f aca="false">IF(AI91&lt;&gt;0,AI27/AI91,0)</f>
        <v>0</v>
      </c>
      <c r="AJ102" s="25" t="n">
        <f aca="false">IF(AJ91&lt;&gt;0,AJ27/AJ91,0)</f>
        <v>0</v>
      </c>
      <c r="AK102" s="25" t="n">
        <f aca="false">IF(AK91&lt;&gt;0,AK27/AK91,0)</f>
        <v>0</v>
      </c>
      <c r="AL102" s="25" t="n">
        <f aca="false">IF(AL91&lt;&gt;0,AL27/AL91,0)</f>
        <v>0</v>
      </c>
      <c r="AM102" s="25" t="n">
        <f aca="false">IF(AM91&lt;&gt;0,AM27/AM91,0)</f>
        <v>0</v>
      </c>
      <c r="AN102" s="25" t="n">
        <f aca="false">IF(AN91&lt;&gt;0,AN27/AN91,0)</f>
        <v>0</v>
      </c>
      <c r="AO102" s="25" t="n">
        <f aca="false">IF(AO91&lt;&gt;0,AO27/AO91,0)</f>
        <v>0.00471503710902422</v>
      </c>
    </row>
    <row r="103" customFormat="false" ht="15" hidden="false" customHeight="false" outlineLevel="0" collapsed="false">
      <c r="A103" s="107" t="s">
        <v>2127</v>
      </c>
      <c r="B103" s="22" t="s">
        <v>613</v>
      </c>
      <c r="C103" s="22" t="s">
        <v>540</v>
      </c>
      <c r="D103" s="22" t="s">
        <v>2128</v>
      </c>
      <c r="F103" s="124" t="n">
        <f aca="false">F50+F51</f>
        <v>65.2966755658367</v>
      </c>
      <c r="G103" s="124" t="n">
        <f aca="false">G50+G51</f>
        <v>65.2966755658367</v>
      </c>
      <c r="H103" s="124" t="n">
        <f aca="false">H50+H51</f>
        <v>66.0142214511756</v>
      </c>
      <c r="I103" s="124" t="n">
        <f aca="false">I50+I51</f>
        <v>72.6166063939516</v>
      </c>
      <c r="J103" s="124" t="n">
        <f aca="false">J50+J51</f>
        <v>108.516901483042</v>
      </c>
      <c r="K103" s="124" t="n">
        <f aca="false">K50+K51</f>
        <v>141.711699026416</v>
      </c>
      <c r="L103" s="124" t="n">
        <f aca="false">L50+L51</f>
        <v>170.146790371793</v>
      </c>
      <c r="M103" s="124" t="n">
        <f aca="false">M50+M51</f>
        <v>260.867750951633</v>
      </c>
      <c r="N103" s="124" t="n">
        <f aca="false">N50+N51</f>
        <v>301.77162281169</v>
      </c>
      <c r="O103" s="124" t="n">
        <f aca="false">O50+O51</f>
        <v>310.080972222222</v>
      </c>
      <c r="P103" s="125" t="n">
        <f aca="false">P50+P51</f>
        <v>337.54894500733</v>
      </c>
      <c r="Q103" s="125" t="n">
        <f aca="false">Q50+Q51</f>
        <v>379.02747988475</v>
      </c>
      <c r="R103" s="125" t="n">
        <f aca="false">R50+R51</f>
        <v>569.061868561749</v>
      </c>
      <c r="S103" s="125" t="n">
        <f aca="false">S50+S51</f>
        <v>1023.1126183312</v>
      </c>
      <c r="T103" s="125" t="n">
        <f aca="false">T50+T51</f>
        <v>1477.32872337838</v>
      </c>
      <c r="U103" s="125" t="n">
        <f aca="false">U50+U51</f>
        <v>1776.84700333382</v>
      </c>
      <c r="V103" s="125" t="n">
        <f aca="false">V50+V51</f>
        <v>2606.07439692865</v>
      </c>
      <c r="W103" s="125" t="n">
        <f aca="false">W50+W51</f>
        <v>3467.83230699012</v>
      </c>
      <c r="X103" s="125" t="n">
        <f aca="false">X50+X51</f>
        <v>4143.26026942493</v>
      </c>
      <c r="Y103" s="125" t="n">
        <f aca="false">Y50+Y51</f>
        <v>4539.60730759905</v>
      </c>
      <c r="Z103" s="125" t="n">
        <f aca="false">Z50+Z51</f>
        <v>5258.31959491678</v>
      </c>
      <c r="AA103" s="125" t="n">
        <f aca="false">AA50+AA51</f>
        <v>6085.17209999183</v>
      </c>
      <c r="AB103" s="125" t="n">
        <f aca="false">AB50+AB51</f>
        <v>6939.37137645291</v>
      </c>
      <c r="AC103" s="125" t="n">
        <f aca="false">AC50+AC51</f>
        <v>7701.15418990686</v>
      </c>
      <c r="AD103" s="125" t="n">
        <f aca="false">AD50+AD51</f>
        <v>8584.22849724469</v>
      </c>
      <c r="AE103" s="125" t="n">
        <f aca="false">AE50+AE51</f>
        <v>9707.43612768416</v>
      </c>
      <c r="AF103" s="125" t="n">
        <f aca="false">AF50+AF51</f>
        <v>9660.90184467477</v>
      </c>
      <c r="AG103" s="125" t="n">
        <f aca="false">AG50+AG51</f>
        <v>9499.5965481986</v>
      </c>
      <c r="AI103" s="125" t="n">
        <f aca="false">SUMIF($F$7:$AG$7,AI$7,$F103:$AG103)</f>
        <v>269.224178976801</v>
      </c>
      <c r="AJ103" s="125" t="n">
        <f aca="false">SUMIF($F$7:$AG$7,AJ$7,$F103:$AG103)</f>
        <v>681.243141832884</v>
      </c>
      <c r="AK103" s="125" t="n">
        <f aca="false">SUMIF($F$7:$AG$7,AK$7,$F103:$AG103)</f>
        <v>1328.42901992599</v>
      </c>
      <c r="AL103" s="125" t="n">
        <f aca="false">SUMIF($F$7:$AG$7,AL$7,$F103:$AG103)</f>
        <v>4846.35021360515</v>
      </c>
      <c r="AM103" s="125" t="n">
        <f aca="false">SUMIF($F$7:$AG$7,AM$7,$F103:$AG103)</f>
        <v>14756.7742809428</v>
      </c>
      <c r="AN103" s="125" t="n">
        <f aca="false">SUMIF($F$7:$AG$7,AN$7,$F103:$AG103)</f>
        <v>25984.0172612684</v>
      </c>
      <c r="AO103" s="125" t="n">
        <f aca="false">SUMIF($F$7:$AG$7,AO$7,$F103:$AG103)</f>
        <v>37452.1630178022</v>
      </c>
    </row>
    <row r="105" customFormat="false" ht="15" hidden="false" customHeight="false" outlineLevel="0" collapsed="false">
      <c r="A105" s="58" t="s">
        <v>2129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</row>
    <row r="106" customFormat="false" ht="15" hidden="false" customHeight="false" outlineLevel="0" collapsed="false">
      <c r="A106" s="0" t="s">
        <v>2130</v>
      </c>
      <c r="D106" s="22" t="s">
        <v>2131</v>
      </c>
      <c r="E106" s="5" t="n">
        <f aca="false">INDEX(H_ARR,1,LastHist)</f>
        <v>3000</v>
      </c>
    </row>
    <row r="107" customFormat="false" ht="15" hidden="false" customHeight="false" outlineLevel="0" collapsed="false">
      <c r="A107" s="0" t="s">
        <v>2132</v>
      </c>
      <c r="D107" s="22" t="s">
        <v>2133</v>
      </c>
      <c r="E107" s="5" t="n">
        <f aca="false">4*((Contracts!O35+Contracts!P35+Contracts!O40+Contracts!P40)/2+Contracts!O148)</f>
        <v>1155.90333333333</v>
      </c>
    </row>
    <row r="108" customFormat="false" ht="15" hidden="false" customHeight="false" outlineLevel="0" collapsed="false">
      <c r="A108" s="0" t="s">
        <v>2134</v>
      </c>
      <c r="D108" s="22" t="s">
        <v>2135</v>
      </c>
      <c r="E108" s="5" t="n">
        <f aca="false">4*(O50+O51+O43*O49*(ODp_H/ODq_H-1))*(O30+O31+O32)/(O33+O34+O35)</f>
        <v>1301.04530643213</v>
      </c>
    </row>
    <row r="109" customFormat="false" ht="15" hidden="false" customHeight="false" outlineLevel="0" collapsed="false">
      <c r="A109" s="0" t="s">
        <v>2136</v>
      </c>
      <c r="D109" s="22"/>
      <c r="E109" s="5" t="n">
        <f aca="false">ARR_RRa+ARR_RRbc</f>
        <v>2456.94863976546</v>
      </c>
    </row>
    <row r="110" customFormat="false" ht="15" hidden="false" customHeight="false" outlineLevel="0" collapsed="false">
      <c r="A110" s="0" t="s">
        <v>2137</v>
      </c>
      <c r="D110" s="22"/>
      <c r="E110" s="65" t="n">
        <f aca="false">ARR_RR/INDEX(MW_En,1,LastHist)</f>
        <v>13.4634921300515</v>
      </c>
    </row>
    <row r="111" customFormat="false" ht="15" hidden="false" customHeight="false" outlineLevel="0" collapsed="false">
      <c r="A111" s="0" t="s">
        <v>2138</v>
      </c>
      <c r="D111" s="22" t="s">
        <v>2139</v>
      </c>
      <c r="E111" s="5" t="n">
        <f aca="false">ARR_Rep-ARR_RR</f>
        <v>543.051360234536</v>
      </c>
    </row>
    <row r="112" customFormat="false" ht="15" hidden="false" customHeight="false" outlineLevel="0" collapsed="false">
      <c r="A112" s="0" t="s">
        <v>2140</v>
      </c>
      <c r="D112" s="22" t="s">
        <v>2141</v>
      </c>
      <c r="E112" s="5" t="n">
        <f aca="false">IFERROR(ARR_Res/ARR_RRMW,0)</f>
        <v>40.335104368829</v>
      </c>
    </row>
    <row r="113" customFormat="false" ht="15" hidden="false" customHeight="false" outlineLevel="0" collapsed="false">
      <c r="A113" s="0" t="s">
        <v>2142</v>
      </c>
      <c r="D113" s="22"/>
      <c r="E113" s="5" t="n">
        <f aca="false">ARR_Rep/12</f>
        <v>250</v>
      </c>
    </row>
    <row r="114" customFormat="false" ht="15" hidden="false" customHeight="false" outlineLevel="0" collapsed="false">
      <c r="A114" s="0" t="s">
        <v>2143</v>
      </c>
      <c r="D114" s="22"/>
      <c r="E114" s="5" t="n">
        <f aca="false">INDEX(H_AIRev,1,LastHist)/3</f>
        <v>191.633333333333</v>
      </c>
    </row>
    <row r="115" customFormat="false" ht="15" hidden="false" customHeight="false" outlineLevel="0" collapsed="false">
      <c r="A115" s="0" t="s">
        <v>2144</v>
      </c>
      <c r="D115" s="22" t="s">
        <v>2145</v>
      </c>
      <c r="E115" s="5" t="n">
        <f aca="false">ARR_JunMo-MarMo</f>
        <v>88</v>
      </c>
    </row>
    <row r="116" customFormat="false" ht="15" hidden="false" customHeight="false" outlineLevel="0" collapsed="false">
      <c r="A116" s="0" t="s">
        <v>2146</v>
      </c>
      <c r="D116" s="22" t="s">
        <v>2147</v>
      </c>
      <c r="E116" s="5" t="n">
        <f aca="false">ARR_Step*12/ACV_2026</f>
        <v>88</v>
      </c>
    </row>
    <row r="117" customFormat="false" ht="15" hidden="false" customHeight="false" outlineLevel="0" collapsed="false">
      <c r="A117" s="0" t="s">
        <v>2148</v>
      </c>
      <c r="D117" s="22" t="s">
        <v>2149</v>
      </c>
      <c r="E117" s="5" t="n">
        <f aca="false">ARR_Rep-INDEX(MW_En,1,LastHist)*ARR_RRMW_Hi</f>
        <v>536.38905</v>
      </c>
    </row>
    <row r="118" customFormat="false" ht="15" hidden="false" customHeight="false" outlineLevel="0" collapsed="false">
      <c r="A118" s="0" t="s">
        <v>2150</v>
      </c>
      <c r="D118" s="22"/>
      <c r="E118" s="5" t="n">
        <f aca="false">ARR_Rep-INDEX(MW_En,1,LastHist)*ARR_RRMW_Lo</f>
        <v>572.88699</v>
      </c>
    </row>
    <row r="119" customFormat="false" ht="15" hidden="false" customHeight="false" outlineLevel="0" collapsed="false">
      <c r="A119" s="0" t="s">
        <v>2151</v>
      </c>
      <c r="D119" s="22"/>
      <c r="E119" s="5" t="n">
        <f aca="false">ARR_Res/ARR_RRMW_Hi</f>
        <v>40.2260266840397</v>
      </c>
    </row>
    <row r="120" customFormat="false" ht="15" hidden="false" customHeight="false" outlineLevel="0" collapsed="false">
      <c r="A120" s="0" t="s">
        <v>2152</v>
      </c>
      <c r="D120" s="22" t="s">
        <v>2153</v>
      </c>
      <c r="E120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2154</v>
      </c>
    </row>
    <row r="2" customFormat="false" ht="15" hidden="false" customHeight="false" outlineLevel="0" collapsed="false">
      <c r="A2" s="22" t="s">
        <v>2155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2156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0" t="s">
        <v>2157</v>
      </c>
      <c r="F11" s="62" t="n">
        <f aca="false">4*IF(LifeOverride=0,Life_H,LifeOverride)</f>
        <v>20</v>
      </c>
      <c r="G11" s="0" t="s">
        <v>2158</v>
      </c>
      <c r="K11" s="62" t="n">
        <f aca="false">IF(ImpQ_H=0,999,ImpQ_H)</f>
        <v>999</v>
      </c>
    </row>
    <row r="12" customFormat="false" ht="15" hidden="false" customHeight="false" outlineLevel="0" collapsed="false">
      <c r="A12" s="0" t="s">
        <v>2159</v>
      </c>
      <c r="F12" s="62" t="n">
        <f aca="false">4*IF(LifeOverride=0,Life_B,LifeOverride)</f>
        <v>20</v>
      </c>
      <c r="G12" s="0" t="s">
        <v>2158</v>
      </c>
      <c r="K12" s="62" t="n">
        <f aca="false">IF(ImpQ_B=0,999,ImpQ_B)</f>
        <v>999</v>
      </c>
    </row>
    <row r="13" customFormat="false" ht="15" hidden="false" customHeight="false" outlineLevel="0" collapsed="false">
      <c r="A13" s="0" t="s">
        <v>2160</v>
      </c>
      <c r="F13" s="62" t="n">
        <f aca="false">4*IF(LifeOverride=0,Life_N,LifeOverride)</f>
        <v>20</v>
      </c>
      <c r="G13" s="0" t="s">
        <v>2158</v>
      </c>
      <c r="K13" s="62" t="n">
        <f aca="false">IF(ImpQ_N=0,999,ImpQ_N)</f>
        <v>999</v>
      </c>
    </row>
    <row r="14" customFormat="false" ht="15" hidden="false" customHeight="false" outlineLevel="0" collapsed="false">
      <c r="A14" s="0" t="s">
        <v>2161</v>
      </c>
      <c r="F14" s="62" t="n">
        <f aca="false">4*CapIntLife</f>
        <v>20</v>
      </c>
    </row>
    <row r="15" customFormat="false" ht="15" hidden="false" customHeight="false" outlineLevel="0" collapsed="false">
      <c r="A15" s="0" t="s">
        <v>2162</v>
      </c>
      <c r="F15" s="62" t="n">
        <f aca="false">4*Life_Shell</f>
        <v>80</v>
      </c>
    </row>
    <row r="16" customFormat="false" ht="15" hidden="false" customHeight="false" outlineLevel="0" collapsed="false">
      <c r="A16" s="0" t="s">
        <v>2163</v>
      </c>
      <c r="F16" s="62" t="n">
        <f aca="false">4*Life_Pow</f>
        <v>40</v>
      </c>
    </row>
    <row r="17" customFormat="false" ht="15" hidden="false" customHeight="false" outlineLevel="0" collapsed="false">
      <c r="A17" s="0" t="s">
        <v>2164</v>
      </c>
      <c r="F17" s="62" t="n">
        <f aca="false">4*Life_Maint</f>
        <v>20</v>
      </c>
    </row>
    <row r="19" customFormat="false" ht="15" hidden="false" customHeight="false" outlineLevel="0" collapsed="false">
      <c r="A19" s="58" t="s">
        <v>2165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</row>
    <row r="20" customFormat="false" ht="15" hidden="false" customHeight="false" outlineLevel="0" collapsed="false">
      <c r="A20" s="107" t="s">
        <v>2166</v>
      </c>
      <c r="B20" s="22" t="s">
        <v>664</v>
      </c>
      <c r="C20" s="22" t="s">
        <v>2023</v>
      </c>
      <c r="D20" s="22"/>
      <c r="F20" s="111" t="n">
        <f aca="false">INDEX(MW_New,1,1)</f>
        <v>0</v>
      </c>
      <c r="G20" s="111" t="n">
        <f aca="false">INDEX(MW_New,1,2)</f>
        <v>0</v>
      </c>
      <c r="H20" s="111" t="n">
        <f aca="false">INDEX(MW_New,1,3)</f>
        <v>0</v>
      </c>
      <c r="I20" s="111" t="n">
        <f aca="false">INDEX(MW_New,1,4)</f>
        <v>5</v>
      </c>
      <c r="J20" s="111" t="n">
        <f aca="false">INDEX(MW_New,1,5)</f>
        <v>20</v>
      </c>
      <c r="K20" s="111" t="n">
        <f aca="false">INDEX(MW_New,1,6)</f>
        <v>0</v>
      </c>
      <c r="L20" s="111" t="n">
        <f aca="false">INDEX(MW_New,1,7)</f>
        <v>11.36375</v>
      </c>
      <c r="M20" s="111" t="n">
        <f aca="false">INDEX(MW_New,1,8)</f>
        <v>79.2347</v>
      </c>
      <c r="N20" s="111" t="n">
        <f aca="false">INDEX(MW_New,1,9)</f>
        <v>32.66375</v>
      </c>
      <c r="O20" s="111" t="n">
        <f aca="false">INDEX(MW_New,1,10)</f>
        <v>11.5</v>
      </c>
      <c r="P20" s="33" t="n">
        <f aca="false">INDEX(MW_New,1,11)</f>
        <v>0</v>
      </c>
      <c r="Q20" s="33" t="n">
        <f aca="false">INDEX(MW_New,1,12)</f>
        <v>34.5</v>
      </c>
      <c r="R20" s="33" t="n">
        <f aca="false">INDEX(MW_New,1,13)</f>
        <v>84.7298</v>
      </c>
      <c r="S20" s="33" t="n">
        <f aca="false">INDEX(MW_New,1,14)</f>
        <v>152.07275</v>
      </c>
      <c r="T20" s="33" t="n">
        <f aca="false">INDEX(MW_New,1,15)</f>
        <v>175.74455</v>
      </c>
      <c r="U20" s="33" t="n">
        <f aca="false">INDEX(MW_New,1,16)</f>
        <v>183.0705</v>
      </c>
      <c r="V20" s="33" t="n">
        <f aca="false">INDEX(MW_New,1,17)</f>
        <v>269.3035</v>
      </c>
      <c r="W20" s="33" t="n">
        <f aca="false">INDEX(MW_New,1,18)</f>
        <v>91.0815</v>
      </c>
      <c r="X20" s="33" t="n">
        <f aca="false">INDEX(MW_New,1,19)</f>
        <v>153.4595</v>
      </c>
      <c r="Y20" s="33" t="n">
        <f aca="false">INDEX(MW_New,1,20)</f>
        <v>12.5</v>
      </c>
      <c r="Z20" s="33" t="n">
        <f aca="false">INDEX(MW_New,1,21)</f>
        <v>313.7755</v>
      </c>
      <c r="AA20" s="33" t="n">
        <f aca="false">INDEX(MW_New,1,22)</f>
        <v>0</v>
      </c>
      <c r="AB20" s="33" t="n">
        <f aca="false">INDEX(MW_New,1,23)</f>
        <v>311.094</v>
      </c>
      <c r="AC20" s="33" t="n">
        <f aca="false">INDEX(MW_New,1,24)</f>
        <v>0</v>
      </c>
      <c r="AD20" s="33" t="n">
        <f aca="false">INDEX(MW_New,1,25)</f>
        <v>445.555</v>
      </c>
      <c r="AE20" s="33" t="n">
        <f aca="false">INDEX(MW_New,1,26)</f>
        <v>0</v>
      </c>
      <c r="AF20" s="33" t="n">
        <f aca="false">INDEX(MW_New,1,27)</f>
        <v>0</v>
      </c>
      <c r="AG20" s="33" t="n">
        <f aca="false">INDEX(MW_New,1,28)</f>
        <v>0</v>
      </c>
      <c r="AI20" s="33" t="n">
        <f aca="false">SUMIF($F$7:$AG$7,AI$7,$F20:$AG20)</f>
        <v>5</v>
      </c>
      <c r="AJ20" s="33" t="n">
        <f aca="false">SUMIF($F$7:$AG$7,AJ$7,$F20:$AG20)</f>
        <v>110.59845</v>
      </c>
      <c r="AK20" s="33" t="n">
        <f aca="false">SUMIF($F$7:$AG$7,AK$7,$F20:$AG20)</f>
        <v>78.66375</v>
      </c>
      <c r="AL20" s="33" t="n">
        <f aca="false">SUMIF($F$7:$AG$7,AL$7,$F20:$AG20)</f>
        <v>595.6176</v>
      </c>
      <c r="AM20" s="33" t="n">
        <f aca="false">SUMIF($F$7:$AG$7,AM$7,$F20:$AG20)</f>
        <v>526.3445</v>
      </c>
      <c r="AN20" s="33" t="n">
        <f aca="false">SUMIF($F$7:$AG$7,AN$7,$F20:$AG20)</f>
        <v>624.8695</v>
      </c>
      <c r="AO20" s="33" t="n">
        <f aca="false">SUMIF($F$7:$AG$7,AO$7,$F20:$AG20)</f>
        <v>445.555</v>
      </c>
    </row>
    <row r="21" customFormat="false" ht="15" hidden="false" customHeight="false" outlineLevel="0" collapsed="false">
      <c r="A21" s="107" t="s">
        <v>2167</v>
      </c>
      <c r="B21" s="22" t="s">
        <v>619</v>
      </c>
      <c r="C21" s="22" t="s">
        <v>1396</v>
      </c>
      <c r="D21" s="22"/>
      <c r="F21" s="119" t="n">
        <f aca="false">INDEX(MW_OwnSh,1,1)</f>
        <v>1</v>
      </c>
      <c r="G21" s="119" t="n">
        <f aca="false">INDEX(MW_OwnSh,1,2)</f>
        <v>1</v>
      </c>
      <c r="H21" s="119" t="n">
        <f aca="false">INDEX(MW_OwnSh,1,3)</f>
        <v>1</v>
      </c>
      <c r="I21" s="119" t="n">
        <f aca="false">INDEX(MW_OwnSh,1,4)</f>
        <v>0.819673609232711</v>
      </c>
      <c r="J21" s="119" t="n">
        <f aca="false">INDEX(MW_OwnSh,1,5)</f>
        <v>0.476192970509664</v>
      </c>
      <c r="K21" s="119" t="n">
        <f aca="false">INDEX(MW_OwnSh,1,6)</f>
        <v>0.476192970509664</v>
      </c>
      <c r="L21" s="119" t="n">
        <f aca="false">INDEX(MW_OwnSh,1,7)</f>
        <v>0.576925517737398</v>
      </c>
      <c r="M21" s="119" t="n">
        <f aca="false">INDEX(MW_OwnSh,1,8)</f>
        <v>0.410759875496969</v>
      </c>
      <c r="N21" s="119" t="n">
        <f aca="false">INDEX(MW_OwnSh,1,9)</f>
        <v>0.398752088576096</v>
      </c>
      <c r="O21" s="119" t="n">
        <f aca="false">INDEX(MW_OwnSh,1,10)</f>
        <v>0.373623826440616</v>
      </c>
      <c r="P21" s="25" t="n">
        <f aca="false">INDEX(MW_OwnSh,1,11)</f>
        <v>0.314219983713513</v>
      </c>
      <c r="Q21" s="25" t="n">
        <f aca="false">INDEX(MW_OwnSh,1,12)</f>
        <v>0.225979759346015</v>
      </c>
      <c r="R21" s="25" t="n">
        <f aca="false">INDEX(MW_OwnSh,1,13)</f>
        <v>0.170653531434263</v>
      </c>
      <c r="S21" s="25" t="n">
        <f aca="false">INDEX(MW_OwnSh,1,14)</f>
        <v>0.161893633541359</v>
      </c>
      <c r="T21" s="25" t="n">
        <f aca="false">INDEX(MW_OwnSh,1,15)</f>
        <v>0.212511627695198</v>
      </c>
      <c r="U21" s="25" t="n">
        <f aca="false">INDEX(MW_OwnSh,1,16)</f>
        <v>0.300708709072874</v>
      </c>
      <c r="V21" s="25" t="n">
        <f aca="false">INDEX(MW_OwnSh,1,17)</f>
        <v>0.344351365307343</v>
      </c>
      <c r="W21" s="25" t="n">
        <f aca="false">INDEX(MW_OwnSh,1,18)</f>
        <v>0.420204488395281</v>
      </c>
      <c r="X21" s="25" t="n">
        <f aca="false">INDEX(MW_OwnSh,1,19)</f>
        <v>0.416281601772371</v>
      </c>
      <c r="Y21" s="25" t="n">
        <f aca="false">INDEX(MW_OwnSh,1,20)</f>
        <v>0.499177632026772</v>
      </c>
      <c r="Z21" s="25" t="n">
        <f aca="false">INDEX(MW_OwnSh,1,21)</f>
        <v>0.499177632026772</v>
      </c>
      <c r="AA21" s="25" t="n">
        <f aca="false">INDEX(MW_OwnSh,1,22)</f>
        <v>0.578514195767201</v>
      </c>
      <c r="AB21" s="25" t="n">
        <f aca="false">INDEX(MW_OwnSh,1,23)</f>
        <v>0.578514195767201</v>
      </c>
      <c r="AC21" s="25" t="n">
        <f aca="false">INDEX(MW_OwnSh,1,24)</f>
        <v>0.656457648396392</v>
      </c>
      <c r="AD21" s="25" t="n">
        <f aca="false">INDEX(MW_OwnSh,1,25)</f>
        <v>0.656457648396392</v>
      </c>
      <c r="AE21" s="25" t="n">
        <f aca="false">INDEX(MW_OwnSh,1,26)</f>
        <v>0.656457648396392</v>
      </c>
      <c r="AF21" s="25" t="n">
        <f aca="false">INDEX(MW_OwnSh,1,27)</f>
        <v>0.656457648396392</v>
      </c>
      <c r="AG21" s="25" t="n">
        <f aca="false">INDEX(MW_OwnSh,1,28)</f>
        <v>0.708659029686359</v>
      </c>
      <c r="AI21" s="25" t="n">
        <f aca="false">AVERAGEIF($F$7:$AG$7,AI$7,$F21:$AG21)</f>
        <v>0.954918402308178</v>
      </c>
      <c r="AJ21" s="25" t="n">
        <f aca="false">AVERAGEIF($F$7:$AG$7,AJ$7,$F21:$AG21)</f>
        <v>0.485017833563424</v>
      </c>
      <c r="AK21" s="25" t="n">
        <f aca="false">AVERAGEIF($F$7:$AG$7,AK$7,$F21:$AG21)</f>
        <v>0.32814391451906</v>
      </c>
      <c r="AL21" s="25" t="n">
        <f aca="false">AVERAGEIF($F$7:$AG$7,AL$7,$F21:$AG21)</f>
        <v>0.211441875435924</v>
      </c>
      <c r="AM21" s="25" t="n">
        <f aca="false">AVERAGEIF($F$7:$AG$7,AM$7,$F21:$AG21)</f>
        <v>0.420003771875442</v>
      </c>
      <c r="AN21" s="25" t="n">
        <f aca="false">AVERAGEIF($F$7:$AG$7,AN$7,$F21:$AG21)</f>
        <v>0.578165917989392</v>
      </c>
      <c r="AO21" s="25" t="n">
        <f aca="false">AVERAGEIF($F$7:$AG$7,AO$7,$F21:$AG21)</f>
        <v>0.669507993718884</v>
      </c>
    </row>
    <row r="22" customFormat="false" ht="15" hidden="false" customHeight="false" outlineLevel="0" collapsed="false">
      <c r="A22" s="107" t="s">
        <v>2168</v>
      </c>
      <c r="B22" s="22" t="s">
        <v>613</v>
      </c>
      <c r="C22" s="22" t="s">
        <v>604</v>
      </c>
      <c r="D22" s="22"/>
      <c r="F22" s="124" t="n">
        <f aca="false">INDEX(H_Capex,1,1)</f>
        <v>130</v>
      </c>
      <c r="G22" s="124" t="n">
        <f aca="false">INDEX(H_Capex,1,2)</f>
        <v>130</v>
      </c>
      <c r="H22" s="124" t="n">
        <f aca="false">INDEX(H_Capex,1,3)</f>
        <v>129.9</v>
      </c>
      <c r="I22" s="124" t="n">
        <f aca="false">INDEX(H_Capex,1,4)</f>
        <v>417.6</v>
      </c>
      <c r="J22" s="124" t="n">
        <f aca="false">INDEX(H_Capex,1,5)</f>
        <v>544</v>
      </c>
      <c r="K22" s="124" t="n">
        <f aca="false">INDEX(H_Capex,1,6)</f>
        <v>510.6</v>
      </c>
      <c r="L22" s="124" t="n">
        <f aca="false">INDEX(H_Capex,1,7)</f>
        <v>955.5</v>
      </c>
      <c r="M22" s="124" t="n">
        <f aca="false">INDEX(H_Capex,1,8)</f>
        <v>2056</v>
      </c>
      <c r="N22" s="124" t="n">
        <f aca="false">INDEX(H_Capex,1,9)</f>
        <v>2472.9</v>
      </c>
      <c r="O22" s="124" t="n">
        <f aca="false">INDEX(H_Capex,1,10)</f>
        <v>5657.4</v>
      </c>
      <c r="AI22" s="125" t="n">
        <f aca="false">SUMIF($F$7:$AG$7,AI$7,$F22:$AG22)</f>
        <v>807.5</v>
      </c>
      <c r="AJ22" s="125" t="n">
        <f aca="false">SUMIF($F$7:$AG$7,AJ$7,$F22:$AG22)</f>
        <v>4066.1</v>
      </c>
      <c r="AK22" s="125" t="n">
        <f aca="false">SUMIF($F$7:$AG$7,AK$7,$F22:$AG22)</f>
        <v>8130.3</v>
      </c>
      <c r="AL22" s="125" t="n">
        <f aca="false">SUMIF($F$7:$AG$7,AL$7,$F22:$AG22)</f>
        <v>0</v>
      </c>
      <c r="AM22" s="125" t="n">
        <f aca="false">SUMIF($F$7:$AG$7,AM$7,$F22:$AG22)</f>
        <v>0</v>
      </c>
      <c r="AN22" s="125" t="n">
        <f aca="false">SUMIF($F$7:$AG$7,AN$7,$F22:$AG22)</f>
        <v>0</v>
      </c>
      <c r="AO22" s="125" t="n">
        <f aca="false">SUMIF($F$7:$AG$7,AO$7,$F22:$AG22)</f>
        <v>0</v>
      </c>
    </row>
    <row r="23" customFormat="false" ht="15" hidden="false" customHeight="false" outlineLevel="0" collapsed="false">
      <c r="A23" s="107" t="s">
        <v>2169</v>
      </c>
      <c r="B23" s="22" t="s">
        <v>613</v>
      </c>
      <c r="C23" s="22" t="s">
        <v>540</v>
      </c>
      <c r="D23" s="22" t="s">
        <v>2170</v>
      </c>
      <c r="E23" s="125" t="n">
        <f aca="false">OpenGPU_H</f>
        <v>142.4</v>
      </c>
      <c r="F23" s="124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4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4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4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4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4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4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4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4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4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5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5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5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5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5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5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5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5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5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5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5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5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5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5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5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5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5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5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5" t="n">
        <f aca="false">SUMIF($F$7:$AG$7,AI$7,$F23:$AG23)</f>
        <v>646</v>
      </c>
      <c r="AJ23" s="125" t="n">
        <f aca="false">SUMIF($F$7:$AG$7,AJ$7,$F23:$AG23)</f>
        <v>1951.728</v>
      </c>
      <c r="AK23" s="125" t="n">
        <f aca="false">SUMIF($F$7:$AG$7,AK$7,$F23:$AG23)</f>
        <v>650.424</v>
      </c>
      <c r="AL23" s="125" t="n">
        <f aca="false">SUMIF($F$7:$AG$7,AL$7,$F23:$AG23)</f>
        <v>0</v>
      </c>
      <c r="AM23" s="125" t="n">
        <f aca="false">SUMIF($F$7:$AG$7,AM$7,$F23:$AG23)</f>
        <v>0</v>
      </c>
      <c r="AN23" s="125" t="n">
        <f aca="false">SUMIF($F$7:$AG$7,AN$7,$F23:$AG23)</f>
        <v>0</v>
      </c>
      <c r="AO23" s="125" t="n">
        <f aca="false">SUMIF($F$7:$AG$7,AO$7,$F23:$AG23)</f>
        <v>0</v>
      </c>
    </row>
    <row r="24" customFormat="false" ht="15" hidden="false" customHeight="false" outlineLevel="0" collapsed="false">
      <c r="A24" s="107" t="s">
        <v>2171</v>
      </c>
      <c r="B24" s="22" t="s">
        <v>613</v>
      </c>
      <c r="C24" s="22" t="s">
        <v>540</v>
      </c>
      <c r="D24" s="22" t="s">
        <v>2170</v>
      </c>
      <c r="E24" s="125" t="n">
        <f aca="false">0</f>
        <v>0</v>
      </c>
      <c r="F24" s="124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4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4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4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4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4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4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4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4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4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5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25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25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25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4184.85996495621</v>
      </c>
      <c r="T24" s="125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4891.4138554635</v>
      </c>
      <c r="U24" s="125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5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5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5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25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5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5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5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5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5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5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5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5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5" t="n">
        <f aca="false">SUMIF($F$7:$AG$7,AI$7,$F24:$AG24)</f>
        <v>0</v>
      </c>
      <c r="AJ24" s="125" t="n">
        <f aca="false">SUMIF($F$7:$AG$7,AJ$7,$F24:$AG24)</f>
        <v>1301.152</v>
      </c>
      <c r="AK24" s="125" t="n">
        <f aca="false">SUMIF($F$7:$AG$7,AK$7,$F24:$AG24)</f>
        <v>14151.3121548388</v>
      </c>
      <c r="AL24" s="125" t="n">
        <f aca="false">SUMIF($F$7:$AG$7,AL$7,$F24:$AG24)</f>
        <v>14953.8265841119</v>
      </c>
      <c r="AM24" s="125" t="n">
        <f aca="false">SUMIF($F$7:$AG$7,AM$7,$F24:$AG24)</f>
        <v>2586.63928572554</v>
      </c>
      <c r="AN24" s="125" t="n">
        <f aca="false">SUMIF($F$7:$AG$7,AN$7,$F24:$AG24)</f>
        <v>0</v>
      </c>
      <c r="AO24" s="125" t="n">
        <f aca="false">SUMIF($F$7:$AG$7,AO$7,$F24:$AG24)</f>
        <v>0</v>
      </c>
    </row>
    <row r="25" customFormat="false" ht="15" hidden="false" customHeight="false" outlineLevel="0" collapsed="false">
      <c r="A25" s="107" t="s">
        <v>2172</v>
      </c>
      <c r="B25" s="22" t="s">
        <v>613</v>
      </c>
      <c r="C25" s="22" t="s">
        <v>540</v>
      </c>
      <c r="D25" s="22" t="s">
        <v>2170</v>
      </c>
      <c r="E25" s="125" t="n">
        <f aca="false">0</f>
        <v>0</v>
      </c>
      <c r="F25" s="124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4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4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4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4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4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4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4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4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4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5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5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268.020677661185</v>
      </c>
      <c r="R25" s="125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668.729103807821</v>
      </c>
      <c r="S25" s="125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2778.4495850438</v>
      </c>
      <c r="T25" s="125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5507.27799453651</v>
      </c>
      <c r="U25" s="125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3664.86815</v>
      </c>
      <c r="V25" s="125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6153.72595</v>
      </c>
      <c r="W25" s="125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513.75</v>
      </c>
      <c r="X25" s="125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9842.87976427446</v>
      </c>
      <c r="Y25" s="125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5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12474.8694</v>
      </c>
      <c r="AA25" s="125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5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17866.7555</v>
      </c>
      <c r="AC25" s="125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5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5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5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5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5" t="n">
        <f aca="false">SUMIF($F$7:$AG$7,AI$7,$F25:$AG25)</f>
        <v>0</v>
      </c>
      <c r="AJ25" s="125" t="n">
        <f aca="false">SUMIF($F$7:$AG$7,AJ$7,$F25:$AG25)</f>
        <v>0</v>
      </c>
      <c r="AK25" s="125" t="n">
        <f aca="false">SUMIF($F$7:$AG$7,AK$7,$F25:$AG25)</f>
        <v>268.020677661185</v>
      </c>
      <c r="AL25" s="125" t="n">
        <f aca="false">SUMIF($F$7:$AG$7,AL$7,$F25:$AG25)</f>
        <v>12619.3248333881</v>
      </c>
      <c r="AM25" s="125" t="n">
        <f aca="false">SUMIF($F$7:$AG$7,AM$7,$F25:$AG25)</f>
        <v>16510.3557142745</v>
      </c>
      <c r="AN25" s="125" t="n">
        <f aca="false">SUMIF($F$7:$AG$7,AN$7,$F25:$AG25)</f>
        <v>30341.6249</v>
      </c>
      <c r="AO25" s="125" t="n">
        <f aca="false">SUMIF($F$7:$AG$7,AO$7,$F25:$AG25)</f>
        <v>0</v>
      </c>
    </row>
    <row r="26" customFormat="false" ht="15" hidden="false" customHeight="false" outlineLevel="0" collapsed="false">
      <c r="A26" s="107" t="s">
        <v>2173</v>
      </c>
      <c r="B26" s="22" t="s">
        <v>613</v>
      </c>
      <c r="C26" s="22" t="s">
        <v>540</v>
      </c>
      <c r="D26" s="22" t="s">
        <v>2174</v>
      </c>
      <c r="E26" s="125" t="n">
        <f aca="false">0</f>
        <v>0</v>
      </c>
      <c r="F26" s="124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4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4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4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4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4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4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4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4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4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5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25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25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25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25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25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25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5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25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5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25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5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25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5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5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5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5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5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5" t="n">
        <f aca="false">SUMIF($F$7:$AG$7,AI$7,$F26:$AG26)</f>
        <v>64.6</v>
      </c>
      <c r="AJ26" s="125" t="n">
        <f aca="false">SUMIF($F$7:$AG$7,AJ$7,$F26:$AG26)</f>
        <v>325.288</v>
      </c>
      <c r="AK26" s="125" t="n">
        <f aca="false">SUMIF($F$7:$AG$7,AK$7,$F26:$AG26)</f>
        <v>776.932125</v>
      </c>
      <c r="AL26" s="125" t="n">
        <f aca="false">SUMIF($F$7:$AG$7,AL$7,$F26:$AG26)</f>
        <v>1707.98625</v>
      </c>
      <c r="AM26" s="125" t="n">
        <f aca="false">SUMIF($F$7:$AG$7,AM$7,$F26:$AG26)</f>
        <v>2170.190625</v>
      </c>
      <c r="AN26" s="125" t="n">
        <f aca="false">SUMIF($F$7:$AG$7,AN$7,$F26:$AG26)</f>
        <v>1670.83125</v>
      </c>
      <c r="AO26" s="125" t="n">
        <f aca="false">SUMIF($F$7:$AG$7,AO$7,$F26:$AG26)</f>
        <v>0</v>
      </c>
    </row>
    <row r="27" customFormat="false" ht="15" hidden="false" customHeight="false" outlineLevel="0" collapsed="false">
      <c r="A27" s="107" t="s">
        <v>2175</v>
      </c>
      <c r="B27" s="22" t="s">
        <v>613</v>
      </c>
      <c r="C27" s="22" t="s">
        <v>540</v>
      </c>
      <c r="D27" s="22" t="s">
        <v>2176</v>
      </c>
      <c r="E27" s="125" t="n">
        <f aca="false">0</f>
        <v>0</v>
      </c>
      <c r="F27" s="124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4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4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4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4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4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4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4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4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4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5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25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25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25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25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25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25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5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25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5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25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5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25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5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5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5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5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5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5" t="n">
        <f aca="false">SUMIF($F$7:$AG$7,AI$7,$F27:$AG27)</f>
        <v>96.9</v>
      </c>
      <c r="AJ27" s="125" t="n">
        <f aca="false">SUMIF($F$7:$AG$7,AJ$7,$F27:$AG27)</f>
        <v>487.932</v>
      </c>
      <c r="AK27" s="125" t="n">
        <f aca="false">SUMIF($F$7:$AG$7,AK$7,$F27:$AG27)</f>
        <v>1270.821625</v>
      </c>
      <c r="AL27" s="125" t="n">
        <f aca="false">SUMIF($F$7:$AG$7,AL$7,$F27:$AG27)</f>
        <v>3985.30125</v>
      </c>
      <c r="AM27" s="125" t="n">
        <f aca="false">SUMIF($F$7:$AG$7,AM$7,$F27:$AG27)</f>
        <v>5063.778125</v>
      </c>
      <c r="AN27" s="125" t="n">
        <f aca="false">SUMIF($F$7:$AG$7,AN$7,$F27:$AG27)</f>
        <v>3898.60625</v>
      </c>
      <c r="AO27" s="125" t="n">
        <f aca="false">SUMIF($F$7:$AG$7,AO$7,$F27:$AG27)</f>
        <v>0</v>
      </c>
    </row>
    <row r="28" customFormat="false" ht="15" hidden="false" customHeight="false" outlineLevel="0" collapsed="false">
      <c r="A28" s="107" t="s">
        <v>990</v>
      </c>
      <c r="B28" s="22" t="s">
        <v>613</v>
      </c>
      <c r="C28" s="22" t="s">
        <v>540</v>
      </c>
      <c r="D28" s="22" t="s">
        <v>2177</v>
      </c>
      <c r="E28" s="125" t="n">
        <f aca="false">0</f>
        <v>0</v>
      </c>
      <c r="F28" s="124" t="n">
        <f aca="false">IF(F$5&lt;=LastHist,0,MaintPct*INDEX(Rev,1,1))</f>
        <v>0</v>
      </c>
      <c r="G28" s="124" t="n">
        <f aca="false">IF(G$5&lt;=LastHist,0,MaintPct*INDEX(Rev,1,2))</f>
        <v>0</v>
      </c>
      <c r="H28" s="124" t="n">
        <f aca="false">IF(H$5&lt;=LastHist,0,MaintPct*INDEX(Rev,1,3))</f>
        <v>0</v>
      </c>
      <c r="I28" s="124" t="n">
        <f aca="false">IF(I$5&lt;=LastHist,0,MaintPct*INDEX(Rev,1,4))</f>
        <v>0</v>
      </c>
      <c r="J28" s="124" t="n">
        <f aca="false">IF(J$5&lt;=LastHist,0,MaintPct*INDEX(Rev,1,5))</f>
        <v>0</v>
      </c>
      <c r="K28" s="124" t="n">
        <f aca="false">IF(K$5&lt;=LastHist,0,MaintPct*INDEX(Rev,1,6))</f>
        <v>0</v>
      </c>
      <c r="L28" s="124" t="n">
        <f aca="false">IF(L$5&lt;=LastHist,0,MaintPct*INDEX(Rev,1,7))</f>
        <v>0</v>
      </c>
      <c r="M28" s="124" t="n">
        <f aca="false">IF(M$5&lt;=LastHist,0,MaintPct*INDEX(Rev,1,8))</f>
        <v>0</v>
      </c>
      <c r="N28" s="124" t="n">
        <f aca="false">IF(N$5&lt;=LastHist,0,MaintPct*INDEX(Rev,1,9))</f>
        <v>0</v>
      </c>
      <c r="O28" s="124" t="n">
        <f aca="false">IF(O$5&lt;=LastHist,0,MaintPct*INDEX(Rev,1,10))</f>
        <v>0</v>
      </c>
      <c r="P28" s="125" t="n">
        <f aca="false">IF(P$5&lt;=LastHist,0,MaintPct*INDEX(Rev,1,11))</f>
        <v>13.4937281536188</v>
      </c>
      <c r="Q28" s="125" t="n">
        <f aca="false">IF(Q$5&lt;=LastHist,0,MaintPct*INDEX(Rev,1,12))</f>
        <v>16.1818626779033</v>
      </c>
      <c r="R28" s="125" t="n">
        <f aca="false">IF(R$5&lt;=LastHist,0,MaintPct*INDEX(Rev,1,13))</f>
        <v>20.552945819303</v>
      </c>
      <c r="S28" s="125" t="n">
        <f aca="false">IF(S$5&lt;=LastHist,0,MaintPct*INDEX(Rev,1,14))</f>
        <v>29.3275980217239</v>
      </c>
      <c r="T28" s="125" t="n">
        <f aca="false">IF(T$5&lt;=LastHist,0,MaintPct*INDEX(Rev,1,15))</f>
        <v>42.285701215486</v>
      </c>
      <c r="U28" s="125" t="n">
        <f aca="false">IF(U$5&lt;=LastHist,0,MaintPct*INDEX(Rev,1,16))</f>
        <v>57.9430615734106</v>
      </c>
      <c r="V28" s="125" t="n">
        <f aca="false">IF(V$5&lt;=LastHist,0,MaintPct*INDEX(Rev,1,17))</f>
        <v>79.8018708503735</v>
      </c>
      <c r="W28" s="125" t="n">
        <f aca="false">IF(W$5&lt;=LastHist,0,MaintPct*INDEX(Rev,1,18))</f>
        <v>97.173778069923</v>
      </c>
      <c r="X28" s="125" t="n">
        <f aca="false">IF(X$5&lt;=LastHist,0,MaintPct*INDEX(Rev,1,19))</f>
        <v>109.222853756967</v>
      </c>
      <c r="Y28" s="125" t="n">
        <f aca="false">IF(Y$5&lt;=LastHist,0,MaintPct*INDEX(Rev,1,20))</f>
        <v>117.414788812691</v>
      </c>
      <c r="Z28" s="125" t="n">
        <f aca="false">IF(Z$5&lt;=LastHist,0,MaintPct*INDEX(Rev,1,21))</f>
        <v>133.173058410674</v>
      </c>
      <c r="AA28" s="125" t="n">
        <f aca="false">IF(AA$5&lt;=LastHist,0,MaintPct*INDEX(Rev,1,22))</f>
        <v>148.792785668715</v>
      </c>
      <c r="AB28" s="125" t="n">
        <f aca="false">IF(AB$5&lt;=LastHist,0,MaintPct*INDEX(Rev,1,23))</f>
        <v>164.441178591667</v>
      </c>
      <c r="AC28" s="125" t="n">
        <f aca="false">IF(AC$5&lt;=LastHist,0,MaintPct*INDEX(Rev,1,24))</f>
        <v>180.385694884843</v>
      </c>
      <c r="AD28" s="125" t="n">
        <f aca="false">IF(AD$5&lt;=LastHist,0,MaintPct*INDEX(Rev,1,25))</f>
        <v>201.83299789289</v>
      </c>
      <c r="AE28" s="125" t="n">
        <f aca="false">IF(AE$5&lt;=LastHist,0,MaintPct*INDEX(Rev,1,26))</f>
        <v>223.805585133233</v>
      </c>
      <c r="AF28" s="125" t="n">
        <f aca="false">IF(AF$5&lt;=LastHist,0,MaintPct*INDEX(Rev,1,27))</f>
        <v>223.122116882245</v>
      </c>
      <c r="AG28" s="125" t="n">
        <f aca="false">IF(AG$5&lt;=LastHist,0,MaintPct*INDEX(Rev,1,28))</f>
        <v>225.410996550847</v>
      </c>
      <c r="AI28" s="125" t="n">
        <f aca="false">SUMIF($F$7:$AG$7,AI$7,$F28:$AG28)</f>
        <v>0</v>
      </c>
      <c r="AJ28" s="125" t="n">
        <f aca="false">SUMIF($F$7:$AG$7,AJ$7,$F28:$AG28)</f>
        <v>0</v>
      </c>
      <c r="AK28" s="125" t="n">
        <f aca="false">SUMIF($F$7:$AG$7,AK$7,$F28:$AG28)</f>
        <v>29.6755908315222</v>
      </c>
      <c r="AL28" s="125" t="n">
        <f aca="false">SUMIF($F$7:$AG$7,AL$7,$F28:$AG28)</f>
        <v>150.109306629923</v>
      </c>
      <c r="AM28" s="125" t="n">
        <f aca="false">SUMIF($F$7:$AG$7,AM$7,$F28:$AG28)</f>
        <v>403.613291489954</v>
      </c>
      <c r="AN28" s="125" t="n">
        <f aca="false">SUMIF($F$7:$AG$7,AN$7,$F28:$AG28)</f>
        <v>626.792717555899</v>
      </c>
      <c r="AO28" s="125" t="n">
        <f aca="false">SUMIF($F$7:$AG$7,AO$7,$F28:$AG28)</f>
        <v>874.171696459215</v>
      </c>
    </row>
    <row r="29" customFormat="false" ht="15" hidden="false" customHeight="false" outlineLevel="0" collapsed="false">
      <c r="A29" s="107" t="s">
        <v>2178</v>
      </c>
      <c r="B29" s="22" t="s">
        <v>613</v>
      </c>
      <c r="C29" s="22" t="s">
        <v>604</v>
      </c>
      <c r="D29" s="22" t="s">
        <v>2179</v>
      </c>
      <c r="F29" s="124" t="n">
        <f aca="false">IF(F$5&lt;=LastHist,0,LeasePrepayOn*LeasePrepay*IF(F$5+DCLead-EnLag&gt;LastHist,INDEX(EnNewL,1,MAX(1,MIN(28,F$5+DCLead-EnLag))),0))</f>
        <v>0</v>
      </c>
      <c r="G29" s="124" t="n">
        <f aca="false">IF(G$5&lt;=LastHist,0,LeasePrepayOn*LeasePrepay*IF(G$5+DCLead-EnLag&gt;LastHist,INDEX(EnNewL,1,MAX(1,MIN(28,G$5+DCLead-EnLag))),0))</f>
        <v>0</v>
      </c>
      <c r="H29" s="124" t="n">
        <f aca="false">IF(H$5&lt;=LastHist,0,LeasePrepayOn*LeasePrepay*IF(H$5+DCLead-EnLag&gt;LastHist,INDEX(EnNewL,1,MAX(1,MIN(28,H$5+DCLead-EnLag))),0))</f>
        <v>0</v>
      </c>
      <c r="I29" s="124" t="n">
        <f aca="false">IF(I$5&lt;=LastHist,0,LeasePrepayOn*LeasePrepay*IF(I$5+DCLead-EnLag&gt;LastHist,INDEX(EnNewL,1,MAX(1,MIN(28,I$5+DCLead-EnLag))),0))</f>
        <v>0</v>
      </c>
      <c r="J29" s="124" t="n">
        <f aca="false">IF(J$5&lt;=LastHist,0,LeasePrepayOn*LeasePrepay*IF(J$5+DCLead-EnLag&gt;LastHist,INDEX(EnNewL,1,MAX(1,MIN(28,J$5+DCLead-EnLag))),0))</f>
        <v>0</v>
      </c>
      <c r="K29" s="124" t="n">
        <f aca="false">IF(K$5&lt;=LastHist,0,LeasePrepayOn*LeasePrepay*IF(K$5+DCLead-EnLag&gt;LastHist,INDEX(EnNewL,1,MAX(1,MIN(28,K$5+DCLead-EnLag))),0))</f>
        <v>0</v>
      </c>
      <c r="L29" s="124" t="n">
        <f aca="false">IF(L$5&lt;=LastHist,0,LeasePrepayOn*LeasePrepay*IF(L$5+DCLead-EnLag&gt;LastHist,INDEX(EnNewL,1,MAX(1,MIN(28,L$5+DCLead-EnLag))),0))</f>
        <v>0</v>
      </c>
      <c r="M29" s="124" t="n">
        <f aca="false">IF(M$5&lt;=LastHist,0,LeasePrepayOn*LeasePrepay*IF(M$5+DCLead-EnLag&gt;LastHist,INDEX(EnNewL,1,MAX(1,MIN(28,M$5+DCLead-EnLag))),0))</f>
        <v>0</v>
      </c>
      <c r="N29" s="124" t="n">
        <f aca="false">IF(N$5&lt;=LastHist,0,LeasePrepayOn*LeasePrepay*IF(N$5+DCLead-EnLag&gt;LastHist,INDEX(EnNewL,1,MAX(1,MIN(28,N$5+DCLead-EnLag))),0))</f>
        <v>0</v>
      </c>
      <c r="O29" s="124" t="n">
        <f aca="false">IF(O$5&lt;=LastHist,0,LeasePrepayOn*LeasePrepay*IF(O$5+DCLead-EnLag&gt;LastHist,INDEX(EnNewL,1,MAX(1,MIN(28,O$5+DCLead-EnLag))),0))</f>
        <v>0</v>
      </c>
      <c r="P29" s="125" t="n">
        <f aca="false">IF(P$5&lt;=LastHist,0,LeasePrepayOn*LeasePrepay*IF(P$5+DCLead-EnLag&gt;LastHist,INDEX(EnNewL,1,MAX(1,MIN(28,P$5+DCLead-EnLag))),0))</f>
        <v>228.5024</v>
      </c>
      <c r="Q29" s="125" t="n">
        <f aca="false">IF(Q$5&lt;=LastHist,0,LeasePrepayOn*LeasePrepay*IF(Q$5+DCLead-EnLag&gt;LastHist,INDEX(EnNewL,1,MAX(1,MIN(28,Q$5+DCLead-EnLag))),0))</f>
        <v>242.02848</v>
      </c>
      <c r="R29" s="125" t="n">
        <f aca="false">IF(R$5&lt;=LastHist,0,LeasePrepayOn*LeasePrepay*IF(R$5+DCLead-EnLag&gt;LastHist,INDEX(EnNewL,1,MAX(1,MIN(28,R$5+DCLead-EnLag))),0))</f>
        <v>179.68</v>
      </c>
      <c r="S29" s="125" t="n">
        <f aca="false">IF(S$5&lt;=LastHist,0,LeasePrepayOn*LeasePrepay*IF(S$5+DCLead-EnLag&gt;LastHist,INDEX(EnNewL,1,MAX(1,MIN(28,S$5+DCLead-EnLag))),0))</f>
        <v>186.6432</v>
      </c>
      <c r="T29" s="125" t="n">
        <f aca="false">IF(T$5&lt;=LastHist,0,LeasePrepayOn*LeasePrepay*IF(T$5+DCLead-EnLag&gt;LastHist,INDEX(EnNewL,1,MAX(1,MIN(28,T$5+DCLead-EnLag))),0))</f>
        <v>20</v>
      </c>
      <c r="U29" s="125" t="n">
        <f aca="false">IF(U$5&lt;=LastHist,0,LeasePrepayOn*LeasePrepay*IF(U$5+DCLead-EnLag&gt;LastHist,INDEX(EnNewL,1,MAX(1,MIN(28,U$5+DCLead-EnLag))),0))</f>
        <v>0</v>
      </c>
      <c r="V29" s="125" t="n">
        <f aca="false">IF(V$5&lt;=LastHist,0,LeasePrepayOn*LeasePrepay*IF(V$5+DCLead-EnLag&gt;LastHist,INDEX(EnNewL,1,MAX(1,MIN(28,V$5+DCLead-EnLag))),0))</f>
        <v>20</v>
      </c>
      <c r="W29" s="125" t="n">
        <f aca="false">IF(W$5&lt;=LastHist,0,LeasePrepayOn*LeasePrepay*IF(W$5+DCLead-EnLag&gt;LastHist,INDEX(EnNewL,1,MAX(1,MIN(28,W$5+DCLead-EnLag))),0))</f>
        <v>73.8432</v>
      </c>
      <c r="X29" s="125" t="n">
        <f aca="false">IF(X$5&lt;=LastHist,0,LeasePrepayOn*LeasePrepay*IF(X$5+DCLead-EnLag&gt;LastHist,INDEX(EnNewL,1,MAX(1,MIN(28,X$5+DCLead-EnLag))),0))</f>
        <v>0</v>
      </c>
      <c r="Y29" s="125" t="n">
        <f aca="false">IF(Y$5&lt;=LastHist,0,LeasePrepayOn*LeasePrepay*IF(Y$5+DCLead-EnLag&gt;LastHist,INDEX(EnNewL,1,MAX(1,MIN(28,Y$5+DCLead-EnLag))),0))</f>
        <v>0</v>
      </c>
      <c r="Z29" s="125" t="n">
        <f aca="false">IF(Z$5&lt;=LastHist,0,LeasePrepayOn*LeasePrepay*IF(Z$5+DCLead-EnLag&gt;LastHist,INDEX(EnNewL,1,MAX(1,MIN(28,Z$5+DCLead-EnLag))),0))</f>
        <v>0</v>
      </c>
      <c r="AA29" s="125" t="n">
        <f aca="false">IF(AA$5&lt;=LastHist,0,LeasePrepayOn*LeasePrepay*IF(AA$5+DCLead-EnLag&gt;LastHist,INDEX(EnNewL,1,MAX(1,MIN(28,AA$5+DCLead-EnLag))),0))</f>
        <v>0</v>
      </c>
      <c r="AB29" s="125" t="n">
        <f aca="false">IF(AB$5&lt;=LastHist,0,LeasePrepayOn*LeasePrepay*IF(AB$5+DCLead-EnLag&gt;LastHist,INDEX(EnNewL,1,MAX(1,MIN(28,AB$5+DCLead-EnLag))),0))</f>
        <v>0</v>
      </c>
      <c r="AC29" s="125" t="n">
        <f aca="false">IF(AC$5&lt;=LastHist,0,LeasePrepayOn*LeasePrepay*IF(AC$5+DCLead-EnLag&gt;LastHist,INDEX(EnNewL,1,MAX(1,MIN(28,AC$5+DCLead-EnLag))),0))</f>
        <v>0</v>
      </c>
      <c r="AD29" s="125" t="n">
        <f aca="false">IF(AD$5&lt;=LastHist,0,LeasePrepayOn*LeasePrepay*IF(AD$5+DCLead-EnLag&gt;LastHist,INDEX(EnNewL,1,MAX(1,MIN(28,AD$5+DCLead-EnLag))),0))</f>
        <v>0</v>
      </c>
      <c r="AE29" s="125" t="n">
        <f aca="false">IF(AE$5&lt;=LastHist,0,LeasePrepayOn*LeasePrepay*IF(AE$5+DCLead-EnLag&gt;LastHist,INDEX(EnNewL,1,MAX(1,MIN(28,AE$5+DCLead-EnLag))),0))</f>
        <v>0</v>
      </c>
      <c r="AF29" s="125" t="n">
        <f aca="false">IF(AF$5&lt;=LastHist,0,LeasePrepayOn*LeasePrepay*IF(AF$5+DCLead-EnLag&gt;LastHist,INDEX(EnNewL,1,MAX(1,MIN(28,AF$5+DCLead-EnLag))),0))</f>
        <v>0</v>
      </c>
      <c r="AG29" s="125" t="n">
        <f aca="false">IF(AG$5&lt;=LastHist,0,LeasePrepayOn*LeasePrepay*IF(AG$5+DCLead-EnLag&gt;LastHist,INDEX(EnNewL,1,MAX(1,MIN(28,AG$5+DCLead-EnLag))),0))</f>
        <v>0</v>
      </c>
      <c r="AI29" s="125" t="n">
        <f aca="false">SUMIF($F$7:$AG$7,AI$7,$F29:$AG29)</f>
        <v>0</v>
      </c>
      <c r="AJ29" s="125" t="n">
        <f aca="false">SUMIF($F$7:$AG$7,AJ$7,$F29:$AG29)</f>
        <v>0</v>
      </c>
      <c r="AK29" s="125" t="n">
        <f aca="false">SUMIF($F$7:$AG$7,AK$7,$F29:$AG29)</f>
        <v>470.53088</v>
      </c>
      <c r="AL29" s="125" t="n">
        <f aca="false">SUMIF($F$7:$AG$7,AL$7,$F29:$AG29)</f>
        <v>386.3232</v>
      </c>
      <c r="AM29" s="125" t="n">
        <f aca="false">SUMIF($F$7:$AG$7,AM$7,$F29:$AG29)</f>
        <v>93.8432</v>
      </c>
      <c r="AN29" s="125" t="n">
        <f aca="false">SUMIF($F$7:$AG$7,AN$7,$F29:$AG29)</f>
        <v>0</v>
      </c>
      <c r="AO29" s="125" t="n">
        <f aca="false">SUMIF($F$7:$AG$7,AO$7,$F29:$AG29)</f>
        <v>0</v>
      </c>
    </row>
    <row r="30" customFormat="false" ht="15" hidden="false" customHeight="false" outlineLevel="0" collapsed="false">
      <c r="A30" s="107" t="s">
        <v>2180</v>
      </c>
      <c r="B30" s="22" t="s">
        <v>613</v>
      </c>
      <c r="C30" s="22" t="s">
        <v>540</v>
      </c>
      <c r="D30" s="22" t="s">
        <v>2181</v>
      </c>
      <c r="E30" s="125" t="n">
        <f aca="false">0</f>
        <v>0</v>
      </c>
      <c r="F30" s="124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24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24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24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24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24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24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24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24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24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25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25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25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25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25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25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25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25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25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25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25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25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25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25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25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25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25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25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25" t="n">
        <f aca="false">SUMIF($F$7:$AG$7,AI$7,$F30:$AG30)</f>
        <v>0</v>
      </c>
      <c r="AJ30" s="125" t="n">
        <f aca="false">SUMIF($F$7:$AG$7,AJ$7,$F30:$AG30)</f>
        <v>0</v>
      </c>
      <c r="AK30" s="125" t="n">
        <f aca="false">SUMIF($F$7:$AG$7,AK$7,$F30:$AG30)</f>
        <v>0</v>
      </c>
      <c r="AL30" s="125" t="n">
        <f aca="false">SUMIF($F$7:$AG$7,AL$7,$F30:$AG30)</f>
        <v>0</v>
      </c>
      <c r="AM30" s="125" t="n">
        <f aca="false">SUMIF($F$7:$AG$7,AM$7,$F30:$AG30)</f>
        <v>142.4</v>
      </c>
      <c r="AN30" s="125" t="n">
        <f aca="false">SUMIF($F$7:$AG$7,AN$7,$F30:$AG30)</f>
        <v>646</v>
      </c>
      <c r="AO30" s="125" t="n">
        <f aca="false">SUMIF($F$7:$AG$7,AO$7,$F30:$AG30)</f>
        <v>3252.88</v>
      </c>
    </row>
    <row r="31" customFormat="false" ht="15" hidden="false" customHeight="false" outlineLevel="0" collapsed="false">
      <c r="A31" s="107" t="s">
        <v>2182</v>
      </c>
      <c r="B31" s="22" t="s">
        <v>613</v>
      </c>
      <c r="C31" s="22" t="s">
        <v>626</v>
      </c>
      <c r="D31" s="22" t="s">
        <v>2183</v>
      </c>
      <c r="F31" s="124" t="n">
        <f aca="false">IF(F$5&lt;=LastHist,0,GPU_Resid*F30*(1-TaxRate))</f>
        <v>0</v>
      </c>
      <c r="G31" s="124" t="n">
        <f aca="false">IF(G$5&lt;=LastHist,0,GPU_Resid*G30*(1-TaxRate))</f>
        <v>0</v>
      </c>
      <c r="H31" s="124" t="n">
        <f aca="false">IF(H$5&lt;=LastHist,0,GPU_Resid*H30*(1-TaxRate))</f>
        <v>0</v>
      </c>
      <c r="I31" s="124" t="n">
        <f aca="false">IF(I$5&lt;=LastHist,0,GPU_Resid*I30*(1-TaxRate))</f>
        <v>0</v>
      </c>
      <c r="J31" s="124" t="n">
        <f aca="false">IF(J$5&lt;=LastHist,0,GPU_Resid*J30*(1-TaxRate))</f>
        <v>0</v>
      </c>
      <c r="K31" s="124" t="n">
        <f aca="false">IF(K$5&lt;=LastHist,0,GPU_Resid*K30*(1-TaxRate))</f>
        <v>0</v>
      </c>
      <c r="L31" s="124" t="n">
        <f aca="false">IF(L$5&lt;=LastHist,0,GPU_Resid*L30*(1-TaxRate))</f>
        <v>0</v>
      </c>
      <c r="M31" s="124" t="n">
        <f aca="false">IF(M$5&lt;=LastHist,0,GPU_Resid*M30*(1-TaxRate))</f>
        <v>0</v>
      </c>
      <c r="N31" s="124" t="n">
        <f aca="false">IF(N$5&lt;=LastHist,0,GPU_Resid*N30*(1-TaxRate))</f>
        <v>0</v>
      </c>
      <c r="O31" s="124" t="n">
        <f aca="false">IF(O$5&lt;=LastHist,0,GPU_Resid*O30*(1-TaxRate))</f>
        <v>0</v>
      </c>
      <c r="P31" s="125" t="n">
        <f aca="false">IF(P$5&lt;=LastHist,0,GPU_Resid*P30*(1-TaxRate))</f>
        <v>0</v>
      </c>
      <c r="Q31" s="125" t="n">
        <f aca="false">IF(Q$5&lt;=LastHist,0,GPU_Resid*Q30*(1-TaxRate))</f>
        <v>0</v>
      </c>
      <c r="R31" s="125" t="n">
        <f aca="false">IF(R$5&lt;=LastHist,0,GPU_Resid*R30*(1-TaxRate))</f>
        <v>0</v>
      </c>
      <c r="S31" s="125" t="n">
        <f aca="false">IF(S$5&lt;=LastHist,0,GPU_Resid*S30*(1-TaxRate))</f>
        <v>0</v>
      </c>
      <c r="T31" s="125" t="n">
        <f aca="false">IF(T$5&lt;=LastHist,0,GPU_Resid*T30*(1-TaxRate))</f>
        <v>0</v>
      </c>
      <c r="U31" s="125" t="n">
        <f aca="false">IF(U$5&lt;=LastHist,0,GPU_Resid*U30*(1-TaxRate))</f>
        <v>0</v>
      </c>
      <c r="V31" s="125" t="n">
        <f aca="false">IF(V$5&lt;=LastHist,0,GPU_Resid*V30*(1-TaxRate))</f>
        <v>0</v>
      </c>
      <c r="W31" s="125" t="n">
        <f aca="false">IF(W$5&lt;=LastHist,0,GPU_Resid*W30*(1-TaxRate))</f>
        <v>0</v>
      </c>
      <c r="X31" s="125" t="n">
        <f aca="false">IF(X$5&lt;=LastHist,0,GPU_Resid*X30*(1-TaxRate))</f>
        <v>0</v>
      </c>
      <c r="Y31" s="125" t="n">
        <f aca="false">IF(Y$5&lt;=LastHist,0,GPU_Resid*Y30*(1-TaxRate))</f>
        <v>15.84912</v>
      </c>
      <c r="Z31" s="125" t="n">
        <f aca="false">IF(Z$5&lt;=LastHist,0,GPU_Resid*Z30*(1-TaxRate))</f>
        <v>11.5752</v>
      </c>
      <c r="AA31" s="125" t="n">
        <f aca="false">IF(AA$5&lt;=LastHist,0,GPU_Resid*AA30*(1-TaxRate))</f>
        <v>11.5752</v>
      </c>
      <c r="AB31" s="125" t="n">
        <f aca="false">IF(AB$5&lt;=LastHist,0,GPU_Resid*AB30*(1-TaxRate))</f>
        <v>11.566296</v>
      </c>
      <c r="AC31" s="125" t="n">
        <f aca="false">IF(AC$5&lt;=LastHist,0,GPU_Resid*AC30*(1-TaxRate))</f>
        <v>37.183104</v>
      </c>
      <c r="AD31" s="125" t="n">
        <f aca="false">IF(AD$5&lt;=LastHist,0,GPU_Resid*AD30*(1-TaxRate))</f>
        <v>48.43776</v>
      </c>
      <c r="AE31" s="125" t="n">
        <f aca="false">IF(AE$5&lt;=LastHist,0,GPU_Resid*AE30*(1-TaxRate))</f>
        <v>45.463824</v>
      </c>
      <c r="AF31" s="125" t="n">
        <f aca="false">IF(AF$5&lt;=LastHist,0,GPU_Resid*AF30*(1-TaxRate))</f>
        <v>85.07772</v>
      </c>
      <c r="AG31" s="125" t="n">
        <f aca="false">IF(AG$5&lt;=LastHist,0,GPU_Resid*AG30*(1-TaxRate))</f>
        <v>183.06624</v>
      </c>
      <c r="AI31" s="125" t="n">
        <f aca="false">SUMIF($F$7:$AG$7,AI$7,$F31:$AG31)</f>
        <v>0</v>
      </c>
      <c r="AJ31" s="125" t="n">
        <f aca="false">SUMIF($F$7:$AG$7,AJ$7,$F31:$AG31)</f>
        <v>0</v>
      </c>
      <c r="AK31" s="125" t="n">
        <f aca="false">SUMIF($F$7:$AG$7,AK$7,$F31:$AG31)</f>
        <v>0</v>
      </c>
      <c r="AL31" s="125" t="n">
        <f aca="false">SUMIF($F$7:$AG$7,AL$7,$F31:$AG31)</f>
        <v>0</v>
      </c>
      <c r="AM31" s="125" t="n">
        <f aca="false">SUMIF($F$7:$AG$7,AM$7,$F31:$AG31)</f>
        <v>15.84912</v>
      </c>
      <c r="AN31" s="125" t="n">
        <f aca="false">SUMIF($F$7:$AG$7,AN$7,$F31:$AG31)</f>
        <v>71.8998</v>
      </c>
      <c r="AO31" s="125" t="n">
        <f aca="false">SUMIF($F$7:$AG$7,AO$7,$F31:$AG31)</f>
        <v>362.045544</v>
      </c>
    </row>
    <row r="32" customFormat="false" ht="15" hidden="false" customHeight="false" outlineLevel="0" collapsed="false">
      <c r="A32" s="107" t="s">
        <v>2184</v>
      </c>
      <c r="B32" s="22" t="s">
        <v>613</v>
      </c>
      <c r="C32" s="22" t="s">
        <v>540</v>
      </c>
      <c r="D32" s="22"/>
      <c r="F32" s="124" t="n">
        <f aca="false">F23+F24+F25+F26+F27+F28+F30+F29</f>
        <v>130</v>
      </c>
      <c r="G32" s="124" t="n">
        <f aca="false">G23+G24+G25+G26+G27+G28+G30+G29</f>
        <v>130</v>
      </c>
      <c r="H32" s="124" t="n">
        <f aca="false">H23+H24+H25+H26+H27+H28+H30+H29</f>
        <v>129.9</v>
      </c>
      <c r="I32" s="124" t="n">
        <f aca="false">I23+I24+I25+I26+I27+I28+I30+I29</f>
        <v>417.6</v>
      </c>
      <c r="J32" s="124" t="n">
        <f aca="false">J23+J24+J25+J26+J27+J28+J30+J29</f>
        <v>544</v>
      </c>
      <c r="K32" s="124" t="n">
        <f aca="false">K23+K24+K25+K26+K27+K28+K30+K29</f>
        <v>510.6</v>
      </c>
      <c r="L32" s="124" t="n">
        <f aca="false">L23+L24+L25+L26+L27+L28+L30+L29</f>
        <v>955.5</v>
      </c>
      <c r="M32" s="124" t="n">
        <f aca="false">M23+M24+M25+M26+M27+M28+M30+M29</f>
        <v>2056</v>
      </c>
      <c r="N32" s="124" t="n">
        <f aca="false">N23+N24+N25+N26+N27+N28+N30+N29</f>
        <v>2472.9</v>
      </c>
      <c r="O32" s="124" t="n">
        <f aca="false">O23+O24+O25+O26+O27+O28+O30+O29</f>
        <v>5657.4</v>
      </c>
      <c r="P32" s="125" t="n">
        <f aca="false">P23+P24+P25+P26+P27+P28+P30+P29</f>
        <v>3411.23910315362</v>
      </c>
      <c r="Q32" s="125" t="n">
        <f aca="false">Q23+Q24+Q25+Q26+Q27+Q28+Q30+Q29</f>
        <v>6076.17795017791</v>
      </c>
      <c r="R32" s="125" t="n">
        <f aca="false">R23+R24+R25+R26+R27+R28+R30+R29</f>
        <v>7631.1460633193</v>
      </c>
      <c r="S32" s="125" t="n">
        <f aca="false">S23+S24+S25+S26+S27+S28+S30+S29</f>
        <v>9087.42409802173</v>
      </c>
      <c r="T32" s="125" t="n">
        <f aca="false">T23+T24+T25+T26+T27+T28+T30+T29</f>
        <v>11443.2463012155</v>
      </c>
      <c r="U32" s="125" t="n">
        <f aca="false">U23+U24+U25+U26+U27+U28+U30+U29</f>
        <v>5641.05496157341</v>
      </c>
      <c r="V32" s="125" t="n">
        <f aca="false">V23+V24+V25+V26+V27+V28+V30+V29</f>
        <v>6253.52782085037</v>
      </c>
      <c r="W32" s="125" t="n">
        <f aca="false">W23+W24+W25+W26+W27+W28+W30+W29</f>
        <v>4030.06072806992</v>
      </c>
      <c r="X32" s="125" t="n">
        <f aca="false">X23+X24+X25+X26+X27+X28+X30+X29</f>
        <v>12538.741903757</v>
      </c>
      <c r="Y32" s="125" t="n">
        <f aca="false">Y23+Y24+Y25+Y26+Y27+Y28+Y30+Y29</f>
        <v>4148.48978881269</v>
      </c>
      <c r="Z32" s="125" t="n">
        <f aca="false">Z23+Z24+Z25+Z26+Z27+Z28+Z30+Z29</f>
        <v>12712.0424584107</v>
      </c>
      <c r="AA32" s="125" t="n">
        <f aca="false">AA23+AA24+AA25+AA26+AA27+AA28+AA30+AA29</f>
        <v>5822.23028566871</v>
      </c>
      <c r="AB32" s="125" t="n">
        <f aca="false">AB23+AB24+AB25+AB26+AB27+AB28+AB30+AB29</f>
        <v>18135.1166785917</v>
      </c>
      <c r="AC32" s="125" t="n">
        <f aca="false">AC23+AC24+AC25+AC26+AC27+AC28+AC30+AC29</f>
        <v>514.465694884843</v>
      </c>
      <c r="AD32" s="125" t="n">
        <f aca="false">AD23+AD24+AD25+AD26+AD27+AD28+AD30+AD29</f>
        <v>637.03299789289</v>
      </c>
      <c r="AE32" s="125" t="n">
        <f aca="false">AE23+AE24+AE25+AE26+AE27+AE28+AE30+AE29</f>
        <v>632.285585133233</v>
      </c>
      <c r="AF32" s="125" t="n">
        <f aca="false">AF23+AF24+AF25+AF26+AF27+AF28+AF30+AF29</f>
        <v>987.522116882245</v>
      </c>
      <c r="AG32" s="125" t="n">
        <f aca="false">AG23+AG24+AG25+AG26+AG27+AG28+AG30+AG29</f>
        <v>1870.21099655085</v>
      </c>
      <c r="AI32" s="125" t="n">
        <f aca="false">SUMIF($F$7:$AG$7,AI$7,$F32:$AG32)</f>
        <v>807.5</v>
      </c>
      <c r="AJ32" s="125" t="n">
        <f aca="false">SUMIF($F$7:$AG$7,AJ$7,$F32:$AG32)</f>
        <v>4066.1</v>
      </c>
      <c r="AK32" s="125" t="n">
        <f aca="false">SUMIF($F$7:$AG$7,AK$7,$F32:$AG32)</f>
        <v>17617.7170533315</v>
      </c>
      <c r="AL32" s="125" t="n">
        <f aca="false">SUMIF($F$7:$AG$7,AL$7,$F32:$AG32)</f>
        <v>33802.8714241299</v>
      </c>
      <c r="AM32" s="125" t="n">
        <f aca="false">SUMIF($F$7:$AG$7,AM$7,$F32:$AG32)</f>
        <v>26970.82024149</v>
      </c>
      <c r="AN32" s="125" t="n">
        <f aca="false">SUMIF($F$7:$AG$7,AN$7,$F32:$AG32)</f>
        <v>37183.8551175559</v>
      </c>
      <c r="AO32" s="125" t="n">
        <f aca="false">SUMIF($F$7:$AG$7,AO$7,$F32:$AG32)</f>
        <v>4127.05169645922</v>
      </c>
    </row>
    <row r="33" customFormat="false" ht="15" hidden="false" customHeight="false" outlineLevel="0" collapsed="false">
      <c r="A33" s="107" t="s">
        <v>2185</v>
      </c>
      <c r="B33" s="22" t="s">
        <v>613</v>
      </c>
      <c r="C33" s="22" t="s">
        <v>551</v>
      </c>
      <c r="D33" s="22" t="s">
        <v>2186</v>
      </c>
      <c r="F33" s="124" t="n">
        <f aca="false">IF(AND(CapexMode=1,F$7=2027,F$5&gt;LastHist),INDEX(Cons_Cx,1,2027-FYBase)/4-F32,0)</f>
        <v>0</v>
      </c>
      <c r="G33" s="124" t="n">
        <f aca="false">IF(AND(CapexMode=1,G$7=2027,G$5&gt;LastHist),INDEX(Cons_Cx,1,2027-FYBase)/4-G32,0)</f>
        <v>0</v>
      </c>
      <c r="H33" s="124" t="n">
        <f aca="false">IF(AND(CapexMode=1,H$7=2027,H$5&gt;LastHist),INDEX(Cons_Cx,1,2027-FYBase)/4-H32,0)</f>
        <v>0</v>
      </c>
      <c r="I33" s="124" t="n">
        <f aca="false">IF(AND(CapexMode=1,I$7=2027,I$5&gt;LastHist),INDEX(Cons_Cx,1,2027-FYBase)/4-I32,0)</f>
        <v>0</v>
      </c>
      <c r="J33" s="124" t="n">
        <f aca="false">IF(AND(CapexMode=1,J$7=2027,J$5&gt;LastHist),INDEX(Cons_Cx,1,2027-FYBase)/4-J32,0)</f>
        <v>0</v>
      </c>
      <c r="K33" s="124" t="n">
        <f aca="false">IF(AND(CapexMode=1,K$7=2027,K$5&gt;LastHist),INDEX(Cons_Cx,1,2027-FYBase)/4-K32,0)</f>
        <v>0</v>
      </c>
      <c r="L33" s="124" t="n">
        <f aca="false">IF(AND(CapexMode=1,L$7=2027,L$5&gt;LastHist),INDEX(Cons_Cx,1,2027-FYBase)/4-L32,0)</f>
        <v>0</v>
      </c>
      <c r="M33" s="124" t="n">
        <f aca="false">IF(AND(CapexMode=1,M$7=2027,M$5&gt;LastHist),INDEX(Cons_Cx,1,2027-FYBase)/4-M32,0)</f>
        <v>0</v>
      </c>
      <c r="N33" s="124" t="n">
        <f aca="false">IF(AND(CapexMode=1,N$7=2027,N$5&gt;LastHist),INDEX(Cons_Cx,1,2027-FYBase)/4-N32,0)</f>
        <v>0</v>
      </c>
      <c r="O33" s="124" t="n">
        <f aca="false">IF(AND(CapexMode=1,O$7=2027,O$5&gt;LastHist),INDEX(Cons_Cx,1,2027-FYBase)/4-O32,0)</f>
        <v>0</v>
      </c>
      <c r="P33" s="125" t="n">
        <f aca="false">IF(AND(CapexMode=1,P$7=2027,P$5&gt;LastHist),INDEX(Cons_Cx,1,2027-FYBase)/4-P32,0)</f>
        <v>0</v>
      </c>
      <c r="Q33" s="125" t="n">
        <f aca="false">IF(AND(CapexMode=1,Q$7=2027,Q$5&gt;LastHist),INDEX(Cons_Cx,1,2027-FYBase)/4-Q32,0)</f>
        <v>0</v>
      </c>
      <c r="R33" s="125" t="n">
        <f aca="false">IF(AND(CapexMode=1,R$7=2027,R$5&gt;LastHist),INDEX(Cons_Cx,1,2027-FYBase)/4-R32,0)</f>
        <v>0</v>
      </c>
      <c r="S33" s="125" t="n">
        <f aca="false">IF(AND(CapexMode=1,S$7=2027,S$5&gt;LastHist),INDEX(Cons_Cx,1,2027-FYBase)/4-S32,0)</f>
        <v>0</v>
      </c>
      <c r="T33" s="125" t="n">
        <f aca="false">IF(AND(CapexMode=1,T$7=2027,T$5&gt;LastHist),INDEX(Cons_Cx,1,2027-FYBase)/4-T32,0)</f>
        <v>0</v>
      </c>
      <c r="U33" s="125" t="n">
        <f aca="false">IF(AND(CapexMode=1,U$7=2027,U$5&gt;LastHist),INDEX(Cons_Cx,1,2027-FYBase)/4-U32,0)</f>
        <v>0</v>
      </c>
      <c r="V33" s="125" t="n">
        <f aca="false">IF(AND(CapexMode=1,V$7=2027,V$5&gt;LastHist),INDEX(Cons_Cx,1,2027-FYBase)/4-V32,0)</f>
        <v>0</v>
      </c>
      <c r="W33" s="125" t="n">
        <f aca="false">IF(AND(CapexMode=1,W$7=2027,W$5&gt;LastHist),INDEX(Cons_Cx,1,2027-FYBase)/4-W32,0)</f>
        <v>0</v>
      </c>
      <c r="X33" s="125" t="n">
        <f aca="false">IF(AND(CapexMode=1,X$7=2027,X$5&gt;LastHist),INDEX(Cons_Cx,1,2027-FYBase)/4-X32,0)</f>
        <v>0</v>
      </c>
      <c r="Y33" s="125" t="n">
        <f aca="false">IF(AND(CapexMode=1,Y$7=2027,Y$5&gt;LastHist),INDEX(Cons_Cx,1,2027-FYBase)/4-Y32,0)</f>
        <v>0</v>
      </c>
      <c r="Z33" s="125" t="n">
        <f aca="false">IF(AND(CapexMode=1,Z$7=2027,Z$5&gt;LastHist),INDEX(Cons_Cx,1,2027-FYBase)/4-Z32,0)</f>
        <v>0</v>
      </c>
      <c r="AA33" s="125" t="n">
        <f aca="false">IF(AND(CapexMode=1,AA$7=2027,AA$5&gt;LastHist),INDEX(Cons_Cx,1,2027-FYBase)/4-AA32,0)</f>
        <v>0</v>
      </c>
      <c r="AB33" s="125" t="n">
        <f aca="false">IF(AND(CapexMode=1,AB$7=2027,AB$5&gt;LastHist),INDEX(Cons_Cx,1,2027-FYBase)/4-AB32,0)</f>
        <v>0</v>
      </c>
      <c r="AC33" s="125" t="n">
        <f aca="false">IF(AND(CapexMode=1,AC$7=2027,AC$5&gt;LastHist),INDEX(Cons_Cx,1,2027-FYBase)/4-AC32,0)</f>
        <v>0</v>
      </c>
      <c r="AD33" s="125" t="n">
        <f aca="false">IF(AND(CapexMode=1,AD$7=2027,AD$5&gt;LastHist),INDEX(Cons_Cx,1,2027-FYBase)/4-AD32,0)</f>
        <v>0</v>
      </c>
      <c r="AE33" s="125" t="n">
        <f aca="false">IF(AND(CapexMode=1,AE$7=2027,AE$5&gt;LastHist),INDEX(Cons_Cx,1,2027-FYBase)/4-AE32,0)</f>
        <v>0</v>
      </c>
      <c r="AF33" s="125" t="n">
        <f aca="false">IF(AND(CapexMode=1,AF$7=2027,AF$5&gt;LastHist),INDEX(Cons_Cx,1,2027-FYBase)/4-AF32,0)</f>
        <v>0</v>
      </c>
      <c r="AG33" s="125" t="n">
        <f aca="false">IF(AND(CapexMode=1,AG$7=2027,AG$5&gt;LastHist),INDEX(Cons_Cx,1,2027-FYBase)/4-AG32,0)</f>
        <v>0</v>
      </c>
      <c r="AI33" s="125" t="n">
        <f aca="false">SUMIF($F$7:$AG$7,AI$7,$F33:$AG33)</f>
        <v>0</v>
      </c>
      <c r="AJ33" s="125" t="n">
        <f aca="false">SUMIF($F$7:$AG$7,AJ$7,$F33:$AG33)</f>
        <v>0</v>
      </c>
      <c r="AK33" s="125" t="n">
        <f aca="false">SUMIF($F$7:$AG$7,AK$7,$F33:$AG33)</f>
        <v>0</v>
      </c>
      <c r="AL33" s="125" t="n">
        <f aca="false">SUMIF($F$7:$AG$7,AL$7,$F33:$AG33)</f>
        <v>0</v>
      </c>
      <c r="AM33" s="125" t="n">
        <f aca="false">SUMIF($F$7:$AG$7,AM$7,$F33:$AG33)</f>
        <v>0</v>
      </c>
      <c r="AN33" s="125" t="n">
        <f aca="false">SUMIF($F$7:$AG$7,AN$7,$F33:$AG33)</f>
        <v>0</v>
      </c>
      <c r="AO33" s="125" t="n">
        <f aca="false">SUMIF($F$7:$AG$7,AO$7,$F33:$AG33)</f>
        <v>0</v>
      </c>
    </row>
    <row r="34" customFormat="false" ht="15" hidden="false" customHeight="false" outlineLevel="0" collapsed="false">
      <c r="A34" s="3" t="s">
        <v>2187</v>
      </c>
      <c r="B34" s="22" t="s">
        <v>613</v>
      </c>
      <c r="C34" s="22" t="s">
        <v>540</v>
      </c>
      <c r="D34" s="22"/>
      <c r="F34" s="126" t="n">
        <f aca="false">F32+F33</f>
        <v>130</v>
      </c>
      <c r="G34" s="126" t="n">
        <f aca="false">G32+G33</f>
        <v>130</v>
      </c>
      <c r="H34" s="126" t="n">
        <f aca="false">H32+H33</f>
        <v>129.9</v>
      </c>
      <c r="I34" s="126" t="n">
        <f aca="false">I32+I33</f>
        <v>417.6</v>
      </c>
      <c r="J34" s="126" t="n">
        <f aca="false">J32+J33</f>
        <v>544</v>
      </c>
      <c r="K34" s="126" t="n">
        <f aca="false">K32+K33</f>
        <v>510.6</v>
      </c>
      <c r="L34" s="126" t="n">
        <f aca="false">L32+L33</f>
        <v>955.5</v>
      </c>
      <c r="M34" s="126" t="n">
        <f aca="false">M32+M33</f>
        <v>2056</v>
      </c>
      <c r="N34" s="126" t="n">
        <f aca="false">N32+N33</f>
        <v>2472.9</v>
      </c>
      <c r="O34" s="126" t="n">
        <f aca="false">O32+O33</f>
        <v>5657.4</v>
      </c>
      <c r="P34" s="99" t="n">
        <f aca="false">P32+P33</f>
        <v>3411.23910315362</v>
      </c>
      <c r="Q34" s="99" t="n">
        <f aca="false">Q32+Q33</f>
        <v>6076.17795017791</v>
      </c>
      <c r="R34" s="99" t="n">
        <f aca="false">R32+R33</f>
        <v>7631.1460633193</v>
      </c>
      <c r="S34" s="99" t="n">
        <f aca="false">S32+S33</f>
        <v>9087.42409802173</v>
      </c>
      <c r="T34" s="99" t="n">
        <f aca="false">T32+T33</f>
        <v>11443.2463012155</v>
      </c>
      <c r="U34" s="99" t="n">
        <f aca="false">U32+U33</f>
        <v>5641.05496157341</v>
      </c>
      <c r="V34" s="99" t="n">
        <f aca="false">V32+V33</f>
        <v>6253.52782085037</v>
      </c>
      <c r="W34" s="99" t="n">
        <f aca="false">W32+W33</f>
        <v>4030.06072806992</v>
      </c>
      <c r="X34" s="99" t="n">
        <f aca="false">X32+X33</f>
        <v>12538.741903757</v>
      </c>
      <c r="Y34" s="99" t="n">
        <f aca="false">Y32+Y33</f>
        <v>4148.48978881269</v>
      </c>
      <c r="Z34" s="99" t="n">
        <f aca="false">Z32+Z33</f>
        <v>12712.0424584107</v>
      </c>
      <c r="AA34" s="99" t="n">
        <f aca="false">AA32+AA33</f>
        <v>5822.23028566871</v>
      </c>
      <c r="AB34" s="99" t="n">
        <f aca="false">AB32+AB33</f>
        <v>18135.1166785917</v>
      </c>
      <c r="AC34" s="99" t="n">
        <f aca="false">AC32+AC33</f>
        <v>514.465694884843</v>
      </c>
      <c r="AD34" s="99" t="n">
        <f aca="false">AD32+AD33</f>
        <v>637.03299789289</v>
      </c>
      <c r="AE34" s="99" t="n">
        <f aca="false">AE32+AE33</f>
        <v>632.285585133233</v>
      </c>
      <c r="AF34" s="99" t="n">
        <f aca="false">AF32+AF33</f>
        <v>987.522116882245</v>
      </c>
      <c r="AG34" s="99" t="n">
        <f aca="false">AG32+AG33</f>
        <v>1870.21099655085</v>
      </c>
      <c r="AI34" s="99" t="n">
        <f aca="false">SUMIF($F$7:$AG$7,AI$7,$F34:$AG34)</f>
        <v>807.5</v>
      </c>
      <c r="AJ34" s="99" t="n">
        <f aca="false">SUMIF($F$7:$AG$7,AJ$7,$F34:$AG34)</f>
        <v>4066.1</v>
      </c>
      <c r="AK34" s="99" t="n">
        <f aca="false">SUMIF($F$7:$AG$7,AK$7,$F34:$AG34)</f>
        <v>17617.7170533315</v>
      </c>
      <c r="AL34" s="99" t="n">
        <f aca="false">SUMIF($F$7:$AG$7,AL$7,$F34:$AG34)</f>
        <v>33802.8714241299</v>
      </c>
      <c r="AM34" s="99" t="n">
        <f aca="false">SUMIF($F$7:$AG$7,AM$7,$F34:$AG34)</f>
        <v>26970.82024149</v>
      </c>
      <c r="AN34" s="99" t="n">
        <f aca="false">SUMIF($F$7:$AG$7,AN$7,$F34:$AG34)</f>
        <v>37183.8551175559</v>
      </c>
      <c r="AO34" s="99" t="n">
        <f aca="false">SUMIF($F$7:$AG$7,AO$7,$F34:$AG34)</f>
        <v>4127.05169645922</v>
      </c>
    </row>
    <row r="35" customFormat="false" ht="15" hidden="false" customHeight="false" outlineLevel="0" collapsed="false">
      <c r="A35" s="107" t="s">
        <v>2188</v>
      </c>
      <c r="B35" s="22" t="s">
        <v>613</v>
      </c>
      <c r="C35" s="22" t="s">
        <v>540</v>
      </c>
      <c r="D35" s="22"/>
      <c r="F35" s="124" t="n">
        <f aca="false">F23+F24+F25+F26+F27</f>
        <v>130</v>
      </c>
      <c r="G35" s="124" t="n">
        <f aca="false">G23+G24+G25+G26+G27</f>
        <v>130</v>
      </c>
      <c r="H35" s="124" t="n">
        <f aca="false">H23+H24+H25+H26+H27</f>
        <v>129.9</v>
      </c>
      <c r="I35" s="124" t="n">
        <f aca="false">I23+I24+I25+I26+I27</f>
        <v>417.6</v>
      </c>
      <c r="J35" s="124" t="n">
        <f aca="false">J23+J24+J25+J26+J27</f>
        <v>544</v>
      </c>
      <c r="K35" s="124" t="n">
        <f aca="false">K23+K24+K25+K26+K27</f>
        <v>510.6</v>
      </c>
      <c r="L35" s="124" t="n">
        <f aca="false">L23+L24+L25+L26+L27</f>
        <v>955.5</v>
      </c>
      <c r="M35" s="124" t="n">
        <f aca="false">M23+M24+M25+M26+M27</f>
        <v>2056</v>
      </c>
      <c r="N35" s="124" t="n">
        <f aca="false">N23+N24+N25+N26+N27</f>
        <v>2472.9</v>
      </c>
      <c r="O35" s="124" t="n">
        <f aca="false">O23+O24+O25+O26+O27</f>
        <v>5657.4</v>
      </c>
      <c r="P35" s="125" t="n">
        <f aca="false">P23+P24+P25+P26+P27</f>
        <v>3169.242975</v>
      </c>
      <c r="Q35" s="125" t="n">
        <f aca="false">Q23+Q24+Q25+Q26+Q27</f>
        <v>5817.9676075</v>
      </c>
      <c r="R35" s="125" t="n">
        <f aca="false">R23+R24+R25+R26+R27</f>
        <v>7430.9131175</v>
      </c>
      <c r="S35" s="125" t="n">
        <f aca="false">S23+S24+S25+S26+S27</f>
        <v>8871.4533</v>
      </c>
      <c r="T35" s="125" t="n">
        <f aca="false">T23+T24+T25+T26+T27</f>
        <v>11380.9606</v>
      </c>
      <c r="U35" s="125" t="n">
        <f aca="false">U23+U24+U25+U26+U27</f>
        <v>5583.1119</v>
      </c>
      <c r="V35" s="125" t="n">
        <f aca="false">V23+V24+V25+V26+V27</f>
        <v>6153.72595</v>
      </c>
      <c r="W35" s="125" t="n">
        <f aca="false">W23+W24+W25+W26+W27</f>
        <v>3859.04375</v>
      </c>
      <c r="X35" s="125" t="n">
        <f aca="false">X23+X24+X25+X26+X27</f>
        <v>12429.51905</v>
      </c>
      <c r="Y35" s="125" t="n">
        <f aca="false">Y23+Y24+Y25+Y26+Y27</f>
        <v>3888.675</v>
      </c>
      <c r="Z35" s="125" t="n">
        <f aca="false">Z23+Z24+Z25+Z26+Z27</f>
        <v>12474.8694</v>
      </c>
      <c r="AA35" s="125" t="n">
        <f aca="false">AA23+AA24+AA25+AA26+AA27</f>
        <v>5569.4375</v>
      </c>
      <c r="AB35" s="125" t="n">
        <f aca="false">AB23+AB24+AB25+AB26+AB27</f>
        <v>17866.7555</v>
      </c>
      <c r="AC35" s="125" t="n">
        <f aca="false">AC23+AC24+AC25+AC26+AC27</f>
        <v>0</v>
      </c>
      <c r="AD35" s="125" t="n">
        <f aca="false">AD23+AD24+AD25+AD26+AD27</f>
        <v>0</v>
      </c>
      <c r="AE35" s="125" t="n">
        <f aca="false">AE23+AE24+AE25+AE26+AE27</f>
        <v>0</v>
      </c>
      <c r="AF35" s="125" t="n">
        <f aca="false">AF23+AF24+AF25+AF26+AF27</f>
        <v>0</v>
      </c>
      <c r="AG35" s="125" t="n">
        <f aca="false">AG23+AG24+AG25+AG26+AG27</f>
        <v>0</v>
      </c>
      <c r="AI35" s="125" t="n">
        <f aca="false">SUMIF($F$7:$AG$7,AI$7,$F35:$AG35)</f>
        <v>807.5</v>
      </c>
      <c r="AJ35" s="125" t="n">
        <f aca="false">SUMIF($F$7:$AG$7,AJ$7,$F35:$AG35)</f>
        <v>4066.1</v>
      </c>
      <c r="AK35" s="125" t="n">
        <f aca="false">SUMIF($F$7:$AG$7,AK$7,$F35:$AG35)</f>
        <v>17117.5105825</v>
      </c>
      <c r="AL35" s="125" t="n">
        <f aca="false">SUMIF($F$7:$AG$7,AL$7,$F35:$AG35)</f>
        <v>33266.4389175</v>
      </c>
      <c r="AM35" s="125" t="n">
        <f aca="false">SUMIF($F$7:$AG$7,AM$7,$F35:$AG35)</f>
        <v>26330.96375</v>
      </c>
      <c r="AN35" s="125" t="n">
        <f aca="false">SUMIF($F$7:$AG$7,AN$7,$F35:$AG35)</f>
        <v>35911.0624</v>
      </c>
      <c r="AO35" s="125" t="n">
        <f aca="false">SUMIF($F$7:$AG$7,AO$7,$F35:$AG35)</f>
        <v>0</v>
      </c>
    </row>
    <row r="36" customFormat="false" ht="15" hidden="false" customHeight="false" outlineLevel="0" collapsed="false">
      <c r="A36" s="107" t="s">
        <v>2189</v>
      </c>
      <c r="B36" s="22" t="s">
        <v>613</v>
      </c>
      <c r="C36" s="22" t="s">
        <v>540</v>
      </c>
      <c r="D36" s="22"/>
      <c r="F36" s="124" t="n">
        <f aca="false">F34-F22</f>
        <v>0</v>
      </c>
      <c r="G36" s="124" t="n">
        <f aca="false">G34-G22</f>
        <v>0</v>
      </c>
      <c r="H36" s="124" t="n">
        <f aca="false">H34-H22</f>
        <v>0</v>
      </c>
      <c r="I36" s="124" t="n">
        <f aca="false">I34-I22</f>
        <v>0</v>
      </c>
      <c r="J36" s="124" t="n">
        <f aca="false">J34-J22</f>
        <v>0</v>
      </c>
      <c r="K36" s="124" t="n">
        <f aca="false">K34-K22</f>
        <v>0</v>
      </c>
      <c r="L36" s="124" t="n">
        <f aca="false">L34-L22</f>
        <v>0</v>
      </c>
      <c r="M36" s="124" t="n">
        <f aca="false">M34-M22</f>
        <v>0</v>
      </c>
      <c r="N36" s="124" t="n">
        <f aca="false">N34-N22</f>
        <v>0</v>
      </c>
      <c r="O36" s="124" t="n">
        <f aca="false">O34-O22</f>
        <v>0</v>
      </c>
      <c r="AI36" s="125" t="n">
        <f aca="false">SUMIF($F$7:$AG$7,AI$7,$F36:$AG36)</f>
        <v>0</v>
      </c>
      <c r="AJ36" s="125" t="n">
        <f aca="false">SUMIF($F$7:$AG$7,AJ$7,$F36:$AG36)</f>
        <v>0</v>
      </c>
      <c r="AK36" s="125" t="n">
        <f aca="false">SUMIF($F$7:$AG$7,AK$7,$F36:$AG36)</f>
        <v>0</v>
      </c>
      <c r="AL36" s="125" t="n">
        <f aca="false">SUMIF($F$7:$AG$7,AL$7,$F36:$AG36)</f>
        <v>0</v>
      </c>
      <c r="AM36" s="125" t="n">
        <f aca="false">SUMIF($F$7:$AG$7,AM$7,$F36:$AG36)</f>
        <v>0</v>
      </c>
      <c r="AN36" s="125" t="n">
        <f aca="false">SUMIF($F$7:$AG$7,AN$7,$F36:$AG36)</f>
        <v>0</v>
      </c>
      <c r="AO36" s="125" t="n">
        <f aca="false">SUMIF($F$7:$AG$7,AO$7,$F36:$AG36)</f>
        <v>0</v>
      </c>
    </row>
    <row r="38" customFormat="false" ht="15" hidden="false" customHeight="false" outlineLevel="0" collapsed="false">
      <c r="A38" s="58" t="s">
        <v>2190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</row>
    <row r="39" customFormat="false" ht="15" hidden="false" customHeight="false" outlineLevel="0" collapsed="false">
      <c r="A39" s="107" t="s">
        <v>2191</v>
      </c>
      <c r="B39" s="22" t="s">
        <v>613</v>
      </c>
      <c r="C39" s="22" t="s">
        <v>540</v>
      </c>
      <c r="D39" s="22"/>
      <c r="F39" s="124" t="n">
        <f aca="false">SUMPRODUCT($E$23:F$23,((F$5-$E$5:F$5)&gt;=(PISLag+($E$5:F$5&gt;LastHist)*(GPULead-1)))*((F$5-$E$5:F$5)&lt;LQ_H+(PISLag+($E$5:F$5&gt;LastHist)*(GPULead-1)))*($E$5:F$5&lt;=IMPE_H))/LQ_H</f>
        <v>7.12</v>
      </c>
      <c r="G39" s="124" t="n">
        <f aca="false">SUMPRODUCT($E$23:G$23,((G$5-$E$5:G$5)&gt;=(PISLag+($E$5:G$5&gt;LastHist)*(GPULead-1)))*((G$5-$E$5:G$5)&lt;LQ_H+(PISLag+($E$5:G$5&gt;LastHist)*(GPULead-1)))*($E$5:G$5&lt;=IMPE_H))/LQ_H</f>
        <v>12.32</v>
      </c>
      <c r="H39" s="124" t="n">
        <f aca="false">SUMPRODUCT($E$23:H$23,((H$5-$E$5:H$5)&gt;=(PISLag+($E$5:H$5&gt;LastHist)*(GPULead-1)))*((H$5-$E$5:H$5)&lt;LQ_H+(PISLag+($E$5:H$5&gt;LastHist)*(GPULead-1)))*($E$5:H$5&lt;=IMPE_H))/LQ_H</f>
        <v>17.52</v>
      </c>
      <c r="I39" s="124" t="n">
        <f aca="false">SUMPRODUCT($E$23:I$23,((I$5-$E$5:I$5)&gt;=(PISLag+($E$5:I$5&gt;LastHist)*(GPULead-1)))*((I$5-$E$5:I$5)&lt;LQ_H+(PISLag+($E$5:I$5&gt;LastHist)*(GPULead-1)))*($E$5:I$5&lt;=IMPE_H))/LQ_H</f>
        <v>22.716</v>
      </c>
      <c r="J39" s="124" t="n">
        <f aca="false">SUMPRODUCT($E$23:J$23,((J$5-$E$5:J$5)&gt;=(PISLag+($E$5:J$5&gt;LastHist)*(GPULead-1)))*((J$5-$E$5:J$5)&lt;LQ_H+(PISLag+($E$5:J$5&gt;LastHist)*(GPULead-1)))*($E$5:J$5&lt;=IMPE_H))/LQ_H</f>
        <v>39.42</v>
      </c>
      <c r="K39" s="124" t="n">
        <f aca="false">SUMPRODUCT($E$23:K$23,((K$5-$E$5:K$5)&gt;=(PISLag+($E$5:K$5&gt;LastHist)*(GPULead-1)))*((K$5-$E$5:K$5)&lt;LQ_H+(PISLag+($E$5:K$5&gt;LastHist)*(GPULead-1)))*($E$5:K$5&lt;=IMPE_H))/LQ_H</f>
        <v>52.476</v>
      </c>
      <c r="L39" s="124" t="n">
        <f aca="false">SUMPRODUCT($E$23:L$23,((L$5-$E$5:L$5)&gt;=(PISLag+($E$5:L$5&gt;LastHist)*(GPULead-1)))*((L$5-$E$5:L$5)&lt;LQ_H+(PISLag+($E$5:L$5&gt;LastHist)*(GPULead-1)))*($E$5:L$5&lt;=IMPE_H))/LQ_H</f>
        <v>64.7304</v>
      </c>
      <c r="M39" s="124" t="n">
        <f aca="false">SUMPRODUCT($E$23:M$23,((M$5-$E$5:M$5)&gt;=(PISLag+($E$5:M$5&gt;LastHist)*(GPULead-1)))*((M$5-$E$5:M$5)&lt;LQ_H+(PISLag+($E$5:M$5&gt;LastHist)*(GPULead-1)))*($E$5:M$5&lt;=IMPE_H))/LQ_H</f>
        <v>87.6624</v>
      </c>
      <c r="N39" s="124" t="n">
        <f aca="false">SUMPRODUCT($E$23:N$23,((N$5-$E$5:N$5)&gt;=(PISLag+($E$5:N$5&gt;LastHist)*(GPULead-1)))*((N$5-$E$5:N$5)&lt;LQ_H+(PISLag+($E$5:N$5&gt;LastHist)*(GPULead-1)))*($E$5:N$5&lt;=IMPE_H))/LQ_H</f>
        <v>137.0064</v>
      </c>
      <c r="O39" s="124" t="n">
        <f aca="false">SUMPRODUCT($E$23:O$23,((O$5-$E$5:O$5)&gt;=(PISLag+($E$5:O$5&gt;LastHist)*(GPULead-1)))*((O$5-$E$5:O$5)&lt;LQ_H+(PISLag+($E$5:O$5&gt;LastHist)*(GPULead-1)))*($E$5:O$5&lt;=IMPE_H))/LQ_H</f>
        <v>146.898</v>
      </c>
      <c r="P39" s="125" t="n">
        <f aca="false">SUMPRODUCT($E$23:P$23,((P$5-$E$5:P$5)&gt;=(PISLag+($E$5:P$5&gt;LastHist)*(GPULead-1)))*((P$5-$E$5:P$5)&lt;LQ_H+(PISLag+($E$5:P$5&gt;LastHist)*(GPULead-1)))*($E$5:P$5&lt;=IMPE_H))/LQ_H</f>
        <v>169.5276</v>
      </c>
      <c r="Q39" s="125" t="n">
        <f aca="false">SUMPRODUCT($E$23:Q$23,((Q$5-$E$5:Q$5)&gt;=(PISLag+($E$5:Q$5&gt;LastHist)*(GPULead-1)))*((Q$5-$E$5:Q$5)&lt;LQ_H+(PISLag+($E$5:Q$5&gt;LastHist)*(GPULead-1)))*($E$5:Q$5&lt;=IMPE_H))/LQ_H</f>
        <v>169.5276</v>
      </c>
      <c r="R39" s="125" t="n">
        <f aca="false">SUMPRODUCT($E$23:R$23,((R$5-$E$5:R$5)&gt;=(PISLag+($E$5:R$5&gt;LastHist)*(GPULead-1)))*((R$5-$E$5:R$5)&lt;LQ_H+(PISLag+($E$5:R$5&gt;LastHist)*(GPULead-1)))*($E$5:R$5&lt;=IMPE_H))/LQ_H</f>
        <v>169.5276</v>
      </c>
      <c r="S39" s="125" t="n">
        <f aca="false">SUMPRODUCT($E$23:S$23,((S$5-$E$5:S$5)&gt;=(PISLag+($E$5:S$5&gt;LastHist)*(GPULead-1)))*((S$5-$E$5:S$5)&lt;LQ_H+(PISLag+($E$5:S$5&gt;LastHist)*(GPULead-1)))*($E$5:S$5&lt;=IMPE_H))/LQ_H</f>
        <v>169.5276</v>
      </c>
      <c r="T39" s="125" t="n">
        <f aca="false">SUMPRODUCT($E$23:T$23,((T$5-$E$5:T$5)&gt;=(PISLag+($E$5:T$5&gt;LastHist)*(GPULead-1)))*((T$5-$E$5:T$5)&lt;LQ_H+(PISLag+($E$5:T$5&gt;LastHist)*(GPULead-1)))*($E$5:T$5&lt;=IMPE_H))/LQ_H</f>
        <v>169.5276</v>
      </c>
      <c r="U39" s="125" t="n">
        <f aca="false">SUMPRODUCT($E$23:U$23,((U$5-$E$5:U$5)&gt;=(PISLag+($E$5:U$5&gt;LastHist)*(GPULead-1)))*((U$5-$E$5:U$5)&lt;LQ_H+(PISLag+($E$5:U$5&gt;LastHist)*(GPULead-1)))*($E$5:U$5&lt;=IMPE_H))/LQ_H</f>
        <v>169.5276</v>
      </c>
      <c r="V39" s="125" t="n">
        <f aca="false">SUMPRODUCT($E$23:V$23,((V$5-$E$5:V$5)&gt;=(PISLag+($E$5:V$5&gt;LastHist)*(GPULead-1)))*((V$5-$E$5:V$5)&lt;LQ_H+(PISLag+($E$5:V$5&gt;LastHist)*(GPULead-1)))*($E$5:V$5&lt;=IMPE_H))/LQ_H</f>
        <v>169.5276</v>
      </c>
      <c r="W39" s="125" t="n">
        <f aca="false">SUMPRODUCT($E$23:W$23,((W$5-$E$5:W$5)&gt;=(PISLag+($E$5:W$5&gt;LastHist)*(GPULead-1)))*((W$5-$E$5:W$5)&lt;LQ_H+(PISLag+($E$5:W$5&gt;LastHist)*(GPULead-1)))*($E$5:W$5&lt;=IMPE_H))/LQ_H</f>
        <v>169.5276</v>
      </c>
      <c r="X39" s="125" t="n">
        <f aca="false">SUMPRODUCT($E$23:X$23,((X$5-$E$5:X$5)&gt;=(PISLag+($E$5:X$5&gt;LastHist)*(GPULead-1)))*((X$5-$E$5:X$5)&lt;LQ_H+(PISLag+($E$5:X$5&gt;LastHist)*(GPULead-1)))*($E$5:X$5&lt;=IMPE_H))/LQ_H</f>
        <v>169.5276</v>
      </c>
      <c r="Y39" s="125" t="n">
        <f aca="false">SUMPRODUCT($E$23:Y$23,((Y$5-$E$5:Y$5)&gt;=(PISLag+($E$5:Y$5&gt;LastHist)*(GPULead-1)))*((Y$5-$E$5:Y$5)&lt;LQ_H+(PISLag+($E$5:Y$5&gt;LastHist)*(GPULead-1)))*($E$5:Y$5&lt;=IMPE_H))/LQ_H</f>
        <v>169.5276</v>
      </c>
      <c r="Z39" s="125" t="n">
        <f aca="false">SUMPRODUCT($E$23:Z$23,((Z$5-$E$5:Z$5)&gt;=(PISLag+($E$5:Z$5&gt;LastHist)*(GPULead-1)))*((Z$5-$E$5:Z$5)&lt;LQ_H+(PISLag+($E$5:Z$5&gt;LastHist)*(GPULead-1)))*($E$5:Z$5&lt;=IMPE_H))/LQ_H</f>
        <v>162.4076</v>
      </c>
      <c r="AA39" s="125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25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25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25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25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25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25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25" t="n">
        <f aca="false">SUMIF($F$7:$AG$7,AI$7,$F39:$AG39)</f>
        <v>59.676</v>
      </c>
      <c r="AJ39" s="125" t="n">
        <f aca="false">SUMIF($F$7:$AG$7,AJ$7,$F39:$AG39)</f>
        <v>244.2888</v>
      </c>
      <c r="AK39" s="125" t="n">
        <f aca="false">SUMIF($F$7:$AG$7,AK$7,$F39:$AG39)</f>
        <v>622.9596</v>
      </c>
      <c r="AL39" s="125" t="n">
        <f aca="false">SUMIF($F$7:$AG$7,AL$7,$F39:$AG39)</f>
        <v>678.1104</v>
      </c>
      <c r="AM39" s="125" t="n">
        <f aca="false">SUMIF($F$7:$AG$7,AM$7,$F39:$AG39)</f>
        <v>678.1104</v>
      </c>
      <c r="AN39" s="125" t="n">
        <f aca="false">SUMIF($F$7:$AG$7,AN$7,$F39:$AG39)</f>
        <v>618.4344</v>
      </c>
      <c r="AO39" s="125" t="n">
        <f aca="false">SUMIF($F$7:$AG$7,AO$7,$F39:$AG39)</f>
        <v>433.8216</v>
      </c>
    </row>
    <row r="40" customFormat="false" ht="15" hidden="false" customHeight="false" outlineLevel="0" collapsed="false">
      <c r="A40" s="107" t="s">
        <v>2192</v>
      </c>
      <c r="B40" s="22" t="s">
        <v>613</v>
      </c>
      <c r="C40" s="22" t="s">
        <v>540</v>
      </c>
      <c r="D40" s="22"/>
      <c r="F40" s="124" t="n">
        <f aca="false">SUMPRODUCT($E$23:F$23,((F$5-$E$5:F$5)&gt;=(PISLag+($E$5:F$5&gt;LastHist)*(GPULead-1)))*((F$5-$E$5:F$5)&lt;LQ_H+(PISLag+($E$5:F$5&gt;LastHist)*(GPULead-1)))*($E$5:F$5&gt;IMPE_H))/LQ_H</f>
        <v>0</v>
      </c>
      <c r="G40" s="124" t="n">
        <f aca="false">SUMPRODUCT($E$23:G$23,((G$5-$E$5:G$5)&gt;=(PISLag+($E$5:G$5&gt;LastHist)*(GPULead-1)))*((G$5-$E$5:G$5)&lt;LQ_H+(PISLag+($E$5:G$5&gt;LastHist)*(GPULead-1)))*($E$5:G$5&gt;IMPE_H))/LQ_H</f>
        <v>0</v>
      </c>
      <c r="H40" s="124" t="n">
        <f aca="false">SUMPRODUCT($E$23:H$23,((H$5-$E$5:H$5)&gt;=(PISLag+($E$5:H$5&gt;LastHist)*(GPULead-1)))*((H$5-$E$5:H$5)&lt;LQ_H+(PISLag+($E$5:H$5&gt;LastHist)*(GPULead-1)))*($E$5:H$5&gt;IMPE_H))/LQ_H</f>
        <v>0</v>
      </c>
      <c r="I40" s="124" t="n">
        <f aca="false">SUMPRODUCT($E$23:I$23,((I$5-$E$5:I$5)&gt;=(PISLag+($E$5:I$5&gt;LastHist)*(GPULead-1)))*((I$5-$E$5:I$5)&lt;LQ_H+(PISLag+($E$5:I$5&gt;LastHist)*(GPULead-1)))*($E$5:I$5&gt;IMPE_H))/LQ_H</f>
        <v>0</v>
      </c>
      <c r="J40" s="124" t="n">
        <f aca="false">SUMPRODUCT($E$23:J$23,((J$5-$E$5:J$5)&gt;=(PISLag+($E$5:J$5&gt;LastHist)*(GPULead-1)))*((J$5-$E$5:J$5)&lt;LQ_H+(PISLag+($E$5:J$5&gt;LastHist)*(GPULead-1)))*($E$5:J$5&gt;IMPE_H))/LQ_H</f>
        <v>0</v>
      </c>
      <c r="K40" s="124" t="n">
        <f aca="false">SUMPRODUCT($E$23:K$23,((K$5-$E$5:K$5)&gt;=(PISLag+($E$5:K$5&gt;LastHist)*(GPULead-1)))*((K$5-$E$5:K$5)&lt;LQ_H+(PISLag+($E$5:K$5&gt;LastHist)*(GPULead-1)))*($E$5:K$5&gt;IMPE_H))/LQ_H</f>
        <v>0</v>
      </c>
      <c r="L40" s="124" t="n">
        <f aca="false">SUMPRODUCT($E$23:L$23,((L$5-$E$5:L$5)&gt;=(PISLag+($E$5:L$5&gt;LastHist)*(GPULead-1)))*((L$5-$E$5:L$5)&lt;LQ_H+(PISLag+($E$5:L$5&gt;LastHist)*(GPULead-1)))*($E$5:L$5&gt;IMPE_H))/LQ_H</f>
        <v>0</v>
      </c>
      <c r="M40" s="124" t="n">
        <f aca="false">SUMPRODUCT($E$23:M$23,((M$5-$E$5:M$5)&gt;=(PISLag+($E$5:M$5&gt;LastHist)*(GPULead-1)))*((M$5-$E$5:M$5)&lt;LQ_H+(PISLag+($E$5:M$5&gt;LastHist)*(GPULead-1)))*($E$5:M$5&gt;IMPE_H))/LQ_H</f>
        <v>0</v>
      </c>
      <c r="N40" s="124" t="n">
        <f aca="false">SUMPRODUCT($E$23:N$23,((N$5-$E$5:N$5)&gt;=(PISLag+($E$5:N$5&gt;LastHist)*(GPULead-1)))*((N$5-$E$5:N$5)&lt;LQ_H+(PISLag+($E$5:N$5&gt;LastHist)*(GPULead-1)))*($E$5:N$5&gt;IMPE_H))/LQ_H</f>
        <v>0</v>
      </c>
      <c r="O40" s="124" t="n">
        <f aca="false">SUMPRODUCT($E$23:O$23,((O$5-$E$5:O$5)&gt;=(PISLag+($E$5:O$5&gt;LastHist)*(GPULead-1)))*((O$5-$E$5:O$5)&lt;LQ_H+(PISLag+($E$5:O$5&gt;LastHist)*(GPULead-1)))*($E$5:O$5&gt;IMPE_H))/LQ_H</f>
        <v>0</v>
      </c>
      <c r="P40" s="125" t="n">
        <f aca="false">SUMPRODUCT($E$23:P$23,((P$5-$E$5:P$5)&gt;=(PISLag+($E$5:P$5&gt;LastHist)*(GPULead-1)))*((P$5-$E$5:P$5)&lt;LQ_H+(PISLag+($E$5:P$5&gt;LastHist)*(GPULead-1)))*($E$5:P$5&gt;IMPE_H))/LQ_H</f>
        <v>0</v>
      </c>
      <c r="Q40" s="125" t="n">
        <f aca="false">SUMPRODUCT($E$23:Q$23,((Q$5-$E$5:Q$5)&gt;=(PISLag+($E$5:Q$5&gt;LastHist)*(GPULead-1)))*((Q$5-$E$5:Q$5)&lt;LQ_H+(PISLag+($E$5:Q$5&gt;LastHist)*(GPULead-1)))*($E$5:Q$5&gt;IMPE_H))/LQ_H</f>
        <v>0</v>
      </c>
      <c r="R40" s="125" t="n">
        <f aca="false">SUMPRODUCT($E$23:R$23,((R$5-$E$5:R$5)&gt;=(PISLag+($E$5:R$5&gt;LastHist)*(GPULead-1)))*((R$5-$E$5:R$5)&lt;LQ_H+(PISLag+($E$5:R$5&gt;LastHist)*(GPULead-1)))*($E$5:R$5&gt;IMPE_H))/LQ_H</f>
        <v>0</v>
      </c>
      <c r="S40" s="125" t="n">
        <f aca="false">SUMPRODUCT($E$23:S$23,((S$5-$E$5:S$5)&gt;=(PISLag+($E$5:S$5&gt;LastHist)*(GPULead-1)))*((S$5-$E$5:S$5)&lt;LQ_H+(PISLag+($E$5:S$5&gt;LastHist)*(GPULead-1)))*($E$5:S$5&gt;IMPE_H))/LQ_H</f>
        <v>0</v>
      </c>
      <c r="T40" s="125" t="n">
        <f aca="false">SUMPRODUCT($E$23:T$23,((T$5-$E$5:T$5)&gt;=(PISLag+($E$5:T$5&gt;LastHist)*(GPULead-1)))*((T$5-$E$5:T$5)&lt;LQ_H+(PISLag+($E$5:T$5&gt;LastHist)*(GPULead-1)))*($E$5:T$5&gt;IMPE_H))/LQ_H</f>
        <v>0</v>
      </c>
      <c r="U40" s="125" t="n">
        <f aca="false">SUMPRODUCT($E$23:U$23,((U$5-$E$5:U$5)&gt;=(PISLag+($E$5:U$5&gt;LastHist)*(GPULead-1)))*((U$5-$E$5:U$5)&lt;LQ_H+(PISLag+($E$5:U$5&gt;LastHist)*(GPULead-1)))*($E$5:U$5&gt;IMPE_H))/LQ_H</f>
        <v>0</v>
      </c>
      <c r="V40" s="125" t="n">
        <f aca="false">SUMPRODUCT($E$23:V$23,((V$5-$E$5:V$5)&gt;=(PISLag+($E$5:V$5&gt;LastHist)*(GPULead-1)))*((V$5-$E$5:V$5)&lt;LQ_H+(PISLag+($E$5:V$5&gt;LastHist)*(GPULead-1)))*($E$5:V$5&gt;IMPE_H))/LQ_H</f>
        <v>0</v>
      </c>
      <c r="W40" s="125" t="n">
        <f aca="false">SUMPRODUCT($E$23:W$23,((W$5-$E$5:W$5)&gt;=(PISLag+($E$5:W$5&gt;LastHist)*(GPULead-1)))*((W$5-$E$5:W$5)&lt;LQ_H+(PISLag+($E$5:W$5&gt;LastHist)*(GPULead-1)))*($E$5:W$5&gt;IMPE_H))/LQ_H</f>
        <v>0</v>
      </c>
      <c r="X40" s="125" t="n">
        <f aca="false">SUMPRODUCT($E$23:X$23,((X$5-$E$5:X$5)&gt;=(PISLag+($E$5:X$5&gt;LastHist)*(GPULead-1)))*((X$5-$E$5:X$5)&lt;LQ_H+(PISLag+($E$5:X$5&gt;LastHist)*(GPULead-1)))*($E$5:X$5&gt;IMPE_H))/LQ_H</f>
        <v>0</v>
      </c>
      <c r="Y40" s="125" t="n">
        <f aca="false">SUMPRODUCT($E$23:Y$23,((Y$5-$E$5:Y$5)&gt;=(PISLag+($E$5:Y$5&gt;LastHist)*(GPULead-1)))*((Y$5-$E$5:Y$5)&lt;LQ_H+(PISLag+($E$5:Y$5&gt;LastHist)*(GPULead-1)))*($E$5:Y$5&gt;IMPE_H))/LQ_H</f>
        <v>0</v>
      </c>
      <c r="Z40" s="125" t="n">
        <f aca="false">SUMPRODUCT($E$23:Z$23,((Z$5-$E$5:Z$5)&gt;=(PISLag+($E$5:Z$5&gt;LastHist)*(GPULead-1)))*((Z$5-$E$5:Z$5)&lt;LQ_H+(PISLag+($E$5:Z$5&gt;LastHist)*(GPULead-1)))*($E$5:Z$5&gt;IMPE_H))/LQ_H</f>
        <v>0</v>
      </c>
      <c r="AA40" s="125" t="n">
        <f aca="false">SUMPRODUCT($E$23:AA$23,((AA$5-$E$5:AA$5)&gt;=(PISLag+($E$5:AA$5&gt;LastHist)*(GPULead-1)))*((AA$5-$E$5:AA$5)&lt;LQ_H+(PISLag+($E$5:AA$5&gt;LastHist)*(GPULead-1)))*($E$5:AA$5&gt;IMPE_H))/LQ_H</f>
        <v>0</v>
      </c>
      <c r="AB40" s="125" t="n">
        <f aca="false">SUMPRODUCT($E$23:AB$23,((AB$5-$E$5:AB$5)&gt;=(PISLag+($E$5:AB$5&gt;LastHist)*(GPULead-1)))*((AB$5-$E$5:AB$5)&lt;LQ_H+(PISLag+($E$5:AB$5&gt;LastHist)*(GPULead-1)))*($E$5:AB$5&gt;IMPE_H))/LQ_H</f>
        <v>0</v>
      </c>
      <c r="AC40" s="125" t="n">
        <f aca="false">SUMPRODUCT($E$23:AC$23,((AC$5-$E$5:AC$5)&gt;=(PISLag+($E$5:AC$5&gt;LastHist)*(GPULead-1)))*((AC$5-$E$5:AC$5)&lt;LQ_H+(PISLag+($E$5:AC$5&gt;LastHist)*(GPULead-1)))*($E$5:AC$5&gt;IMPE_H))/LQ_H</f>
        <v>0</v>
      </c>
      <c r="AD40" s="125" t="n">
        <f aca="false">SUMPRODUCT($E$23:AD$23,((AD$5-$E$5:AD$5)&gt;=(PISLag+($E$5:AD$5&gt;LastHist)*(GPULead-1)))*((AD$5-$E$5:AD$5)&lt;LQ_H+(PISLag+($E$5:AD$5&gt;LastHist)*(GPULead-1)))*($E$5:AD$5&gt;IMPE_H))/LQ_H</f>
        <v>0</v>
      </c>
      <c r="AE40" s="125" t="n">
        <f aca="false">SUMPRODUCT($E$23:AE$23,((AE$5-$E$5:AE$5)&gt;=(PISLag+($E$5:AE$5&gt;LastHist)*(GPULead-1)))*((AE$5-$E$5:AE$5)&lt;LQ_H+(PISLag+($E$5:AE$5&gt;LastHist)*(GPULead-1)))*($E$5:AE$5&gt;IMPE_H))/LQ_H</f>
        <v>0</v>
      </c>
      <c r="AF40" s="125" t="n">
        <f aca="false">SUMPRODUCT($E$23:AF$23,((AF$5-$E$5:AF$5)&gt;=(PISLag+($E$5:AF$5&gt;LastHist)*(GPULead-1)))*((AF$5-$E$5:AF$5)&lt;LQ_H+(PISLag+($E$5:AF$5&gt;LastHist)*(GPULead-1)))*($E$5:AF$5&gt;IMPE_H))/LQ_H</f>
        <v>0</v>
      </c>
      <c r="AG40" s="125" t="n">
        <f aca="false">SUMPRODUCT($E$23:AG$23,((AG$5-$E$5:AG$5)&gt;=(PISLag+($E$5:AG$5&gt;LastHist)*(GPULead-1)))*((AG$5-$E$5:AG$5)&lt;LQ_H+(PISLag+($E$5:AG$5&gt;LastHist)*(GPULead-1)))*($E$5:AG$5&gt;IMPE_H))/LQ_H</f>
        <v>0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0</v>
      </c>
      <c r="AL40" s="125" t="n">
        <f aca="false">SUMIF($F$7:$AG$7,AL$7,$F40:$AG40)</f>
        <v>0</v>
      </c>
      <c r="AM40" s="125" t="n">
        <f aca="false">SUMIF($F$7:$AG$7,AM$7,$F40:$AG40)</f>
        <v>0</v>
      </c>
      <c r="AN40" s="125" t="n">
        <f aca="false">SUMIF($F$7:$AG$7,AN$7,$F40:$AG40)</f>
        <v>0</v>
      </c>
      <c r="AO40" s="125" t="n">
        <f aca="false">SUMIF($F$7:$AG$7,AO$7,$F40:$AG40)</f>
        <v>0</v>
      </c>
    </row>
    <row r="41" customFormat="false" ht="15" hidden="false" customHeight="false" outlineLevel="0" collapsed="false">
      <c r="A41" s="3" t="s">
        <v>2193</v>
      </c>
      <c r="B41" s="22" t="s">
        <v>613</v>
      </c>
      <c r="C41" s="22" t="s">
        <v>540</v>
      </c>
      <c r="D41" s="22"/>
      <c r="F41" s="126" t="n">
        <f aca="false">F39*(1-ImpPct_H*(F$5&gt;IMPE_H))+F40</f>
        <v>7.12</v>
      </c>
      <c r="G41" s="126" t="n">
        <f aca="false">G39*(1-ImpPct_H*(G$5&gt;IMPE_H))+G40</f>
        <v>12.32</v>
      </c>
      <c r="H41" s="126" t="n">
        <f aca="false">H39*(1-ImpPct_H*(H$5&gt;IMPE_H))+H40</f>
        <v>17.52</v>
      </c>
      <c r="I41" s="126" t="n">
        <f aca="false">I39*(1-ImpPct_H*(I$5&gt;IMPE_H))+I40</f>
        <v>22.716</v>
      </c>
      <c r="J41" s="126" t="n">
        <f aca="false">J39*(1-ImpPct_H*(J$5&gt;IMPE_H))+J40</f>
        <v>39.42</v>
      </c>
      <c r="K41" s="126" t="n">
        <f aca="false">K39*(1-ImpPct_H*(K$5&gt;IMPE_H))+K40</f>
        <v>52.476</v>
      </c>
      <c r="L41" s="126" t="n">
        <f aca="false">L39*(1-ImpPct_H*(L$5&gt;IMPE_H))+L40</f>
        <v>64.7304</v>
      </c>
      <c r="M41" s="126" t="n">
        <f aca="false">M39*(1-ImpPct_H*(M$5&gt;IMPE_H))+M40</f>
        <v>87.6624</v>
      </c>
      <c r="N41" s="126" t="n">
        <f aca="false">N39*(1-ImpPct_H*(N$5&gt;IMPE_H))+N40</f>
        <v>137.0064</v>
      </c>
      <c r="O41" s="126" t="n">
        <f aca="false">O39*(1-ImpPct_H*(O$5&gt;IMPE_H))+O40</f>
        <v>146.898</v>
      </c>
      <c r="P41" s="99" t="n">
        <f aca="false">P39*(1-ImpPct_H*(P$5&gt;IMPE_H))+P40</f>
        <v>169.5276</v>
      </c>
      <c r="Q41" s="99" t="n">
        <f aca="false">Q39*(1-ImpPct_H*(Q$5&gt;IMPE_H))+Q40</f>
        <v>169.5276</v>
      </c>
      <c r="R41" s="99" t="n">
        <f aca="false">R39*(1-ImpPct_H*(R$5&gt;IMPE_H))+R40</f>
        <v>169.5276</v>
      </c>
      <c r="S41" s="99" t="n">
        <f aca="false">S39*(1-ImpPct_H*(S$5&gt;IMPE_H))+S40</f>
        <v>169.5276</v>
      </c>
      <c r="T41" s="99" t="n">
        <f aca="false">T39*(1-ImpPct_H*(T$5&gt;IMPE_H))+T40</f>
        <v>169.5276</v>
      </c>
      <c r="U41" s="99" t="n">
        <f aca="false">U39*(1-ImpPct_H*(U$5&gt;IMPE_H))+U40</f>
        <v>169.5276</v>
      </c>
      <c r="V41" s="99" t="n">
        <f aca="false">V39*(1-ImpPct_H*(V$5&gt;IMPE_H))+V40</f>
        <v>169.5276</v>
      </c>
      <c r="W41" s="99" t="n">
        <f aca="false">W39*(1-ImpPct_H*(W$5&gt;IMPE_H))+W40</f>
        <v>169.5276</v>
      </c>
      <c r="X41" s="99" t="n">
        <f aca="false">X39*(1-ImpPct_H*(X$5&gt;IMPE_H))+X40</f>
        <v>169.5276</v>
      </c>
      <c r="Y41" s="99" t="n">
        <f aca="false">Y39*(1-ImpPct_H*(Y$5&gt;IMPE_H))+Y40</f>
        <v>169.5276</v>
      </c>
      <c r="Z41" s="99" t="n">
        <f aca="false">Z39*(1-ImpPct_H*(Z$5&gt;IMPE_H))+Z40</f>
        <v>162.4076</v>
      </c>
      <c r="AA41" s="99" t="n">
        <f aca="false">AA39*(1-ImpPct_H*(AA$5&gt;IMPE_H))+AA40</f>
        <v>157.2076</v>
      </c>
      <c r="AB41" s="99" t="n">
        <f aca="false">AB39*(1-ImpPct_H*(AB$5&gt;IMPE_H))+AB40</f>
        <v>152.0076</v>
      </c>
      <c r="AC41" s="99" t="n">
        <f aca="false">AC39*(1-ImpPct_H*(AC$5&gt;IMPE_H))+AC40</f>
        <v>146.8116</v>
      </c>
      <c r="AD41" s="99" t="n">
        <f aca="false">AD39*(1-ImpPct_H*(AD$5&gt;IMPE_H))+AD40</f>
        <v>130.1076</v>
      </c>
      <c r="AE41" s="99" t="n">
        <f aca="false">AE39*(1-ImpPct_H*(AE$5&gt;IMPE_H))+AE40</f>
        <v>117.0516</v>
      </c>
      <c r="AF41" s="99" t="n">
        <f aca="false">AF39*(1-ImpPct_H*(AF$5&gt;IMPE_H))+AF40</f>
        <v>104.7972</v>
      </c>
      <c r="AG41" s="99" t="n">
        <f aca="false">AG39*(1-ImpPct_H*(AG$5&gt;IMPE_H))+AG40</f>
        <v>81.8652</v>
      </c>
      <c r="AI41" s="99" t="n">
        <f aca="false">SUMIF($F$7:$AG$7,AI$7,$F41:$AG41)</f>
        <v>59.676</v>
      </c>
      <c r="AJ41" s="99" t="n">
        <f aca="false">SUMIF($F$7:$AG$7,AJ$7,$F41:$AG41)</f>
        <v>244.2888</v>
      </c>
      <c r="AK41" s="99" t="n">
        <f aca="false">SUMIF($F$7:$AG$7,AK$7,$F41:$AG41)</f>
        <v>622.9596</v>
      </c>
      <c r="AL41" s="99" t="n">
        <f aca="false">SUMIF($F$7:$AG$7,AL$7,$F41:$AG41)</f>
        <v>678.1104</v>
      </c>
      <c r="AM41" s="99" t="n">
        <f aca="false">SUMIF($F$7:$AG$7,AM$7,$F41:$AG41)</f>
        <v>678.1104</v>
      </c>
      <c r="AN41" s="99" t="n">
        <f aca="false">SUMIF($F$7:$AG$7,AN$7,$F41:$AG41)</f>
        <v>618.4344</v>
      </c>
      <c r="AO41" s="99" t="n">
        <f aca="false">SUMIF($F$7:$AG$7,AO$7,$F41:$AG41)</f>
        <v>433.8216</v>
      </c>
    </row>
    <row r="42" customFormat="false" ht="15" hidden="false" customHeight="false" outlineLevel="0" collapsed="false">
      <c r="A42" s="107" t="s">
        <v>2194</v>
      </c>
      <c r="B42" s="22" t="s">
        <v>613</v>
      </c>
      <c r="C42" s="22" t="s">
        <v>551</v>
      </c>
      <c r="D42" s="22"/>
      <c r="F42" s="124" t="n">
        <f aca="false">IF(F$5=IMPE_H,ImpPct_H*(SUMPRODUCT($E$23:F$23,--($E$5:F$5&lt;=IMPE_H))-SUM($F$39:F$39)),0)</f>
        <v>0</v>
      </c>
      <c r="G42" s="124" t="n">
        <f aca="false">IF(G$5=IMPE_H,ImpPct_H*(SUMPRODUCT($E$23:G$23,--($E$5:G$5&lt;=IMPE_H))-SUM($F$39:G$39)),0)</f>
        <v>0</v>
      </c>
      <c r="H42" s="124" t="n">
        <f aca="false">IF(H$5=IMPE_H,ImpPct_H*(SUMPRODUCT($E$23:H$23,--($E$5:H$5&lt;=IMPE_H))-SUM($F$39:H$39)),0)</f>
        <v>0</v>
      </c>
      <c r="I42" s="124" t="n">
        <f aca="false">IF(I$5=IMPE_H,ImpPct_H*(SUMPRODUCT($E$23:I$23,--($E$5:I$5&lt;=IMPE_H))-SUM($F$39:I$39)),0)</f>
        <v>0</v>
      </c>
      <c r="J42" s="124" t="n">
        <f aca="false">IF(J$5=IMPE_H,ImpPct_H*(SUMPRODUCT($E$23:J$23,--($E$5:J$5&lt;=IMPE_H))-SUM($F$39:J$39)),0)</f>
        <v>0</v>
      </c>
      <c r="K42" s="124" t="n">
        <f aca="false">IF(K$5=IMPE_H,ImpPct_H*(SUMPRODUCT($E$23:K$23,--($E$5:K$5&lt;=IMPE_H))-SUM($F$39:K$39)),0)</f>
        <v>0</v>
      </c>
      <c r="L42" s="124" t="n">
        <f aca="false">IF(L$5=IMPE_H,ImpPct_H*(SUMPRODUCT($E$23:L$23,--($E$5:L$5&lt;=IMPE_H))-SUM($F$39:L$39)),0)</f>
        <v>0</v>
      </c>
      <c r="M42" s="124" t="n">
        <f aca="false">IF(M$5=IMPE_H,ImpPct_H*(SUMPRODUCT($E$23:M$23,--($E$5:M$5&lt;=IMPE_H))-SUM($F$39:M$39)),0)</f>
        <v>0</v>
      </c>
      <c r="N42" s="124" t="n">
        <f aca="false">IF(N$5=IMPE_H,ImpPct_H*(SUMPRODUCT($E$23:N$23,--($E$5:N$5&lt;=IMPE_H))-SUM($F$39:N$39)),0)</f>
        <v>0</v>
      </c>
      <c r="O42" s="124" t="n">
        <f aca="false">IF(O$5=IMPE_H,ImpPct_H*(SUMPRODUCT($E$23:O$23,--($E$5:O$5&lt;=IMPE_H))-SUM($F$39:O$39)),0)</f>
        <v>0</v>
      </c>
      <c r="P42" s="125" t="n">
        <f aca="false">IF(P$5=IMPE_H,ImpPct_H*(SUMPRODUCT($E$23:P$23,--($E$5:P$5&lt;=IMPE_H))-SUM($F$39:P$39)),0)</f>
        <v>0</v>
      </c>
      <c r="Q42" s="125" t="n">
        <f aca="false">IF(Q$5=IMPE_H,ImpPct_H*(SUMPRODUCT($E$23:Q$23,--($E$5:Q$5&lt;=IMPE_H))-SUM($F$39:Q$39)),0)</f>
        <v>0</v>
      </c>
      <c r="R42" s="125" t="n">
        <f aca="false">IF(R$5=IMPE_H,ImpPct_H*(SUMPRODUCT($E$23:R$23,--($E$5:R$5&lt;=IMPE_H))-SUM($F$39:R$39)),0)</f>
        <v>0</v>
      </c>
      <c r="S42" s="125" t="n">
        <f aca="false">IF(S$5=IMPE_H,ImpPct_H*(SUMPRODUCT($E$23:S$23,--($E$5:S$5&lt;=IMPE_H))-SUM($F$39:S$39)),0)</f>
        <v>0</v>
      </c>
      <c r="T42" s="125" t="n">
        <f aca="false">IF(T$5=IMPE_H,ImpPct_H*(SUMPRODUCT($E$23:T$23,--($E$5:T$5&lt;=IMPE_H))-SUM($F$39:T$39)),0)</f>
        <v>0</v>
      </c>
      <c r="U42" s="125" t="n">
        <f aca="false">IF(U$5=IMPE_H,ImpPct_H*(SUMPRODUCT($E$23:U$23,--($E$5:U$5&lt;=IMPE_H))-SUM($F$39:U$39)),0)</f>
        <v>0</v>
      </c>
      <c r="V42" s="125" t="n">
        <f aca="false">IF(V$5=IMPE_H,ImpPct_H*(SUMPRODUCT($E$23:V$23,--($E$5:V$5&lt;=IMPE_H))-SUM($F$39:V$39)),0)</f>
        <v>0</v>
      </c>
      <c r="W42" s="125" t="n">
        <f aca="false">IF(W$5=IMPE_H,ImpPct_H*(SUMPRODUCT($E$23:W$23,--($E$5:W$5&lt;=IMPE_H))-SUM($F$39:W$39)),0)</f>
        <v>0</v>
      </c>
      <c r="X42" s="125" t="n">
        <f aca="false">IF(X$5=IMPE_H,ImpPct_H*(SUMPRODUCT($E$23:X$23,--($E$5:X$5&lt;=IMPE_H))-SUM($F$39:X$39)),0)</f>
        <v>0</v>
      </c>
      <c r="Y42" s="125" t="n">
        <f aca="false">IF(Y$5=IMPE_H,ImpPct_H*(SUMPRODUCT($E$23:Y$23,--($E$5:Y$5&lt;=IMPE_H))-SUM($F$39:Y$39)),0)</f>
        <v>0</v>
      </c>
      <c r="Z42" s="125" t="n">
        <f aca="false">IF(Z$5=IMPE_H,ImpPct_H*(SUMPRODUCT($E$23:Z$23,--($E$5:Z$5&lt;=IMPE_H))-SUM($F$39:Z$39)),0)</f>
        <v>0</v>
      </c>
      <c r="AA42" s="125" t="n">
        <f aca="false">IF(AA$5=IMPE_H,ImpPct_H*(SUMPRODUCT($E$23:AA$23,--($E$5:AA$5&lt;=IMPE_H))-SUM($F$39:AA$39)),0)</f>
        <v>0</v>
      </c>
      <c r="AB42" s="125" t="n">
        <f aca="false">IF(AB$5=IMPE_H,ImpPct_H*(SUMPRODUCT($E$23:AB$23,--($E$5:AB$5&lt;=IMPE_H))-SUM($F$39:AB$39)),0)</f>
        <v>0</v>
      </c>
      <c r="AC42" s="125" t="n">
        <f aca="false">IF(AC$5=IMPE_H,ImpPct_H*(SUMPRODUCT($E$23:AC$23,--($E$5:AC$5&lt;=IMPE_H))-SUM($F$39:AC$39)),0)</f>
        <v>0</v>
      </c>
      <c r="AD42" s="125" t="n">
        <f aca="false">IF(AD$5=IMPE_H,ImpPct_H*(SUMPRODUCT($E$23:AD$23,--($E$5:AD$5&lt;=IMPE_H))-SUM($F$39:AD$39)),0)</f>
        <v>0</v>
      </c>
      <c r="AE42" s="125" t="n">
        <f aca="false">IF(AE$5=IMPE_H,ImpPct_H*(SUMPRODUCT($E$23:AE$23,--($E$5:AE$5&lt;=IMPE_H))-SUM($F$39:AE$39)),0)</f>
        <v>0</v>
      </c>
      <c r="AF42" s="125" t="n">
        <f aca="false">IF(AF$5=IMPE_H,ImpPct_H*(SUMPRODUCT($E$23:AF$23,--($E$5:AF$5&lt;=IMPE_H))-SUM($F$39:AF$39)),0)</f>
        <v>0</v>
      </c>
      <c r="AG42" s="125" t="n">
        <f aca="false">IF(AG$5=IMPE_H,ImpPct_H*(SUMPRODUCT($E$23:AG$23,--($E$5:AG$5&lt;=IMPE_H))-SUM($F$39:AG$39)),0)</f>
        <v>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2195</v>
      </c>
      <c r="B43" s="22" t="s">
        <v>613</v>
      </c>
      <c r="C43" s="22" t="s">
        <v>540</v>
      </c>
      <c r="D43" s="22"/>
      <c r="E43" s="125" t="n">
        <f aca="false">E23</f>
        <v>142.4</v>
      </c>
      <c r="F43" s="124" t="n">
        <f aca="false">E43+F23-F41-F42</f>
        <v>239.28</v>
      </c>
      <c r="G43" s="124" t="n">
        <f aca="false">F43+G23-G41-G42</f>
        <v>330.96</v>
      </c>
      <c r="H43" s="124" t="n">
        <f aca="false">G43+H23-H41-H42</f>
        <v>417.36</v>
      </c>
      <c r="I43" s="124" t="n">
        <f aca="false">H43+I23-I41-I42</f>
        <v>728.724</v>
      </c>
      <c r="J43" s="124" t="n">
        <f aca="false">I43+J23-J41-J42</f>
        <v>950.424</v>
      </c>
      <c r="K43" s="124" t="n">
        <f aca="false">J43+K23-K41-K42</f>
        <v>1143.036</v>
      </c>
      <c r="L43" s="124" t="n">
        <f aca="false">K43+L23-L41-L42</f>
        <v>1536.9456</v>
      </c>
      <c r="M43" s="124" t="n">
        <f aca="false">L43+M23-M41-M42</f>
        <v>2436.1632</v>
      </c>
      <c r="N43" s="124" t="n">
        <f aca="false">M43+N23-N41-N42</f>
        <v>2496.9888</v>
      </c>
      <c r="O43" s="124" t="n">
        <f aca="false">N43+O23-O41-O42</f>
        <v>2802.6828</v>
      </c>
      <c r="P43" s="125" t="n">
        <f aca="false">O43+P23-P41-P42</f>
        <v>2633.1552</v>
      </c>
      <c r="Q43" s="125" t="n">
        <f aca="false">P43+Q23-Q41-Q42</f>
        <v>2463.6276</v>
      </c>
      <c r="R43" s="125" t="n">
        <f aca="false">Q43+R23-R41-R42</f>
        <v>2294.1</v>
      </c>
      <c r="S43" s="125" t="n">
        <f aca="false">R43+S23-S41-S42</f>
        <v>2124.5724</v>
      </c>
      <c r="T43" s="125" t="n">
        <f aca="false">S43+T23-T41-T42</f>
        <v>1955.0448</v>
      </c>
      <c r="U43" s="125" t="n">
        <f aca="false">T43+U23-U41-U42</f>
        <v>1785.5172</v>
      </c>
      <c r="V43" s="125" t="n">
        <f aca="false">U43+V23-V41-V42</f>
        <v>1615.9896</v>
      </c>
      <c r="W43" s="125" t="n">
        <f aca="false">V43+W23-W41-W42</f>
        <v>1446.462</v>
      </c>
      <c r="X43" s="125" t="n">
        <f aca="false">W43+X23-X41-X42</f>
        <v>1276.9344</v>
      </c>
      <c r="Y43" s="125" t="n">
        <f aca="false">X43+Y23-Y41-Y42</f>
        <v>1107.4068</v>
      </c>
      <c r="Z43" s="125" t="n">
        <f aca="false">Y43+Z23-Z41-Z42</f>
        <v>944.999200000001</v>
      </c>
      <c r="AA43" s="125" t="n">
        <f aca="false">Z43+AA23-AA41-AA42</f>
        <v>787.791600000001</v>
      </c>
      <c r="AB43" s="125" t="n">
        <f aca="false">AA43+AB23-AB41-AB42</f>
        <v>635.784000000001</v>
      </c>
      <c r="AC43" s="125" t="n">
        <f aca="false">AB43+AC23-AC41-AC42</f>
        <v>488.972400000001</v>
      </c>
      <c r="AD43" s="125" t="n">
        <f aca="false">AC43+AD23-AD41-AD42</f>
        <v>358.864800000001</v>
      </c>
      <c r="AE43" s="125" t="n">
        <f aca="false">AD43+AE23-AE41-AE42</f>
        <v>241.813200000001</v>
      </c>
      <c r="AF43" s="125" t="n">
        <f aca="false">AE43+AF23-AF41-AF42</f>
        <v>137.016000000001</v>
      </c>
      <c r="AG43" s="125" t="n">
        <f aca="false">AF43+AG23-AG41-AG42</f>
        <v>55.1508000000006</v>
      </c>
      <c r="AI43" s="125" t="n">
        <f aca="false">INDEX($F43:$AG43,1,MATCH(AI$7,$F$7:$AG$7,1))</f>
        <v>728.724</v>
      </c>
      <c r="AJ43" s="125" t="n">
        <f aca="false">INDEX($F43:$AG43,1,MATCH(AJ$7,$F$7:$AG$7,1))</f>
        <v>2436.1632</v>
      </c>
      <c r="AK43" s="125" t="n">
        <f aca="false">INDEX($F43:$AG43,1,MATCH(AK$7,$F$7:$AG$7,1))</f>
        <v>2463.6276</v>
      </c>
      <c r="AL43" s="125" t="n">
        <f aca="false">INDEX($F43:$AG43,1,MATCH(AL$7,$F$7:$AG$7,1))</f>
        <v>1785.5172</v>
      </c>
      <c r="AM43" s="125" t="n">
        <f aca="false">INDEX($F43:$AG43,1,MATCH(AM$7,$F$7:$AG$7,1))</f>
        <v>1107.4068</v>
      </c>
      <c r="AN43" s="125" t="n">
        <f aca="false">INDEX($F43:$AG43,1,MATCH(AN$7,$F$7:$AG$7,1))</f>
        <v>488.972400000001</v>
      </c>
      <c r="AO43" s="125" t="n">
        <f aca="false">INDEX($F43:$AG43,1,MATCH(AO$7,$F$7:$AG$7,1))</f>
        <v>55.1508000000006</v>
      </c>
    </row>
    <row r="44" customFormat="false" ht="15" hidden="false" customHeight="false" outlineLevel="0" collapsed="false">
      <c r="A44" s="107" t="s">
        <v>2196</v>
      </c>
      <c r="B44" s="22" t="s">
        <v>613</v>
      </c>
      <c r="C44" s="22" t="s">
        <v>540</v>
      </c>
      <c r="D44" s="22"/>
      <c r="F44" s="124" t="n">
        <f aca="false">SUMPRODUCT($E$24:F$24,((F$5-$E$5:F$5)&gt;=(PISLag+($E$5:F$5&gt;LastHist)*(GPULead-1)))*((F$5-$E$5:F$5)&lt;LQ_B+(PISLag+($E$5:F$5&gt;LastHist)*(GPULead-1)))*($E$5:F$5&lt;=IMPE_B))/LQ_B</f>
        <v>0</v>
      </c>
      <c r="G44" s="124" t="n">
        <f aca="false">SUMPRODUCT($E$24:G$24,((G$5-$E$5:G$5)&gt;=(PISLag+($E$5:G$5&gt;LastHist)*(GPULead-1)))*((G$5-$E$5:G$5)&lt;LQ_B+(PISLag+($E$5:G$5&gt;LastHist)*(GPULead-1)))*($E$5:G$5&lt;=IMPE_B))/LQ_B</f>
        <v>0</v>
      </c>
      <c r="H44" s="124" t="n">
        <f aca="false">SUMPRODUCT($E$24:H$24,((H$5-$E$5:H$5)&gt;=(PISLag+($E$5:H$5&gt;LastHist)*(GPULead-1)))*((H$5-$E$5:H$5)&lt;LQ_B+(PISLag+($E$5:H$5&gt;LastHist)*(GPULead-1)))*($E$5:H$5&lt;=IMPE_B))/LQ_B</f>
        <v>0</v>
      </c>
      <c r="I44" s="124" t="n">
        <f aca="false">SUMPRODUCT($E$24:I$24,((I$5-$E$5:I$5)&gt;=(PISLag+($E$5:I$5&gt;LastHist)*(GPULead-1)))*((I$5-$E$5:I$5)&lt;LQ_B+(PISLag+($E$5:I$5&gt;LastHist)*(GPULead-1)))*($E$5:I$5&lt;=IMPE_B))/LQ_B</f>
        <v>0</v>
      </c>
      <c r="J44" s="124" t="n">
        <f aca="false">SUMPRODUCT($E$24:J$24,((J$5-$E$5:J$5)&gt;=(PISLag+($E$5:J$5&gt;LastHist)*(GPULead-1)))*((J$5-$E$5:J$5)&lt;LQ_B+(PISLag+($E$5:J$5&gt;LastHist)*(GPULead-1)))*($E$5:J$5&lt;=IMPE_B))/LQ_B</f>
        <v>0</v>
      </c>
      <c r="K44" s="124" t="n">
        <f aca="false">SUMPRODUCT($E$24:K$24,((K$5-$E$5:K$5)&gt;=(PISLag+($E$5:K$5&gt;LastHist)*(GPULead-1)))*((K$5-$E$5:K$5)&lt;LQ_B+(PISLag+($E$5:K$5&gt;LastHist)*(GPULead-1)))*($E$5:K$5&lt;=IMPE_B))/LQ_B</f>
        <v>8.704</v>
      </c>
      <c r="L44" s="124" t="n">
        <f aca="false">SUMPRODUCT($E$24:L$24,((L$5-$E$5:L$5)&gt;=(PISLag+($E$5:L$5&gt;LastHist)*(GPULead-1)))*((L$5-$E$5:L$5)&lt;LQ_B+(PISLag+($E$5:L$5&gt;LastHist)*(GPULead-1)))*($E$5:L$5&lt;=IMPE_B))/LQ_B</f>
        <v>16.8736</v>
      </c>
      <c r="M44" s="124" t="n">
        <f aca="false">SUMPRODUCT($E$24:M$24,((M$5-$E$5:M$5)&gt;=(PISLag+($E$5:M$5&gt;LastHist)*(GPULead-1)))*((M$5-$E$5:M$5)&lt;LQ_B+(PISLag+($E$5:M$5&gt;LastHist)*(GPULead-1)))*($E$5:M$5&lt;=IMPE_B))/LQ_B</f>
        <v>32.1616</v>
      </c>
      <c r="N44" s="124" t="n">
        <f aca="false">SUMPRODUCT($E$24:N$24,((N$5-$E$5:N$5)&gt;=(PISLag+($E$5:N$5&gt;LastHist)*(GPULead-1)))*((N$5-$E$5:N$5)&lt;LQ_B+(PISLag+($E$5:N$5&gt;LastHist)*(GPULead-1)))*($E$5:N$5&lt;=IMPE_B))/LQ_B</f>
        <v>65.0576</v>
      </c>
      <c r="O44" s="124" t="n">
        <f aca="false">SUMPRODUCT($E$24:O$24,((O$5-$E$5:O$5)&gt;=(PISLag+($E$5:O$5&gt;LastHist)*(GPULead-1)))*((O$5-$E$5:O$5)&lt;LQ_B+(PISLag+($E$5:O$5&gt;LastHist)*(GPULead-1)))*($E$5:O$5&lt;=IMPE_B))/LQ_B</f>
        <v>154.082</v>
      </c>
      <c r="P44" s="125" t="n">
        <f aca="false">SUMPRODUCT($E$24:P$24,((P$5-$E$5:P$5)&gt;=(PISLag+($E$5:P$5&gt;LastHist)*(GPULead-1)))*((P$5-$E$5:P$5)&lt;LQ_B+(PISLag+($E$5:P$5&gt;LastHist)*(GPULead-1)))*($E$5:P$5&lt;=IMPE_B))/LQ_B</f>
        <v>357.7484</v>
      </c>
      <c r="Q44" s="125" t="n">
        <f aca="false">SUMPRODUCT($E$24:Q$24,((Q$5-$E$5:Q$5)&gt;=(PISLag+($E$5:Q$5&gt;LastHist)*(GPULead-1)))*((Q$5-$E$5:Q$5)&lt;LQ_B+(PISLag+($E$5:Q$5&gt;LastHist)*(GPULead-1)))*($E$5:Q$5&lt;=IMPE_B))/LQ_B</f>
        <v>357.7484</v>
      </c>
      <c r="R44" s="125" t="n">
        <f aca="false">SUMPRODUCT($E$24:R$24,((R$5-$E$5:R$5)&gt;=(PISLag+($E$5:R$5&gt;LastHist)*(GPULead-1)))*((R$5-$E$5:R$5)&lt;LQ_B+(PISLag+($E$5:R$5&gt;LastHist)*(GPULead-1)))*($E$5:R$5&lt;=IMPE_B))/LQ_B</f>
        <v>510.42383</v>
      </c>
      <c r="S44" s="125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25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25" t="n">
        <f aca="false">SUMPRODUCT($E$24:U$24,((U$5-$E$5:U$5)&gt;=(PISLag+($E$5:U$5&gt;LastHist)*(GPULead-1)))*((U$5-$E$5:U$5)&lt;LQ_B+(PISLag+($E$5:U$5&gt;LastHist)*(GPULead-1)))*($E$5:U$5&lt;=IMPE_B))/LQ_B</f>
        <v>1275.74384417436</v>
      </c>
      <c r="V44" s="125" t="n">
        <f aca="false">SUMPRODUCT($E$24:V$24,((V$5-$E$5:V$5)&gt;=(PISLag+($E$5:V$5&gt;LastHist)*(GPULead-1)))*((V$5-$E$5:V$5)&lt;LQ_B+(PISLag+($E$5:V$5&gt;LastHist)*(GPULead-1)))*($E$5:V$5&lt;=IMPE_B))/LQ_B</f>
        <v>1520.31453694753</v>
      </c>
      <c r="W44" s="125" t="n">
        <f aca="false">SUMPRODUCT($E$24:W$24,((W$5-$E$5:W$5)&gt;=(PISLag+($E$5:W$5&gt;LastHist)*(GPULead-1)))*((W$5-$E$5:W$5)&lt;LQ_B+(PISLag+($E$5:W$5&gt;LastHist)*(GPULead-1)))*($E$5:W$5&lt;=IMPE_B))/LQ_B</f>
        <v>1520.31453694753</v>
      </c>
      <c r="X44" s="125" t="n">
        <f aca="false">SUMPRODUCT($E$24:X$24,((X$5-$E$5:X$5)&gt;=(PISLag+($E$5:X$5&gt;LastHist)*(GPULead-1)))*((X$5-$E$5:X$5)&lt;LQ_B+(PISLag+($E$5:X$5&gt;LastHist)*(GPULead-1)))*($E$5:X$5&lt;=IMPE_B))/LQ_B</f>
        <v>1520.31453694753</v>
      </c>
      <c r="Y44" s="125" t="n">
        <f aca="false">SUMPRODUCT($E$24:Y$24,((Y$5-$E$5:Y$5)&gt;=(PISLag+($E$5:Y$5&gt;LastHist)*(GPULead-1)))*((Y$5-$E$5:Y$5)&lt;LQ_B+(PISLag+($E$5:Y$5&gt;LastHist)*(GPULead-1)))*($E$5:Y$5&lt;=IMPE_B))/LQ_B</f>
        <v>1520.31453694753</v>
      </c>
      <c r="Z44" s="125" t="n">
        <f aca="false">SUMPRODUCT($E$24:Z$24,((Z$5-$E$5:Z$5)&gt;=(PISLag+($E$5:Z$5&gt;LastHist)*(GPULead-1)))*((Z$5-$E$5:Z$5)&lt;LQ_B+(PISLag+($E$5:Z$5&gt;LastHist)*(GPULead-1)))*($E$5:Z$5&lt;=IMPE_B))/LQ_B</f>
        <v>1649.64650123381</v>
      </c>
      <c r="AA44" s="125" t="n">
        <f aca="false">SUMPRODUCT($E$24:AA$24,((AA$5-$E$5:AA$5)&gt;=(PISLag+($E$5:AA$5&gt;LastHist)*(GPULead-1)))*((AA$5-$E$5:AA$5)&lt;LQ_B+(PISLag+($E$5:AA$5&gt;LastHist)*(GPULead-1)))*($E$5:AA$5&lt;=IMPE_B))/LQ_B</f>
        <v>1649.64650123381</v>
      </c>
      <c r="AB44" s="125" t="n">
        <f aca="false">SUMPRODUCT($E$24:AB$24,((AB$5-$E$5:AB$5)&gt;=(PISLag+($E$5:AB$5&gt;LastHist)*(GPULead-1)))*((AB$5-$E$5:AB$5)&lt;LQ_B+(PISLag+($E$5:AB$5&gt;LastHist)*(GPULead-1)))*($E$5:AB$5&lt;=IMPE_B))/LQ_B</f>
        <v>1649.64650123381</v>
      </c>
      <c r="AC44" s="125" t="n">
        <f aca="false">SUMPRODUCT($E$24:AC$24,((AC$5-$E$5:AC$5)&gt;=(PISLag+($E$5:AC$5&gt;LastHist)*(GPULead-1)))*((AC$5-$E$5:AC$5)&lt;LQ_B+(PISLag+($E$5:AC$5&gt;LastHist)*(GPULead-1)))*($E$5:AC$5&lt;=IMPE_B))/LQ_B</f>
        <v>1649.64650123381</v>
      </c>
      <c r="AD44" s="125" t="n">
        <f aca="false">SUMPRODUCT($E$24:AD$24,((AD$5-$E$5:AD$5)&gt;=(PISLag+($E$5:AD$5&gt;LastHist)*(GPULead-1)))*((AD$5-$E$5:AD$5)&lt;LQ_B+(PISLag+($E$5:AD$5&gt;LastHist)*(GPULead-1)))*($E$5:AD$5&lt;=IMPE_B))/LQ_B</f>
        <v>1649.64650123381</v>
      </c>
      <c r="AE44" s="125" t="n">
        <f aca="false">SUMPRODUCT($E$24:AE$24,((AE$5-$E$5:AE$5)&gt;=(PISLag+($E$5:AE$5&gt;LastHist)*(GPULead-1)))*((AE$5-$E$5:AE$5)&lt;LQ_B+(PISLag+($E$5:AE$5&gt;LastHist)*(GPULead-1)))*($E$5:AE$5&lt;=IMPE_B))/LQ_B</f>
        <v>1640.94250123381</v>
      </c>
      <c r="AF44" s="125" t="n">
        <f aca="false">SUMPRODUCT($E$24:AF$24,((AF$5-$E$5:AF$5)&gt;=(PISLag+($E$5:AF$5&gt;LastHist)*(GPULead-1)))*((AF$5-$E$5:AF$5)&lt;LQ_B+(PISLag+($E$5:AF$5&gt;LastHist)*(GPULead-1)))*($E$5:AF$5&lt;=IMPE_B))/LQ_B</f>
        <v>1632.77290123381</v>
      </c>
      <c r="AG44" s="125" t="n">
        <f aca="false">SUMPRODUCT($E$24:AG$24,((AG$5-$E$5:AG$5)&gt;=(PISLag+($E$5:AG$5&gt;LastHist)*(GPULead-1)))*((AG$5-$E$5:AG$5)&lt;LQ_B+(PISLag+($E$5:AG$5&gt;LastHist)*(GPULead-1)))*($E$5:AG$5&lt;=IMPE_B))/LQ_B</f>
        <v>1617.48490123381</v>
      </c>
      <c r="AI44" s="125" t="n">
        <f aca="false">SUMIF($F$7:$AG$7,AI$7,$F44:$AG44)</f>
        <v>0</v>
      </c>
      <c r="AJ44" s="125" t="n">
        <f aca="false">SUMIF($F$7:$AG$7,AJ$7,$F44:$AG44)</f>
        <v>57.7392</v>
      </c>
      <c r="AK44" s="125" t="n">
        <f aca="false">SUMIF($F$7:$AG$7,AK$7,$F44:$AG44)</f>
        <v>934.6364</v>
      </c>
      <c r="AL44" s="125" t="n">
        <f aca="false">SUMIF($F$7:$AG$7,AL$7,$F44:$AG44)</f>
        <v>3625.29172784285</v>
      </c>
      <c r="AM44" s="125" t="n">
        <f aca="false">SUMIF($F$7:$AG$7,AM$7,$F44:$AG44)</f>
        <v>6081.25814779014</v>
      </c>
      <c r="AN44" s="125" t="n">
        <f aca="false">SUMIF($F$7:$AG$7,AN$7,$F44:$AG44)</f>
        <v>6598.58600493525</v>
      </c>
      <c r="AO44" s="125" t="n">
        <f aca="false">SUMIF($F$7:$AG$7,AO$7,$F44:$AG44)</f>
        <v>6540.84680493525</v>
      </c>
    </row>
    <row r="45" customFormat="false" ht="15" hidden="false" customHeight="false" outlineLevel="0" collapsed="false">
      <c r="A45" s="107" t="s">
        <v>2197</v>
      </c>
      <c r="B45" s="22" t="s">
        <v>613</v>
      </c>
      <c r="C45" s="22" t="s">
        <v>540</v>
      </c>
      <c r="D45" s="22"/>
      <c r="F45" s="124" t="n">
        <f aca="false">SUMPRODUCT($E$24:F$24,((F$5-$E$5:F$5)&gt;=(PISLag+($E$5:F$5&gt;LastHist)*(GPULead-1)))*((F$5-$E$5:F$5)&lt;LQ_B+(PISLag+($E$5:F$5&gt;LastHist)*(GPULead-1)))*($E$5:F$5&gt;IMPE_B))/LQ_B</f>
        <v>0</v>
      </c>
      <c r="G45" s="124" t="n">
        <f aca="false">SUMPRODUCT($E$24:G$24,((G$5-$E$5:G$5)&gt;=(PISLag+($E$5:G$5&gt;LastHist)*(GPULead-1)))*((G$5-$E$5:G$5)&lt;LQ_B+(PISLag+($E$5:G$5&gt;LastHist)*(GPULead-1)))*($E$5:G$5&gt;IMPE_B))/LQ_B</f>
        <v>0</v>
      </c>
      <c r="H45" s="124" t="n">
        <f aca="false">SUMPRODUCT($E$24:H$24,((H$5-$E$5:H$5)&gt;=(PISLag+($E$5:H$5&gt;LastHist)*(GPULead-1)))*((H$5-$E$5:H$5)&lt;LQ_B+(PISLag+($E$5:H$5&gt;LastHist)*(GPULead-1)))*($E$5:H$5&gt;IMPE_B))/LQ_B</f>
        <v>0</v>
      </c>
      <c r="I45" s="124" t="n">
        <f aca="false">SUMPRODUCT($E$24:I$24,((I$5-$E$5:I$5)&gt;=(PISLag+($E$5:I$5&gt;LastHist)*(GPULead-1)))*((I$5-$E$5:I$5)&lt;LQ_B+(PISLag+($E$5:I$5&gt;LastHist)*(GPULead-1)))*($E$5:I$5&gt;IMPE_B))/LQ_B</f>
        <v>0</v>
      </c>
      <c r="J45" s="124" t="n">
        <f aca="false">SUMPRODUCT($E$24:J$24,((J$5-$E$5:J$5)&gt;=(PISLag+($E$5:J$5&gt;LastHist)*(GPULead-1)))*((J$5-$E$5:J$5)&lt;LQ_B+(PISLag+($E$5:J$5&gt;LastHist)*(GPULead-1)))*($E$5:J$5&gt;IMPE_B))/LQ_B</f>
        <v>0</v>
      </c>
      <c r="K45" s="124" t="n">
        <f aca="false">SUMPRODUCT($E$24:K$24,((K$5-$E$5:K$5)&gt;=(PISLag+($E$5:K$5&gt;LastHist)*(GPULead-1)))*((K$5-$E$5:K$5)&lt;LQ_B+(PISLag+($E$5:K$5&gt;LastHist)*(GPULead-1)))*($E$5:K$5&gt;IMPE_B))/LQ_B</f>
        <v>0</v>
      </c>
      <c r="L45" s="124" t="n">
        <f aca="false">SUMPRODUCT($E$24:L$24,((L$5-$E$5:L$5)&gt;=(PISLag+($E$5:L$5&gt;LastHist)*(GPULead-1)))*((L$5-$E$5:L$5)&lt;LQ_B+(PISLag+($E$5:L$5&gt;LastHist)*(GPULead-1)))*($E$5:L$5&gt;IMPE_B))/LQ_B</f>
        <v>0</v>
      </c>
      <c r="M45" s="124" t="n">
        <f aca="false">SUMPRODUCT($E$24:M$24,((M$5-$E$5:M$5)&gt;=(PISLag+($E$5:M$5&gt;LastHist)*(GPULead-1)))*((M$5-$E$5:M$5)&lt;LQ_B+(PISLag+($E$5:M$5&gt;LastHist)*(GPULead-1)))*($E$5:M$5&gt;IMPE_B))/LQ_B</f>
        <v>0</v>
      </c>
      <c r="N45" s="124" t="n">
        <f aca="false">SUMPRODUCT($E$24:N$24,((N$5-$E$5:N$5)&gt;=(PISLag+($E$5:N$5&gt;LastHist)*(GPULead-1)))*((N$5-$E$5:N$5)&lt;LQ_B+(PISLag+($E$5:N$5&gt;LastHist)*(GPULead-1)))*($E$5:N$5&gt;IMPE_B))/LQ_B</f>
        <v>0</v>
      </c>
      <c r="O45" s="124" t="n">
        <f aca="false">SUMPRODUCT($E$24:O$24,((O$5-$E$5:O$5)&gt;=(PISLag+($E$5:O$5&gt;LastHist)*(GPULead-1)))*((O$5-$E$5:O$5)&lt;LQ_B+(PISLag+($E$5:O$5&gt;LastHist)*(GPULead-1)))*($E$5:O$5&gt;IMPE_B))/LQ_B</f>
        <v>0</v>
      </c>
      <c r="P45" s="125" t="n">
        <f aca="false">SUMPRODUCT($E$24:P$24,((P$5-$E$5:P$5)&gt;=(PISLag+($E$5:P$5&gt;LastHist)*(GPULead-1)))*((P$5-$E$5:P$5)&lt;LQ_B+(PISLag+($E$5:P$5&gt;LastHist)*(GPULead-1)))*($E$5:P$5&gt;IMPE_B))/LQ_B</f>
        <v>0</v>
      </c>
      <c r="Q45" s="125" t="n">
        <f aca="false">SUMPRODUCT($E$24:Q$24,((Q$5-$E$5:Q$5)&gt;=(PISLag+($E$5:Q$5&gt;LastHist)*(GPULead-1)))*((Q$5-$E$5:Q$5)&lt;LQ_B+(PISLag+($E$5:Q$5&gt;LastHist)*(GPULead-1)))*($E$5:Q$5&gt;IMPE_B))/LQ_B</f>
        <v>0</v>
      </c>
      <c r="R45" s="125" t="n">
        <f aca="false">SUMPRODUCT($E$24:R$24,((R$5-$E$5:R$5)&gt;=(PISLag+($E$5:R$5&gt;LastHist)*(GPULead-1)))*((R$5-$E$5:R$5)&lt;LQ_B+(PISLag+($E$5:R$5&gt;LastHist)*(GPULead-1)))*($E$5:R$5&gt;IMPE_B))/LQ_B</f>
        <v>0</v>
      </c>
      <c r="S45" s="125" t="n">
        <f aca="false">SUMPRODUCT($E$24:S$24,((S$5-$E$5:S$5)&gt;=(PISLag+($E$5:S$5&gt;LastHist)*(GPULead-1)))*((S$5-$E$5:S$5)&lt;LQ_B+(PISLag+($E$5:S$5&gt;LastHist)*(GPULead-1)))*($E$5:S$5&gt;IMPE_B))/LQ_B</f>
        <v>0</v>
      </c>
      <c r="T45" s="125" t="n">
        <f aca="false">SUMPRODUCT($E$24:T$24,((T$5-$E$5:T$5)&gt;=(PISLag+($E$5:T$5&gt;LastHist)*(GPULead-1)))*((T$5-$E$5:T$5)&lt;LQ_B+(PISLag+($E$5:T$5&gt;LastHist)*(GPULead-1)))*($E$5:T$5&gt;IMPE_B))/LQ_B</f>
        <v>0</v>
      </c>
      <c r="U45" s="125" t="n">
        <f aca="false">SUMPRODUCT($E$24:U$24,((U$5-$E$5:U$5)&gt;=(PISLag+($E$5:U$5&gt;LastHist)*(GPULead-1)))*((U$5-$E$5:U$5)&lt;LQ_B+(PISLag+($E$5:U$5&gt;LastHist)*(GPULead-1)))*($E$5:U$5&gt;IMPE_B))/LQ_B</f>
        <v>0</v>
      </c>
      <c r="V45" s="125" t="n">
        <f aca="false">SUMPRODUCT($E$24:V$24,((V$5-$E$5:V$5)&gt;=(PISLag+($E$5:V$5&gt;LastHist)*(GPULead-1)))*((V$5-$E$5:V$5)&lt;LQ_B+(PISLag+($E$5:V$5&gt;LastHist)*(GPULead-1)))*($E$5:V$5&gt;IMPE_B))/LQ_B</f>
        <v>0</v>
      </c>
      <c r="W45" s="125" t="n">
        <f aca="false">SUMPRODUCT($E$24:W$24,((W$5-$E$5:W$5)&gt;=(PISLag+($E$5:W$5&gt;LastHist)*(GPULead-1)))*((W$5-$E$5:W$5)&lt;LQ_B+(PISLag+($E$5:W$5&gt;LastHist)*(GPULead-1)))*($E$5:W$5&gt;IMPE_B))/LQ_B</f>
        <v>0</v>
      </c>
      <c r="X45" s="125" t="n">
        <f aca="false">SUMPRODUCT($E$24:X$24,((X$5-$E$5:X$5)&gt;=(PISLag+($E$5:X$5&gt;LastHist)*(GPULead-1)))*((X$5-$E$5:X$5)&lt;LQ_B+(PISLag+($E$5:X$5&gt;LastHist)*(GPULead-1)))*($E$5:X$5&gt;IMPE_B))/LQ_B</f>
        <v>0</v>
      </c>
      <c r="Y45" s="125" t="n">
        <f aca="false">SUMPRODUCT($E$24:Y$24,((Y$5-$E$5:Y$5)&gt;=(PISLag+($E$5:Y$5&gt;LastHist)*(GPULead-1)))*((Y$5-$E$5:Y$5)&lt;LQ_B+(PISLag+($E$5:Y$5&gt;LastHist)*(GPULead-1)))*($E$5:Y$5&gt;IMPE_B))/LQ_B</f>
        <v>0</v>
      </c>
      <c r="Z45" s="125" t="n">
        <f aca="false">SUMPRODUCT($E$24:Z$24,((Z$5-$E$5:Z$5)&gt;=(PISLag+($E$5:Z$5&gt;LastHist)*(GPULead-1)))*((Z$5-$E$5:Z$5)&lt;LQ_B+(PISLag+($E$5:Z$5&gt;LastHist)*(GPULead-1)))*($E$5:Z$5&gt;IMPE_B))/LQ_B</f>
        <v>0</v>
      </c>
      <c r="AA45" s="125" t="n">
        <f aca="false">SUMPRODUCT($E$24:AA$24,((AA$5-$E$5:AA$5)&gt;=(PISLag+($E$5:AA$5&gt;LastHist)*(GPULead-1)))*((AA$5-$E$5:AA$5)&lt;LQ_B+(PISLag+($E$5:AA$5&gt;LastHist)*(GPULead-1)))*($E$5:AA$5&gt;IMPE_B))/LQ_B</f>
        <v>0</v>
      </c>
      <c r="AB45" s="125" t="n">
        <f aca="false">SUMPRODUCT($E$24:AB$24,((AB$5-$E$5:AB$5)&gt;=(PISLag+($E$5:AB$5&gt;LastHist)*(GPULead-1)))*((AB$5-$E$5:AB$5)&lt;LQ_B+(PISLag+($E$5:AB$5&gt;LastHist)*(GPULead-1)))*($E$5:AB$5&gt;IMPE_B))/LQ_B</f>
        <v>0</v>
      </c>
      <c r="AC45" s="125" t="n">
        <f aca="false">SUMPRODUCT($E$24:AC$24,((AC$5-$E$5:AC$5)&gt;=(PISLag+($E$5:AC$5&gt;LastHist)*(GPULead-1)))*((AC$5-$E$5:AC$5)&lt;LQ_B+(PISLag+($E$5:AC$5&gt;LastHist)*(GPULead-1)))*($E$5:AC$5&gt;IMPE_B))/LQ_B</f>
        <v>0</v>
      </c>
      <c r="AD45" s="125" t="n">
        <f aca="false">SUMPRODUCT($E$24:AD$24,((AD$5-$E$5:AD$5)&gt;=(PISLag+($E$5:AD$5&gt;LastHist)*(GPULead-1)))*((AD$5-$E$5:AD$5)&lt;LQ_B+(PISLag+($E$5:AD$5&gt;LastHist)*(GPULead-1)))*($E$5:AD$5&gt;IMPE_B))/LQ_B</f>
        <v>0</v>
      </c>
      <c r="AE45" s="125" t="n">
        <f aca="false">SUMPRODUCT($E$24:AE$24,((AE$5-$E$5:AE$5)&gt;=(PISLag+($E$5:AE$5&gt;LastHist)*(GPULead-1)))*((AE$5-$E$5:AE$5)&lt;LQ_B+(PISLag+($E$5:AE$5&gt;LastHist)*(GPULead-1)))*($E$5:AE$5&gt;IMPE_B))/LQ_B</f>
        <v>0</v>
      </c>
      <c r="AF45" s="125" t="n">
        <f aca="false">SUMPRODUCT($E$24:AF$24,((AF$5-$E$5:AF$5)&gt;=(PISLag+($E$5:AF$5&gt;LastHist)*(GPULead-1)))*((AF$5-$E$5:AF$5)&lt;LQ_B+(PISLag+($E$5:AF$5&gt;LastHist)*(GPULead-1)))*($E$5:AF$5&gt;IMPE_B))/LQ_B</f>
        <v>0</v>
      </c>
      <c r="AG45" s="125" t="n">
        <f aca="false">SUMPRODUCT($E$24:AG$24,((AG$5-$E$5:AG$5)&gt;=(PISLag+($E$5:AG$5&gt;LastHist)*(GPULead-1)))*((AG$5-$E$5:AG$5)&lt;LQ_B+(PISLag+($E$5:AG$5&gt;LastHist)*(GPULead-1)))*($E$5:AG$5&gt;IMPE_B))/LQ_B</f>
        <v>0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0</v>
      </c>
      <c r="AL45" s="125" t="n">
        <f aca="false">SUMIF($F$7:$AG$7,AL$7,$F45:$AG45)</f>
        <v>0</v>
      </c>
      <c r="AM45" s="125" t="n">
        <f aca="false">SUMIF($F$7:$AG$7,AM$7,$F45:$AG45)</f>
        <v>0</v>
      </c>
      <c r="AN45" s="125" t="n">
        <f aca="false">SUMIF($F$7:$AG$7,AN$7,$F45:$AG45)</f>
        <v>0</v>
      </c>
      <c r="AO45" s="125" t="n">
        <f aca="false">SUMIF($F$7:$AG$7,AO$7,$F45:$AG45)</f>
        <v>0</v>
      </c>
    </row>
    <row r="46" customFormat="false" ht="15" hidden="false" customHeight="false" outlineLevel="0" collapsed="false">
      <c r="A46" s="3" t="s">
        <v>2198</v>
      </c>
      <c r="B46" s="22" t="s">
        <v>613</v>
      </c>
      <c r="C46" s="22" t="s">
        <v>540</v>
      </c>
      <c r="D46" s="22"/>
      <c r="F46" s="126" t="n">
        <f aca="false">F44*(1-ImpPct_B*(F$5&gt;IMPE_B))+F45</f>
        <v>0</v>
      </c>
      <c r="G46" s="126" t="n">
        <f aca="false">G44*(1-ImpPct_B*(G$5&gt;IMPE_B))+G45</f>
        <v>0</v>
      </c>
      <c r="H46" s="126" t="n">
        <f aca="false">H44*(1-ImpPct_B*(H$5&gt;IMPE_B))+H45</f>
        <v>0</v>
      </c>
      <c r="I46" s="126" t="n">
        <f aca="false">I44*(1-ImpPct_B*(I$5&gt;IMPE_B))+I45</f>
        <v>0</v>
      </c>
      <c r="J46" s="126" t="n">
        <f aca="false">J44*(1-ImpPct_B*(J$5&gt;IMPE_B))+J45</f>
        <v>0</v>
      </c>
      <c r="K46" s="126" t="n">
        <f aca="false">K44*(1-ImpPct_B*(K$5&gt;IMPE_B))+K45</f>
        <v>8.704</v>
      </c>
      <c r="L46" s="126" t="n">
        <f aca="false">L44*(1-ImpPct_B*(L$5&gt;IMPE_B))+L45</f>
        <v>16.8736</v>
      </c>
      <c r="M46" s="126" t="n">
        <f aca="false">M44*(1-ImpPct_B*(M$5&gt;IMPE_B))+M45</f>
        <v>32.1616</v>
      </c>
      <c r="N46" s="126" t="n">
        <f aca="false">N44*(1-ImpPct_B*(N$5&gt;IMPE_B))+N45</f>
        <v>65.0576</v>
      </c>
      <c r="O46" s="126" t="n">
        <f aca="false">O44*(1-ImpPct_B*(O$5&gt;IMPE_B))+O45</f>
        <v>154.082</v>
      </c>
      <c r="P46" s="99" t="n">
        <f aca="false">P44*(1-ImpPct_B*(P$5&gt;IMPE_B))+P45</f>
        <v>357.7484</v>
      </c>
      <c r="Q46" s="99" t="n">
        <f aca="false">Q44*(1-ImpPct_B*(Q$5&gt;IMPE_B))+Q45</f>
        <v>357.7484</v>
      </c>
      <c r="R46" s="99" t="n">
        <f aca="false">R44*(1-ImpPct_B*(R$5&gt;IMPE_B))+R45</f>
        <v>510.42383</v>
      </c>
      <c r="S46" s="99" t="n">
        <f aca="false">S44*(1-ImpPct_B*(S$5&gt;IMPE_B))+S45</f>
        <v>772.623207741941</v>
      </c>
      <c r="T46" s="99" t="n">
        <f aca="false">T44*(1-ImpPct_B*(T$5&gt;IMPE_B))+T45</f>
        <v>1066.50084592655</v>
      </c>
      <c r="U46" s="99" t="n">
        <f aca="false">U44*(1-ImpPct_B*(U$5&gt;IMPE_B))+U45</f>
        <v>1275.74384417436</v>
      </c>
      <c r="V46" s="99" t="n">
        <f aca="false">V44*(1-ImpPct_B*(V$5&gt;IMPE_B))+V45</f>
        <v>1520.31453694753</v>
      </c>
      <c r="W46" s="99" t="n">
        <f aca="false">W44*(1-ImpPct_B*(W$5&gt;IMPE_B))+W45</f>
        <v>1520.31453694753</v>
      </c>
      <c r="X46" s="99" t="n">
        <f aca="false">X44*(1-ImpPct_B*(X$5&gt;IMPE_B))+X45</f>
        <v>1520.31453694753</v>
      </c>
      <c r="Y46" s="99" t="n">
        <f aca="false">Y44*(1-ImpPct_B*(Y$5&gt;IMPE_B))+Y45</f>
        <v>1520.31453694753</v>
      </c>
      <c r="Z46" s="99" t="n">
        <f aca="false">Z44*(1-ImpPct_B*(Z$5&gt;IMPE_B))+Z45</f>
        <v>1649.64650123381</v>
      </c>
      <c r="AA46" s="99" t="n">
        <f aca="false">AA44*(1-ImpPct_B*(AA$5&gt;IMPE_B))+AA45</f>
        <v>1649.64650123381</v>
      </c>
      <c r="AB46" s="99" t="n">
        <f aca="false">AB44*(1-ImpPct_B*(AB$5&gt;IMPE_B))+AB45</f>
        <v>1649.64650123381</v>
      </c>
      <c r="AC46" s="99" t="n">
        <f aca="false">AC44*(1-ImpPct_B*(AC$5&gt;IMPE_B))+AC45</f>
        <v>1649.64650123381</v>
      </c>
      <c r="AD46" s="99" t="n">
        <f aca="false">AD44*(1-ImpPct_B*(AD$5&gt;IMPE_B))+AD45</f>
        <v>1649.64650123381</v>
      </c>
      <c r="AE46" s="99" t="n">
        <f aca="false">AE44*(1-ImpPct_B*(AE$5&gt;IMPE_B))+AE45</f>
        <v>1640.94250123381</v>
      </c>
      <c r="AF46" s="99" t="n">
        <f aca="false">AF44*(1-ImpPct_B*(AF$5&gt;IMPE_B))+AF45</f>
        <v>1632.77290123381</v>
      </c>
      <c r="AG46" s="99" t="n">
        <f aca="false">AG44*(1-ImpPct_B*(AG$5&gt;IMPE_B))+AG45</f>
        <v>1617.48490123381</v>
      </c>
      <c r="AI46" s="99" t="n">
        <f aca="false">SUMIF($F$7:$AG$7,AI$7,$F46:$AG46)</f>
        <v>0</v>
      </c>
      <c r="AJ46" s="99" t="n">
        <f aca="false">SUMIF($F$7:$AG$7,AJ$7,$F46:$AG46)</f>
        <v>57.7392</v>
      </c>
      <c r="AK46" s="99" t="n">
        <f aca="false">SUMIF($F$7:$AG$7,AK$7,$F46:$AG46)</f>
        <v>934.6364</v>
      </c>
      <c r="AL46" s="99" t="n">
        <f aca="false">SUMIF($F$7:$AG$7,AL$7,$F46:$AG46)</f>
        <v>3625.29172784285</v>
      </c>
      <c r="AM46" s="99" t="n">
        <f aca="false">SUMIF($F$7:$AG$7,AM$7,$F46:$AG46)</f>
        <v>6081.25814779014</v>
      </c>
      <c r="AN46" s="99" t="n">
        <f aca="false">SUMIF($F$7:$AG$7,AN$7,$F46:$AG46)</f>
        <v>6598.58600493525</v>
      </c>
      <c r="AO46" s="99" t="n">
        <f aca="false">SUMIF($F$7:$AG$7,AO$7,$F46:$AG46)</f>
        <v>6540.84680493525</v>
      </c>
    </row>
    <row r="47" customFormat="false" ht="15" hidden="false" customHeight="false" outlineLevel="0" collapsed="false">
      <c r="A47" s="107" t="s">
        <v>2199</v>
      </c>
      <c r="B47" s="22" t="s">
        <v>613</v>
      </c>
      <c r="C47" s="22" t="s">
        <v>551</v>
      </c>
      <c r="D47" s="22"/>
      <c r="F47" s="124" t="n">
        <f aca="false">IF(F$5=IMPE_B,ImpPct_B*(SUMPRODUCT($E$24:F$24,--($E$5:F$5&lt;=IMPE_B))-SUM($F$44:F$44)),0)</f>
        <v>0</v>
      </c>
      <c r="G47" s="124" t="n">
        <f aca="false">IF(G$5=IMPE_B,ImpPct_B*(SUMPRODUCT($E$24:G$24,--($E$5:G$5&lt;=IMPE_B))-SUM($F$44:G$44)),0)</f>
        <v>0</v>
      </c>
      <c r="H47" s="124" t="n">
        <f aca="false">IF(H$5=IMPE_B,ImpPct_B*(SUMPRODUCT($E$24:H$24,--($E$5:H$5&lt;=IMPE_B))-SUM($F$44:H$44)),0)</f>
        <v>0</v>
      </c>
      <c r="I47" s="124" t="n">
        <f aca="false">IF(I$5=IMPE_B,ImpPct_B*(SUMPRODUCT($E$24:I$24,--($E$5:I$5&lt;=IMPE_B))-SUM($F$44:I$44)),0)</f>
        <v>0</v>
      </c>
      <c r="J47" s="124" t="n">
        <f aca="false">IF(J$5=IMPE_B,ImpPct_B*(SUMPRODUCT($E$24:J$24,--($E$5:J$5&lt;=IMPE_B))-SUM($F$44:J$44)),0)</f>
        <v>0</v>
      </c>
      <c r="K47" s="124" t="n">
        <f aca="false">IF(K$5=IMPE_B,ImpPct_B*(SUMPRODUCT($E$24:K$24,--($E$5:K$5&lt;=IMPE_B))-SUM($F$44:K$44)),0)</f>
        <v>0</v>
      </c>
      <c r="L47" s="124" t="n">
        <f aca="false">IF(L$5=IMPE_B,ImpPct_B*(SUMPRODUCT($E$24:L$24,--($E$5:L$5&lt;=IMPE_B))-SUM($F$44:L$44)),0)</f>
        <v>0</v>
      </c>
      <c r="M47" s="124" t="n">
        <f aca="false">IF(M$5=IMPE_B,ImpPct_B*(SUMPRODUCT($E$24:M$24,--($E$5:M$5&lt;=IMPE_B))-SUM($F$44:M$44)),0)</f>
        <v>0</v>
      </c>
      <c r="N47" s="124" t="n">
        <f aca="false">IF(N$5=IMPE_B,ImpPct_B*(SUMPRODUCT($E$24:N$24,--($E$5:N$5&lt;=IMPE_B))-SUM($F$44:N$44)),0)</f>
        <v>0</v>
      </c>
      <c r="O47" s="124" t="n">
        <f aca="false">IF(O$5=IMPE_B,ImpPct_B*(SUMPRODUCT($E$24:O$24,--($E$5:O$5&lt;=IMPE_B))-SUM($F$44:O$44)),0)</f>
        <v>0</v>
      </c>
      <c r="P47" s="125" t="n">
        <f aca="false">IF(P$5=IMPE_B,ImpPct_B*(SUMPRODUCT($E$24:P$24,--($E$5:P$5&lt;=IMPE_B))-SUM($F$44:P$44)),0)</f>
        <v>0</v>
      </c>
      <c r="Q47" s="125" t="n">
        <f aca="false">IF(Q$5=IMPE_B,ImpPct_B*(SUMPRODUCT($E$24:Q$24,--($E$5:Q$5&lt;=IMPE_B))-SUM($F$44:Q$44)),0)</f>
        <v>0</v>
      </c>
      <c r="R47" s="125" t="n">
        <f aca="false">IF(R$5=IMPE_B,ImpPct_B*(SUMPRODUCT($E$24:R$24,--($E$5:R$5&lt;=IMPE_B))-SUM($F$44:R$44)),0)</f>
        <v>0</v>
      </c>
      <c r="S47" s="125" t="n">
        <f aca="false">IF(S$5=IMPE_B,ImpPct_B*(SUMPRODUCT($E$24:S$24,--($E$5:S$5&lt;=IMPE_B))-SUM($F$44:S$44)),0)</f>
        <v>0</v>
      </c>
      <c r="T47" s="125" t="n">
        <f aca="false">IF(T$5=IMPE_B,ImpPct_B*(SUMPRODUCT($E$24:T$24,--($E$5:T$5&lt;=IMPE_B))-SUM($F$44:T$44)),0)</f>
        <v>0</v>
      </c>
      <c r="U47" s="125" t="n">
        <f aca="false">IF(U$5=IMPE_B,ImpPct_B*(SUMPRODUCT($E$24:U$24,--($E$5:U$5&lt;=IMPE_B))-SUM($F$44:U$44)),0)</f>
        <v>0</v>
      </c>
      <c r="V47" s="125" t="n">
        <f aca="false">IF(V$5=IMPE_B,ImpPct_B*(SUMPRODUCT($E$24:V$24,--($E$5:V$5&lt;=IMPE_B))-SUM($F$44:V$44)),0)</f>
        <v>0</v>
      </c>
      <c r="W47" s="125" t="n">
        <f aca="false">IF(W$5=IMPE_B,ImpPct_B*(SUMPRODUCT($E$24:W$24,--($E$5:W$5&lt;=IMPE_B))-SUM($F$44:W$44)),0)</f>
        <v>0</v>
      </c>
      <c r="X47" s="125" t="n">
        <f aca="false">IF(X$5=IMPE_B,ImpPct_B*(SUMPRODUCT($E$24:X$24,--($E$5:X$5&lt;=IMPE_B))-SUM($F$44:X$44)),0)</f>
        <v>0</v>
      </c>
      <c r="Y47" s="125" t="n">
        <f aca="false">IF(Y$5=IMPE_B,ImpPct_B*(SUMPRODUCT($E$24:Y$24,--($E$5:Y$5&lt;=IMPE_B))-SUM($F$44:Y$44)),0)</f>
        <v>0</v>
      </c>
      <c r="Z47" s="125" t="n">
        <f aca="false">IF(Z$5=IMPE_B,ImpPct_B*(SUMPRODUCT($E$24:Z$24,--($E$5:Z$5&lt;=IMPE_B))-SUM($F$44:Z$44)),0)</f>
        <v>0</v>
      </c>
      <c r="AA47" s="125" t="n">
        <f aca="false">IF(AA$5=IMPE_B,ImpPct_B*(SUMPRODUCT($E$24:AA$24,--($E$5:AA$5&lt;=IMPE_B))-SUM($F$44:AA$44)),0)</f>
        <v>0</v>
      </c>
      <c r="AB47" s="125" t="n">
        <f aca="false">IF(AB$5=IMPE_B,ImpPct_B*(SUMPRODUCT($E$24:AB$24,--($E$5:AB$5&lt;=IMPE_B))-SUM($F$44:AB$44)),0)</f>
        <v>0</v>
      </c>
      <c r="AC47" s="125" t="n">
        <f aca="false">IF(AC$5=IMPE_B,ImpPct_B*(SUMPRODUCT($E$24:AC$24,--($E$5:AC$5&lt;=IMPE_B))-SUM($F$44:AC$44)),0)</f>
        <v>0</v>
      </c>
      <c r="AD47" s="125" t="n">
        <f aca="false">IF(AD$5=IMPE_B,ImpPct_B*(SUMPRODUCT($E$24:AD$24,--($E$5:AD$5&lt;=IMPE_B))-SUM($F$44:AD$44)),0)</f>
        <v>0</v>
      </c>
      <c r="AE47" s="125" t="n">
        <f aca="false">IF(AE$5=IMPE_B,ImpPct_B*(SUMPRODUCT($E$24:AE$24,--($E$5:AE$5&lt;=IMPE_B))-SUM($F$44:AE$44)),0)</f>
        <v>0</v>
      </c>
      <c r="AF47" s="125" t="n">
        <f aca="false">IF(AF$5=IMPE_B,ImpPct_B*(SUMPRODUCT($E$24:AF$24,--($E$5:AF$5&lt;=IMPE_B))-SUM($F$44:AF$44)),0)</f>
        <v>0</v>
      </c>
      <c r="AG47" s="125" t="n">
        <f aca="false">IF(AG$5=IMPE_B,ImpPct_B*(SUMPRODUCT($E$24:AG$24,--($E$5:AG$5&lt;=IMPE_B))-SUM($F$44:AG$44)),0)</f>
        <v>0</v>
      </c>
      <c r="AI47" s="125" t="n">
        <f aca="false">SUMIF($F$7:$AG$7,AI$7,$F47:$AG47)</f>
        <v>0</v>
      </c>
      <c r="AJ47" s="125" t="n">
        <f aca="false">SUMIF($F$7:$AG$7,AJ$7,$F47:$AG47)</f>
        <v>0</v>
      </c>
      <c r="AK47" s="125" t="n">
        <f aca="false">SUMIF($F$7:$AG$7,AK$7,$F47:$AG47)</f>
        <v>0</v>
      </c>
      <c r="AL47" s="125" t="n">
        <f aca="false">SUMIF($F$7:$AG$7,AL$7,$F47:$AG47)</f>
        <v>0</v>
      </c>
      <c r="AM47" s="125" t="n">
        <f aca="false">SUMIF($F$7:$AG$7,AM$7,$F47:$AG47)</f>
        <v>0</v>
      </c>
      <c r="AN47" s="125" t="n">
        <f aca="false">SUMIF($F$7:$AG$7,AN$7,$F47:$AG47)</f>
        <v>0</v>
      </c>
      <c r="AO47" s="125" t="n">
        <f aca="false">SUMIF($F$7:$AG$7,AO$7,$F47:$AG47)</f>
        <v>0</v>
      </c>
    </row>
    <row r="48" customFormat="false" ht="15" hidden="false" customHeight="false" outlineLevel="0" collapsed="false">
      <c r="A48" s="107" t="s">
        <v>2200</v>
      </c>
      <c r="B48" s="22" t="s">
        <v>613</v>
      </c>
      <c r="C48" s="22" t="s">
        <v>540</v>
      </c>
      <c r="D48" s="22"/>
      <c r="E48" s="125" t="n">
        <f aca="false">E24</f>
        <v>0</v>
      </c>
      <c r="F48" s="124" t="n">
        <f aca="false">E48+F24-F46-F47</f>
        <v>0</v>
      </c>
      <c r="G48" s="124" t="n">
        <f aca="false">F48+G24-G46-G47</f>
        <v>0</v>
      </c>
      <c r="H48" s="124" t="n">
        <f aca="false">G48+H24-H46-H47</f>
        <v>0</v>
      </c>
      <c r="I48" s="124" t="n">
        <f aca="false">H48+I24-I46-I47</f>
        <v>0</v>
      </c>
      <c r="J48" s="124" t="n">
        <f aca="false">I48+J24-J46-J47</f>
        <v>174.08</v>
      </c>
      <c r="K48" s="124" t="n">
        <f aca="false">J48+K24-K46-K47</f>
        <v>328.768</v>
      </c>
      <c r="L48" s="124" t="n">
        <f aca="false">K48+L24-L46-L47</f>
        <v>617.6544</v>
      </c>
      <c r="M48" s="124" t="n">
        <f aca="false">L48+M24-M46-M47</f>
        <v>1243.4128</v>
      </c>
      <c r="N48" s="124" t="n">
        <f aca="false">M48+N24-N46-N47</f>
        <v>2958.8432</v>
      </c>
      <c r="O48" s="124" t="n">
        <f aca="false">N48+O24-O46-O47</f>
        <v>6878.0892</v>
      </c>
      <c r="P48" s="125" t="n">
        <f aca="false">O48+P24-P46-P47</f>
        <v>9573.8494</v>
      </c>
      <c r="Q48" s="125" t="n">
        <f aca="false">P48+Q24-Q46-Q47</f>
        <v>14460.0885548388</v>
      </c>
      <c r="R48" s="125" t="n">
        <f aca="false">Q48+R24-R46-R47</f>
        <v>19827.217488531</v>
      </c>
      <c r="S48" s="125" t="n">
        <f aca="false">R48+S24-S46-S47</f>
        <v>23239.4542457453</v>
      </c>
      <c r="T48" s="125" t="n">
        <f aca="false">S48+T24-T46-T47</f>
        <v>27064.3672552822</v>
      </c>
      <c r="U48" s="125" t="n">
        <f aca="false">T48+U24-U46-U47</f>
        <v>25788.6234111079</v>
      </c>
      <c r="V48" s="125" t="n">
        <f aca="false">U48+V24-V46-V47</f>
        <v>24268.3088741603</v>
      </c>
      <c r="W48" s="125" t="n">
        <f aca="false">V48+W24-W46-W47</f>
        <v>22747.9943372128</v>
      </c>
      <c r="X48" s="125" t="n">
        <f aca="false">W48+X24-X46-X47</f>
        <v>23814.3190859908</v>
      </c>
      <c r="Y48" s="125" t="n">
        <f aca="false">X48+Y24-Y46-Y47</f>
        <v>22294.0045490432</v>
      </c>
      <c r="Z48" s="125" t="n">
        <f aca="false">Y48+Z24-Z46-Z47</f>
        <v>20644.3580478094</v>
      </c>
      <c r="AA48" s="125" t="n">
        <f aca="false">Z48+AA24-AA46-AA47</f>
        <v>18994.7115465756</v>
      </c>
      <c r="AB48" s="125" t="n">
        <f aca="false">AA48+AB24-AB46-AB47</f>
        <v>17345.0650453418</v>
      </c>
      <c r="AC48" s="125" t="n">
        <f aca="false">AB48+AC24-AC46-AC47</f>
        <v>15695.418544108</v>
      </c>
      <c r="AD48" s="125" t="n">
        <f aca="false">AC48+AD24-AD46-AD47</f>
        <v>14045.7720428742</v>
      </c>
      <c r="AE48" s="125" t="n">
        <f aca="false">AD48+AE24-AE46-AE47</f>
        <v>12404.8295416404</v>
      </c>
      <c r="AF48" s="125" t="n">
        <f aca="false">AE48+AF24-AF46-AF47</f>
        <v>10772.0566404066</v>
      </c>
      <c r="AG48" s="125" t="n">
        <f aca="false">AF48+AG24-AG46-AG47</f>
        <v>9154.57173917275</v>
      </c>
      <c r="AI48" s="125" t="n">
        <f aca="false">INDEX($F48:$AG48,1,MATCH(AI$7,$F$7:$AG$7,1))</f>
        <v>0</v>
      </c>
      <c r="AJ48" s="125" t="n">
        <f aca="false">INDEX($F48:$AG48,1,MATCH(AJ$7,$F$7:$AG$7,1))</f>
        <v>1243.4128</v>
      </c>
      <c r="AK48" s="125" t="n">
        <f aca="false">INDEX($F48:$AG48,1,MATCH(AK$7,$F$7:$AG$7,1))</f>
        <v>14460.0885548388</v>
      </c>
      <c r="AL48" s="125" t="n">
        <f aca="false">INDEX($F48:$AG48,1,MATCH(AL$7,$F$7:$AG$7,1))</f>
        <v>25788.6234111079</v>
      </c>
      <c r="AM48" s="125" t="n">
        <f aca="false">INDEX($F48:$AG48,1,MATCH(AM$7,$F$7:$AG$7,1))</f>
        <v>22294.0045490432</v>
      </c>
      <c r="AN48" s="125" t="n">
        <f aca="false">INDEX($F48:$AG48,1,MATCH(AN$7,$F$7:$AG$7,1))</f>
        <v>15695.418544108</v>
      </c>
      <c r="AO48" s="125" t="n">
        <f aca="false">INDEX($F48:$AG48,1,MATCH(AO$7,$F$7:$AG$7,1))</f>
        <v>9154.57173917275</v>
      </c>
    </row>
    <row r="49" customFormat="false" ht="15" hidden="false" customHeight="false" outlineLevel="0" collapsed="false">
      <c r="A49" s="107" t="s">
        <v>2201</v>
      </c>
      <c r="B49" s="22" t="s">
        <v>613</v>
      </c>
      <c r="C49" s="22" t="s">
        <v>540</v>
      </c>
      <c r="D49" s="22"/>
      <c r="F49" s="124" t="n">
        <f aca="false">SUMPRODUCT($E$25:F$25,((F$5-$E$5:F$5)&gt;=(PISLag+($E$5:F$5&gt;LastHist)*(GPULead-1)))*((F$5-$E$5:F$5)&lt;LQ_N+(PISLag+($E$5:F$5&gt;LastHist)*(GPULead-1)))*($E$5:F$5&lt;=IMPE_N))/LQ_N</f>
        <v>0</v>
      </c>
      <c r="G49" s="124" t="n">
        <f aca="false">SUMPRODUCT($E$25:G$25,((G$5-$E$5:G$5)&gt;=(PISLag+($E$5:G$5&gt;LastHist)*(GPULead-1)))*((G$5-$E$5:G$5)&lt;LQ_N+(PISLag+($E$5:G$5&gt;LastHist)*(GPULead-1)))*($E$5:G$5&lt;=IMPE_N))/LQ_N</f>
        <v>0</v>
      </c>
      <c r="H49" s="124" t="n">
        <f aca="false">SUMPRODUCT($E$25:H$25,((H$5-$E$5:H$5)&gt;=(PISLag+($E$5:H$5&gt;LastHist)*(GPULead-1)))*((H$5-$E$5:H$5)&lt;LQ_N+(PISLag+($E$5:H$5&gt;LastHist)*(GPULead-1)))*($E$5:H$5&lt;=IMPE_N))/LQ_N</f>
        <v>0</v>
      </c>
      <c r="I49" s="124" t="n">
        <f aca="false">SUMPRODUCT($E$25:I$25,((I$5-$E$5:I$5)&gt;=(PISLag+($E$5:I$5&gt;LastHist)*(GPULead-1)))*((I$5-$E$5:I$5)&lt;LQ_N+(PISLag+($E$5:I$5&gt;LastHist)*(GPULead-1)))*($E$5:I$5&lt;=IMPE_N))/LQ_N</f>
        <v>0</v>
      </c>
      <c r="J49" s="124" t="n">
        <f aca="false">SUMPRODUCT($E$25:J$25,((J$5-$E$5:J$5)&gt;=(PISLag+($E$5:J$5&gt;LastHist)*(GPULead-1)))*((J$5-$E$5:J$5)&lt;LQ_N+(PISLag+($E$5:J$5&gt;LastHist)*(GPULead-1)))*($E$5:J$5&lt;=IMPE_N))/LQ_N</f>
        <v>0</v>
      </c>
      <c r="K49" s="124" t="n">
        <f aca="false">SUMPRODUCT($E$25:K$25,((K$5-$E$5:K$5)&gt;=(PISLag+($E$5:K$5&gt;LastHist)*(GPULead-1)))*((K$5-$E$5:K$5)&lt;LQ_N+(PISLag+($E$5:K$5&gt;LastHist)*(GPULead-1)))*($E$5:K$5&lt;=IMPE_N))/LQ_N</f>
        <v>0</v>
      </c>
      <c r="L49" s="124" t="n">
        <f aca="false">SUMPRODUCT($E$25:L$25,((L$5-$E$5:L$5)&gt;=(PISLag+($E$5:L$5&gt;LastHist)*(GPULead-1)))*((L$5-$E$5:L$5)&lt;LQ_N+(PISLag+($E$5:L$5&gt;LastHist)*(GPULead-1)))*($E$5:L$5&lt;=IMPE_N))/LQ_N</f>
        <v>0</v>
      </c>
      <c r="M49" s="124" t="n">
        <f aca="false">SUMPRODUCT($E$25:M$25,((M$5-$E$5:M$5)&gt;=(PISLag+($E$5:M$5&gt;LastHist)*(GPULead-1)))*((M$5-$E$5:M$5)&lt;LQ_N+(PISLag+($E$5:M$5&gt;LastHist)*(GPULead-1)))*($E$5:M$5&lt;=IMPE_N))/LQ_N</f>
        <v>0</v>
      </c>
      <c r="N49" s="124" t="n">
        <f aca="false">SUMPRODUCT($E$25:N$25,((N$5-$E$5:N$5)&gt;=(PISLag+($E$5:N$5&gt;LastHist)*(GPULead-1)))*((N$5-$E$5:N$5)&lt;LQ_N+(PISLag+($E$5:N$5&gt;LastHist)*(GPULead-1)))*($E$5:N$5&lt;=IMPE_N))/LQ_N</f>
        <v>0</v>
      </c>
      <c r="O49" s="124" t="n">
        <f aca="false">SUMPRODUCT($E$25:O$25,((O$5-$E$5:O$5)&gt;=(PISLag+($E$5:O$5&gt;LastHist)*(GPULead-1)))*((O$5-$E$5:O$5)&lt;LQ_N+(PISLag+($E$5:O$5&gt;LastHist)*(GPULead-1)))*($E$5:O$5&lt;=IMPE_N))/LQ_N</f>
        <v>0</v>
      </c>
      <c r="P49" s="125" t="n">
        <f aca="false">SUMPRODUCT($E$25:P$25,((P$5-$E$5:P$5)&gt;=(PISLag+($E$5:P$5&gt;LastHist)*(GPULead-1)))*((P$5-$E$5:P$5)&lt;LQ_N+(PISLag+($E$5:P$5&gt;LastHist)*(GPULead-1)))*($E$5:P$5&lt;=IMPE_N))/LQ_N</f>
        <v>0</v>
      </c>
      <c r="Q49" s="125" t="n">
        <f aca="false">SUMPRODUCT($E$25:Q$25,((Q$5-$E$5:Q$5)&gt;=(PISLag+($E$5:Q$5&gt;LastHist)*(GPULead-1)))*((Q$5-$E$5:Q$5)&lt;LQ_N+(PISLag+($E$5:Q$5&gt;LastHist)*(GPULead-1)))*($E$5:Q$5&lt;=IMPE_N))/LQ_N</f>
        <v>0</v>
      </c>
      <c r="R49" s="125" t="n">
        <f aca="false">SUMPRODUCT($E$25:R$25,((R$5-$E$5:R$5)&gt;=(PISLag+($E$5:R$5&gt;LastHist)*(GPULead-1)))*((R$5-$E$5:R$5)&lt;LQ_N+(PISLag+($E$5:R$5&gt;LastHist)*(GPULead-1)))*($E$5:R$5&lt;=IMPE_N))/LQ_N</f>
        <v>0</v>
      </c>
      <c r="S49" s="125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25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25" t="n">
        <f aca="false">SUMPRODUCT($E$25:U$25,((U$5-$E$5:U$5)&gt;=(PISLag+($E$5:U$5&gt;LastHist)*(GPULead-1)))*((U$5-$E$5:U$5)&lt;LQ_N+(PISLag+($E$5:U$5&gt;LastHist)*(GPULead-1)))*($E$5:U$5&lt;=IMPE_N))/LQ_N</f>
        <v>185.75996832564</v>
      </c>
      <c r="V49" s="125" t="n">
        <f aca="false">SUMPRODUCT($E$25:V$25,((V$5-$E$5:V$5)&gt;=(PISLag+($E$5:V$5&gt;LastHist)*(GPULead-1)))*((V$5-$E$5:V$5)&lt;LQ_N+(PISLag+($E$5:V$5&gt;LastHist)*(GPULead-1)))*($E$5:V$5&lt;=IMPE_N))/LQ_N</f>
        <v>461.123868052465</v>
      </c>
      <c r="W49" s="125" t="n">
        <f aca="false">SUMPRODUCT($E$25:W$25,((W$5-$E$5:W$5)&gt;=(PISLag+($E$5:W$5&gt;LastHist)*(GPULead-1)))*((W$5-$E$5:W$5)&lt;LQ_N+(PISLag+($E$5:W$5&gt;LastHist)*(GPULead-1)))*($E$5:W$5&lt;=IMPE_N))/LQ_N</f>
        <v>644.367275552466</v>
      </c>
      <c r="X49" s="125" t="n">
        <f aca="false">SUMPRODUCT($E$25:X$25,((X$5-$E$5:X$5)&gt;=(PISLag+($E$5:X$5&gt;LastHist)*(GPULead-1)))*((X$5-$E$5:X$5)&lt;LQ_N+(PISLag+($E$5:X$5&gt;LastHist)*(GPULead-1)))*($E$5:X$5&lt;=IMPE_N))/LQ_N</f>
        <v>952.053573052465</v>
      </c>
      <c r="Y49" s="125" t="n">
        <f aca="false">SUMPRODUCT($E$25:Y$25,((Y$5-$E$5:Y$5)&gt;=(PISLag+($E$5:Y$5&gt;LastHist)*(GPULead-1)))*((Y$5-$E$5:Y$5)&lt;LQ_N+(PISLag+($E$5:Y$5&gt;LastHist)*(GPULead-1)))*($E$5:Y$5&lt;=IMPE_N))/LQ_N</f>
        <v>977.741073052465</v>
      </c>
      <c r="Z49" s="125" t="n">
        <f aca="false">SUMPRODUCT($E$25:Z$25,((Z$5-$E$5:Z$5)&gt;=(PISLag+($E$5:Z$5&gt;LastHist)*(GPULead-1)))*((Z$5-$E$5:Z$5)&lt;LQ_N+(PISLag+($E$5:Z$5&gt;LastHist)*(GPULead-1)))*($E$5:Z$5&lt;=IMPE_N))/LQ_N</f>
        <v>1469.88506126619</v>
      </c>
      <c r="AA49" s="125" t="n">
        <f aca="false">SUMPRODUCT($E$25:AA$25,((AA$5-$E$5:AA$5)&gt;=(PISLag+($E$5:AA$5&gt;LastHist)*(GPULead-1)))*((AA$5-$E$5:AA$5)&lt;LQ_N+(PISLag+($E$5:AA$5&gt;LastHist)*(GPULead-1)))*($E$5:AA$5&lt;=IMPE_N))/LQ_N</f>
        <v>1469.88506126619</v>
      </c>
      <c r="AB49" s="125" t="n">
        <f aca="false">SUMPRODUCT($E$25:AB$25,((AB$5-$E$5:AB$5)&gt;=(PISLag+($E$5:AB$5&gt;LastHist)*(GPULead-1)))*((AB$5-$E$5:AB$5)&lt;LQ_N+(PISLag+($E$5:AB$5&gt;LastHist)*(GPULead-1)))*($E$5:AB$5&lt;=IMPE_N))/LQ_N</f>
        <v>2093.62853126619</v>
      </c>
      <c r="AC49" s="125" t="n">
        <f aca="false">SUMPRODUCT($E$25:AC$25,((AC$5-$E$5:AC$5)&gt;=(PISLag+($E$5:AC$5&gt;LastHist)*(GPULead-1)))*((AC$5-$E$5:AC$5)&lt;LQ_N+(PISLag+($E$5:AC$5&gt;LastHist)*(GPULead-1)))*($E$5:AC$5&lt;=IMPE_N))/LQ_N</f>
        <v>2093.62853126619</v>
      </c>
      <c r="AD49" s="125" t="n">
        <f aca="false">SUMPRODUCT($E$25:AD$25,((AD$5-$E$5:AD$5)&gt;=(PISLag+($E$5:AD$5&gt;LastHist)*(GPULead-1)))*((AD$5-$E$5:AD$5)&lt;LQ_N+(PISLag+($E$5:AD$5&gt;LastHist)*(GPULead-1)))*($E$5:AD$5&lt;=IMPE_N))/LQ_N</f>
        <v>2986.96630626619</v>
      </c>
      <c r="AE49" s="125" t="n">
        <f aca="false">SUMPRODUCT($E$25:AE$25,((AE$5-$E$5:AE$5)&gt;=(PISLag+($E$5:AE$5&gt;LastHist)*(GPULead-1)))*((AE$5-$E$5:AE$5)&lt;LQ_N+(PISLag+($E$5:AE$5&gt;LastHist)*(GPULead-1)))*($E$5:AE$5&lt;=IMPE_N))/LQ_N</f>
        <v>2986.96630626619</v>
      </c>
      <c r="AF49" s="125" t="n">
        <f aca="false">SUMPRODUCT($E$25:AF$25,((AF$5-$E$5:AF$5)&gt;=(PISLag+($E$5:AF$5&gt;LastHist)*(GPULead-1)))*((AF$5-$E$5:AF$5)&lt;LQ_N+(PISLag+($E$5:AF$5&gt;LastHist)*(GPULead-1)))*($E$5:AF$5&lt;=IMPE_N))/LQ_N</f>
        <v>2986.96630626619</v>
      </c>
      <c r="AG49" s="125" t="n">
        <f aca="false">SUMPRODUCT($E$25:AG$25,((AG$5-$E$5:AG$5)&gt;=(PISLag+($E$5:AG$5&gt;LastHist)*(GPULead-1)))*((AG$5-$E$5:AG$5)&lt;LQ_N+(PISLag+($E$5:AG$5&gt;LastHist)*(GPULead-1)))*($E$5:AG$5&lt;=IMPE_N))/LQ_N</f>
        <v>2986.96630626619</v>
      </c>
      <c r="AI49" s="125" t="n">
        <f aca="false">SUMIF($F$7:$AG$7,AI$7,$F49:$AG49)</f>
        <v>0</v>
      </c>
      <c r="AJ49" s="125" t="n">
        <f aca="false">SUMIF($F$7:$AG$7,AJ$7,$F49:$AG49)</f>
        <v>0</v>
      </c>
      <c r="AK49" s="125" t="n">
        <f aca="false">SUMIF($F$7:$AG$7,AK$7,$F49:$AG49)</f>
        <v>0</v>
      </c>
      <c r="AL49" s="125" t="n">
        <f aca="false">SUMIF($F$7:$AG$7,AL$7,$F49:$AG49)</f>
        <v>245.99849128215</v>
      </c>
      <c r="AM49" s="125" t="n">
        <f aca="false">SUMIF($F$7:$AG$7,AM$7,$F49:$AG49)</f>
        <v>3035.28578970986</v>
      </c>
      <c r="AN49" s="125" t="n">
        <f aca="false">SUMIF($F$7:$AG$7,AN$7,$F49:$AG49)</f>
        <v>7127.02718506475</v>
      </c>
      <c r="AO49" s="125" t="n">
        <f aca="false">SUMIF($F$7:$AG$7,AO$7,$F49:$AG49)</f>
        <v>11947.8652250648</v>
      </c>
    </row>
    <row r="50" customFormat="false" ht="15" hidden="false" customHeight="false" outlineLevel="0" collapsed="false">
      <c r="A50" s="107" t="s">
        <v>2202</v>
      </c>
      <c r="B50" s="22" t="s">
        <v>613</v>
      </c>
      <c r="C50" s="22" t="s">
        <v>540</v>
      </c>
      <c r="D50" s="22"/>
      <c r="F50" s="124" t="n">
        <f aca="false">SUMPRODUCT($E$25:F$25,((F$5-$E$5:F$5)&gt;=(PISLag+($E$5:F$5&gt;LastHist)*(GPULead-1)))*((F$5-$E$5:F$5)&lt;LQ_N+(PISLag+($E$5:F$5&gt;LastHist)*(GPULead-1)))*($E$5:F$5&gt;IMPE_N))/LQ_N</f>
        <v>0</v>
      </c>
      <c r="G50" s="124" t="n">
        <f aca="false">SUMPRODUCT($E$25:G$25,((G$5-$E$5:G$5)&gt;=(PISLag+($E$5:G$5&gt;LastHist)*(GPULead-1)))*((G$5-$E$5:G$5)&lt;LQ_N+(PISLag+($E$5:G$5&gt;LastHist)*(GPULead-1)))*($E$5:G$5&gt;IMPE_N))/LQ_N</f>
        <v>0</v>
      </c>
      <c r="H50" s="124" t="n">
        <f aca="false">SUMPRODUCT($E$25:H$25,((H$5-$E$5:H$5)&gt;=(PISLag+($E$5:H$5&gt;LastHist)*(GPULead-1)))*((H$5-$E$5:H$5)&lt;LQ_N+(PISLag+($E$5:H$5&gt;LastHist)*(GPULead-1)))*($E$5:H$5&gt;IMPE_N))/LQ_N</f>
        <v>0</v>
      </c>
      <c r="I50" s="124" t="n">
        <f aca="false">SUMPRODUCT($E$25:I$25,((I$5-$E$5:I$5)&gt;=(PISLag+($E$5:I$5&gt;LastHist)*(GPULead-1)))*((I$5-$E$5:I$5)&lt;LQ_N+(PISLag+($E$5:I$5&gt;LastHist)*(GPULead-1)))*($E$5:I$5&gt;IMPE_N))/LQ_N</f>
        <v>0</v>
      </c>
      <c r="J50" s="124" t="n">
        <f aca="false">SUMPRODUCT($E$25:J$25,((J$5-$E$5:J$5)&gt;=(PISLag+($E$5:J$5&gt;LastHist)*(GPULead-1)))*((J$5-$E$5:J$5)&lt;LQ_N+(PISLag+($E$5:J$5&gt;LastHist)*(GPULead-1)))*($E$5:J$5&gt;IMPE_N))/LQ_N</f>
        <v>0</v>
      </c>
      <c r="K50" s="124" t="n">
        <f aca="false">SUMPRODUCT($E$25:K$25,((K$5-$E$5:K$5)&gt;=(PISLag+($E$5:K$5&gt;LastHist)*(GPULead-1)))*((K$5-$E$5:K$5)&lt;LQ_N+(PISLag+($E$5:K$5&gt;LastHist)*(GPULead-1)))*($E$5:K$5&gt;IMPE_N))/LQ_N</f>
        <v>0</v>
      </c>
      <c r="L50" s="124" t="n">
        <f aca="false">SUMPRODUCT($E$25:L$25,((L$5-$E$5:L$5)&gt;=(PISLag+($E$5:L$5&gt;LastHist)*(GPULead-1)))*((L$5-$E$5:L$5)&lt;LQ_N+(PISLag+($E$5:L$5&gt;LastHist)*(GPULead-1)))*($E$5:L$5&gt;IMPE_N))/LQ_N</f>
        <v>0</v>
      </c>
      <c r="M50" s="124" t="n">
        <f aca="false">SUMPRODUCT($E$25:M$25,((M$5-$E$5:M$5)&gt;=(PISLag+($E$5:M$5&gt;LastHist)*(GPULead-1)))*((M$5-$E$5:M$5)&lt;LQ_N+(PISLag+($E$5:M$5&gt;LastHist)*(GPULead-1)))*($E$5:M$5&gt;IMPE_N))/LQ_N</f>
        <v>0</v>
      </c>
      <c r="N50" s="124" t="n">
        <f aca="false">SUMPRODUCT($E$25:N$25,((N$5-$E$5:N$5)&gt;=(PISLag+($E$5:N$5&gt;LastHist)*(GPULead-1)))*((N$5-$E$5:N$5)&lt;LQ_N+(PISLag+($E$5:N$5&gt;LastHist)*(GPULead-1)))*($E$5:N$5&gt;IMPE_N))/LQ_N</f>
        <v>0</v>
      </c>
      <c r="O50" s="124" t="n">
        <f aca="false">SUMPRODUCT($E$25:O$25,((O$5-$E$5:O$5)&gt;=(PISLag+($E$5:O$5&gt;LastHist)*(GPULead-1)))*((O$5-$E$5:O$5)&lt;LQ_N+(PISLag+($E$5:O$5&gt;LastHist)*(GPULead-1)))*($E$5:O$5&gt;IMPE_N))/LQ_N</f>
        <v>0</v>
      </c>
      <c r="P50" s="125" t="n">
        <f aca="false">SUMPRODUCT($E$25:P$25,((P$5-$E$5:P$5)&gt;=(PISLag+($E$5:P$5&gt;LastHist)*(GPULead-1)))*((P$5-$E$5:P$5)&lt;LQ_N+(PISLag+($E$5:P$5&gt;LastHist)*(GPULead-1)))*($E$5:P$5&gt;IMPE_N))/LQ_N</f>
        <v>0</v>
      </c>
      <c r="Q50" s="125" t="n">
        <f aca="false">SUMPRODUCT($E$25:Q$25,((Q$5-$E$5:Q$5)&gt;=(PISLag+($E$5:Q$5&gt;LastHist)*(GPULead-1)))*((Q$5-$E$5:Q$5)&lt;LQ_N+(PISLag+($E$5:Q$5&gt;LastHist)*(GPULead-1)))*($E$5:Q$5&gt;IMPE_N))/LQ_N</f>
        <v>0</v>
      </c>
      <c r="R50" s="125" t="n">
        <f aca="false">SUMPRODUCT($E$25:R$25,((R$5-$E$5:R$5)&gt;=(PISLag+($E$5:R$5&gt;LastHist)*(GPULead-1)))*((R$5-$E$5:R$5)&lt;LQ_N+(PISLag+($E$5:R$5&gt;LastHist)*(GPULead-1)))*($E$5:R$5&gt;IMPE_N))/LQ_N</f>
        <v>0</v>
      </c>
      <c r="S50" s="125" t="n">
        <f aca="false">SUMPRODUCT($E$25:S$25,((S$5-$E$5:S$5)&gt;=(PISLag+($E$5:S$5&gt;LastHist)*(GPULead-1)))*((S$5-$E$5:S$5)&lt;LQ_N+(PISLag+($E$5:S$5&gt;LastHist)*(GPULead-1)))*($E$5:S$5&gt;IMPE_N))/LQ_N</f>
        <v>0</v>
      </c>
      <c r="T50" s="125" t="n">
        <f aca="false">SUMPRODUCT($E$25:T$25,((T$5-$E$5:T$5)&gt;=(PISLag+($E$5:T$5&gt;LastHist)*(GPULead-1)))*((T$5-$E$5:T$5)&lt;LQ_N+(PISLag+($E$5:T$5&gt;LastHist)*(GPULead-1)))*($E$5:T$5&gt;IMPE_N))/LQ_N</f>
        <v>0</v>
      </c>
      <c r="U50" s="125" t="n">
        <f aca="false">SUMPRODUCT($E$25:U$25,((U$5-$E$5:U$5)&gt;=(PISLag+($E$5:U$5&gt;LastHist)*(GPULead-1)))*((U$5-$E$5:U$5)&lt;LQ_N+(PISLag+($E$5:U$5&gt;LastHist)*(GPULead-1)))*($E$5:U$5&gt;IMPE_N))/LQ_N</f>
        <v>0</v>
      </c>
      <c r="V50" s="125" t="n">
        <f aca="false">SUMPRODUCT($E$25:V$25,((V$5-$E$5:V$5)&gt;=(PISLag+($E$5:V$5&gt;LastHist)*(GPULead-1)))*((V$5-$E$5:V$5)&lt;LQ_N+(PISLag+($E$5:V$5&gt;LastHist)*(GPULead-1)))*($E$5:V$5&gt;IMPE_N))/LQ_N</f>
        <v>0</v>
      </c>
      <c r="W50" s="125" t="n">
        <f aca="false">SUMPRODUCT($E$25:W$25,((W$5-$E$5:W$5)&gt;=(PISLag+($E$5:W$5&gt;LastHist)*(GPULead-1)))*((W$5-$E$5:W$5)&lt;LQ_N+(PISLag+($E$5:W$5&gt;LastHist)*(GPULead-1)))*($E$5:W$5&gt;IMPE_N))/LQ_N</f>
        <v>0</v>
      </c>
      <c r="X50" s="125" t="n">
        <f aca="false">SUMPRODUCT($E$25:X$25,((X$5-$E$5:X$5)&gt;=(PISLag+($E$5:X$5&gt;LastHist)*(GPULead-1)))*((X$5-$E$5:X$5)&lt;LQ_N+(PISLag+($E$5:X$5&gt;LastHist)*(GPULead-1)))*($E$5:X$5&gt;IMPE_N))/LQ_N</f>
        <v>0</v>
      </c>
      <c r="Y50" s="125" t="n">
        <f aca="false">SUMPRODUCT($E$25:Y$25,((Y$5-$E$5:Y$5)&gt;=(PISLag+($E$5:Y$5&gt;LastHist)*(GPULead-1)))*((Y$5-$E$5:Y$5)&lt;LQ_N+(PISLag+($E$5:Y$5&gt;LastHist)*(GPULead-1)))*($E$5:Y$5&gt;IMPE_N))/LQ_N</f>
        <v>0</v>
      </c>
      <c r="Z50" s="125" t="n">
        <f aca="false">SUMPRODUCT($E$25:Z$25,((Z$5-$E$5:Z$5)&gt;=(PISLag+($E$5:Z$5&gt;LastHist)*(GPULead-1)))*((Z$5-$E$5:Z$5)&lt;LQ_N+(PISLag+($E$5:Z$5&gt;LastHist)*(GPULead-1)))*($E$5:Z$5&gt;IMPE_N))/LQ_N</f>
        <v>0</v>
      </c>
      <c r="AA50" s="125" t="n">
        <f aca="false">SUMPRODUCT($E$25:AA$25,((AA$5-$E$5:AA$5)&gt;=(PISLag+($E$5:AA$5&gt;LastHist)*(GPULead-1)))*((AA$5-$E$5:AA$5)&lt;LQ_N+(PISLag+($E$5:AA$5&gt;LastHist)*(GPULead-1)))*($E$5:AA$5&gt;IMPE_N))/LQ_N</f>
        <v>0</v>
      </c>
      <c r="AB50" s="125" t="n">
        <f aca="false">SUMPRODUCT($E$25:AB$25,((AB$5-$E$5:AB$5)&gt;=(PISLag+($E$5:AB$5&gt;LastHist)*(GPULead-1)))*((AB$5-$E$5:AB$5)&lt;LQ_N+(PISLag+($E$5:AB$5&gt;LastHist)*(GPULead-1)))*($E$5:AB$5&gt;IMPE_N))/LQ_N</f>
        <v>0</v>
      </c>
      <c r="AC50" s="125" t="n">
        <f aca="false">SUMPRODUCT($E$25:AC$25,((AC$5-$E$5:AC$5)&gt;=(PISLag+($E$5:AC$5&gt;LastHist)*(GPULead-1)))*((AC$5-$E$5:AC$5)&lt;LQ_N+(PISLag+($E$5:AC$5&gt;LastHist)*(GPULead-1)))*($E$5:AC$5&gt;IMPE_N))/LQ_N</f>
        <v>0</v>
      </c>
      <c r="AD50" s="125" t="n">
        <f aca="false">SUMPRODUCT($E$25:AD$25,((AD$5-$E$5:AD$5)&gt;=(PISLag+($E$5:AD$5&gt;LastHist)*(GPULead-1)))*((AD$5-$E$5:AD$5)&lt;LQ_N+(PISLag+($E$5:AD$5&gt;LastHist)*(GPULead-1)))*($E$5:AD$5&gt;IMPE_N))/LQ_N</f>
        <v>0</v>
      </c>
      <c r="AE50" s="125" t="n">
        <f aca="false">SUMPRODUCT($E$25:AE$25,((AE$5-$E$5:AE$5)&gt;=(PISLag+($E$5:AE$5&gt;LastHist)*(GPULead-1)))*((AE$5-$E$5:AE$5)&lt;LQ_N+(PISLag+($E$5:AE$5&gt;LastHist)*(GPULead-1)))*($E$5:AE$5&gt;IMPE_N))/LQ_N</f>
        <v>0</v>
      </c>
      <c r="AF50" s="125" t="n">
        <f aca="false">SUMPRODUCT($E$25:AF$25,((AF$5-$E$5:AF$5)&gt;=(PISLag+($E$5:AF$5&gt;LastHist)*(GPULead-1)))*((AF$5-$E$5:AF$5)&lt;LQ_N+(PISLag+($E$5:AF$5&gt;LastHist)*(GPULead-1)))*($E$5:AF$5&gt;IMPE_N))/LQ_N</f>
        <v>0</v>
      </c>
      <c r="AG50" s="125" t="n">
        <f aca="false">SUMPRODUCT($E$25:AG$25,((AG$5-$E$5:AG$5)&gt;=(PISLag+($E$5:AG$5&gt;LastHist)*(GPULead-1)))*((AG$5-$E$5:AG$5)&lt;LQ_N+(PISLag+($E$5:AG$5&gt;LastHist)*(GPULead-1)))*($E$5:AG$5&gt;IMPE_N))/LQ_N</f>
        <v>0</v>
      </c>
      <c r="AI50" s="125" t="n">
        <f aca="false">SUMIF($F$7:$AG$7,AI$7,$F50:$AG50)</f>
        <v>0</v>
      </c>
      <c r="AJ50" s="125" t="n">
        <f aca="false">SUMIF($F$7:$AG$7,AJ$7,$F50:$AG50)</f>
        <v>0</v>
      </c>
      <c r="AK50" s="125" t="n">
        <f aca="false">SUMIF($F$7:$AG$7,AK$7,$F50:$AG50)</f>
        <v>0</v>
      </c>
      <c r="AL50" s="125" t="n">
        <f aca="false">SUMIF($F$7:$AG$7,AL$7,$F50:$AG50)</f>
        <v>0</v>
      </c>
      <c r="AM50" s="125" t="n">
        <f aca="false">SUMIF($F$7:$AG$7,AM$7,$F50:$AG50)</f>
        <v>0</v>
      </c>
      <c r="AN50" s="125" t="n">
        <f aca="false">SUMIF($F$7:$AG$7,AN$7,$F50:$AG50)</f>
        <v>0</v>
      </c>
      <c r="AO50" s="125" t="n">
        <f aca="false">SUMIF($F$7:$AG$7,AO$7,$F50:$AG50)</f>
        <v>0</v>
      </c>
    </row>
    <row r="51" customFormat="false" ht="15" hidden="false" customHeight="false" outlineLevel="0" collapsed="false">
      <c r="A51" s="3" t="s">
        <v>2203</v>
      </c>
      <c r="B51" s="22" t="s">
        <v>613</v>
      </c>
      <c r="C51" s="22" t="s">
        <v>540</v>
      </c>
      <c r="D51" s="22"/>
      <c r="F51" s="126" t="n">
        <f aca="false">F49*(1-ImpPct_N*(F$5&gt;IMPE_N))+F50</f>
        <v>0</v>
      </c>
      <c r="G51" s="126" t="n">
        <f aca="false">G49*(1-ImpPct_N*(G$5&gt;IMPE_N))+G50</f>
        <v>0</v>
      </c>
      <c r="H51" s="126" t="n">
        <f aca="false">H49*(1-ImpPct_N*(H$5&gt;IMPE_N))+H50</f>
        <v>0</v>
      </c>
      <c r="I51" s="126" t="n">
        <f aca="false">I49*(1-ImpPct_N*(I$5&gt;IMPE_N))+I50</f>
        <v>0</v>
      </c>
      <c r="J51" s="126" t="n">
        <f aca="false">J49*(1-ImpPct_N*(J$5&gt;IMPE_N))+J50</f>
        <v>0</v>
      </c>
      <c r="K51" s="126" t="n">
        <f aca="false">K49*(1-ImpPct_N*(K$5&gt;IMPE_N))+K50</f>
        <v>0</v>
      </c>
      <c r="L51" s="126" t="n">
        <f aca="false">L49*(1-ImpPct_N*(L$5&gt;IMPE_N))+L50</f>
        <v>0</v>
      </c>
      <c r="M51" s="126" t="n">
        <f aca="false">M49*(1-ImpPct_N*(M$5&gt;IMPE_N))+M50</f>
        <v>0</v>
      </c>
      <c r="N51" s="126" t="n">
        <f aca="false">N49*(1-ImpPct_N*(N$5&gt;IMPE_N))+N50</f>
        <v>0</v>
      </c>
      <c r="O51" s="126" t="n">
        <f aca="false">O49*(1-ImpPct_N*(O$5&gt;IMPE_N))+O50</f>
        <v>0</v>
      </c>
      <c r="P51" s="99" t="n">
        <f aca="false">P49*(1-ImpPct_N*(P$5&gt;IMPE_N))+P50</f>
        <v>0</v>
      </c>
      <c r="Q51" s="99" t="n">
        <f aca="false">Q49*(1-ImpPct_N*(Q$5&gt;IMPE_N))+Q50</f>
        <v>0</v>
      </c>
      <c r="R51" s="99" t="n">
        <f aca="false">R49*(1-ImpPct_N*(R$5&gt;IMPE_N))+R50</f>
        <v>0</v>
      </c>
      <c r="S51" s="99" t="n">
        <f aca="false">S49*(1-ImpPct_N*(S$5&gt;IMPE_N))+S50</f>
        <v>13.4010338830592</v>
      </c>
      <c r="T51" s="99" t="n">
        <f aca="false">T49*(1-ImpPct_N*(T$5&gt;IMPE_N))+T50</f>
        <v>46.8374890734503</v>
      </c>
      <c r="U51" s="99" t="n">
        <f aca="false">U49*(1-ImpPct_N*(U$5&gt;IMPE_N))+U50</f>
        <v>185.75996832564</v>
      </c>
      <c r="V51" s="99" t="n">
        <f aca="false">V49*(1-ImpPct_N*(V$5&gt;IMPE_N))+V50</f>
        <v>461.123868052465</v>
      </c>
      <c r="W51" s="99" t="n">
        <f aca="false">W49*(1-ImpPct_N*(W$5&gt;IMPE_N))+W50</f>
        <v>644.367275552466</v>
      </c>
      <c r="X51" s="99" t="n">
        <f aca="false">X49*(1-ImpPct_N*(X$5&gt;IMPE_N))+X50</f>
        <v>952.053573052465</v>
      </c>
      <c r="Y51" s="99" t="n">
        <f aca="false">Y49*(1-ImpPct_N*(Y$5&gt;IMPE_N))+Y50</f>
        <v>977.741073052465</v>
      </c>
      <c r="Z51" s="99" t="n">
        <f aca="false">Z49*(1-ImpPct_N*(Z$5&gt;IMPE_N))+Z50</f>
        <v>1469.88506126619</v>
      </c>
      <c r="AA51" s="99" t="n">
        <f aca="false">AA49*(1-ImpPct_N*(AA$5&gt;IMPE_N))+AA50</f>
        <v>1469.88506126619</v>
      </c>
      <c r="AB51" s="99" t="n">
        <f aca="false">AB49*(1-ImpPct_N*(AB$5&gt;IMPE_N))+AB50</f>
        <v>2093.62853126619</v>
      </c>
      <c r="AC51" s="99" t="n">
        <f aca="false">AC49*(1-ImpPct_N*(AC$5&gt;IMPE_N))+AC50</f>
        <v>2093.62853126619</v>
      </c>
      <c r="AD51" s="99" t="n">
        <f aca="false">AD49*(1-ImpPct_N*(AD$5&gt;IMPE_N))+AD50</f>
        <v>2986.96630626619</v>
      </c>
      <c r="AE51" s="99" t="n">
        <f aca="false">AE49*(1-ImpPct_N*(AE$5&gt;IMPE_N))+AE50</f>
        <v>2986.96630626619</v>
      </c>
      <c r="AF51" s="99" t="n">
        <f aca="false">AF49*(1-ImpPct_N*(AF$5&gt;IMPE_N))+AF50</f>
        <v>2986.96630626619</v>
      </c>
      <c r="AG51" s="99" t="n">
        <f aca="false">AG49*(1-ImpPct_N*(AG$5&gt;IMPE_N))+AG50</f>
        <v>2986.96630626619</v>
      </c>
      <c r="AI51" s="99" t="n">
        <f aca="false">SUMIF($F$7:$AG$7,AI$7,$F51:$AG51)</f>
        <v>0</v>
      </c>
      <c r="AJ51" s="99" t="n">
        <f aca="false">SUMIF($F$7:$AG$7,AJ$7,$F51:$AG51)</f>
        <v>0</v>
      </c>
      <c r="AK51" s="99" t="n">
        <f aca="false">SUMIF($F$7:$AG$7,AK$7,$F51:$AG51)</f>
        <v>0</v>
      </c>
      <c r="AL51" s="99" t="n">
        <f aca="false">SUMIF($F$7:$AG$7,AL$7,$F51:$AG51)</f>
        <v>245.99849128215</v>
      </c>
      <c r="AM51" s="99" t="n">
        <f aca="false">SUMIF($F$7:$AG$7,AM$7,$F51:$AG51)</f>
        <v>3035.28578970986</v>
      </c>
      <c r="AN51" s="99" t="n">
        <f aca="false">SUMIF($F$7:$AG$7,AN$7,$F51:$AG51)</f>
        <v>7127.02718506475</v>
      </c>
      <c r="AO51" s="99" t="n">
        <f aca="false">SUMIF($F$7:$AG$7,AO$7,$F51:$AG51)</f>
        <v>11947.8652250648</v>
      </c>
    </row>
    <row r="52" customFormat="false" ht="15" hidden="false" customHeight="false" outlineLevel="0" collapsed="false">
      <c r="A52" s="107" t="s">
        <v>2204</v>
      </c>
      <c r="B52" s="22" t="s">
        <v>613</v>
      </c>
      <c r="C52" s="22" t="s">
        <v>551</v>
      </c>
      <c r="D52" s="22"/>
      <c r="F52" s="124" t="n">
        <f aca="false">IF(F$5=IMPE_N,ImpPct_N*(SUMPRODUCT($E$25:F$25,--($E$5:F$5&lt;=IMPE_N))-SUM($F$49:F$49)),0)</f>
        <v>0</v>
      </c>
      <c r="G52" s="124" t="n">
        <f aca="false">IF(G$5=IMPE_N,ImpPct_N*(SUMPRODUCT($E$25:G$25,--($E$5:G$5&lt;=IMPE_N))-SUM($F$49:G$49)),0)</f>
        <v>0</v>
      </c>
      <c r="H52" s="124" t="n">
        <f aca="false">IF(H$5=IMPE_N,ImpPct_N*(SUMPRODUCT($E$25:H$25,--($E$5:H$5&lt;=IMPE_N))-SUM($F$49:H$49)),0)</f>
        <v>0</v>
      </c>
      <c r="I52" s="124" t="n">
        <f aca="false">IF(I$5=IMPE_N,ImpPct_N*(SUMPRODUCT($E$25:I$25,--($E$5:I$5&lt;=IMPE_N))-SUM($F$49:I$49)),0)</f>
        <v>0</v>
      </c>
      <c r="J52" s="124" t="n">
        <f aca="false">IF(J$5=IMPE_N,ImpPct_N*(SUMPRODUCT($E$25:J$25,--($E$5:J$5&lt;=IMPE_N))-SUM($F$49:J$49)),0)</f>
        <v>0</v>
      </c>
      <c r="K52" s="124" t="n">
        <f aca="false">IF(K$5=IMPE_N,ImpPct_N*(SUMPRODUCT($E$25:K$25,--($E$5:K$5&lt;=IMPE_N))-SUM($F$49:K$49)),0)</f>
        <v>0</v>
      </c>
      <c r="L52" s="124" t="n">
        <f aca="false">IF(L$5=IMPE_N,ImpPct_N*(SUMPRODUCT($E$25:L$25,--($E$5:L$5&lt;=IMPE_N))-SUM($F$49:L$49)),0)</f>
        <v>0</v>
      </c>
      <c r="M52" s="124" t="n">
        <f aca="false">IF(M$5=IMPE_N,ImpPct_N*(SUMPRODUCT($E$25:M$25,--($E$5:M$5&lt;=IMPE_N))-SUM($F$49:M$49)),0)</f>
        <v>0</v>
      </c>
      <c r="N52" s="124" t="n">
        <f aca="false">IF(N$5=IMPE_N,ImpPct_N*(SUMPRODUCT($E$25:N$25,--($E$5:N$5&lt;=IMPE_N))-SUM($F$49:N$49)),0)</f>
        <v>0</v>
      </c>
      <c r="O52" s="124" t="n">
        <f aca="false">IF(O$5=IMPE_N,ImpPct_N*(SUMPRODUCT($E$25:O$25,--($E$5:O$5&lt;=IMPE_N))-SUM($F$49:O$49)),0)</f>
        <v>0</v>
      </c>
      <c r="P52" s="125" t="n">
        <f aca="false">IF(P$5=IMPE_N,ImpPct_N*(SUMPRODUCT($E$25:P$25,--($E$5:P$5&lt;=IMPE_N))-SUM($F$49:P$49)),0)</f>
        <v>0</v>
      </c>
      <c r="Q52" s="125" t="n">
        <f aca="false">IF(Q$5=IMPE_N,ImpPct_N*(SUMPRODUCT($E$25:Q$25,--($E$5:Q$5&lt;=IMPE_N))-SUM($F$49:Q$49)),0)</f>
        <v>0</v>
      </c>
      <c r="R52" s="125" t="n">
        <f aca="false">IF(R$5=IMPE_N,ImpPct_N*(SUMPRODUCT($E$25:R$25,--($E$5:R$5&lt;=IMPE_N))-SUM($F$49:R$49)),0)</f>
        <v>0</v>
      </c>
      <c r="S52" s="125" t="n">
        <f aca="false">IF(S$5=IMPE_N,ImpPct_N*(SUMPRODUCT($E$25:S$25,--($E$5:S$5&lt;=IMPE_N))-SUM($F$49:S$49)),0)</f>
        <v>0</v>
      </c>
      <c r="T52" s="125" t="n">
        <f aca="false">IF(T$5=IMPE_N,ImpPct_N*(SUMPRODUCT($E$25:T$25,--($E$5:T$5&lt;=IMPE_N))-SUM($F$49:T$49)),0)</f>
        <v>0</v>
      </c>
      <c r="U52" s="125" t="n">
        <f aca="false">IF(U$5=IMPE_N,ImpPct_N*(SUMPRODUCT($E$25:U$25,--($E$5:U$5&lt;=IMPE_N))-SUM($F$49:U$49)),0)</f>
        <v>0</v>
      </c>
      <c r="V52" s="125" t="n">
        <f aca="false">IF(V$5=IMPE_N,ImpPct_N*(SUMPRODUCT($E$25:V$25,--($E$5:V$5&lt;=IMPE_N))-SUM($F$49:V$49)),0)</f>
        <v>0</v>
      </c>
      <c r="W52" s="125" t="n">
        <f aca="false">IF(W$5=IMPE_N,ImpPct_N*(SUMPRODUCT($E$25:W$25,--($E$5:W$5&lt;=IMPE_N))-SUM($F$49:W$49)),0)</f>
        <v>0</v>
      </c>
      <c r="X52" s="125" t="n">
        <f aca="false">IF(X$5=IMPE_N,ImpPct_N*(SUMPRODUCT($E$25:X$25,--($E$5:X$5&lt;=IMPE_N))-SUM($F$49:X$49)),0)</f>
        <v>0</v>
      </c>
      <c r="Y52" s="125" t="n">
        <f aca="false">IF(Y$5=IMPE_N,ImpPct_N*(SUMPRODUCT($E$25:Y$25,--($E$5:Y$5&lt;=IMPE_N))-SUM($F$49:Y$49)),0)</f>
        <v>0</v>
      </c>
      <c r="Z52" s="125" t="n">
        <f aca="false">IF(Z$5=IMPE_N,ImpPct_N*(SUMPRODUCT($E$25:Z$25,--($E$5:Z$5&lt;=IMPE_N))-SUM($F$49:Z$49)),0)</f>
        <v>0</v>
      </c>
      <c r="AA52" s="125" t="n">
        <f aca="false">IF(AA$5=IMPE_N,ImpPct_N*(SUMPRODUCT($E$25:AA$25,--($E$5:AA$5&lt;=IMPE_N))-SUM($F$49:AA$49)),0)</f>
        <v>0</v>
      </c>
      <c r="AB52" s="125" t="n">
        <f aca="false">IF(AB$5=IMPE_N,ImpPct_N*(SUMPRODUCT($E$25:AB$25,--($E$5:AB$5&lt;=IMPE_N))-SUM($F$49:AB$49)),0)</f>
        <v>0</v>
      </c>
      <c r="AC52" s="125" t="n">
        <f aca="false">IF(AC$5=IMPE_N,ImpPct_N*(SUMPRODUCT($E$25:AC$25,--($E$5:AC$5&lt;=IMPE_N))-SUM($F$49:AC$49)),0)</f>
        <v>0</v>
      </c>
      <c r="AD52" s="125" t="n">
        <f aca="false">IF(AD$5=IMPE_N,ImpPct_N*(SUMPRODUCT($E$25:AD$25,--($E$5:AD$5&lt;=IMPE_N))-SUM($F$49:AD$49)),0)</f>
        <v>0</v>
      </c>
      <c r="AE52" s="125" t="n">
        <f aca="false">IF(AE$5=IMPE_N,ImpPct_N*(SUMPRODUCT($E$25:AE$25,--($E$5:AE$5&lt;=IMPE_N))-SUM($F$49:AE$49)),0)</f>
        <v>0</v>
      </c>
      <c r="AF52" s="125" t="n">
        <f aca="false">IF(AF$5=IMPE_N,ImpPct_N*(SUMPRODUCT($E$25:AF$25,--($E$5:AF$5&lt;=IMPE_N))-SUM($F$49:AF$49)),0)</f>
        <v>0</v>
      </c>
      <c r="AG52" s="125" t="n">
        <f aca="false">IF(AG$5=IMPE_N,ImpPct_N*(SUMPRODUCT($E$25:AG$25,--($E$5:AG$5&lt;=IMPE_N))-SUM($F$49:AG$49)),0)</f>
        <v>0</v>
      </c>
      <c r="AI52" s="125" t="n">
        <f aca="false">SUMIF($F$7:$AG$7,AI$7,$F52:$AG52)</f>
        <v>0</v>
      </c>
      <c r="AJ52" s="125" t="n">
        <f aca="false">SUMIF($F$7:$AG$7,AJ$7,$F52:$AG52)</f>
        <v>0</v>
      </c>
      <c r="AK52" s="125" t="n">
        <f aca="false">SUMIF($F$7:$AG$7,AK$7,$F52:$AG52)</f>
        <v>0</v>
      </c>
      <c r="AL52" s="125" t="n">
        <f aca="false">SUMIF($F$7:$AG$7,AL$7,$F52:$AG52)</f>
        <v>0</v>
      </c>
      <c r="AM52" s="125" t="n">
        <f aca="false">SUMIF($F$7:$AG$7,AM$7,$F52:$AG52)</f>
        <v>0</v>
      </c>
      <c r="AN52" s="125" t="n">
        <f aca="false">SUMIF($F$7:$AG$7,AN$7,$F52:$AG52)</f>
        <v>0</v>
      </c>
      <c r="AO52" s="125" t="n">
        <f aca="false">SUMIF($F$7:$AG$7,AO$7,$F52:$AG52)</f>
        <v>0</v>
      </c>
    </row>
    <row r="53" customFormat="false" ht="15" hidden="false" customHeight="false" outlineLevel="0" collapsed="false">
      <c r="A53" s="107" t="s">
        <v>2205</v>
      </c>
      <c r="B53" s="22" t="s">
        <v>613</v>
      </c>
      <c r="C53" s="22" t="s">
        <v>540</v>
      </c>
      <c r="D53" s="22"/>
      <c r="E53" s="125" t="n">
        <f aca="false">E25</f>
        <v>0</v>
      </c>
      <c r="F53" s="124" t="n">
        <f aca="false">E53+F25-F51-F52</f>
        <v>0</v>
      </c>
      <c r="G53" s="124" t="n">
        <f aca="false">F53+G25-G51-G52</f>
        <v>0</v>
      </c>
      <c r="H53" s="124" t="n">
        <f aca="false">G53+H25-H51-H52</f>
        <v>0</v>
      </c>
      <c r="I53" s="124" t="n">
        <f aca="false">H53+I25-I51-I52</f>
        <v>0</v>
      </c>
      <c r="J53" s="124" t="n">
        <f aca="false">I53+J25-J51-J52</f>
        <v>0</v>
      </c>
      <c r="K53" s="124" t="n">
        <f aca="false">J53+K25-K51-K52</f>
        <v>0</v>
      </c>
      <c r="L53" s="124" t="n">
        <f aca="false">K53+L25-L51-L52</f>
        <v>0</v>
      </c>
      <c r="M53" s="124" t="n">
        <f aca="false">L53+M25-M51-M52</f>
        <v>0</v>
      </c>
      <c r="N53" s="124" t="n">
        <f aca="false">M53+N25-N51-N52</f>
        <v>0</v>
      </c>
      <c r="O53" s="124" t="n">
        <f aca="false">N53+O25-O51-O52</f>
        <v>0</v>
      </c>
      <c r="P53" s="125" t="n">
        <f aca="false">O53+P25-P51-P52</f>
        <v>0</v>
      </c>
      <c r="Q53" s="125" t="n">
        <f aca="false">P53+Q25-Q51-Q52</f>
        <v>268.020677661185</v>
      </c>
      <c r="R53" s="125" t="n">
        <f aca="false">Q53+R25-R51-R52</f>
        <v>936.749781469005</v>
      </c>
      <c r="S53" s="125" t="n">
        <f aca="false">R53+S25-S51-S52</f>
        <v>3701.79833262974</v>
      </c>
      <c r="T53" s="125" t="n">
        <f aca="false">S53+T25-T51-T52</f>
        <v>9162.2388380928</v>
      </c>
      <c r="U53" s="125" t="n">
        <f aca="false">T53+U25-U51-U52</f>
        <v>12641.3470197672</v>
      </c>
      <c r="V53" s="125" t="n">
        <f aca="false">U53+V25-V51-V52</f>
        <v>18333.9491017147</v>
      </c>
      <c r="W53" s="125" t="n">
        <f aca="false">V53+W25-W51-W52</f>
        <v>18203.3318261622</v>
      </c>
      <c r="X53" s="125" t="n">
        <f aca="false">W53+X25-X51-X52</f>
        <v>27094.1580173842</v>
      </c>
      <c r="Y53" s="125" t="n">
        <f aca="false">X53+Y25-Y51-Y52</f>
        <v>26116.4169443318</v>
      </c>
      <c r="Z53" s="125" t="n">
        <f aca="false">Y53+Z25-Z51-Z52</f>
        <v>37121.4012830656</v>
      </c>
      <c r="AA53" s="125" t="n">
        <f aca="false">Z53+AA25-AA51-AA52</f>
        <v>35651.5162217994</v>
      </c>
      <c r="AB53" s="125" t="n">
        <f aca="false">AA53+AB25-AB51-AB52</f>
        <v>51424.6431905332</v>
      </c>
      <c r="AC53" s="125" t="n">
        <f aca="false">AB53+AC25-AC51-AC52</f>
        <v>49331.014659267</v>
      </c>
      <c r="AD53" s="125" t="n">
        <f aca="false">AC53+AD25-AD51-AD52</f>
        <v>46344.0483530008</v>
      </c>
      <c r="AE53" s="125" t="n">
        <f aca="false">AD53+AE25-AE51-AE52</f>
        <v>43357.0820467346</v>
      </c>
      <c r="AF53" s="125" t="n">
        <f aca="false">AE53+AF25-AF51-AF52</f>
        <v>40370.1157404685</v>
      </c>
      <c r="AG53" s="125" t="n">
        <f aca="false">AF53+AG25-AG51-AG52</f>
        <v>37383.1494342023</v>
      </c>
      <c r="AI53" s="125" t="n">
        <f aca="false">INDEX($F53:$AG53,1,MATCH(AI$7,$F$7:$AG$7,1))</f>
        <v>0</v>
      </c>
      <c r="AJ53" s="125" t="n">
        <f aca="false">INDEX($F53:$AG53,1,MATCH(AJ$7,$F$7:$AG$7,1))</f>
        <v>0</v>
      </c>
      <c r="AK53" s="125" t="n">
        <f aca="false">INDEX($F53:$AG53,1,MATCH(AK$7,$F$7:$AG$7,1))</f>
        <v>268.020677661185</v>
      </c>
      <c r="AL53" s="125" t="n">
        <f aca="false">INDEX($F53:$AG53,1,MATCH(AL$7,$F$7:$AG$7,1))</f>
        <v>12641.3470197672</v>
      </c>
      <c r="AM53" s="125" t="n">
        <f aca="false">INDEX($F53:$AG53,1,MATCH(AM$7,$F$7:$AG$7,1))</f>
        <v>26116.4169443318</v>
      </c>
      <c r="AN53" s="125" t="n">
        <f aca="false">INDEX($F53:$AG53,1,MATCH(AN$7,$F$7:$AG$7,1))</f>
        <v>49331.014659267</v>
      </c>
      <c r="AO53" s="125" t="n">
        <f aca="false">INDEX($F53:$AG53,1,MATCH(AO$7,$F$7:$AG$7,1))</f>
        <v>37383.1494342023</v>
      </c>
    </row>
    <row r="55" customFormat="false" ht="15" hidden="false" customHeight="false" outlineLevel="0" collapsed="false">
      <c r="A55" s="58" t="s">
        <v>2206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</row>
    <row r="56" customFormat="false" ht="15" hidden="false" customHeight="false" outlineLevel="0" collapsed="false">
      <c r="A56" s="107" t="s">
        <v>2207</v>
      </c>
      <c r="B56" s="22" t="s">
        <v>613</v>
      </c>
      <c r="C56" s="22" t="s">
        <v>540</v>
      </c>
      <c r="D56" s="22"/>
      <c r="F56" s="124" t="n">
        <f aca="false">SUMPRODUCT($E$26:F$26,((F$5-$E$5:F$5)&gt;=(PISLag+($E$5:F$5&gt;LastHist)*MAX(0,DCLead-2)))*((F$5-$E$5:F$5)&lt;LQ_Shell+(PISLag+($E$5:F$5&gt;LastHist)*MAX(0,DCLead-2))))/LQ_Shell</f>
        <v>0</v>
      </c>
      <c r="G56" s="124" t="n">
        <f aca="false">SUMPRODUCT($E$26:G$26,((G$5-$E$5:G$5)&gt;=(PISLag+($E$5:G$5&gt;LastHist)*MAX(0,DCLead-2)))*((G$5-$E$5:G$5)&lt;LQ_Shell+(PISLag+($E$5:G$5&gt;LastHist)*MAX(0,DCLead-2))))/LQ_Shell</f>
        <v>0.13</v>
      </c>
      <c r="H56" s="124" t="n">
        <f aca="false">SUMPRODUCT($E$26:H$26,((H$5-$E$5:H$5)&gt;=(PISLag+($E$5:H$5&gt;LastHist)*MAX(0,DCLead-2)))*((H$5-$E$5:H$5)&lt;LQ_Shell+(PISLag+($E$5:H$5&gt;LastHist)*MAX(0,DCLead-2))))/LQ_Shell</f>
        <v>0.26</v>
      </c>
      <c r="I56" s="124" t="n">
        <f aca="false">SUMPRODUCT($E$26:I$26,((I$5-$E$5:I$5)&gt;=(PISLag+($E$5:I$5&gt;LastHist)*MAX(0,DCLead-2)))*((I$5-$E$5:I$5)&lt;LQ_Shell+(PISLag+($E$5:I$5&gt;LastHist)*MAX(0,DCLead-2))))/LQ_Shell</f>
        <v>0.3899</v>
      </c>
      <c r="J56" s="124" t="n">
        <f aca="false">SUMPRODUCT($E$26:J$26,((J$5-$E$5:J$5)&gt;=(PISLag+($E$5:J$5&gt;LastHist)*MAX(0,DCLead-2)))*((J$5-$E$5:J$5)&lt;LQ_Shell+(PISLag+($E$5:J$5&gt;LastHist)*MAX(0,DCLead-2))))/LQ_Shell</f>
        <v>0.8075</v>
      </c>
      <c r="K56" s="124" t="n">
        <f aca="false">SUMPRODUCT($E$26:K$26,((K$5-$E$5:K$5)&gt;=(PISLag+($E$5:K$5&gt;LastHist)*MAX(0,DCLead-2)))*((K$5-$E$5:K$5)&lt;LQ_Shell+(PISLag+($E$5:K$5&gt;LastHist)*MAX(0,DCLead-2))))/LQ_Shell</f>
        <v>1.3515</v>
      </c>
      <c r="L56" s="124" t="n">
        <f aca="false">SUMPRODUCT($E$26:L$26,((L$5-$E$5:L$5)&gt;=(PISLag+($E$5:L$5&gt;LastHist)*MAX(0,DCLead-2)))*((L$5-$E$5:L$5)&lt;LQ_Shell+(PISLag+($E$5:L$5&gt;LastHist)*MAX(0,DCLead-2))))/LQ_Shell</f>
        <v>1.8621</v>
      </c>
      <c r="M56" s="124" t="n">
        <f aca="false">SUMPRODUCT($E$26:M$26,((M$5-$E$5:M$5)&gt;=(PISLag+($E$5:M$5&gt;LastHist)*MAX(0,DCLead-2)))*((M$5-$E$5:M$5)&lt;LQ_Shell+(PISLag+($E$5:M$5&gt;LastHist)*MAX(0,DCLead-2))))/LQ_Shell</f>
        <v>2.8176</v>
      </c>
      <c r="N56" s="124" t="n">
        <f aca="false">SUMPRODUCT($E$26:N$26,((N$5-$E$5:N$5)&gt;=(PISLag+($E$5:N$5&gt;LastHist)*MAX(0,DCLead-2)))*((N$5-$E$5:N$5)&lt;LQ_Shell+(PISLag+($E$5:N$5&gt;LastHist)*MAX(0,DCLead-2))))/LQ_Shell</f>
        <v>4.8736</v>
      </c>
      <c r="O56" s="124" t="n">
        <f aca="false">SUMPRODUCT($E$26:O$26,((O$5-$E$5:O$5)&gt;=(PISLag+($E$5:O$5&gt;LastHist)*MAX(0,DCLead-2)))*((O$5-$E$5:O$5)&lt;LQ_Shell+(PISLag+($E$5:O$5&gt;LastHist)*MAX(0,DCLead-2))))/LQ_Shell</f>
        <v>7.3465</v>
      </c>
      <c r="P56" s="125" t="n">
        <f aca="false">SUMPRODUCT($E$26:P$26,((P$5-$E$5:P$5)&gt;=(PISLag+($E$5:P$5&gt;LastHist)*MAX(0,DCLead-2)))*((P$5-$E$5:P$5)&lt;LQ_Shell+(PISLag+($E$5:P$5&gt;LastHist)*MAX(0,DCLead-2))))/LQ_Shell</f>
        <v>13.0039</v>
      </c>
      <c r="Q56" s="125" t="n">
        <f aca="false">SUMPRODUCT($E$26:Q$26,((Q$5-$E$5:Q$5)&gt;=(PISLag+($E$5:Q$5&gt;LastHist)*MAX(0,DCLead-2)))*((Q$5-$E$5:Q$5)&lt;LQ_Shell+(PISLag+($E$5:Q$5&gt;LastHist)*MAX(0,DCLead-2))))/LQ_Shell</f>
        <v>13.0039</v>
      </c>
      <c r="R56" s="125" t="n">
        <f aca="false">SUMPRODUCT($E$26:R$26,((R$5-$E$5:R$5)&gt;=(PISLag+($E$5:R$5&gt;LastHist)*MAX(0,DCLead-2)))*((R$5-$E$5:R$5)&lt;LQ_Shell+(PISLag+($E$5:R$5&gt;LastHist)*MAX(0,DCLead-2))))/LQ_Shell</f>
        <v>13.43790390625</v>
      </c>
      <c r="S56" s="125" t="n">
        <f aca="false">SUMPRODUCT($E$26:S$26,((S$5-$E$5:S$5)&gt;=(PISLag+($E$5:S$5&gt;LastHist)*MAX(0,DCLead-2)))*((S$5-$E$5:S$5)&lt;LQ_Shell+(PISLag+($E$5:S$5&gt;LastHist)*MAX(0,DCLead-2))))/LQ_Shell</f>
        <v>14.5852515625</v>
      </c>
      <c r="T56" s="125" t="n">
        <f aca="false">SUMPRODUCT($E$26:T$26,((T$5-$E$5:T$5)&gt;=(PISLag+($E$5:T$5&gt;LastHist)*MAX(0,DCLead-2)))*((T$5-$E$5:T$5)&lt;LQ_Shell+(PISLag+($E$5:T$5&gt;LastHist)*MAX(0,DCLead-2))))/LQ_Shell</f>
        <v>17.90261875</v>
      </c>
      <c r="U56" s="125" t="n">
        <f aca="false">SUMPRODUCT($E$26:U$26,((U$5-$E$5:U$5)&gt;=(PISLag+($E$5:U$5&gt;LastHist)*MAX(0,DCLead-2)))*((U$5-$E$5:U$5)&lt;LQ_Shell+(PISLag+($E$5:U$5&gt;LastHist)*MAX(0,DCLead-2))))/LQ_Shell</f>
        <v>25.0581578125</v>
      </c>
      <c r="V56" s="125" t="n">
        <f aca="false">SUMPRODUCT($E$26:V$26,((V$5-$E$5:V$5)&gt;=(PISLag+($E$5:V$5&gt;LastHist)*MAX(0,DCLead-2)))*((V$5-$E$5:V$5)&lt;LQ_Shell+(PISLag+($E$5:V$5&gt;LastHist)*MAX(0,DCLead-2))))/LQ_Shell</f>
        <v>28.741665625</v>
      </c>
      <c r="W56" s="125" t="n">
        <f aca="false">SUMPRODUCT($E$26:W$26,((W$5-$E$5:W$5)&gt;=(PISLag+($E$5:W$5&gt;LastHist)*MAX(0,DCLead-2)))*((W$5-$E$5:W$5)&lt;LQ_Shell+(PISLag+($E$5:W$5&gt;LastHist)*MAX(0,DCLead-2))))/LQ_Shell</f>
        <v>35.9350796875</v>
      </c>
      <c r="X56" s="125" t="n">
        <f aca="false">SUMPRODUCT($E$26:X$26,((X$5-$E$5:X$5)&gt;=(PISLag+($E$5:X$5&gt;LastHist)*MAX(0,DCLead-2)))*((X$5-$E$5:X$5)&lt;LQ_Shell+(PISLag+($E$5:X$5&gt;LastHist)*MAX(0,DCLead-2))))/LQ_Shell</f>
        <v>35.9350796875</v>
      </c>
      <c r="Y56" s="125" t="n">
        <f aca="false">SUMPRODUCT($E$26:Y$26,((Y$5-$E$5:Y$5)&gt;=(PISLag+($E$5:Y$5&gt;LastHist)*MAX(0,DCLead-2)))*((Y$5-$E$5:Y$5)&lt;LQ_Shell+(PISLag+($E$5:Y$5&gt;LastHist)*MAX(0,DCLead-2))))/LQ_Shell</f>
        <v>48.47993125</v>
      </c>
      <c r="Z56" s="125" t="n">
        <f aca="false">SUMPRODUCT($E$26:Z$26,((Z$5-$E$5:Z$5)&gt;=(PISLag+($E$5:Z$5&gt;LastHist)*MAX(0,DCLead-2)))*((Z$5-$E$5:Z$5)&lt;LQ_Shell+(PISLag+($E$5:Z$5&gt;LastHist)*MAX(0,DCLead-2))))/LQ_Shell</f>
        <v>48.47993125</v>
      </c>
      <c r="AA56" s="125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25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25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25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25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25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25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25" t="n">
        <f aca="false">SUMIF($F$7:$AG$7,AI$7,$F56:$AG56)</f>
        <v>0.7799</v>
      </c>
      <c r="AJ56" s="125" t="n">
        <f aca="false">SUMIF($F$7:$AG$7,AJ$7,$F56:$AG56)</f>
        <v>6.8387</v>
      </c>
      <c r="AK56" s="125" t="n">
        <f aca="false">SUMIF($F$7:$AG$7,AK$7,$F56:$AG56)</f>
        <v>38.2279</v>
      </c>
      <c r="AL56" s="125" t="n">
        <f aca="false">SUMIF($F$7:$AG$7,AL$7,$F56:$AG56)</f>
        <v>70.98393203125</v>
      </c>
      <c r="AM56" s="125" t="n">
        <f aca="false">SUMIF($F$7:$AG$7,AM$7,$F56:$AG56)</f>
        <v>149.09175625</v>
      </c>
      <c r="AN56" s="125" t="n">
        <f aca="false">SUMIF($F$7:$AG$7,AN$7,$F56:$AG56)</f>
        <v>258.552709375</v>
      </c>
      <c r="AO56" s="125" t="n">
        <f aca="false">SUMIF($F$7:$AG$7,AO$7,$F56:$AG56)</f>
        <v>335.7914125</v>
      </c>
    </row>
    <row r="57" customFormat="false" ht="15" hidden="false" customHeight="false" outlineLevel="0" collapsed="false">
      <c r="A57" s="107" t="s">
        <v>2208</v>
      </c>
      <c r="B57" s="22" t="s">
        <v>613</v>
      </c>
      <c r="C57" s="22" t="s">
        <v>540</v>
      </c>
      <c r="D57" s="22"/>
      <c r="F57" s="124" t="n">
        <f aca="false">SUMPRODUCT($E$27:F$27,((F$5-$E$5:F$5)&gt;=(PISLag+($E$5:F$5&gt;LastHist)*MAX(0,DCLead-2)))*((F$5-$E$5:F$5)&lt;LQ_Pow+(PISLag+($E$5:F$5&gt;LastHist)*MAX(0,DCLead-2))))/LQ_Pow</f>
        <v>0</v>
      </c>
      <c r="G57" s="124" t="n">
        <f aca="false">SUMPRODUCT($E$27:G$27,((G$5-$E$5:G$5)&gt;=(PISLag+($E$5:G$5&gt;LastHist)*MAX(0,DCLead-2)))*((G$5-$E$5:G$5)&lt;LQ_Pow+(PISLag+($E$5:G$5&gt;LastHist)*MAX(0,DCLead-2))))/LQ_Pow</f>
        <v>0.39</v>
      </c>
      <c r="H57" s="124" t="n">
        <f aca="false">SUMPRODUCT($E$27:H$27,((H$5-$E$5:H$5)&gt;=(PISLag+($E$5:H$5&gt;LastHist)*MAX(0,DCLead-2)))*((H$5-$E$5:H$5)&lt;LQ_Pow+(PISLag+($E$5:H$5&gt;LastHist)*MAX(0,DCLead-2))))/LQ_Pow</f>
        <v>0.78</v>
      </c>
      <c r="I57" s="124" t="n">
        <f aca="false">SUMPRODUCT($E$27:I$27,((I$5-$E$5:I$5)&gt;=(PISLag+($E$5:I$5&gt;LastHist)*MAX(0,DCLead-2)))*((I$5-$E$5:I$5)&lt;LQ_Pow+(PISLag+($E$5:I$5&gt;LastHist)*MAX(0,DCLead-2))))/LQ_Pow</f>
        <v>1.1697</v>
      </c>
      <c r="J57" s="124" t="n">
        <f aca="false">SUMPRODUCT($E$27:J$27,((J$5-$E$5:J$5)&gt;=(PISLag+($E$5:J$5&gt;LastHist)*MAX(0,DCLead-2)))*((J$5-$E$5:J$5)&lt;LQ_Pow+(PISLag+($E$5:J$5&gt;LastHist)*MAX(0,DCLead-2))))/LQ_Pow</f>
        <v>2.4225</v>
      </c>
      <c r="K57" s="124" t="n">
        <f aca="false">SUMPRODUCT($E$27:K$27,((K$5-$E$5:K$5)&gt;=(PISLag+($E$5:K$5&gt;LastHist)*MAX(0,DCLead-2)))*((K$5-$E$5:K$5)&lt;LQ_Pow+(PISLag+($E$5:K$5&gt;LastHist)*MAX(0,DCLead-2))))/LQ_Pow</f>
        <v>4.0545</v>
      </c>
      <c r="L57" s="124" t="n">
        <f aca="false">SUMPRODUCT($E$27:L$27,((L$5-$E$5:L$5)&gt;=(PISLag+($E$5:L$5&gt;LastHist)*MAX(0,DCLead-2)))*((L$5-$E$5:L$5)&lt;LQ_Pow+(PISLag+($E$5:L$5&gt;LastHist)*MAX(0,DCLead-2))))/LQ_Pow</f>
        <v>5.5863</v>
      </c>
      <c r="M57" s="124" t="n">
        <f aca="false">SUMPRODUCT($E$27:M$27,((M$5-$E$5:M$5)&gt;=(PISLag+($E$5:M$5&gt;LastHist)*MAX(0,DCLead-2)))*((M$5-$E$5:M$5)&lt;LQ_Pow+(PISLag+($E$5:M$5&gt;LastHist)*MAX(0,DCLead-2))))/LQ_Pow</f>
        <v>8.4528</v>
      </c>
      <c r="N57" s="124" t="n">
        <f aca="false">SUMPRODUCT($E$27:N$27,((N$5-$E$5:N$5)&gt;=(PISLag+($E$5:N$5&gt;LastHist)*MAX(0,DCLead-2)))*((N$5-$E$5:N$5)&lt;LQ_Pow+(PISLag+($E$5:N$5&gt;LastHist)*MAX(0,DCLead-2))))/LQ_Pow</f>
        <v>14.6208</v>
      </c>
      <c r="O57" s="124" t="n">
        <f aca="false">SUMPRODUCT($E$27:O$27,((O$5-$E$5:O$5)&gt;=(PISLag+($E$5:O$5&gt;LastHist)*MAX(0,DCLead-2)))*((O$5-$E$5:O$5)&lt;LQ_Pow+(PISLag+($E$5:O$5&gt;LastHist)*MAX(0,DCLead-2))))/LQ_Pow</f>
        <v>22.0395</v>
      </c>
      <c r="P57" s="125" t="n">
        <f aca="false">SUMPRODUCT($E$27:P$27,((P$5-$E$5:P$5)&gt;=(PISLag+($E$5:P$5&gt;LastHist)*MAX(0,DCLead-2)))*((P$5-$E$5:P$5)&lt;LQ_Pow+(PISLag+($E$5:P$5&gt;LastHist)*MAX(0,DCLead-2))))/LQ_Pow</f>
        <v>39.0117</v>
      </c>
      <c r="Q57" s="125" t="n">
        <f aca="false">SUMPRODUCT($E$27:Q$27,((Q$5-$E$5:Q$5)&gt;=(PISLag+($E$5:Q$5&gt;LastHist)*MAX(0,DCLead-2)))*((Q$5-$E$5:Q$5)&lt;LQ_Pow+(PISLag+($E$5:Q$5&gt;LastHist)*MAX(0,DCLead-2))))/LQ_Pow</f>
        <v>39.0117</v>
      </c>
      <c r="R57" s="125" t="n">
        <f aca="false">SUMPRODUCT($E$27:R$27,((R$5-$E$5:R$5)&gt;=(PISLag+($E$5:R$5&gt;LastHist)*MAX(0,DCLead-2)))*((R$5-$E$5:R$5)&lt;LQ_Pow+(PISLag+($E$5:R$5&gt;LastHist)*MAX(0,DCLead-2))))/LQ_Pow</f>
        <v>41.0370515625</v>
      </c>
      <c r="S57" s="125" t="n">
        <f aca="false">SUMPRODUCT($E$27:S$27,((S$5-$E$5:S$5)&gt;=(PISLag+($E$5:S$5&gt;LastHist)*MAX(0,DCLead-2)))*((S$5-$E$5:S$5)&lt;LQ_Pow+(PISLag+($E$5:S$5&gt;LastHist)*MAX(0,DCLead-2))))/LQ_Pow</f>
        <v>46.391340625</v>
      </c>
      <c r="T57" s="125" t="n">
        <f aca="false">SUMPRODUCT($E$27:T$27,((T$5-$E$5:T$5)&gt;=(PISLag+($E$5:T$5&gt;LastHist)*MAX(0,DCLead-2)))*((T$5-$E$5:T$5)&lt;LQ_Pow+(PISLag+($E$5:T$5&gt;LastHist)*MAX(0,DCLead-2))))/LQ_Pow</f>
        <v>61.8723875</v>
      </c>
      <c r="U57" s="125" t="n">
        <f aca="false">SUMPRODUCT($E$27:U$27,((U$5-$E$5:U$5)&gt;=(PISLag+($E$5:U$5&gt;LastHist)*MAX(0,DCLead-2)))*((U$5-$E$5:U$5)&lt;LQ_Pow+(PISLag+($E$5:U$5&gt;LastHist)*MAX(0,DCLead-2))))/LQ_Pow</f>
        <v>95.264903125</v>
      </c>
      <c r="V57" s="125" t="n">
        <f aca="false">SUMPRODUCT($E$27:V$27,((V$5-$E$5:V$5)&gt;=(PISLag+($E$5:V$5&gt;LastHist)*MAX(0,DCLead-2)))*((V$5-$E$5:V$5)&lt;LQ_Pow+(PISLag+($E$5:V$5&gt;LastHist)*MAX(0,DCLead-2))))/LQ_Pow</f>
        <v>112.45460625</v>
      </c>
      <c r="W57" s="125" t="n">
        <f aca="false">SUMPRODUCT($E$27:W$27,((W$5-$E$5:W$5)&gt;=(PISLag+($E$5:W$5&gt;LastHist)*MAX(0,DCLead-2)))*((W$5-$E$5:W$5)&lt;LQ_Pow+(PISLag+($E$5:W$5&gt;LastHist)*MAX(0,DCLead-2))))/LQ_Pow</f>
        <v>146.023871875</v>
      </c>
      <c r="X57" s="125" t="n">
        <f aca="false">SUMPRODUCT($E$27:X$27,((X$5-$E$5:X$5)&gt;=(PISLag+($E$5:X$5&gt;LastHist)*MAX(0,DCLead-2)))*((X$5-$E$5:X$5)&lt;LQ_Pow+(PISLag+($E$5:X$5&gt;LastHist)*MAX(0,DCLead-2))))/LQ_Pow</f>
        <v>146.023871875</v>
      </c>
      <c r="Y57" s="125" t="n">
        <f aca="false">SUMPRODUCT($E$27:Y$27,((Y$5-$E$5:Y$5)&gt;=(PISLag+($E$5:Y$5&gt;LastHist)*MAX(0,DCLead-2)))*((Y$5-$E$5:Y$5)&lt;LQ_Pow+(PISLag+($E$5:Y$5&gt;LastHist)*MAX(0,DCLead-2))))/LQ_Pow</f>
        <v>204.5665125</v>
      </c>
      <c r="Z57" s="125" t="n">
        <f aca="false">SUMPRODUCT($E$27:Z$27,((Z$5-$E$5:Z$5)&gt;=(PISLag+($E$5:Z$5&gt;LastHist)*MAX(0,DCLead-2)))*((Z$5-$E$5:Z$5)&lt;LQ_Pow+(PISLag+($E$5:Z$5&gt;LastHist)*MAX(0,DCLead-2))))/LQ_Pow</f>
        <v>204.5665125</v>
      </c>
      <c r="AA57" s="125" t="n">
        <f aca="false">SUMPRODUCT($E$27:AA$27,((AA$5-$E$5:AA$5)&gt;=(PISLag+($E$5:AA$5&gt;LastHist)*MAX(0,DCLead-2)))*((AA$5-$E$5:AA$5)&lt;LQ_Pow+(PISLag+($E$5:AA$5&gt;LastHist)*MAX(0,DCLead-2))))/LQ_Pow</f>
        <v>272.618325</v>
      </c>
      <c r="AB57" s="125" t="n">
        <f aca="false">SUMPRODUCT($E$27:AB$27,((AB$5-$E$5:AB$5)&gt;=(PISLag+($E$5:AB$5&gt;LastHist)*MAX(0,DCLead-2)))*((AB$5-$E$5:AB$5)&lt;LQ_Pow+(PISLag+($E$5:AB$5&gt;LastHist)*MAX(0,DCLead-2))))/LQ_Pow</f>
        <v>272.618325</v>
      </c>
      <c r="AC57" s="125" t="n">
        <f aca="false">SUMPRODUCT($E$27:AC$27,((AC$5-$E$5:AC$5)&gt;=(PISLag+($E$5:AC$5&gt;LastHist)*MAX(0,DCLead-2)))*((AC$5-$E$5:AC$5)&lt;LQ_Pow+(PISLag+($E$5:AC$5&gt;LastHist)*MAX(0,DCLead-2))))/LQ_Pow</f>
        <v>370.08348125</v>
      </c>
      <c r="AD57" s="125" t="n">
        <f aca="false">SUMPRODUCT($E$27:AD$27,((AD$5-$E$5:AD$5)&gt;=(PISLag+($E$5:AD$5&gt;LastHist)*MAX(0,DCLead-2)))*((AD$5-$E$5:AD$5)&lt;LQ_Pow+(PISLag+($E$5:AD$5&gt;LastHist)*MAX(0,DCLead-2))))/LQ_Pow</f>
        <v>370.08348125</v>
      </c>
      <c r="AE57" s="125" t="n">
        <f aca="false">SUMPRODUCT($E$27:AE$27,((AE$5-$E$5:AE$5)&gt;=(PISLag+($E$5:AE$5&gt;LastHist)*MAX(0,DCLead-2)))*((AE$5-$E$5:AE$5)&lt;LQ_Pow+(PISLag+($E$5:AE$5&gt;LastHist)*MAX(0,DCLead-2))))/LQ_Pow</f>
        <v>370.08348125</v>
      </c>
      <c r="AF57" s="125" t="n">
        <f aca="false">SUMPRODUCT($E$27:AF$27,((AF$5-$E$5:AF$5)&gt;=(PISLag+($E$5:AF$5&gt;LastHist)*MAX(0,DCLead-2)))*((AF$5-$E$5:AF$5)&lt;LQ_Pow+(PISLag+($E$5:AF$5&gt;LastHist)*MAX(0,DCLead-2))))/LQ_Pow</f>
        <v>370.08348125</v>
      </c>
      <c r="AG57" s="125" t="n">
        <f aca="false">SUMPRODUCT($E$27:AG$27,((AG$5-$E$5:AG$5)&gt;=(PISLag+($E$5:AG$5&gt;LastHist)*MAX(0,DCLead-2)))*((AG$5-$E$5:AG$5)&lt;LQ_Pow+(PISLag+($E$5:AG$5&gt;LastHist)*MAX(0,DCLead-2))))/LQ_Pow</f>
        <v>370.08348125</v>
      </c>
      <c r="AI57" s="125" t="n">
        <f aca="false">SUMIF($F$7:$AG$7,AI$7,$F57:$AG57)</f>
        <v>2.3397</v>
      </c>
      <c r="AJ57" s="125" t="n">
        <f aca="false">SUMIF($F$7:$AG$7,AJ$7,$F57:$AG57)</f>
        <v>20.5161</v>
      </c>
      <c r="AK57" s="125" t="n">
        <f aca="false">SUMIF($F$7:$AG$7,AK$7,$F57:$AG57)</f>
        <v>114.6837</v>
      </c>
      <c r="AL57" s="125" t="n">
        <f aca="false">SUMIF($F$7:$AG$7,AL$7,$F57:$AG57)</f>
        <v>244.5656828125</v>
      </c>
      <c r="AM57" s="125" t="n">
        <f aca="false">SUMIF($F$7:$AG$7,AM$7,$F57:$AG57)</f>
        <v>609.0688625</v>
      </c>
      <c r="AN57" s="125" t="n">
        <f aca="false">SUMIF($F$7:$AG$7,AN$7,$F57:$AG57)</f>
        <v>1119.88664375</v>
      </c>
      <c r="AO57" s="125" t="n">
        <f aca="false">SUMIF($F$7:$AG$7,AO$7,$F57:$AG57)</f>
        <v>1480.333925</v>
      </c>
    </row>
    <row r="58" customFormat="false" ht="15" hidden="false" customHeight="false" outlineLevel="0" collapsed="false">
      <c r="A58" s="107" t="s">
        <v>2209</v>
      </c>
      <c r="B58" s="22" t="s">
        <v>613</v>
      </c>
      <c r="C58" s="22" t="s">
        <v>540</v>
      </c>
      <c r="D58" s="22"/>
      <c r="F58" s="124" t="n">
        <f aca="false">SUMPRODUCT($E$28:F$28,((F$5-$E$5:F$5)&gt;=PISLag)*((F$5-$E$5:F$5)&lt;LQ_Maint+PISLag))/LQ_Maint</f>
        <v>0</v>
      </c>
      <c r="G58" s="124" t="n">
        <f aca="false">SUMPRODUCT($E$28:G$28,((G$5-$E$5:G$5)&gt;=PISLag)*((G$5-$E$5:G$5)&lt;LQ_Maint+PISLag))/LQ_Maint</f>
        <v>0</v>
      </c>
      <c r="H58" s="124" t="n">
        <f aca="false">SUMPRODUCT($E$28:H$28,((H$5-$E$5:H$5)&gt;=PISLag)*((H$5-$E$5:H$5)&lt;LQ_Maint+PISLag))/LQ_Maint</f>
        <v>0</v>
      </c>
      <c r="I58" s="124" t="n">
        <f aca="false">SUMPRODUCT($E$28:I$28,((I$5-$E$5:I$5)&gt;=PISLag)*((I$5-$E$5:I$5)&lt;LQ_Maint+PISLag))/LQ_Maint</f>
        <v>0</v>
      </c>
      <c r="J58" s="124" t="n">
        <f aca="false">SUMPRODUCT($E$28:J$28,((J$5-$E$5:J$5)&gt;=PISLag)*((J$5-$E$5:J$5)&lt;LQ_Maint+PISLag))/LQ_Maint</f>
        <v>0</v>
      </c>
      <c r="K58" s="124" t="n">
        <f aca="false">SUMPRODUCT($E$28:K$28,((K$5-$E$5:K$5)&gt;=PISLag)*((K$5-$E$5:K$5)&lt;LQ_Maint+PISLag))/LQ_Maint</f>
        <v>0</v>
      </c>
      <c r="L58" s="124" t="n">
        <f aca="false">SUMPRODUCT($E$28:L$28,((L$5-$E$5:L$5)&gt;=PISLag)*((L$5-$E$5:L$5)&lt;LQ_Maint+PISLag))/LQ_Maint</f>
        <v>0</v>
      </c>
      <c r="M58" s="124" t="n">
        <f aca="false">SUMPRODUCT($E$28:M$28,((M$5-$E$5:M$5)&gt;=PISLag)*((M$5-$E$5:M$5)&lt;LQ_Maint+PISLag))/LQ_Maint</f>
        <v>0</v>
      </c>
      <c r="N58" s="124" t="n">
        <f aca="false">SUMPRODUCT($E$28:N$28,((N$5-$E$5:N$5)&gt;=PISLag)*((N$5-$E$5:N$5)&lt;LQ_Maint+PISLag))/LQ_Maint</f>
        <v>0</v>
      </c>
      <c r="O58" s="124" t="n">
        <f aca="false">SUMPRODUCT($E$28:O$28,((O$5-$E$5:O$5)&gt;=PISLag)*((O$5-$E$5:O$5)&lt;LQ_Maint+PISLag))/LQ_Maint</f>
        <v>0</v>
      </c>
      <c r="P58" s="125" t="n">
        <f aca="false">SUMPRODUCT($E$28:P$28,((P$5-$E$5:P$5)&gt;=PISLag)*((P$5-$E$5:P$5)&lt;LQ_Maint+PISLag))/LQ_Maint</f>
        <v>0</v>
      </c>
      <c r="Q58" s="125" t="n">
        <f aca="false">SUMPRODUCT($E$28:Q$28,((Q$5-$E$5:Q$5)&gt;=PISLag)*((Q$5-$E$5:Q$5)&lt;LQ_Maint+PISLag))/LQ_Maint</f>
        <v>0.674686407680941</v>
      </c>
      <c r="R58" s="125" t="n">
        <f aca="false">SUMPRODUCT($E$28:R$28,((R$5-$E$5:R$5)&gt;=PISLag)*((R$5-$E$5:R$5)&lt;LQ_Maint+PISLag))/LQ_Maint</f>
        <v>1.48377954157611</v>
      </c>
      <c r="S58" s="125" t="n">
        <f aca="false">SUMPRODUCT($E$28:S$28,((S$5-$E$5:S$5)&gt;=PISLag)*((S$5-$E$5:S$5)&lt;LQ_Maint+PISLag))/LQ_Maint</f>
        <v>2.51142683254126</v>
      </c>
      <c r="T58" s="125" t="n">
        <f aca="false">SUMPRODUCT($E$28:T$28,((T$5-$E$5:T$5)&gt;=PISLag)*((T$5-$E$5:T$5)&lt;LQ_Maint+PISLag))/LQ_Maint</f>
        <v>3.97780673362745</v>
      </c>
      <c r="U58" s="125" t="n">
        <f aca="false">SUMPRODUCT($E$28:U$28,((U$5-$E$5:U$5)&gt;=PISLag)*((U$5-$E$5:U$5)&lt;LQ_Maint+PISLag))/LQ_Maint</f>
        <v>6.09209179440175</v>
      </c>
      <c r="V58" s="125" t="n">
        <f aca="false">SUMPRODUCT($E$28:V$28,((V$5-$E$5:V$5)&gt;=PISLag)*((V$5-$E$5:V$5)&lt;LQ_Maint+PISLag))/LQ_Maint</f>
        <v>8.98924487307228</v>
      </c>
      <c r="W58" s="125" t="n">
        <f aca="false">SUMPRODUCT($E$28:W$28,((W$5-$E$5:W$5)&gt;=PISLag)*((W$5-$E$5:W$5)&lt;LQ_Maint+PISLag))/LQ_Maint</f>
        <v>12.979338415591</v>
      </c>
      <c r="X58" s="125" t="n">
        <f aca="false">SUMPRODUCT($E$28:X$28,((X$5-$E$5:X$5)&gt;=PISLag)*((X$5-$E$5:X$5)&lt;LQ_Maint+PISLag))/LQ_Maint</f>
        <v>17.8380273190871</v>
      </c>
      <c r="Y58" s="125" t="n">
        <f aca="false">SUMPRODUCT($E$28:Y$28,((Y$5-$E$5:Y$5)&gt;=PISLag)*((Y$5-$E$5:Y$5)&lt;LQ_Maint+PISLag))/LQ_Maint</f>
        <v>23.2991700069354</v>
      </c>
      <c r="Z58" s="125" t="n">
        <f aca="false">SUMPRODUCT($E$28:Z$28,((Z$5-$E$5:Z$5)&gt;=PISLag)*((Z$5-$E$5:Z$5)&lt;LQ_Maint+PISLag))/LQ_Maint</f>
        <v>29.16990944757</v>
      </c>
      <c r="AA58" s="125" t="n">
        <f aca="false">SUMPRODUCT($E$28:AA$28,((AA$5-$E$5:AA$5)&gt;=PISLag)*((AA$5-$E$5:AA$5)&lt;LQ_Maint+PISLag))/LQ_Maint</f>
        <v>35.8285623681037</v>
      </c>
      <c r="AB58" s="125" t="n">
        <f aca="false">SUMPRODUCT($E$28:AB$28,((AB$5-$E$5:AB$5)&gt;=PISLag)*((AB$5-$E$5:AB$5)&lt;LQ_Maint+PISLag))/LQ_Maint</f>
        <v>43.2682016515394</v>
      </c>
      <c r="AC58" s="125" t="n">
        <f aca="false">SUMPRODUCT($E$28:AC$28,((AC$5-$E$5:AC$5)&gt;=PISLag)*((AC$5-$E$5:AC$5)&lt;LQ_Maint+PISLag))/LQ_Maint</f>
        <v>51.4902605811228</v>
      </c>
      <c r="AD58" s="125" t="n">
        <f aca="false">SUMPRODUCT($E$28:AD$28,((AD$5-$E$5:AD$5)&gt;=PISLag)*((AD$5-$E$5:AD$5)&lt;LQ_Maint+PISLag))/LQ_Maint</f>
        <v>60.5095453253649</v>
      </c>
      <c r="AE58" s="125" t="n">
        <f aca="false">SUMPRODUCT($E$28:AE$28,((AE$5-$E$5:AE$5)&gt;=PISLag)*((AE$5-$E$5:AE$5)&lt;LQ_Maint+PISLag))/LQ_Maint</f>
        <v>70.6011952200094</v>
      </c>
      <c r="AF58" s="125" t="n">
        <f aca="false">SUMPRODUCT($E$28:AF$28,((AF$5-$E$5:AF$5)&gt;=PISLag)*((AF$5-$E$5:AF$5)&lt;LQ_Maint+PISLag))/LQ_Maint</f>
        <v>81.7914744766711</v>
      </c>
      <c r="AG58" s="125" t="n">
        <f aca="false">SUMPRODUCT($E$28:AG$28,((AG$5-$E$5:AG$5)&gt;=PISLag)*((AG$5-$E$5:AG$5)&lt;LQ_Maint+PISLag))/LQ_Maint</f>
        <v>92.9475803207834</v>
      </c>
      <c r="AI58" s="125" t="n">
        <f aca="false">SUMIF($F$7:$AG$7,AI$7,$F58:$AG58)</f>
        <v>0</v>
      </c>
      <c r="AJ58" s="125" t="n">
        <f aca="false">SUMIF($F$7:$AG$7,AJ$7,$F58:$AG58)</f>
        <v>0</v>
      </c>
      <c r="AK58" s="125" t="n">
        <f aca="false">SUMIF($F$7:$AG$7,AK$7,$F58:$AG58)</f>
        <v>0.674686407680941</v>
      </c>
      <c r="AL58" s="125" t="n">
        <f aca="false">SUMIF($F$7:$AG$7,AL$7,$F58:$AG58)</f>
        <v>14.0651049021466</v>
      </c>
      <c r="AM58" s="125" t="n">
        <f aca="false">SUMIF($F$7:$AG$7,AM$7,$F58:$AG58)</f>
        <v>63.1057806146858</v>
      </c>
      <c r="AN58" s="125" t="n">
        <f aca="false">SUMIF($F$7:$AG$7,AN$7,$F58:$AG58)</f>
        <v>159.756934048336</v>
      </c>
      <c r="AO58" s="125" t="n">
        <f aca="false">SUMIF($F$7:$AG$7,AO$7,$F58:$AG58)</f>
        <v>305.849795342829</v>
      </c>
    </row>
    <row r="59" customFormat="false" ht="15" hidden="false" customHeight="false" outlineLevel="0" collapsed="false">
      <c r="A59" s="107" t="s">
        <v>2210</v>
      </c>
      <c r="B59" s="22" t="s">
        <v>613</v>
      </c>
      <c r="C59" s="22" t="s">
        <v>540</v>
      </c>
      <c r="D59" s="22"/>
      <c r="F59" s="124" t="n">
        <f aca="false">SUMPRODUCT($E$29:F$29,((F$5-$E$5:F$5)&gt;=(PISLag+($E$5:F$5&gt;LastHist)*MAX(0,DCLead-2)))*((F$5-$E$5:F$5)&lt;LQ_Pow+(PISLag+($E$5:F$5&gt;LastHist)*MAX(0,DCLead-2))))/LQ_Pow</f>
        <v>0</v>
      </c>
      <c r="G59" s="124" t="n">
        <f aca="false">SUMPRODUCT($E$29:G$29,((G$5-$E$5:G$5)&gt;=(PISLag+($E$5:G$5&gt;LastHist)*MAX(0,DCLead-2)))*((G$5-$E$5:G$5)&lt;LQ_Pow+(PISLag+($E$5:G$5&gt;LastHist)*MAX(0,DCLead-2))))/LQ_Pow</f>
        <v>0</v>
      </c>
      <c r="H59" s="124" t="n">
        <f aca="false">SUMPRODUCT($E$29:H$29,((H$5-$E$5:H$5)&gt;=(PISLag+($E$5:H$5&gt;LastHist)*MAX(0,DCLead-2)))*((H$5-$E$5:H$5)&lt;LQ_Pow+(PISLag+($E$5:H$5&gt;LastHist)*MAX(0,DCLead-2))))/LQ_Pow</f>
        <v>0</v>
      </c>
      <c r="I59" s="124" t="n">
        <f aca="false">SUMPRODUCT($E$29:I$29,((I$5-$E$5:I$5)&gt;=(PISLag+($E$5:I$5&gt;LastHist)*MAX(0,DCLead-2)))*((I$5-$E$5:I$5)&lt;LQ_Pow+(PISLag+($E$5:I$5&gt;LastHist)*MAX(0,DCLead-2))))/LQ_Pow</f>
        <v>0</v>
      </c>
      <c r="J59" s="124" t="n">
        <f aca="false">SUMPRODUCT($E$29:J$29,((J$5-$E$5:J$5)&gt;=(PISLag+($E$5:J$5&gt;LastHist)*MAX(0,DCLead-2)))*((J$5-$E$5:J$5)&lt;LQ_Pow+(PISLag+($E$5:J$5&gt;LastHist)*MAX(0,DCLead-2))))/LQ_Pow</f>
        <v>0</v>
      </c>
      <c r="K59" s="124" t="n">
        <f aca="false">SUMPRODUCT($E$29:K$29,((K$5-$E$5:K$5)&gt;=(PISLag+($E$5:K$5&gt;LastHist)*MAX(0,DCLead-2)))*((K$5-$E$5:K$5)&lt;LQ_Pow+(PISLag+($E$5:K$5&gt;LastHist)*MAX(0,DCLead-2))))/LQ_Pow</f>
        <v>0</v>
      </c>
      <c r="L59" s="124" t="n">
        <f aca="false">SUMPRODUCT($E$29:L$29,((L$5-$E$5:L$5)&gt;=(PISLag+($E$5:L$5&gt;LastHist)*MAX(0,DCLead-2)))*((L$5-$E$5:L$5)&lt;LQ_Pow+(PISLag+($E$5:L$5&gt;LastHist)*MAX(0,DCLead-2))))/LQ_Pow</f>
        <v>0</v>
      </c>
      <c r="M59" s="124" t="n">
        <f aca="false">SUMPRODUCT($E$29:M$29,((M$5-$E$5:M$5)&gt;=(PISLag+($E$5:M$5&gt;LastHist)*MAX(0,DCLead-2)))*((M$5-$E$5:M$5)&lt;LQ_Pow+(PISLag+($E$5:M$5&gt;LastHist)*MAX(0,DCLead-2))))/LQ_Pow</f>
        <v>0</v>
      </c>
      <c r="N59" s="124" t="n">
        <f aca="false">SUMPRODUCT($E$29:N$29,((N$5-$E$5:N$5)&gt;=(PISLag+($E$5:N$5&gt;LastHist)*MAX(0,DCLead-2)))*((N$5-$E$5:N$5)&lt;LQ_Pow+(PISLag+($E$5:N$5&gt;LastHist)*MAX(0,DCLead-2))))/LQ_Pow</f>
        <v>0</v>
      </c>
      <c r="O59" s="124" t="n">
        <f aca="false">SUMPRODUCT($E$29:O$29,((O$5-$E$5:O$5)&gt;=(PISLag+($E$5:O$5&gt;LastHist)*MAX(0,DCLead-2)))*((O$5-$E$5:O$5)&lt;LQ_Pow+(PISLag+($E$5:O$5&gt;LastHist)*MAX(0,DCLead-2))))/LQ_Pow</f>
        <v>0</v>
      </c>
      <c r="P59" s="125" t="n">
        <f aca="false">SUMPRODUCT($E$29:P$29,((P$5-$E$5:P$5)&gt;=(PISLag+($E$5:P$5&gt;LastHist)*MAX(0,DCLead-2)))*((P$5-$E$5:P$5)&lt;LQ_Pow+(PISLag+($E$5:P$5&gt;LastHist)*MAX(0,DCLead-2))))/LQ_Pow</f>
        <v>0</v>
      </c>
      <c r="Q59" s="125" t="n">
        <f aca="false">SUMPRODUCT($E$29:Q$29,((Q$5-$E$5:Q$5)&gt;=(PISLag+($E$5:Q$5&gt;LastHist)*MAX(0,DCLead-2)))*((Q$5-$E$5:Q$5)&lt;LQ_Pow+(PISLag+($E$5:Q$5&gt;LastHist)*MAX(0,DCLead-2))))/LQ_Pow</f>
        <v>0</v>
      </c>
      <c r="R59" s="125" t="n">
        <f aca="false">SUMPRODUCT($E$29:R$29,((R$5-$E$5:R$5)&gt;=(PISLag+($E$5:R$5&gt;LastHist)*MAX(0,DCLead-2)))*((R$5-$E$5:R$5)&lt;LQ_Pow+(PISLag+($E$5:R$5&gt;LastHist)*MAX(0,DCLead-2))))/LQ_Pow</f>
        <v>5.71256</v>
      </c>
      <c r="S59" s="125" t="n">
        <f aca="false">SUMPRODUCT($E$29:S$29,((S$5-$E$5:S$5)&gt;=(PISLag+($E$5:S$5&gt;LastHist)*MAX(0,DCLead-2)))*((S$5-$E$5:S$5)&lt;LQ_Pow+(PISLag+($E$5:S$5&gt;LastHist)*MAX(0,DCLead-2))))/LQ_Pow</f>
        <v>11.763272</v>
      </c>
      <c r="T59" s="125" t="n">
        <f aca="false">SUMPRODUCT($E$29:T$29,((T$5-$E$5:T$5)&gt;=(PISLag+($E$5:T$5&gt;LastHist)*MAX(0,DCLead-2)))*((T$5-$E$5:T$5)&lt;LQ_Pow+(PISLag+($E$5:T$5&gt;LastHist)*MAX(0,DCLead-2))))/LQ_Pow</f>
        <v>16.255272</v>
      </c>
      <c r="U59" s="125" t="n">
        <f aca="false">SUMPRODUCT($E$29:U$29,((U$5-$E$5:U$5)&gt;=(PISLag+($E$5:U$5&gt;LastHist)*MAX(0,DCLead-2)))*((U$5-$E$5:U$5)&lt;LQ_Pow+(PISLag+($E$5:U$5&gt;LastHist)*MAX(0,DCLead-2))))/LQ_Pow</f>
        <v>20.921352</v>
      </c>
      <c r="V59" s="125" t="n">
        <f aca="false">SUMPRODUCT($E$29:V$29,((V$5-$E$5:V$5)&gt;=(PISLag+($E$5:V$5&gt;LastHist)*MAX(0,DCLead-2)))*((V$5-$E$5:V$5)&lt;LQ_Pow+(PISLag+($E$5:V$5&gt;LastHist)*MAX(0,DCLead-2))))/LQ_Pow</f>
        <v>21.421352</v>
      </c>
      <c r="W59" s="125" t="n">
        <f aca="false">SUMPRODUCT($E$29:W$29,((W$5-$E$5:W$5)&gt;=(PISLag+($E$5:W$5&gt;LastHist)*MAX(0,DCLead-2)))*((W$5-$E$5:W$5)&lt;LQ_Pow+(PISLag+($E$5:W$5&gt;LastHist)*MAX(0,DCLead-2))))/LQ_Pow</f>
        <v>21.421352</v>
      </c>
      <c r="X59" s="125" t="n">
        <f aca="false">SUMPRODUCT($E$29:X$29,((X$5-$E$5:X$5)&gt;=(PISLag+($E$5:X$5&gt;LastHist)*MAX(0,DCLead-2)))*((X$5-$E$5:X$5)&lt;LQ_Pow+(PISLag+($E$5:X$5&gt;LastHist)*MAX(0,DCLead-2))))/LQ_Pow</f>
        <v>21.921352</v>
      </c>
      <c r="Y59" s="125" t="n">
        <f aca="false">SUMPRODUCT($E$29:Y$29,((Y$5-$E$5:Y$5)&gt;=(PISLag+($E$5:Y$5&gt;LastHist)*MAX(0,DCLead-2)))*((Y$5-$E$5:Y$5)&lt;LQ_Pow+(PISLag+($E$5:Y$5&gt;LastHist)*MAX(0,DCLead-2))))/LQ_Pow</f>
        <v>23.767432</v>
      </c>
      <c r="Z59" s="125" t="n">
        <f aca="false">SUMPRODUCT($E$29:Z$29,((Z$5-$E$5:Z$5)&gt;=(PISLag+($E$5:Z$5&gt;LastHist)*MAX(0,DCLead-2)))*((Z$5-$E$5:Z$5)&lt;LQ_Pow+(PISLag+($E$5:Z$5&gt;LastHist)*MAX(0,DCLead-2))))/LQ_Pow</f>
        <v>23.767432</v>
      </c>
      <c r="AA59" s="125" t="n">
        <f aca="false">SUMPRODUCT($E$29:AA$29,((AA$5-$E$5:AA$5)&gt;=(PISLag+($E$5:AA$5&gt;LastHist)*MAX(0,DCLead-2)))*((AA$5-$E$5:AA$5)&lt;LQ_Pow+(PISLag+($E$5:AA$5&gt;LastHist)*MAX(0,DCLead-2))))/LQ_Pow</f>
        <v>23.767432</v>
      </c>
      <c r="AB59" s="125" t="n">
        <f aca="false">SUMPRODUCT($E$29:AB$29,((AB$5-$E$5:AB$5)&gt;=(PISLag+($E$5:AB$5&gt;LastHist)*MAX(0,DCLead-2)))*((AB$5-$E$5:AB$5)&lt;LQ_Pow+(PISLag+($E$5:AB$5&gt;LastHist)*MAX(0,DCLead-2))))/LQ_Pow</f>
        <v>23.767432</v>
      </c>
      <c r="AC59" s="125" t="n">
        <f aca="false">SUMPRODUCT($E$29:AC$29,((AC$5-$E$5:AC$5)&gt;=(PISLag+($E$5:AC$5&gt;LastHist)*MAX(0,DCLead-2)))*((AC$5-$E$5:AC$5)&lt;LQ_Pow+(PISLag+($E$5:AC$5&gt;LastHist)*MAX(0,DCLead-2))))/LQ_Pow</f>
        <v>23.767432</v>
      </c>
      <c r="AD59" s="125" t="n">
        <f aca="false">SUMPRODUCT($E$29:AD$29,((AD$5-$E$5:AD$5)&gt;=(PISLag+($E$5:AD$5&gt;LastHist)*MAX(0,DCLead-2)))*((AD$5-$E$5:AD$5)&lt;LQ_Pow+(PISLag+($E$5:AD$5&gt;LastHist)*MAX(0,DCLead-2))))/LQ_Pow</f>
        <v>23.767432</v>
      </c>
      <c r="AE59" s="125" t="n">
        <f aca="false">SUMPRODUCT($E$29:AE$29,((AE$5-$E$5:AE$5)&gt;=(PISLag+($E$5:AE$5&gt;LastHist)*MAX(0,DCLead-2)))*((AE$5-$E$5:AE$5)&lt;LQ_Pow+(PISLag+($E$5:AE$5&gt;LastHist)*MAX(0,DCLead-2))))/LQ_Pow</f>
        <v>23.767432</v>
      </c>
      <c r="AF59" s="125" t="n">
        <f aca="false">SUMPRODUCT($E$29:AF$29,((AF$5-$E$5:AF$5)&gt;=(PISLag+($E$5:AF$5&gt;LastHist)*MAX(0,DCLead-2)))*((AF$5-$E$5:AF$5)&lt;LQ_Pow+(PISLag+($E$5:AF$5&gt;LastHist)*MAX(0,DCLead-2))))/LQ_Pow</f>
        <v>23.767432</v>
      </c>
      <c r="AG59" s="125" t="n">
        <f aca="false">SUMPRODUCT($E$29:AG$29,((AG$5-$E$5:AG$5)&gt;=(PISLag+($E$5:AG$5&gt;LastHist)*MAX(0,DCLead-2)))*((AG$5-$E$5:AG$5)&lt;LQ_Pow+(PISLag+($E$5:AG$5&gt;LastHist)*MAX(0,DCLead-2))))/LQ_Pow</f>
        <v>23.767432</v>
      </c>
      <c r="AI59" s="125" t="n">
        <f aca="false">SUMIF($F$7:$AG$7,AI$7,$F59:$AG59)</f>
        <v>0</v>
      </c>
      <c r="AJ59" s="125" t="n">
        <f aca="false">SUMIF($F$7:$AG$7,AJ$7,$F59:$AG59)</f>
        <v>0</v>
      </c>
      <c r="AK59" s="125" t="n">
        <f aca="false">SUMIF($F$7:$AG$7,AK$7,$F59:$AG59)</f>
        <v>0</v>
      </c>
      <c r="AL59" s="125" t="n">
        <f aca="false">SUMIF($F$7:$AG$7,AL$7,$F59:$AG59)</f>
        <v>54.652456</v>
      </c>
      <c r="AM59" s="125" t="n">
        <f aca="false">SUMIF($F$7:$AG$7,AM$7,$F59:$AG59)</f>
        <v>88.531488</v>
      </c>
      <c r="AN59" s="125" t="n">
        <f aca="false">SUMIF($F$7:$AG$7,AN$7,$F59:$AG59)</f>
        <v>95.069728</v>
      </c>
      <c r="AO59" s="125" t="n">
        <f aca="false">SUMIF($F$7:$AG$7,AO$7,$F59:$AG59)</f>
        <v>95.069728</v>
      </c>
    </row>
    <row r="60" customFormat="false" ht="15" hidden="false" customHeight="false" outlineLevel="0" collapsed="false">
      <c r="A60" s="107" t="s">
        <v>2211</v>
      </c>
      <c r="B60" s="22" t="s">
        <v>613</v>
      </c>
      <c r="C60" s="22" t="s">
        <v>540</v>
      </c>
      <c r="D60" s="22"/>
      <c r="F60" s="124" t="n">
        <f aca="false">SUMPRODUCT($E$30:F$30,((F$5-$E$5:F$5)&gt;=PISLag)*((F$5-$E$5:F$5)&lt;LQ_N+PISLag))/LQ_N</f>
        <v>0</v>
      </c>
      <c r="G60" s="124" t="n">
        <f aca="false">SUMPRODUCT($E$30:G$30,((G$5-$E$5:G$5)&gt;=PISLag)*((G$5-$E$5:G$5)&lt;LQ_N+PISLag))/LQ_N</f>
        <v>0</v>
      </c>
      <c r="H60" s="124" t="n">
        <f aca="false">SUMPRODUCT($E$30:H$30,((H$5-$E$5:H$5)&gt;=PISLag)*((H$5-$E$5:H$5)&lt;LQ_N+PISLag))/LQ_N</f>
        <v>0</v>
      </c>
      <c r="I60" s="124" t="n">
        <f aca="false">SUMPRODUCT($E$30:I$30,((I$5-$E$5:I$5)&gt;=PISLag)*((I$5-$E$5:I$5)&lt;LQ_N+PISLag))/LQ_N</f>
        <v>0</v>
      </c>
      <c r="J60" s="124" t="n">
        <f aca="false">SUMPRODUCT($E$30:J$30,((J$5-$E$5:J$5)&gt;=PISLag)*((J$5-$E$5:J$5)&lt;LQ_N+PISLag))/LQ_N</f>
        <v>0</v>
      </c>
      <c r="K60" s="124" t="n">
        <f aca="false">SUMPRODUCT($E$30:K$30,((K$5-$E$5:K$5)&gt;=PISLag)*((K$5-$E$5:K$5)&lt;LQ_N+PISLag))/LQ_N</f>
        <v>0</v>
      </c>
      <c r="L60" s="124" t="n">
        <f aca="false">SUMPRODUCT($E$30:L$30,((L$5-$E$5:L$5)&gt;=PISLag)*((L$5-$E$5:L$5)&lt;LQ_N+PISLag))/LQ_N</f>
        <v>0</v>
      </c>
      <c r="M60" s="124" t="n">
        <f aca="false">SUMPRODUCT($E$30:M$30,((M$5-$E$5:M$5)&gt;=PISLag)*((M$5-$E$5:M$5)&lt;LQ_N+PISLag))/LQ_N</f>
        <v>0</v>
      </c>
      <c r="N60" s="124" t="n">
        <f aca="false">SUMPRODUCT($E$30:N$30,((N$5-$E$5:N$5)&gt;=PISLag)*((N$5-$E$5:N$5)&lt;LQ_N+PISLag))/LQ_N</f>
        <v>0</v>
      </c>
      <c r="O60" s="124" t="n">
        <f aca="false">SUMPRODUCT($E$30:O$30,((O$5-$E$5:O$5)&gt;=PISLag)*((O$5-$E$5:O$5)&lt;LQ_N+PISLag))/LQ_N</f>
        <v>0</v>
      </c>
      <c r="P60" s="125" t="n">
        <f aca="false">SUMPRODUCT($E$30:P$30,((P$5-$E$5:P$5)&gt;=PISLag)*((P$5-$E$5:P$5)&lt;LQ_N+PISLag))/LQ_N</f>
        <v>0</v>
      </c>
      <c r="Q60" s="125" t="n">
        <f aca="false">SUMPRODUCT($E$30:Q$30,((Q$5-$E$5:Q$5)&gt;=PISLag)*((Q$5-$E$5:Q$5)&lt;LQ_N+PISLag))/LQ_N</f>
        <v>0</v>
      </c>
      <c r="R60" s="125" t="n">
        <f aca="false">SUMPRODUCT($E$30:R$30,((R$5-$E$5:R$5)&gt;=PISLag)*((R$5-$E$5:R$5)&lt;LQ_N+PISLag))/LQ_N</f>
        <v>0</v>
      </c>
      <c r="S60" s="125" t="n">
        <f aca="false">SUMPRODUCT($E$30:S$30,((S$5-$E$5:S$5)&gt;=PISLag)*((S$5-$E$5:S$5)&lt;LQ_N+PISLag))/LQ_N</f>
        <v>0</v>
      </c>
      <c r="T60" s="125" t="n">
        <f aca="false">SUMPRODUCT($E$30:T$30,((T$5-$E$5:T$5)&gt;=PISLag)*((T$5-$E$5:T$5)&lt;LQ_N+PISLag))/LQ_N</f>
        <v>0</v>
      </c>
      <c r="U60" s="125" t="n">
        <f aca="false">SUMPRODUCT($E$30:U$30,((U$5-$E$5:U$5)&gt;=PISLag)*((U$5-$E$5:U$5)&lt;LQ_N+PISLag))/LQ_N</f>
        <v>0</v>
      </c>
      <c r="V60" s="125" t="n">
        <f aca="false">SUMPRODUCT($E$30:V$30,((V$5-$E$5:V$5)&gt;=PISLag)*((V$5-$E$5:V$5)&lt;LQ_N+PISLag))/LQ_N</f>
        <v>0</v>
      </c>
      <c r="W60" s="125" t="n">
        <f aca="false">SUMPRODUCT($E$30:W$30,((W$5-$E$5:W$5)&gt;=PISLag)*((W$5-$E$5:W$5)&lt;LQ_N+PISLag))/LQ_N</f>
        <v>0</v>
      </c>
      <c r="X60" s="125" t="n">
        <f aca="false">SUMPRODUCT($E$30:X$30,((X$5-$E$5:X$5)&gt;=PISLag)*((X$5-$E$5:X$5)&lt;LQ_N+PISLag))/LQ_N</f>
        <v>0</v>
      </c>
      <c r="Y60" s="125" t="n">
        <f aca="false">SUMPRODUCT($E$30:Y$30,((Y$5-$E$5:Y$5)&gt;=PISLag)*((Y$5-$E$5:Y$5)&lt;LQ_N+PISLag))/LQ_N</f>
        <v>0</v>
      </c>
      <c r="Z60" s="125" t="n">
        <f aca="false">SUMPRODUCT($E$30:Z$30,((Z$5-$E$5:Z$5)&gt;=PISLag)*((Z$5-$E$5:Z$5)&lt;LQ_N+PISLag))/LQ_N</f>
        <v>7.12</v>
      </c>
      <c r="AA60" s="125" t="n">
        <f aca="false">SUMPRODUCT($E$30:AA$30,((AA$5-$E$5:AA$5)&gt;=PISLag)*((AA$5-$E$5:AA$5)&lt;LQ_N+PISLag))/LQ_N</f>
        <v>12.32</v>
      </c>
      <c r="AB60" s="125" t="n">
        <f aca="false">SUMPRODUCT($E$30:AB$30,((AB$5-$E$5:AB$5)&gt;=PISLag)*((AB$5-$E$5:AB$5)&lt;LQ_N+PISLag))/LQ_N</f>
        <v>17.52</v>
      </c>
      <c r="AC60" s="125" t="n">
        <f aca="false">SUMPRODUCT($E$30:AC$30,((AC$5-$E$5:AC$5)&gt;=PISLag)*((AC$5-$E$5:AC$5)&lt;LQ_N+PISLag))/LQ_N</f>
        <v>22.716</v>
      </c>
      <c r="AD60" s="125" t="n">
        <f aca="false">SUMPRODUCT($E$30:AD$30,((AD$5-$E$5:AD$5)&gt;=PISLag)*((AD$5-$E$5:AD$5)&lt;LQ_N+PISLag))/LQ_N</f>
        <v>39.42</v>
      </c>
      <c r="AE60" s="125" t="n">
        <f aca="false">SUMPRODUCT($E$30:AE$30,((AE$5-$E$5:AE$5)&gt;=PISLag)*((AE$5-$E$5:AE$5)&lt;LQ_N+PISLag))/LQ_N</f>
        <v>61.18</v>
      </c>
      <c r="AF60" s="125" t="n">
        <f aca="false">SUMPRODUCT($E$30:AF$30,((AF$5-$E$5:AF$5)&gt;=PISLag)*((AF$5-$E$5:AF$5)&lt;LQ_N+PISLag))/LQ_N</f>
        <v>81.604</v>
      </c>
      <c r="AG60" s="125" t="n">
        <f aca="false">SUMPRODUCT($E$30:AG$30,((AG$5-$E$5:AG$5)&gt;=PISLag)*((AG$5-$E$5:AG$5)&lt;LQ_N+PISLag))/LQ_N</f>
        <v>119.824</v>
      </c>
      <c r="AI60" s="125" t="n">
        <f aca="false">SUMIF($F$7:$AG$7,AI$7,$F60:$AG60)</f>
        <v>0</v>
      </c>
      <c r="AJ60" s="125" t="n">
        <f aca="false">SUMIF($F$7:$AG$7,AJ$7,$F60:$AG60)</f>
        <v>0</v>
      </c>
      <c r="AK60" s="125" t="n">
        <f aca="false">SUMIF($F$7:$AG$7,AK$7,$F60:$AG60)</f>
        <v>0</v>
      </c>
      <c r="AL60" s="125" t="n">
        <f aca="false">SUMIF($F$7:$AG$7,AL$7,$F60:$AG60)</f>
        <v>0</v>
      </c>
      <c r="AM60" s="125" t="n">
        <f aca="false">SUMIF($F$7:$AG$7,AM$7,$F60:$AG60)</f>
        <v>0</v>
      </c>
      <c r="AN60" s="125" t="n">
        <f aca="false">SUMIF($F$7:$AG$7,AN$7,$F60:$AG60)</f>
        <v>59.676</v>
      </c>
      <c r="AO60" s="125" t="n">
        <f aca="false">SUMIF($F$7:$AG$7,AO$7,$F60:$AG60)</f>
        <v>302.028</v>
      </c>
    </row>
    <row r="61" customFormat="false" ht="15" hidden="false" customHeight="false" outlineLevel="0" collapsed="false">
      <c r="A61" s="107" t="s">
        <v>2212</v>
      </c>
      <c r="B61" s="22" t="s">
        <v>613</v>
      </c>
      <c r="C61" s="22" t="s">
        <v>604</v>
      </c>
      <c r="D61" s="22"/>
      <c r="F61" s="124" t="n">
        <f aca="false">OtherDA</f>
        <v>5</v>
      </c>
      <c r="G61" s="124" t="n">
        <f aca="false">OtherDA</f>
        <v>5</v>
      </c>
      <c r="H61" s="124" t="n">
        <f aca="false">OtherDA</f>
        <v>5</v>
      </c>
      <c r="I61" s="124" t="n">
        <f aca="false">OtherDA</f>
        <v>5</v>
      </c>
      <c r="J61" s="124" t="n">
        <f aca="false">OtherDA</f>
        <v>5</v>
      </c>
      <c r="K61" s="124" t="n">
        <f aca="false">OtherDA</f>
        <v>5</v>
      </c>
      <c r="L61" s="124" t="n">
        <f aca="false">OtherDA</f>
        <v>5</v>
      </c>
      <c r="M61" s="124" t="n">
        <f aca="false">OtherDA</f>
        <v>5</v>
      </c>
      <c r="N61" s="124" t="n">
        <f aca="false">OtherDA</f>
        <v>5</v>
      </c>
      <c r="O61" s="124" t="n">
        <f aca="false">OtherDA</f>
        <v>5</v>
      </c>
      <c r="P61" s="125" t="n">
        <f aca="false">OtherDA</f>
        <v>5</v>
      </c>
      <c r="Q61" s="125" t="n">
        <f aca="false">OtherDA</f>
        <v>5</v>
      </c>
      <c r="R61" s="125" t="n">
        <f aca="false">OtherDA</f>
        <v>5</v>
      </c>
      <c r="S61" s="125" t="n">
        <f aca="false">OtherDA</f>
        <v>5</v>
      </c>
      <c r="T61" s="125" t="n">
        <f aca="false">OtherDA</f>
        <v>5</v>
      </c>
      <c r="U61" s="125" t="n">
        <f aca="false">OtherDA</f>
        <v>5</v>
      </c>
      <c r="V61" s="125" t="n">
        <f aca="false">OtherDA</f>
        <v>5</v>
      </c>
      <c r="W61" s="125" t="n">
        <f aca="false">OtherDA</f>
        <v>5</v>
      </c>
      <c r="X61" s="125" t="n">
        <f aca="false">OtherDA</f>
        <v>5</v>
      </c>
      <c r="Y61" s="125" t="n">
        <f aca="false">OtherDA</f>
        <v>5</v>
      </c>
      <c r="Z61" s="125" t="n">
        <f aca="false">OtherDA</f>
        <v>5</v>
      </c>
      <c r="AA61" s="125" t="n">
        <f aca="false">OtherDA</f>
        <v>5</v>
      </c>
      <c r="AB61" s="125" t="n">
        <f aca="false">OtherDA</f>
        <v>5</v>
      </c>
      <c r="AC61" s="125" t="n">
        <f aca="false">OtherDA</f>
        <v>5</v>
      </c>
      <c r="AD61" s="125" t="n">
        <f aca="false">OtherDA</f>
        <v>5</v>
      </c>
      <c r="AE61" s="125" t="n">
        <f aca="false">OtherDA</f>
        <v>5</v>
      </c>
      <c r="AF61" s="125" t="n">
        <f aca="false">OtherDA</f>
        <v>5</v>
      </c>
      <c r="AG61" s="125" t="n">
        <f aca="false">OtherDA</f>
        <v>5</v>
      </c>
      <c r="AI61" s="125" t="n">
        <f aca="false">SUMIF($F$7:$AG$7,AI$7,$F61:$AG61)</f>
        <v>20</v>
      </c>
      <c r="AJ61" s="125" t="n">
        <f aca="false">SUMIF($F$7:$AG$7,AJ$7,$F61:$AG61)</f>
        <v>20</v>
      </c>
      <c r="AK61" s="125" t="n">
        <f aca="false">SUMIF($F$7:$AG$7,AK$7,$F61:$AG61)</f>
        <v>20</v>
      </c>
      <c r="AL61" s="125" t="n">
        <f aca="false">SUMIF($F$7:$AG$7,AL$7,$F61:$AG61)</f>
        <v>20</v>
      </c>
      <c r="AM61" s="125" t="n">
        <f aca="false">SUMIF($F$7:$AG$7,AM$7,$F61:$AG61)</f>
        <v>20</v>
      </c>
      <c r="AN61" s="125" t="n">
        <f aca="false">SUMIF($F$7:$AG$7,AN$7,$F61:$AG61)</f>
        <v>20</v>
      </c>
      <c r="AO61" s="125" t="n">
        <f aca="false">SUMIF($F$7:$AG$7,AO$7,$F61:$AG61)</f>
        <v>20</v>
      </c>
    </row>
    <row r="62" customFormat="false" ht="15" hidden="false" customHeight="false" outlineLevel="0" collapsed="false">
      <c r="A62" s="107" t="s">
        <v>2213</v>
      </c>
      <c r="B62" s="22" t="s">
        <v>613</v>
      </c>
      <c r="C62" s="22" t="s">
        <v>604</v>
      </c>
      <c r="D62" s="22" t="s">
        <v>2214</v>
      </c>
      <c r="F62" s="124" t="n">
        <f aca="false">IF(F$5&lt;=LastHist,INDEX(H_CapInt,1,F$5),CapIntPct*(INDEX(CV_cpn,1,1)+INDEX(CV_acc,1,1)+INDEX(Sec_Int,1,1)))</f>
        <v>0</v>
      </c>
      <c r="G62" s="124" t="n">
        <f aca="false">IF(G$5&lt;=LastHist,INDEX(H_CapInt,1,G$5),CapIntPct*(INDEX(CV_cpn,1,2)+INDEX(CV_acc,1,2)+INDEX(Sec_Int,1,2)))</f>
        <v>0</v>
      </c>
      <c r="H62" s="124" t="n">
        <f aca="false">IF(H$5&lt;=LastHist,INDEX(H_CapInt,1,H$5),CapIntPct*(INDEX(CV_cpn,1,3)+INDEX(CV_acc,1,3)+INDEX(Sec_Int,1,3)))</f>
        <v>0</v>
      </c>
      <c r="I62" s="124" t="n">
        <f aca="false">IF(I$5&lt;=LastHist,INDEX(H_CapInt,1,I$5),CapIntPct*(INDEX(CV_cpn,1,4)+INDEX(CV_acc,1,4)+INDEX(Sec_Int,1,4)))</f>
        <v>0</v>
      </c>
      <c r="J62" s="124" t="n">
        <f aca="false">IF(J$5&lt;=LastHist,INDEX(H_CapInt,1,J$5),CapIntPct*(INDEX(CV_cpn,1,5)+INDEX(CV_acc,1,5)+INDEX(Sec_Int,1,5)))</f>
        <v>0</v>
      </c>
      <c r="K62" s="124" t="n">
        <f aca="false">IF(K$5&lt;=LastHist,INDEX(H_CapInt,1,K$5),CapIntPct*(INDEX(CV_cpn,1,6)+INDEX(CV_acc,1,6)+INDEX(Sec_Int,1,6)))</f>
        <v>0</v>
      </c>
      <c r="L62" s="124" t="n">
        <f aca="false">IF(L$5&lt;=LastHist,INDEX(H_CapInt,1,L$5),CapIntPct*(INDEX(CV_cpn,1,7)+INDEX(CV_acc,1,7)+INDEX(Sec_Int,1,7)))</f>
        <v>0</v>
      </c>
      <c r="M62" s="124" t="n">
        <f aca="false">IF(M$5&lt;=LastHist,INDEX(H_CapInt,1,M$5),CapIntPct*(INDEX(CV_cpn,1,8)+INDEX(CV_acc,1,8)+INDEX(Sec_Int,1,8)))</f>
        <v>0</v>
      </c>
      <c r="N62" s="124" t="n">
        <f aca="false">IF(N$5&lt;=LastHist,INDEX(H_CapInt,1,N$5),CapIntPct*(INDEX(CV_cpn,1,9)+INDEX(CV_acc,1,9)+INDEX(Sec_Int,1,9)))</f>
        <v>15.7</v>
      </c>
      <c r="O62" s="124" t="n">
        <f aca="false">IF(O$5&lt;=LastHist,INDEX(H_CapInt,1,O$5),CapIntPct*(INDEX(CV_cpn,1,10)+INDEX(CV_acc,1,10)+INDEX(Sec_Int,1,10)))</f>
        <v>40.2</v>
      </c>
      <c r="P62" s="125" t="n">
        <f aca="false">IF(P$5&lt;=LastHist,INDEX(H_CapInt,1,P$5),CapIntPct*(INDEX(CV_cpn,1,11)+INDEX(CV_acc,1,11)+INDEX(Sec_Int,1,11)))</f>
        <v>63.6793762885238</v>
      </c>
      <c r="Q62" s="125" t="n">
        <f aca="false">IF(Q$5&lt;=LastHist,INDEX(H_CapInt,1,Q$5),CapIntPct*(INDEX(CV_cpn,1,12)+INDEX(CV_acc,1,12)+INDEX(Sec_Int,1,12)))</f>
        <v>63.6793762885238</v>
      </c>
      <c r="R62" s="125" t="n">
        <f aca="false">IF(R$5&lt;=LastHist,INDEX(H_CapInt,1,R$5),CapIntPct*(INDEX(CV_cpn,1,13)+INDEX(CV_acc,1,13)+INDEX(Sec_Int,1,13)))</f>
        <v>94.4977810179247</v>
      </c>
      <c r="S62" s="125" t="n">
        <f aca="false">IF(S$5&lt;=LastHist,INDEX(H_CapInt,1,S$5),CapIntPct*(INDEX(CV_cpn,1,14)+INDEX(CV_acc,1,14)+INDEX(Sec_Int,1,14)))</f>
        <v>94.4977810179247</v>
      </c>
      <c r="T62" s="125" t="n">
        <f aca="false">IF(T$5&lt;=LastHist,INDEX(H_CapInt,1,T$5),CapIntPct*(INDEX(CV_cpn,1,15)+INDEX(CV_acc,1,15)+INDEX(Sec_Int,1,15)))</f>
        <v>125.283380037443</v>
      </c>
      <c r="U62" s="125" t="n">
        <f aca="false">IF(U$5&lt;=LastHist,INDEX(H_CapInt,1,U$5),CapIntPct*(INDEX(CV_cpn,1,16)+INDEX(CV_acc,1,16)+INDEX(Sec_Int,1,16)))</f>
        <v>125.283380037443</v>
      </c>
      <c r="V62" s="125" t="n">
        <f aca="false">IF(V$5&lt;=LastHist,INDEX(H_CapInt,1,V$5),CapIntPct*(INDEX(CV_cpn,1,17)+INDEX(CV_acc,1,17)+INDEX(Sec_Int,1,17)))</f>
        <v>125.283380037443</v>
      </c>
      <c r="W62" s="125" t="n">
        <f aca="false">IF(W$5&lt;=LastHist,INDEX(H_CapInt,1,W$5),CapIntPct*(INDEX(CV_cpn,1,18)+INDEX(CV_acc,1,18)+INDEX(Sec_Int,1,18)))</f>
        <v>125.283380037443</v>
      </c>
      <c r="X62" s="125" t="n">
        <f aca="false">IF(X$5&lt;=LastHist,INDEX(H_CapInt,1,X$5),CapIntPct*(INDEX(CV_cpn,1,19)+INDEX(CV_acc,1,19)+INDEX(Sec_Int,1,19)))</f>
        <v>125.283380037443</v>
      </c>
      <c r="Y62" s="125" t="n">
        <f aca="false">IF(Y$5&lt;=LastHist,INDEX(H_CapInt,1,Y$5),CapIntPct*(INDEX(CV_cpn,1,20)+INDEX(CV_acc,1,20)+INDEX(Sec_Int,1,20)))</f>
        <v>125.283380037443</v>
      </c>
      <c r="Z62" s="125" t="n">
        <f aca="false">IF(Z$5&lt;=LastHist,INDEX(H_CapInt,1,Z$5),CapIntPct*(INDEX(CV_cpn,1,21)+INDEX(CV_acc,1,21)+INDEX(Sec_Int,1,21)))</f>
        <v>125.283380037443</v>
      </c>
      <c r="AA62" s="125" t="n">
        <f aca="false">IF(AA$5&lt;=LastHist,INDEX(H_CapInt,1,AA$5),CapIntPct*(INDEX(CV_cpn,1,22)+INDEX(CV_acc,1,22)+INDEX(Sec_Int,1,22)))</f>
        <v>124.760842701522</v>
      </c>
      <c r="AB62" s="125" t="n">
        <f aca="false">IF(AB$5&lt;=LastHist,INDEX(H_CapInt,1,AB$5),CapIntPct*(INDEX(CV_cpn,1,23)+INDEX(CV_acc,1,23)+INDEX(Sec_Int,1,23)))</f>
        <v>124.760842701522</v>
      </c>
      <c r="AC62" s="125" t="n">
        <f aca="false">IF(AC$5&lt;=LastHist,INDEX(H_CapInt,1,AC$5),CapIntPct*(INDEX(CV_cpn,1,24)+INDEX(CV_acc,1,24)+INDEX(Sec_Int,1,24)))</f>
        <v>124.760842701522</v>
      </c>
      <c r="AD62" s="125" t="n">
        <f aca="false">IF(AD$5&lt;=LastHist,INDEX(H_CapInt,1,AD$5),CapIntPct*(INDEX(CV_cpn,1,25)+INDEX(CV_acc,1,25)+INDEX(Sec_Int,1,25)))</f>
        <v>113.878060640153</v>
      </c>
      <c r="AE62" s="125" t="n">
        <f aca="false">IF(AE$5&lt;=LastHist,INDEX(H_CapInt,1,AE$5),CapIntPct*(INDEX(CV_cpn,1,26)+INDEX(CV_acc,1,26)+INDEX(Sec_Int,1,26)))</f>
        <v>113.878060640153</v>
      </c>
      <c r="AF62" s="125" t="n">
        <f aca="false">IF(AF$5&lt;=LastHist,INDEX(H_CapInt,1,AF$5),CapIntPct*(INDEX(CV_cpn,1,27)+INDEX(CV_acc,1,27)+INDEX(Sec_Int,1,27)))</f>
        <v>95.8990471378933</v>
      </c>
      <c r="AG62" s="125" t="n">
        <f aca="false">IF(AG$5&lt;=LastHist,INDEX(H_CapInt,1,AG$5),CapIntPct*(INDEX(CV_cpn,1,28)+INDEX(CV_acc,1,28)+INDEX(Sec_Int,1,28)))</f>
        <v>95.8990471378933</v>
      </c>
      <c r="AI62" s="125" t="n">
        <f aca="false">SUMIF($F$7:$AG$7,AI$7,$F62:$AG62)</f>
        <v>0</v>
      </c>
      <c r="AJ62" s="125" t="n">
        <f aca="false">SUMIF($F$7:$AG$7,AJ$7,$F62:$AG62)</f>
        <v>0</v>
      </c>
      <c r="AK62" s="125" t="n">
        <f aca="false">SUMIF($F$7:$AG$7,AK$7,$F62:$AG62)</f>
        <v>183.258752577048</v>
      </c>
      <c r="AL62" s="125" t="n">
        <f aca="false">SUMIF($F$7:$AG$7,AL$7,$F62:$AG62)</f>
        <v>439.562322110736</v>
      </c>
      <c r="AM62" s="125" t="n">
        <f aca="false">SUMIF($F$7:$AG$7,AM$7,$F62:$AG62)</f>
        <v>501.133520149772</v>
      </c>
      <c r="AN62" s="125" t="n">
        <f aca="false">SUMIF($F$7:$AG$7,AN$7,$F62:$AG62)</f>
        <v>499.565908142008</v>
      </c>
      <c r="AO62" s="125" t="n">
        <f aca="false">SUMIF($F$7:$AG$7,AO$7,$F62:$AG62)</f>
        <v>419.554215556092</v>
      </c>
    </row>
    <row r="63" customFormat="false" ht="15" hidden="false" customHeight="false" outlineLevel="0" collapsed="false">
      <c r="A63" s="107" t="s">
        <v>2215</v>
      </c>
      <c r="B63" s="22" t="s">
        <v>613</v>
      </c>
      <c r="C63" s="22" t="s">
        <v>540</v>
      </c>
      <c r="D63" s="22"/>
      <c r="F63" s="124" t="n">
        <f aca="false">SUMPRODUCT($E$62:F$62,((F$5-$E$5:F$5)&gt;=PISLag)*((F$5-$E$5:F$5)&lt;LQ_CapInt+PISLag))/LQ_CapInt</f>
        <v>0</v>
      </c>
      <c r="G63" s="124" t="n">
        <f aca="false">SUMPRODUCT($E$62:G$62,((G$5-$E$5:G$5)&gt;=PISLag)*((G$5-$E$5:G$5)&lt;LQ_CapInt+PISLag))/LQ_CapInt</f>
        <v>0</v>
      </c>
      <c r="H63" s="124" t="n">
        <f aca="false">SUMPRODUCT($E$62:H$62,((H$5-$E$5:H$5)&gt;=PISLag)*((H$5-$E$5:H$5)&lt;LQ_CapInt+PISLag))/LQ_CapInt</f>
        <v>0</v>
      </c>
      <c r="I63" s="124" t="n">
        <f aca="false">SUMPRODUCT($E$62:I$62,((I$5-$E$5:I$5)&gt;=PISLag)*((I$5-$E$5:I$5)&lt;LQ_CapInt+PISLag))/LQ_CapInt</f>
        <v>0</v>
      </c>
      <c r="J63" s="124" t="n">
        <f aca="false">SUMPRODUCT($E$62:J$62,((J$5-$E$5:J$5)&gt;=PISLag)*((J$5-$E$5:J$5)&lt;LQ_CapInt+PISLag))/LQ_CapInt</f>
        <v>0</v>
      </c>
      <c r="K63" s="124" t="n">
        <f aca="false">SUMPRODUCT($E$62:K$62,((K$5-$E$5:K$5)&gt;=PISLag)*((K$5-$E$5:K$5)&lt;LQ_CapInt+PISLag))/LQ_CapInt</f>
        <v>0</v>
      </c>
      <c r="L63" s="124" t="n">
        <f aca="false">SUMPRODUCT($E$62:L$62,((L$5-$E$5:L$5)&gt;=PISLag)*((L$5-$E$5:L$5)&lt;LQ_CapInt+PISLag))/LQ_CapInt</f>
        <v>0</v>
      </c>
      <c r="M63" s="124" t="n">
        <f aca="false">SUMPRODUCT($E$62:M$62,((M$5-$E$5:M$5)&gt;=PISLag)*((M$5-$E$5:M$5)&lt;LQ_CapInt+PISLag))/LQ_CapInt</f>
        <v>0</v>
      </c>
      <c r="N63" s="124" t="n">
        <f aca="false">SUMPRODUCT($E$62:N$62,((N$5-$E$5:N$5)&gt;=PISLag)*((N$5-$E$5:N$5)&lt;LQ_CapInt+PISLag))/LQ_CapInt</f>
        <v>0</v>
      </c>
      <c r="O63" s="124" t="n">
        <f aca="false">SUMPRODUCT($E$62:O$62,((O$5-$E$5:O$5)&gt;=PISLag)*((O$5-$E$5:O$5)&lt;LQ_CapInt+PISLag))/LQ_CapInt</f>
        <v>0.785</v>
      </c>
      <c r="P63" s="125" t="n">
        <f aca="false">SUMPRODUCT($E$62:P$62,((P$5-$E$5:P$5)&gt;=PISLag)*((P$5-$E$5:P$5)&lt;LQ_CapInt+PISLag))/LQ_CapInt</f>
        <v>2.795</v>
      </c>
      <c r="Q63" s="125" t="n">
        <f aca="false">SUMPRODUCT($E$62:Q$62,((Q$5-$E$5:Q$5)&gt;=PISLag)*((Q$5-$E$5:Q$5)&lt;LQ_CapInt+PISLag))/LQ_CapInt</f>
        <v>5.97896881442619</v>
      </c>
      <c r="R63" s="125" t="n">
        <f aca="false">SUMPRODUCT($E$62:R$62,((R$5-$E$5:R$5)&gt;=PISLag)*((R$5-$E$5:R$5)&lt;LQ_CapInt+PISLag))/LQ_CapInt</f>
        <v>9.16293762885238</v>
      </c>
      <c r="S63" s="125" t="n">
        <f aca="false">SUMPRODUCT($E$62:S$62,((S$5-$E$5:S$5)&gt;=PISLag)*((S$5-$E$5:S$5)&lt;LQ_CapInt+PISLag))/LQ_CapInt</f>
        <v>13.8878266797486</v>
      </c>
      <c r="T63" s="125" t="n">
        <f aca="false">SUMPRODUCT($E$62:T$62,((T$5-$E$5:T$5)&gt;=PISLag)*((T$5-$E$5:T$5)&lt;LQ_CapInt+PISLag))/LQ_CapInt</f>
        <v>18.6127157306449</v>
      </c>
      <c r="U63" s="125" t="n">
        <f aca="false">SUMPRODUCT($E$62:U$62,((U$5-$E$5:U$5)&gt;=PISLag)*((U$5-$E$5:U$5)&lt;LQ_CapInt+PISLag))/LQ_CapInt</f>
        <v>24.876884732517</v>
      </c>
      <c r="V63" s="125" t="n">
        <f aca="false">SUMPRODUCT($E$62:V$62,((V$5-$E$5:V$5)&gt;=PISLag)*((V$5-$E$5:V$5)&lt;LQ_CapInt+PISLag))/LQ_CapInt</f>
        <v>31.1410537343892</v>
      </c>
      <c r="W63" s="125" t="n">
        <f aca="false">SUMPRODUCT($E$62:W$62,((W$5-$E$5:W$5)&gt;=PISLag)*((W$5-$E$5:W$5)&lt;LQ_CapInt+PISLag))/LQ_CapInt</f>
        <v>37.4052227362613</v>
      </c>
      <c r="X63" s="125" t="n">
        <f aca="false">SUMPRODUCT($E$62:X$62,((X$5-$E$5:X$5)&gt;=PISLag)*((X$5-$E$5:X$5)&lt;LQ_CapInt+PISLag))/LQ_CapInt</f>
        <v>43.6693917381335</v>
      </c>
      <c r="Y63" s="125" t="n">
        <f aca="false">SUMPRODUCT($E$62:Y$62,((Y$5-$E$5:Y$5)&gt;=PISLag)*((Y$5-$E$5:Y$5)&lt;LQ_CapInt+PISLag))/LQ_CapInt</f>
        <v>49.9335607400056</v>
      </c>
      <c r="Z63" s="125" t="n">
        <f aca="false">SUMPRODUCT($E$62:Z$62,((Z$5-$E$5:Z$5)&gt;=PISLag)*((Z$5-$E$5:Z$5)&lt;LQ_CapInt+PISLag))/LQ_CapInt</f>
        <v>56.1977297418778</v>
      </c>
      <c r="AA63" s="125" t="n">
        <f aca="false">SUMPRODUCT($E$62:AA$62,((AA$5-$E$5:AA$5)&gt;=PISLag)*((AA$5-$E$5:AA$5)&lt;LQ_CapInt+PISLag))/LQ_CapInt</f>
        <v>62.4618987437499</v>
      </c>
      <c r="AB63" s="125" t="n">
        <f aca="false">SUMPRODUCT($E$62:AB$62,((AB$5-$E$5:AB$5)&gt;=PISLag)*((AB$5-$E$5:AB$5)&lt;LQ_CapInt+PISLag))/LQ_CapInt</f>
        <v>68.699940878826</v>
      </c>
      <c r="AC63" s="125" t="n">
        <f aca="false">SUMPRODUCT($E$62:AC$62,((AC$5-$E$5:AC$5)&gt;=PISLag)*((AC$5-$E$5:AC$5)&lt;LQ_CapInt+PISLag))/LQ_CapInt</f>
        <v>74.9379830139021</v>
      </c>
      <c r="AD63" s="125" t="n">
        <f aca="false">SUMPRODUCT($E$62:AD$62,((AD$5-$E$5:AD$5)&gt;=PISLag)*((AD$5-$E$5:AD$5)&lt;LQ_CapInt+PISLag))/LQ_CapInt</f>
        <v>81.1760251489782</v>
      </c>
      <c r="AE63" s="125" t="n">
        <f aca="false">SUMPRODUCT($E$62:AE$62,((AE$5-$E$5:AE$5)&gt;=PISLag)*((AE$5-$E$5:AE$5)&lt;LQ_CapInt+PISLag))/LQ_CapInt</f>
        <v>86.8699281809858</v>
      </c>
      <c r="AF63" s="125" t="n">
        <f aca="false">SUMPRODUCT($E$62:AF$62,((AF$5-$E$5:AF$5)&gt;=PISLag)*((AF$5-$E$5:AF$5)&lt;LQ_CapInt+PISLag))/LQ_CapInt</f>
        <v>92.5638312129935</v>
      </c>
      <c r="AG63" s="125" t="n">
        <f aca="false">SUMPRODUCT($E$62:AG$62,((AG$5-$E$5:AG$5)&gt;=PISLag)*((AG$5-$E$5:AG$5)&lt;LQ_CapInt+PISLag))/LQ_CapInt</f>
        <v>97.3587835698881</v>
      </c>
      <c r="AI63" s="125" t="n">
        <f aca="false">SUMIF($F$7:$AG$7,AI$7,$F63:$AG63)</f>
        <v>0</v>
      </c>
      <c r="AJ63" s="125" t="n">
        <f aca="false">SUMIF($F$7:$AG$7,AJ$7,$F63:$AG63)</f>
        <v>0</v>
      </c>
      <c r="AK63" s="125" t="n">
        <f aca="false">SUMIF($F$7:$AG$7,AK$7,$F63:$AG63)</f>
        <v>9.55896881442619</v>
      </c>
      <c r="AL63" s="125" t="n">
        <f aca="false">SUMIF($F$7:$AG$7,AL$7,$F63:$AG63)</f>
        <v>66.5403647717629</v>
      </c>
      <c r="AM63" s="125" t="n">
        <f aca="false">SUMIF($F$7:$AG$7,AM$7,$F63:$AG63)</f>
        <v>162.14922894879</v>
      </c>
      <c r="AN63" s="125" t="n">
        <f aca="false">SUMIF($F$7:$AG$7,AN$7,$F63:$AG63)</f>
        <v>262.297552378356</v>
      </c>
      <c r="AO63" s="125" t="n">
        <f aca="false">SUMIF($F$7:$AG$7,AO$7,$F63:$AG63)</f>
        <v>357.968568112846</v>
      </c>
    </row>
    <row r="64" customFormat="false" ht="15" hidden="false" customHeight="false" outlineLevel="0" collapsed="false">
      <c r="A64" s="107" t="s">
        <v>2216</v>
      </c>
      <c r="B64" s="22" t="s">
        <v>613</v>
      </c>
      <c r="C64" s="22" t="s">
        <v>540</v>
      </c>
      <c r="D64" s="22"/>
      <c r="F64" s="124" t="n">
        <f aca="false">SUMPRODUCT($E$33:F$33,((F$5-$E$5:F$5)&gt;=PISLag)*((F$5-$E$5:F$5)&lt;LQ_B+PISLag))/LQ_B</f>
        <v>0</v>
      </c>
      <c r="G64" s="124" t="n">
        <f aca="false">SUMPRODUCT($E$33:G$33,((G$5-$E$5:G$5)&gt;=PISLag)*((G$5-$E$5:G$5)&lt;LQ_B+PISLag))/LQ_B</f>
        <v>0</v>
      </c>
      <c r="H64" s="124" t="n">
        <f aca="false">SUMPRODUCT($E$33:H$33,((H$5-$E$5:H$5)&gt;=PISLag)*((H$5-$E$5:H$5)&lt;LQ_B+PISLag))/LQ_B</f>
        <v>0</v>
      </c>
      <c r="I64" s="124" t="n">
        <f aca="false">SUMPRODUCT($E$33:I$33,((I$5-$E$5:I$5)&gt;=PISLag)*((I$5-$E$5:I$5)&lt;LQ_B+PISLag))/LQ_B</f>
        <v>0</v>
      </c>
      <c r="J64" s="124" t="n">
        <f aca="false">SUMPRODUCT($E$33:J$33,((J$5-$E$5:J$5)&gt;=PISLag)*((J$5-$E$5:J$5)&lt;LQ_B+PISLag))/LQ_B</f>
        <v>0</v>
      </c>
      <c r="K64" s="124" t="n">
        <f aca="false">SUMPRODUCT($E$33:K$33,((K$5-$E$5:K$5)&gt;=PISLag)*((K$5-$E$5:K$5)&lt;LQ_B+PISLag))/LQ_B</f>
        <v>0</v>
      </c>
      <c r="L64" s="124" t="n">
        <f aca="false">SUMPRODUCT($E$33:L$33,((L$5-$E$5:L$5)&gt;=PISLag)*((L$5-$E$5:L$5)&lt;LQ_B+PISLag))/LQ_B</f>
        <v>0</v>
      </c>
      <c r="M64" s="124" t="n">
        <f aca="false">SUMPRODUCT($E$33:M$33,((M$5-$E$5:M$5)&gt;=PISLag)*((M$5-$E$5:M$5)&lt;LQ_B+PISLag))/LQ_B</f>
        <v>0</v>
      </c>
      <c r="N64" s="124" t="n">
        <f aca="false">SUMPRODUCT($E$33:N$33,((N$5-$E$5:N$5)&gt;=PISLag)*((N$5-$E$5:N$5)&lt;LQ_B+PISLag))/LQ_B</f>
        <v>0</v>
      </c>
      <c r="O64" s="124" t="n">
        <f aca="false">SUMPRODUCT($E$33:O$33,((O$5-$E$5:O$5)&gt;=PISLag)*((O$5-$E$5:O$5)&lt;LQ_B+PISLag))/LQ_B</f>
        <v>0</v>
      </c>
      <c r="P64" s="125" t="n">
        <f aca="false">SUMPRODUCT($E$33:P$33,((P$5-$E$5:P$5)&gt;=PISLag)*((P$5-$E$5:P$5)&lt;LQ_B+PISLag))/LQ_B</f>
        <v>0</v>
      </c>
      <c r="Q64" s="125" t="n">
        <f aca="false">SUMPRODUCT($E$33:Q$33,((Q$5-$E$5:Q$5)&gt;=PISLag)*((Q$5-$E$5:Q$5)&lt;LQ_B+PISLag))/LQ_B</f>
        <v>0</v>
      </c>
      <c r="R64" s="125" t="n">
        <f aca="false">SUMPRODUCT($E$33:R$33,((R$5-$E$5:R$5)&gt;=PISLag)*((R$5-$E$5:R$5)&lt;LQ_B+PISLag))/LQ_B</f>
        <v>0</v>
      </c>
      <c r="S64" s="125" t="n">
        <f aca="false">SUMPRODUCT($E$33:S$33,((S$5-$E$5:S$5)&gt;=PISLag)*((S$5-$E$5:S$5)&lt;LQ_B+PISLag))/LQ_B</f>
        <v>0</v>
      </c>
      <c r="T64" s="125" t="n">
        <f aca="false">SUMPRODUCT($E$33:T$33,((T$5-$E$5:T$5)&gt;=PISLag)*((T$5-$E$5:T$5)&lt;LQ_B+PISLag))/LQ_B</f>
        <v>0</v>
      </c>
      <c r="U64" s="125" t="n">
        <f aca="false">SUMPRODUCT($E$33:U$33,((U$5-$E$5:U$5)&gt;=PISLag)*((U$5-$E$5:U$5)&lt;LQ_B+PISLag))/LQ_B</f>
        <v>0</v>
      </c>
      <c r="V64" s="125" t="n">
        <f aca="false">SUMPRODUCT($E$33:V$33,((V$5-$E$5:V$5)&gt;=PISLag)*((V$5-$E$5:V$5)&lt;LQ_B+PISLag))/LQ_B</f>
        <v>0</v>
      </c>
      <c r="W64" s="125" t="n">
        <f aca="false">SUMPRODUCT($E$33:W$33,((W$5-$E$5:W$5)&gt;=PISLag)*((W$5-$E$5:W$5)&lt;LQ_B+PISLag))/LQ_B</f>
        <v>0</v>
      </c>
      <c r="X64" s="125" t="n">
        <f aca="false">SUMPRODUCT($E$33:X$33,((X$5-$E$5:X$5)&gt;=PISLag)*((X$5-$E$5:X$5)&lt;LQ_B+PISLag))/LQ_B</f>
        <v>0</v>
      </c>
      <c r="Y64" s="125" t="n">
        <f aca="false">SUMPRODUCT($E$33:Y$33,((Y$5-$E$5:Y$5)&gt;=PISLag)*((Y$5-$E$5:Y$5)&lt;LQ_B+PISLag))/LQ_B</f>
        <v>0</v>
      </c>
      <c r="Z64" s="125" t="n">
        <f aca="false">SUMPRODUCT($E$33:Z$33,((Z$5-$E$5:Z$5)&gt;=PISLag)*((Z$5-$E$5:Z$5)&lt;LQ_B+PISLag))/LQ_B</f>
        <v>0</v>
      </c>
      <c r="AA64" s="125" t="n">
        <f aca="false">SUMPRODUCT($E$33:AA$33,((AA$5-$E$5:AA$5)&gt;=PISLag)*((AA$5-$E$5:AA$5)&lt;LQ_B+PISLag))/LQ_B</f>
        <v>0</v>
      </c>
      <c r="AB64" s="125" t="n">
        <f aca="false">SUMPRODUCT($E$33:AB$33,((AB$5-$E$5:AB$5)&gt;=PISLag)*((AB$5-$E$5:AB$5)&lt;LQ_B+PISLag))/LQ_B</f>
        <v>0</v>
      </c>
      <c r="AC64" s="125" t="n">
        <f aca="false">SUMPRODUCT($E$33:AC$33,((AC$5-$E$5:AC$5)&gt;=PISLag)*((AC$5-$E$5:AC$5)&lt;LQ_B+PISLag))/LQ_B</f>
        <v>0</v>
      </c>
      <c r="AD64" s="125" t="n">
        <f aca="false">SUMPRODUCT($E$33:AD$33,((AD$5-$E$5:AD$5)&gt;=PISLag)*((AD$5-$E$5:AD$5)&lt;LQ_B+PISLag))/LQ_B</f>
        <v>0</v>
      </c>
      <c r="AE64" s="125" t="n">
        <f aca="false">SUMPRODUCT($E$33:AE$33,((AE$5-$E$5:AE$5)&gt;=PISLag)*((AE$5-$E$5:AE$5)&lt;LQ_B+PISLag))/LQ_B</f>
        <v>0</v>
      </c>
      <c r="AF64" s="125" t="n">
        <f aca="false">SUMPRODUCT($E$33:AF$33,((AF$5-$E$5:AF$5)&gt;=PISLag)*((AF$5-$E$5:AF$5)&lt;LQ_B+PISLag))/LQ_B</f>
        <v>0</v>
      </c>
      <c r="AG64" s="125" t="n">
        <f aca="false">SUMPRODUCT($E$33:AG$33,((AG$5-$E$5:AG$5)&gt;=PISLag)*((AG$5-$E$5:AG$5)&lt;LQ_B+PISLag))/LQ_B</f>
        <v>0</v>
      </c>
      <c r="AI64" s="125" t="n">
        <f aca="false">SUMIF($F$7:$AG$7,AI$7,$F64:$AG64)</f>
        <v>0</v>
      </c>
      <c r="AJ64" s="125" t="n">
        <f aca="false">SUMIF($F$7:$AG$7,AJ$7,$F64:$AG64)</f>
        <v>0</v>
      </c>
      <c r="AK64" s="125" t="n">
        <f aca="false">SUMIF($F$7:$AG$7,AK$7,$F64:$AG64)</f>
        <v>0</v>
      </c>
      <c r="AL64" s="125" t="n">
        <f aca="false">SUMIF($F$7:$AG$7,AL$7,$F64:$AG64)</f>
        <v>0</v>
      </c>
      <c r="AM64" s="125" t="n">
        <f aca="false">SUMIF($F$7:$AG$7,AM$7,$F64:$AG64)</f>
        <v>0</v>
      </c>
      <c r="AN64" s="125" t="n">
        <f aca="false">SUMIF($F$7:$AG$7,AN$7,$F64:$AG64)</f>
        <v>0</v>
      </c>
      <c r="AO64" s="125" t="n">
        <f aca="false">SUMIF($F$7:$AG$7,AO$7,$F64:$AG64)</f>
        <v>0</v>
      </c>
    </row>
    <row r="66" customFormat="false" ht="15" hidden="false" customHeight="false" outlineLevel="0" collapsed="false">
      <c r="A66" s="58" t="s">
        <v>2217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</row>
    <row r="67" customFormat="false" ht="15" hidden="false" customHeight="false" outlineLevel="0" collapsed="false">
      <c r="A67" s="107" t="s">
        <v>2218</v>
      </c>
      <c r="B67" s="22" t="s">
        <v>613</v>
      </c>
      <c r="C67" s="22" t="s">
        <v>540</v>
      </c>
      <c r="D67" s="22"/>
      <c r="F67" s="124" t="n">
        <f aca="false">F41+F46+F51</f>
        <v>7.12</v>
      </c>
      <c r="G67" s="124" t="n">
        <f aca="false">G41+G46+G51</f>
        <v>12.32</v>
      </c>
      <c r="H67" s="124" t="n">
        <f aca="false">H41+H46+H51</f>
        <v>17.52</v>
      </c>
      <c r="I67" s="124" t="n">
        <f aca="false">I41+I46+I51</f>
        <v>22.716</v>
      </c>
      <c r="J67" s="124" t="n">
        <f aca="false">J41+J46+J51</f>
        <v>39.42</v>
      </c>
      <c r="K67" s="124" t="n">
        <f aca="false">K41+K46+K51</f>
        <v>61.18</v>
      </c>
      <c r="L67" s="124" t="n">
        <f aca="false">L41+L46+L51</f>
        <v>81.604</v>
      </c>
      <c r="M67" s="124" t="n">
        <f aca="false">M41+M46+M51</f>
        <v>119.824</v>
      </c>
      <c r="N67" s="124" t="n">
        <f aca="false">N41+N46+N51</f>
        <v>202.064</v>
      </c>
      <c r="O67" s="124" t="n">
        <f aca="false">O41+O46+O51</f>
        <v>300.98</v>
      </c>
      <c r="P67" s="125" t="n">
        <f aca="false">P41+P46+P51</f>
        <v>527.276</v>
      </c>
      <c r="Q67" s="125" t="n">
        <f aca="false">Q41+Q46+Q51</f>
        <v>527.276</v>
      </c>
      <c r="R67" s="125" t="n">
        <f aca="false">R41+R46+R51</f>
        <v>679.95143</v>
      </c>
      <c r="S67" s="125" t="n">
        <f aca="false">S41+S46+S51</f>
        <v>955.551841625</v>
      </c>
      <c r="T67" s="125" t="n">
        <f aca="false">T41+T46+T51</f>
        <v>1282.865935</v>
      </c>
      <c r="U67" s="125" t="n">
        <f aca="false">U41+U46+U51</f>
        <v>1631.0314125</v>
      </c>
      <c r="V67" s="125" t="n">
        <f aca="false">V41+V46+V51</f>
        <v>2150.966005</v>
      </c>
      <c r="W67" s="125" t="n">
        <f aca="false">W41+W46+W51</f>
        <v>2334.2094125</v>
      </c>
      <c r="X67" s="125" t="n">
        <f aca="false">X41+X46+X51</f>
        <v>2641.89571</v>
      </c>
      <c r="Y67" s="125" t="n">
        <f aca="false">Y41+Y46+Y51</f>
        <v>2667.58321</v>
      </c>
      <c r="Z67" s="125" t="n">
        <f aca="false">Z41+Z46+Z51</f>
        <v>3281.9391625</v>
      </c>
      <c r="AA67" s="125" t="n">
        <f aca="false">AA41+AA46+AA51</f>
        <v>3276.7391625</v>
      </c>
      <c r="AB67" s="125" t="n">
        <f aca="false">AB41+AB46+AB51</f>
        <v>3895.2826325</v>
      </c>
      <c r="AC67" s="125" t="n">
        <f aca="false">AC41+AC46+AC51</f>
        <v>3890.0866325</v>
      </c>
      <c r="AD67" s="125" t="n">
        <f aca="false">AD41+AD46+AD51</f>
        <v>4766.7204075</v>
      </c>
      <c r="AE67" s="125" t="n">
        <f aca="false">AE41+AE46+AE51</f>
        <v>4744.9604075</v>
      </c>
      <c r="AF67" s="125" t="n">
        <f aca="false">AF41+AF46+AF51</f>
        <v>4724.5364075</v>
      </c>
      <c r="AG67" s="125" t="n">
        <f aca="false">AG41+AG46+AG51</f>
        <v>4686.3164075</v>
      </c>
      <c r="AI67" s="125" t="n">
        <f aca="false">SUMIF($F$7:$AG$7,AI$7,$F67:$AG67)</f>
        <v>59.676</v>
      </c>
      <c r="AJ67" s="125" t="n">
        <f aca="false">SUMIF($F$7:$AG$7,AJ$7,$F67:$AG67)</f>
        <v>302.028</v>
      </c>
      <c r="AK67" s="125" t="n">
        <f aca="false">SUMIF($F$7:$AG$7,AK$7,$F67:$AG67)</f>
        <v>1557.596</v>
      </c>
      <c r="AL67" s="125" t="n">
        <f aca="false">SUMIF($F$7:$AG$7,AL$7,$F67:$AG67)</f>
        <v>4549.400619125</v>
      </c>
      <c r="AM67" s="125" t="n">
        <f aca="false">SUMIF($F$7:$AG$7,AM$7,$F67:$AG67)</f>
        <v>9794.6543375</v>
      </c>
      <c r="AN67" s="125" t="n">
        <f aca="false">SUMIF($F$7:$AG$7,AN$7,$F67:$AG67)</f>
        <v>14344.04759</v>
      </c>
      <c r="AO67" s="125" t="n">
        <f aca="false">SUMIF($F$7:$AG$7,AO$7,$F67:$AG67)</f>
        <v>18922.53363</v>
      </c>
    </row>
    <row r="68" customFormat="false" ht="15" hidden="false" customHeight="false" outlineLevel="0" collapsed="false">
      <c r="A68" s="3" t="s">
        <v>2219</v>
      </c>
      <c r="B68" s="22" t="s">
        <v>613</v>
      </c>
      <c r="C68" s="22" t="s">
        <v>540</v>
      </c>
      <c r="D68" s="22"/>
      <c r="F68" s="126" t="n">
        <f aca="false">F67+F56+F57+F58+F61+F63+F64+F60+F59</f>
        <v>12.12</v>
      </c>
      <c r="G68" s="126" t="n">
        <f aca="false">G67+G56+G57+G58+G61+G63+G64+G60+G59</f>
        <v>17.84</v>
      </c>
      <c r="H68" s="126" t="n">
        <f aca="false">H67+H56+H57+H58+H61+H63+H64+H60+H59</f>
        <v>23.56</v>
      </c>
      <c r="I68" s="126" t="n">
        <f aca="false">I67+I56+I57+I58+I61+I63+I64+I60+I59</f>
        <v>29.2756</v>
      </c>
      <c r="J68" s="126" t="n">
        <f aca="false">J67+J56+J57+J58+J61+J63+J64+J60+J59</f>
        <v>47.65</v>
      </c>
      <c r="K68" s="126" t="n">
        <f aca="false">K67+K56+K57+K58+K61+K63+K64+K60+K59</f>
        <v>71.586</v>
      </c>
      <c r="L68" s="126" t="n">
        <f aca="false">L67+L56+L57+L58+L61+L63+L64+L60+L59</f>
        <v>94.0524</v>
      </c>
      <c r="M68" s="126" t="n">
        <f aca="false">M67+M56+M57+M58+M61+M63+M64+M60+M59</f>
        <v>136.0944</v>
      </c>
      <c r="N68" s="126" t="n">
        <f aca="false">N67+N56+N57+N58+N61+N63+N64+N60+N59</f>
        <v>226.5584</v>
      </c>
      <c r="O68" s="126" t="n">
        <f aca="false">O67+O56+O57+O58+O61+O63+O64+O60+O59</f>
        <v>336.151</v>
      </c>
      <c r="P68" s="99" t="n">
        <f aca="false">P67+P56+P57+P58+P61+P63+P64+P60+P59</f>
        <v>587.0866</v>
      </c>
      <c r="Q68" s="99" t="n">
        <f aca="false">Q67+Q56+Q57+Q58+Q61+Q63+Q64+Q60+Q59</f>
        <v>590.945255222107</v>
      </c>
      <c r="R68" s="99" t="n">
        <f aca="false">R67+R56+R57+R58+R61+R63+R64+R60+R59</f>
        <v>755.785662639179</v>
      </c>
      <c r="S68" s="99" t="n">
        <f aca="false">S67+S56+S57+S58+S61+S63+S64+S60+S59</f>
        <v>1049.69095932479</v>
      </c>
      <c r="T68" s="99" t="n">
        <f aca="false">T67+T56+T57+T58+T61+T63+T64+T60+T59</f>
        <v>1406.48673571427</v>
      </c>
      <c r="U68" s="99" t="n">
        <f aca="false">U67+U56+U57+U58+U61+U63+U64+U60+U59</f>
        <v>1808.24480196442</v>
      </c>
      <c r="V68" s="99" t="n">
        <f aca="false">V67+V56+V57+V58+V61+V63+V64+V60+V59</f>
        <v>2358.71392748246</v>
      </c>
      <c r="W68" s="99" t="n">
        <f aca="false">W67+W56+W57+W58+W61+W63+W64+W60+W59</f>
        <v>2592.97427721435</v>
      </c>
      <c r="X68" s="99" t="n">
        <f aca="false">X67+X56+X57+X58+X61+X63+X64+X60+X59</f>
        <v>2912.28343261972</v>
      </c>
      <c r="Y68" s="99" t="n">
        <f aca="false">Y67+Y56+Y57+Y58+Y61+Y63+Y64+Y60+Y59</f>
        <v>3022.62981649694</v>
      </c>
      <c r="Z68" s="99" t="n">
        <f aca="false">Z67+Z56+Z57+Z58+Z61+Z63+Z64+Z60+Z59</f>
        <v>3656.24067743945</v>
      </c>
      <c r="AA68" s="99" t="n">
        <f aca="false">AA67+AA56+AA57+AA58+AA61+AA63+AA64+AA60+AA59</f>
        <v>3751.79784311185</v>
      </c>
      <c r="AB68" s="99" t="n">
        <f aca="false">AB67+AB56+AB57+AB58+AB61+AB63+AB64+AB60+AB59</f>
        <v>4389.21899453037</v>
      </c>
      <c r="AC68" s="99" t="n">
        <f aca="false">AC67+AC56+AC57+AC58+AC61+AC63+AC64+AC60+AC59</f>
        <v>4522.02964247003</v>
      </c>
      <c r="AD68" s="99" t="n">
        <f aca="false">AD67+AD56+AD57+AD58+AD61+AD63+AD64+AD60+AD59</f>
        <v>5430.62474434934</v>
      </c>
      <c r="AE68" s="99" t="n">
        <f aca="false">AE67+AE56+AE57+AE58+AE61+AE63+AE64+AE60+AE59</f>
        <v>5446.410297276</v>
      </c>
      <c r="AF68" s="99" t="n">
        <f aca="false">AF67+AF56+AF57+AF58+AF61+AF63+AF64+AF60+AF59</f>
        <v>5463.29447956466</v>
      </c>
      <c r="AG68" s="99" t="n">
        <f aca="false">AG67+AG56+AG57+AG58+AG61+AG63+AG64+AG60+AG59</f>
        <v>5479.24553776567</v>
      </c>
      <c r="AI68" s="99" t="n">
        <f aca="false">SUMIF($F$7:$AG$7,AI$7,$F68:$AG68)</f>
        <v>82.7956</v>
      </c>
      <c r="AJ68" s="99" t="n">
        <f aca="false">SUMIF($F$7:$AG$7,AJ$7,$F68:$AG68)</f>
        <v>349.3828</v>
      </c>
      <c r="AK68" s="99" t="n">
        <f aca="false">SUMIF($F$7:$AG$7,AK$7,$F68:$AG68)</f>
        <v>1740.74125522211</v>
      </c>
      <c r="AL68" s="99" t="n">
        <f aca="false">SUMIF($F$7:$AG$7,AL$7,$F68:$AG68)</f>
        <v>5020.20815964266</v>
      </c>
      <c r="AM68" s="99" t="n">
        <f aca="false">SUMIF($F$7:$AG$7,AM$7,$F68:$AG68)</f>
        <v>10886.6014538135</v>
      </c>
      <c r="AN68" s="99" t="n">
        <f aca="false">SUMIF($F$7:$AG$7,AN$7,$F68:$AG68)</f>
        <v>16319.2871575517</v>
      </c>
      <c r="AO68" s="99" t="n">
        <f aca="false">SUMIF($F$7:$AG$7,AO$7,$F68:$AG68)</f>
        <v>21819.5750589557</v>
      </c>
    </row>
    <row r="69" customFormat="false" ht="15" hidden="false" customHeight="false" outlineLevel="0" collapsed="false">
      <c r="A69" s="3" t="s">
        <v>2220</v>
      </c>
      <c r="B69" s="22" t="s">
        <v>613</v>
      </c>
      <c r="C69" s="22" t="s">
        <v>540</v>
      </c>
      <c r="D69" s="22"/>
      <c r="F69" s="126" t="n">
        <f aca="false">IF(F$5&lt;=LastHist,INDEX(H_DA,1,F$5),F68)</f>
        <v>8.9</v>
      </c>
      <c r="G69" s="126" t="n">
        <f aca="false">IF(G$5&lt;=LastHist,INDEX(H_DA,1,G$5),G68)</f>
        <v>11.4</v>
      </c>
      <c r="H69" s="126" t="n">
        <f aca="false">IF(H$5&lt;=LastHist,INDEX(H_DA,1,H$5),H68)</f>
        <v>23.5</v>
      </c>
      <c r="I69" s="126" t="n">
        <f aca="false">IF(I$5&lt;=LastHist,INDEX(H_DA,1,I$5),I68)</f>
        <v>33.3</v>
      </c>
      <c r="J69" s="126" t="n">
        <f aca="false">IF(J$5&lt;=LastHist,INDEX(H_DA,1,J$5),J68)</f>
        <v>49.1</v>
      </c>
      <c r="K69" s="126" t="n">
        <f aca="false">IF(K$5&lt;=LastHist,INDEX(H_DA,1,K$5),K68)</f>
        <v>75.2</v>
      </c>
      <c r="L69" s="126" t="n">
        <f aca="false">IF(L$5&lt;=LastHist,INDEX(H_DA,1,L$5),L68)</f>
        <v>99</v>
      </c>
      <c r="M69" s="126" t="n">
        <f aca="false">IF(M$5&lt;=LastHist,INDEX(H_DA,1,M$5),M68)</f>
        <v>180.7</v>
      </c>
      <c r="N69" s="126" t="n">
        <f aca="false">IF(N$5&lt;=LastHist,INDEX(H_DA,1,N$5),N68)</f>
        <v>212</v>
      </c>
      <c r="O69" s="126" t="n">
        <f aca="false">IF(O$5&lt;=LastHist,INDEX(H_DA,1,O$5),O68)</f>
        <v>259.7</v>
      </c>
      <c r="P69" s="99" t="n">
        <f aca="false">IF(P$5&lt;=LastHist,INDEX(H_DA,1,P$5),P68)</f>
        <v>587.0866</v>
      </c>
      <c r="Q69" s="99" t="n">
        <f aca="false">IF(Q$5&lt;=LastHist,INDEX(H_DA,1,Q$5),Q68)</f>
        <v>590.945255222107</v>
      </c>
      <c r="R69" s="99" t="n">
        <f aca="false">IF(R$5&lt;=LastHist,INDEX(H_DA,1,R$5),R68)</f>
        <v>755.785662639179</v>
      </c>
      <c r="S69" s="99" t="n">
        <f aca="false">IF(S$5&lt;=LastHist,INDEX(H_DA,1,S$5),S68)</f>
        <v>1049.69095932479</v>
      </c>
      <c r="T69" s="99" t="n">
        <f aca="false">IF(T$5&lt;=LastHist,INDEX(H_DA,1,T$5),T68)</f>
        <v>1406.48673571427</v>
      </c>
      <c r="U69" s="99" t="n">
        <f aca="false">IF(U$5&lt;=LastHist,INDEX(H_DA,1,U$5),U68)</f>
        <v>1808.24480196442</v>
      </c>
      <c r="V69" s="99" t="n">
        <f aca="false">IF(V$5&lt;=LastHist,INDEX(H_DA,1,V$5),V68)</f>
        <v>2358.71392748246</v>
      </c>
      <c r="W69" s="99" t="n">
        <f aca="false">IF(W$5&lt;=LastHist,INDEX(H_DA,1,W$5),W68)</f>
        <v>2592.97427721435</v>
      </c>
      <c r="X69" s="99" t="n">
        <f aca="false">IF(X$5&lt;=LastHist,INDEX(H_DA,1,X$5),X68)</f>
        <v>2912.28343261972</v>
      </c>
      <c r="Y69" s="99" t="n">
        <f aca="false">IF(Y$5&lt;=LastHist,INDEX(H_DA,1,Y$5),Y68)</f>
        <v>3022.62981649694</v>
      </c>
      <c r="Z69" s="99" t="n">
        <f aca="false">IF(Z$5&lt;=LastHist,INDEX(H_DA,1,Z$5),Z68)</f>
        <v>3656.24067743945</v>
      </c>
      <c r="AA69" s="99" t="n">
        <f aca="false">IF(AA$5&lt;=LastHist,INDEX(H_DA,1,AA$5),AA68)</f>
        <v>3751.79784311185</v>
      </c>
      <c r="AB69" s="99" t="n">
        <f aca="false">IF(AB$5&lt;=LastHist,INDEX(H_DA,1,AB$5),AB68)</f>
        <v>4389.21899453037</v>
      </c>
      <c r="AC69" s="99" t="n">
        <f aca="false">IF(AC$5&lt;=LastHist,INDEX(H_DA,1,AC$5),AC68)</f>
        <v>4522.02964247003</v>
      </c>
      <c r="AD69" s="99" t="n">
        <f aca="false">IF(AD$5&lt;=LastHist,INDEX(H_DA,1,AD$5),AD68)</f>
        <v>5430.62474434934</v>
      </c>
      <c r="AE69" s="99" t="n">
        <f aca="false">IF(AE$5&lt;=LastHist,INDEX(H_DA,1,AE$5),AE68)</f>
        <v>5446.410297276</v>
      </c>
      <c r="AF69" s="99" t="n">
        <f aca="false">IF(AF$5&lt;=LastHist,INDEX(H_DA,1,AF$5),AF68)</f>
        <v>5463.29447956466</v>
      </c>
      <c r="AG69" s="99" t="n">
        <f aca="false">IF(AG$5&lt;=LastHist,INDEX(H_DA,1,AG$5),AG68)</f>
        <v>5479.24553776567</v>
      </c>
      <c r="AI69" s="99" t="n">
        <f aca="false">SUMIF($F$7:$AG$7,AI$7,$F69:$AG69)</f>
        <v>77.1</v>
      </c>
      <c r="AJ69" s="99" t="n">
        <f aca="false">SUMIF($F$7:$AG$7,AJ$7,$F69:$AG69)</f>
        <v>404</v>
      </c>
      <c r="AK69" s="99" t="n">
        <f aca="false">SUMIF($F$7:$AG$7,AK$7,$F69:$AG69)</f>
        <v>1649.73185522211</v>
      </c>
      <c r="AL69" s="99" t="n">
        <f aca="false">SUMIF($F$7:$AG$7,AL$7,$F69:$AG69)</f>
        <v>5020.20815964266</v>
      </c>
      <c r="AM69" s="99" t="n">
        <f aca="false">SUMIF($F$7:$AG$7,AM$7,$F69:$AG69)</f>
        <v>10886.6014538135</v>
      </c>
      <c r="AN69" s="99" t="n">
        <f aca="false">SUMIF($F$7:$AG$7,AN$7,$F69:$AG69)</f>
        <v>16319.2871575517</v>
      </c>
      <c r="AO69" s="99" t="n">
        <f aca="false">SUMIF($F$7:$AG$7,AO$7,$F69:$AG69)</f>
        <v>21819.5750589557</v>
      </c>
    </row>
    <row r="70" customFormat="false" ht="15" hidden="false" customHeight="false" outlineLevel="0" collapsed="false">
      <c r="A70" s="107" t="s">
        <v>2221</v>
      </c>
      <c r="B70" s="22" t="s">
        <v>619</v>
      </c>
      <c r="C70" s="22" t="s">
        <v>540</v>
      </c>
      <c r="D70" s="22"/>
      <c r="F70" s="129" t="n">
        <f aca="false">IF(F$5&lt;=LastHist,F68/INDEX(H_DA,1,F$5)-1,"")</f>
        <v>0.361797752808989</v>
      </c>
      <c r="G70" s="129" t="n">
        <f aca="false">IF(G$5&lt;=LastHist,G68/INDEX(H_DA,1,G$5)-1,"")</f>
        <v>0.564912280701755</v>
      </c>
      <c r="H70" s="129" t="n">
        <f aca="false">IF(H$5&lt;=LastHist,H68/INDEX(H_DA,1,H$5)-1,"")</f>
        <v>0.00255319148936173</v>
      </c>
      <c r="I70" s="129" t="n">
        <f aca="false">IF(I$5&lt;=LastHist,I68/INDEX(H_DA,1,I$5)-1,"")</f>
        <v>-0.120852852852853</v>
      </c>
      <c r="J70" s="129" t="n">
        <f aca="false">IF(J$5&lt;=LastHist,J68/INDEX(H_DA,1,J$5)-1,"")</f>
        <v>-0.029531568228106</v>
      </c>
      <c r="K70" s="129" t="n">
        <f aca="false">IF(K$5&lt;=LastHist,K68/INDEX(H_DA,1,K$5)-1,"")</f>
        <v>-0.0480585106382979</v>
      </c>
      <c r="L70" s="129" t="n">
        <f aca="false">IF(L$5&lt;=LastHist,L68/INDEX(H_DA,1,L$5)-1,"")</f>
        <v>-0.0499757575757576</v>
      </c>
      <c r="M70" s="129" t="n">
        <f aca="false">IF(M$5&lt;=LastHist,M68/INDEX(H_DA,1,M$5)-1,"")</f>
        <v>-0.246848920863309</v>
      </c>
      <c r="N70" s="129" t="n">
        <f aca="false">IF(N$5&lt;=LastHist,N68/INDEX(H_DA,1,N$5)-1,"")</f>
        <v>0.0686716981132076</v>
      </c>
      <c r="O70" s="129" t="n">
        <f aca="false">IF(O$5&lt;=LastHist,O68/INDEX(H_DA,1,O$5)-1,"")</f>
        <v>0.294381979206777</v>
      </c>
      <c r="P70" s="130" t="str">
        <f aca="false">IF(P$5&lt;=LastHist,P68/INDEX(H_DA,1,P$5)-1,"")</f>
        <v/>
      </c>
      <c r="Q70" s="130" t="str">
        <f aca="false">IF(Q$5&lt;=LastHist,Q68/INDEX(H_DA,1,Q$5)-1,"")</f>
        <v/>
      </c>
      <c r="R70" s="130" t="str">
        <f aca="false">IF(R$5&lt;=LastHist,R68/INDEX(H_DA,1,R$5)-1,"")</f>
        <v/>
      </c>
      <c r="S70" s="130" t="str">
        <f aca="false">IF(S$5&lt;=LastHist,S68/INDEX(H_DA,1,S$5)-1,"")</f>
        <v/>
      </c>
      <c r="T70" s="130" t="str">
        <f aca="false">IF(T$5&lt;=LastHist,T68/INDEX(H_DA,1,T$5)-1,"")</f>
        <v/>
      </c>
      <c r="U70" s="130" t="str">
        <f aca="false">IF(U$5&lt;=LastHist,U68/INDEX(H_DA,1,U$5)-1,"")</f>
        <v/>
      </c>
      <c r="V70" s="130" t="str">
        <f aca="false">IF(V$5&lt;=LastHist,V68/INDEX(H_DA,1,V$5)-1,"")</f>
        <v/>
      </c>
      <c r="W70" s="130" t="str">
        <f aca="false">IF(W$5&lt;=LastHist,W68/INDEX(H_DA,1,W$5)-1,"")</f>
        <v/>
      </c>
      <c r="X70" s="130" t="str">
        <f aca="false">IF(X$5&lt;=LastHist,X68/INDEX(H_DA,1,X$5)-1,"")</f>
        <v/>
      </c>
      <c r="Y70" s="130" t="str">
        <f aca="false">IF(Y$5&lt;=LastHist,Y68/INDEX(H_DA,1,Y$5)-1,"")</f>
        <v/>
      </c>
      <c r="Z70" s="130" t="str">
        <f aca="false">IF(Z$5&lt;=LastHist,Z68/INDEX(H_DA,1,Z$5)-1,"")</f>
        <v/>
      </c>
      <c r="AA70" s="130" t="str">
        <f aca="false">IF(AA$5&lt;=LastHist,AA68/INDEX(H_DA,1,AA$5)-1,"")</f>
        <v/>
      </c>
      <c r="AB70" s="130" t="str">
        <f aca="false">IF(AB$5&lt;=LastHist,AB68/INDEX(H_DA,1,AB$5)-1,"")</f>
        <v/>
      </c>
      <c r="AC70" s="130" t="str">
        <f aca="false">IF(AC$5&lt;=LastHist,AC68/INDEX(H_DA,1,AC$5)-1,"")</f>
        <v/>
      </c>
      <c r="AD70" s="130" t="str">
        <f aca="false">IF(AD$5&lt;=LastHist,AD68/INDEX(H_DA,1,AD$5)-1,"")</f>
        <v/>
      </c>
      <c r="AE70" s="130" t="str">
        <f aca="false">IF(AE$5&lt;=LastHist,AE68/INDEX(H_DA,1,AE$5)-1,"")</f>
        <v/>
      </c>
      <c r="AF70" s="130" t="str">
        <f aca="false">IF(AF$5&lt;=LastHist,AF68/INDEX(H_DA,1,AF$5)-1,"")</f>
        <v/>
      </c>
      <c r="AG70" s="130" t="str">
        <f aca="false">IF(AG$5&lt;=LastHist,AG68/INDEX(H_DA,1,AG$5)-1,"")</f>
        <v/>
      </c>
    </row>
    <row r="71" customFormat="false" ht="15" hidden="false" customHeight="false" outlineLevel="0" collapsed="false">
      <c r="A71" s="107" t="s">
        <v>2222</v>
      </c>
      <c r="B71" s="22" t="s">
        <v>613</v>
      </c>
      <c r="C71" s="22" t="s">
        <v>551</v>
      </c>
      <c r="D71" s="22"/>
      <c r="F71" s="124" t="n">
        <f aca="false">IF(F$5&lt;=LastHist,0,F42+F47+F52)</f>
        <v>0</v>
      </c>
      <c r="G71" s="124" t="n">
        <f aca="false">IF(G$5&lt;=LastHist,0,G42+G47+G52)</f>
        <v>0</v>
      </c>
      <c r="H71" s="124" t="n">
        <f aca="false">IF(H$5&lt;=LastHist,0,H42+H47+H52)</f>
        <v>0</v>
      </c>
      <c r="I71" s="124" t="n">
        <f aca="false">IF(I$5&lt;=LastHist,0,I42+I47+I52)</f>
        <v>0</v>
      </c>
      <c r="J71" s="124" t="n">
        <f aca="false">IF(J$5&lt;=LastHist,0,J42+J47+J52)</f>
        <v>0</v>
      </c>
      <c r="K71" s="124" t="n">
        <f aca="false">IF(K$5&lt;=LastHist,0,K42+K47+K52)</f>
        <v>0</v>
      </c>
      <c r="L71" s="124" t="n">
        <f aca="false">IF(L$5&lt;=LastHist,0,L42+L47+L52)</f>
        <v>0</v>
      </c>
      <c r="M71" s="124" t="n">
        <f aca="false">IF(M$5&lt;=LastHist,0,M42+M47+M52)</f>
        <v>0</v>
      </c>
      <c r="N71" s="124" t="n">
        <f aca="false">IF(N$5&lt;=LastHist,0,N42+N47+N52)</f>
        <v>0</v>
      </c>
      <c r="O71" s="124" t="n">
        <f aca="false">IF(O$5&lt;=LastHist,0,O42+O47+O52)</f>
        <v>0</v>
      </c>
      <c r="P71" s="125" t="n">
        <f aca="false">IF(P$5&lt;=LastHist,0,P42+P47+P52)</f>
        <v>0</v>
      </c>
      <c r="Q71" s="125" t="n">
        <f aca="false">IF(Q$5&lt;=LastHist,0,Q42+Q47+Q52)</f>
        <v>0</v>
      </c>
      <c r="R71" s="125" t="n">
        <f aca="false">IF(R$5&lt;=LastHist,0,R42+R47+R52)</f>
        <v>0</v>
      </c>
      <c r="S71" s="125" t="n">
        <f aca="false">IF(S$5&lt;=LastHist,0,S42+S47+S52)</f>
        <v>0</v>
      </c>
      <c r="T71" s="125" t="n">
        <f aca="false">IF(T$5&lt;=LastHist,0,T42+T47+T52)</f>
        <v>0</v>
      </c>
      <c r="U71" s="125" t="n">
        <f aca="false">IF(U$5&lt;=LastHist,0,U42+U47+U52)</f>
        <v>0</v>
      </c>
      <c r="V71" s="125" t="n">
        <f aca="false">IF(V$5&lt;=LastHist,0,V42+V47+V52)</f>
        <v>0</v>
      </c>
      <c r="W71" s="125" t="n">
        <f aca="false">IF(W$5&lt;=LastHist,0,W42+W47+W52)</f>
        <v>0</v>
      </c>
      <c r="X71" s="125" t="n">
        <f aca="false">IF(X$5&lt;=LastHist,0,X42+X47+X52)</f>
        <v>0</v>
      </c>
      <c r="Y71" s="125" t="n">
        <f aca="false">IF(Y$5&lt;=LastHist,0,Y42+Y47+Y52)</f>
        <v>0</v>
      </c>
      <c r="Z71" s="125" t="n">
        <f aca="false">IF(Z$5&lt;=LastHist,0,Z42+Z47+Z52)</f>
        <v>0</v>
      </c>
      <c r="AA71" s="125" t="n">
        <f aca="false">IF(AA$5&lt;=LastHist,0,AA42+AA47+AA52)</f>
        <v>0</v>
      </c>
      <c r="AB71" s="125" t="n">
        <f aca="false">IF(AB$5&lt;=LastHist,0,AB42+AB47+AB52)</f>
        <v>0</v>
      </c>
      <c r="AC71" s="125" t="n">
        <f aca="false">IF(AC$5&lt;=LastHist,0,AC42+AC47+AC52)</f>
        <v>0</v>
      </c>
      <c r="AD71" s="125" t="n">
        <f aca="false">IF(AD$5&lt;=LastHist,0,AD42+AD47+AD52)</f>
        <v>0</v>
      </c>
      <c r="AE71" s="125" t="n">
        <f aca="false">IF(AE$5&lt;=LastHist,0,AE42+AE47+AE52)</f>
        <v>0</v>
      </c>
      <c r="AF71" s="125" t="n">
        <f aca="false">IF(AF$5&lt;=LastHist,0,AF42+AF47+AF52)</f>
        <v>0</v>
      </c>
      <c r="AG71" s="125" t="n">
        <f aca="false">IF(AG$5&lt;=LastHist,0,AG42+AG47+AG52)</f>
        <v>0</v>
      </c>
      <c r="AI71" s="125" t="n">
        <f aca="false">SUMIF($F$7:$AG$7,AI$7,$F71:$AG71)</f>
        <v>0</v>
      </c>
      <c r="AJ71" s="125" t="n">
        <f aca="false">SUMIF($F$7:$AG$7,AJ$7,$F71:$AG71)</f>
        <v>0</v>
      </c>
      <c r="AK71" s="125" t="n">
        <f aca="false">SUMIF($F$7:$AG$7,AK$7,$F71:$AG71)</f>
        <v>0</v>
      </c>
      <c r="AL71" s="125" t="n">
        <f aca="false">SUMIF($F$7:$AG$7,AL$7,$F71:$AG71)</f>
        <v>0</v>
      </c>
      <c r="AM71" s="125" t="n">
        <f aca="false">SUMIF($F$7:$AG$7,AM$7,$F71:$AG71)</f>
        <v>0</v>
      </c>
      <c r="AN71" s="125" t="n">
        <f aca="false">SUMIF($F$7:$AG$7,AN$7,$F71:$AG71)</f>
        <v>0</v>
      </c>
      <c r="AO71" s="125" t="n">
        <f aca="false">SUMIF($F$7:$AG$7,AO$7,$F71:$AG71)</f>
        <v>0</v>
      </c>
    </row>
    <row r="72" customFormat="false" ht="15" hidden="false" customHeight="false" outlineLevel="0" collapsed="false">
      <c r="A72" s="107" t="s">
        <v>2223</v>
      </c>
      <c r="B72" s="22" t="s">
        <v>613</v>
      </c>
      <c r="C72" s="22" t="s">
        <v>540</v>
      </c>
      <c r="D72" s="22"/>
      <c r="E72" s="125" t="n">
        <f aca="false">E43</f>
        <v>142.4</v>
      </c>
      <c r="F72" s="124" t="n">
        <f aca="false">F43+F48+F53+SUM($F26:F26)-SUM($F56:F56)+SUM($F27:F27)-SUM($F57:F57)+SUM($F28:F28)-SUM($F58:F58)+SUM($F30:F30)-SUM($F60:F60)</f>
        <v>265.28</v>
      </c>
      <c r="G72" s="124" t="n">
        <f aca="false">G43+G48+G53+SUM($F26:G26)-SUM($F56:G56)+SUM($F27:G27)-SUM($F57:G57)+SUM($F28:G28)-SUM($F58:G58)+SUM($F30:G30)-SUM($F60:G60)</f>
        <v>382.44</v>
      </c>
      <c r="H72" s="124" t="n">
        <f aca="false">H43+H48+H53+SUM($F26:H26)-SUM($F56:H56)+SUM($F27:H27)-SUM($F57:H57)+SUM($F28:H28)-SUM($F58:H58)+SUM($F30:H30)-SUM($F60:H60)</f>
        <v>493.78</v>
      </c>
      <c r="I72" s="124" t="n">
        <f aca="false">I43+I48+I53+SUM($F26:I26)-SUM($F56:I56)+SUM($F27:I27)-SUM($F57:I57)+SUM($F28:I28)-SUM($F58:I58)+SUM($F30:I30)-SUM($F60:I60)</f>
        <v>887.1044</v>
      </c>
      <c r="J72" s="124" t="n">
        <f aca="false">J43+J48+J53+SUM($F26:J26)-SUM($F56:J56)+SUM($F27:J27)-SUM($F57:J57)+SUM($F28:J28)-SUM($F58:J58)+SUM($F30:J30)-SUM($F60:J60)</f>
        <v>1388.4544</v>
      </c>
      <c r="K72" s="124" t="n">
        <f aca="false">K43+K48+K53+SUM($F26:K26)-SUM($F56:K56)+SUM($F27:K27)-SUM($F57:K57)+SUM($F28:K28)-SUM($F58:K58)+SUM($F30:K30)-SUM($F60:K60)</f>
        <v>1832.4684</v>
      </c>
      <c r="L72" s="124" t="n">
        <f aca="false">L43+L48+L53+SUM($F26:L26)-SUM($F56:L56)+SUM($F27:L27)-SUM($F57:L57)+SUM($F28:L28)-SUM($F58:L58)+SUM($F30:L30)-SUM($F60:L60)</f>
        <v>2698.916</v>
      </c>
      <c r="M72" s="124" t="n">
        <f aca="false">M43+M48+M53+SUM($F26:M26)-SUM($F56:M56)+SUM($F27:M27)-SUM($F57:M57)+SUM($F28:M28)-SUM($F58:M58)+SUM($F30:M30)-SUM($F60:M60)</f>
        <v>4623.8216</v>
      </c>
      <c r="N72" s="124" t="n">
        <f aca="false">N43+N48+N53+SUM($F26:N26)-SUM($F56:N56)+SUM($F27:N27)-SUM($F57:N57)+SUM($F28:N28)-SUM($F58:N58)+SUM($F30:N30)-SUM($F60:N60)</f>
        <v>6875.1632</v>
      </c>
      <c r="O72" s="124" t="n">
        <f aca="false">O43+O48+O53+SUM($F26:O26)-SUM($F56:O56)+SUM($F27:O27)-SUM($F57:O57)+SUM($F28:O28)-SUM($F58:O58)+SUM($F30:O30)-SUM($F60:O60)</f>
        <v>12202.1972</v>
      </c>
      <c r="P72" s="125" t="n">
        <f aca="false">P43+P48+P53+SUM($F26:P26)-SUM($F56:P56)+SUM($F27:P27)-SUM($F57:P57)+SUM($F28:P28)-SUM($F58:P58)+SUM($F30:P30)-SUM($F60:P60)</f>
        <v>14805.6423031536</v>
      </c>
      <c r="Q72" s="125" t="n">
        <f aca="false">Q43+Q48+Q53+SUM($F26:Q26)-SUM($F56:Q56)+SUM($F27:Q27)-SUM($F57:Q57)+SUM($F28:Q28)-SUM($F58:Q58)+SUM($F30:Q30)-SUM($F60:Q60)</f>
        <v>20059.8254869238</v>
      </c>
      <c r="R72" s="125" t="n">
        <f aca="false">R43+R48+R53+SUM($F26:R26)-SUM($F56:R56)+SUM($F27:R27)-SUM($F57:R57)+SUM($F28:R28)-SUM($F58:R58)+SUM($F30:R30)-SUM($F60:R60)</f>
        <v>26775.3813852328</v>
      </c>
      <c r="S72" s="125" t="n">
        <f aca="false">S43+S48+S53+SUM($F26:S26)-SUM($F56:S56)+SUM($F27:S27)-SUM($F57:S57)+SUM($F28:S28)-SUM($F58:S58)+SUM($F30:S30)-SUM($F60:S60)</f>
        <v>34657.1224226095</v>
      </c>
      <c r="T72" s="125" t="n">
        <f aca="false">T43+T48+T53+SUM($F26:T26)-SUM($F56:T56)+SUM($F27:T27)-SUM($F57:T57)+SUM($F28:T28)-SUM($F58:T58)+SUM($F30:T30)-SUM($F60:T60)</f>
        <v>44713.7499758414</v>
      </c>
      <c r="U72" s="125" t="n">
        <f aca="false">U43+U48+U53+SUM($F26:U26)-SUM($F56:U56)+SUM($F27:U27)-SUM($F57:U57)+SUM($F28:U28)-SUM($F58:U58)+SUM($F30:U30)-SUM($F60:U60)</f>
        <v>48597.3583721829</v>
      </c>
      <c r="V72" s="125" t="n">
        <f aca="false">V43+V48+V53+SUM($F26:V26)-SUM($F56:V56)+SUM($F27:V27)-SUM($F57:V57)+SUM($F28:V28)-SUM($F58:V58)+SUM($F30:V30)-SUM($F60:V60)</f>
        <v>52529.7346712852</v>
      </c>
      <c r="W72" s="125" t="n">
        <f aca="false">W43+W48+W53+SUM($F26:W26)-SUM($F56:W56)+SUM($F27:W27)-SUM($F57:W57)+SUM($F28:W28)-SUM($F58:W58)+SUM($F30:W30)-SUM($F60:W60)</f>
        <v>53956.804496877</v>
      </c>
      <c r="X72" s="125" t="n">
        <f aca="false">X43+X48+X53+SUM($F26:X26)-SUM($F56:X56)+SUM($F27:X27)-SUM($F57:X57)+SUM($F28:X28)-SUM($F58:X58)+SUM($F30:X30)-SUM($F60:X60)</f>
        <v>63653.8537117524</v>
      </c>
      <c r="Y72" s="125" t="n">
        <f aca="false">Y43+Y48+Y53+SUM($F26:Y26)-SUM($F56:Y56)+SUM($F27:Y27)-SUM($F57:Y57)+SUM($F28:Y28)-SUM($F58:Y58)+SUM($F30:Y30)-SUM($F60:Y60)</f>
        <v>64858.4146768081</v>
      </c>
      <c r="Z72" s="125" t="n">
        <f aca="false">Z43+Z48+Z53+SUM($F26:Z26)-SUM($F56:Z56)+SUM($F27:Z27)-SUM($F57:Z57)+SUM($F28:Z28)-SUM($F58:Z58)+SUM($F30:Z30)-SUM($F60:Z60)</f>
        <v>73999.1816195213</v>
      </c>
      <c r="AA72" s="125" t="n">
        <f aca="false">AA43+AA48+AA53+SUM($F26:AA26)-SUM($F56:AA56)+SUM($F27:AA27)-SUM($F57:AA57)+SUM($F28:AA28)-SUM($F58:AA58)+SUM($F30:AA30)-SUM($F60:AA60)</f>
        <v>76160.8433928218</v>
      </c>
      <c r="AB72" s="125" t="n">
        <f aca="false">AB43+AB48+AB53+SUM($F26:AB26)-SUM($F56:AB56)+SUM($F27:AB27)-SUM($F57:AB57)+SUM($F28:AB28)-SUM($F58:AB58)+SUM($F30:AB30)-SUM($F60:AB60)</f>
        <v>90004.208449762</v>
      </c>
      <c r="AC72" s="125" t="n">
        <f aca="false">AC43+AC48+AC53+SUM($F26:AC26)-SUM($F56:AC56)+SUM($F27:AC27)-SUM($F57:AC57)+SUM($F28:AC28)-SUM($F58:AC58)+SUM($F30:AC30)-SUM($F60:AC60)</f>
        <v>86100.3499171907</v>
      </c>
      <c r="AD72" s="125" t="n">
        <f aca="false">AD43+AD48+AD53+SUM($F26:AD26)-SUM($F56:AD56)+SUM($F27:AD27)-SUM($F57:AD57)+SUM($F28:AD28)-SUM($F58:AD58)+SUM($F30:AD30)-SUM($F60:AD60)</f>
        <v>81416.7016278833</v>
      </c>
      <c r="AE72" s="125" t="n">
        <f aca="false">AE43+AE48+AE53+SUM($F26:AE26)-SUM($F56:AE56)+SUM($F27:AE27)-SUM($F57:AE57)+SUM($F28:AE28)-SUM($F58:AE58)+SUM($F30:AE30)-SUM($F60:AE60)</f>
        <v>76718.2142759215</v>
      </c>
      <c r="AF72" s="125" t="n">
        <f aca="false">AF43+AF48+AF53+SUM($F26:AF26)-SUM($F56:AF56)+SUM($F27:AF27)-SUM($F57:AF57)+SUM($F28:AF28)-SUM($F58:AF58)+SUM($F30:AF30)-SUM($F60:AF60)</f>
        <v>72363.773176452</v>
      </c>
      <c r="AG72" s="125" t="n">
        <f aca="false">AG43+AG48+AG53+SUM($F26:AG26)-SUM($F56:AG56)+SUM($F27:AG27)-SUM($F57:AG57)+SUM($F28:AG28)-SUM($F58:AG58)+SUM($F30:AG30)-SUM($F60:AG60)</f>
        <v>68880.8648508071</v>
      </c>
      <c r="AI72" s="125" t="n">
        <f aca="false">INDEX($F72:$AG72,1,MATCH(AI$7,$F$7:$AG$7,1))</f>
        <v>887.1044</v>
      </c>
      <c r="AJ72" s="125" t="n">
        <f aca="false">INDEX($F72:$AG72,1,MATCH(AJ$7,$F$7:$AG$7,1))</f>
        <v>4623.8216</v>
      </c>
      <c r="AK72" s="125" t="n">
        <f aca="false">INDEX($F72:$AG72,1,MATCH(AK$7,$F$7:$AG$7,1))</f>
        <v>20059.8254869238</v>
      </c>
      <c r="AL72" s="125" t="n">
        <f aca="false">INDEX($F72:$AG72,1,MATCH(AL$7,$F$7:$AG$7,1))</f>
        <v>48597.3583721829</v>
      </c>
      <c r="AM72" s="125" t="n">
        <f aca="false">INDEX($F72:$AG72,1,MATCH(AM$7,$F$7:$AG$7,1))</f>
        <v>64858.4146768081</v>
      </c>
      <c r="AN72" s="125" t="n">
        <f aca="false">INDEX($F72:$AG72,1,MATCH(AN$7,$F$7:$AG$7,1))</f>
        <v>86100.3499171907</v>
      </c>
      <c r="AO72" s="125" t="n">
        <f aca="false">INDEX($F72:$AG72,1,MATCH(AO$7,$F$7:$AG$7,1))</f>
        <v>68880.8648508071</v>
      </c>
    </row>
    <row r="74" customFormat="false" ht="15" hidden="false" customHeight="false" outlineLevel="0" collapsed="false">
      <c r="A74" s="58" t="s">
        <v>2224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</row>
    <row r="75" customFormat="false" ht="15" hidden="false" customHeight="false" outlineLevel="0" collapsed="false">
      <c r="A75" s="107" t="s">
        <v>2225</v>
      </c>
      <c r="B75" s="22" t="s">
        <v>613</v>
      </c>
      <c r="C75" s="22" t="s">
        <v>540</v>
      </c>
      <c r="D75" s="22"/>
      <c r="F75" s="124" t="n">
        <f aca="false">INDEX(Capex,1,1)+INDEX(CapInt,1,1)</f>
        <v>130</v>
      </c>
      <c r="G75" s="124" t="n">
        <f aca="false">INDEX(Capex,1,2)+INDEX(CapInt,1,2)</f>
        <v>130</v>
      </c>
      <c r="H75" s="124" t="n">
        <f aca="false">INDEX(Capex,1,3)+INDEX(CapInt,1,3)</f>
        <v>129.9</v>
      </c>
      <c r="I75" s="124" t="n">
        <f aca="false">INDEX(Capex,1,4)+INDEX(CapInt,1,4)</f>
        <v>417.6</v>
      </c>
      <c r="J75" s="124" t="n">
        <f aca="false">INDEX(Capex,1,5)+INDEX(CapInt,1,5)</f>
        <v>544</v>
      </c>
      <c r="K75" s="124" t="n">
        <f aca="false">INDEX(Capex,1,6)+INDEX(CapInt,1,6)</f>
        <v>510.6</v>
      </c>
      <c r="L75" s="124" t="n">
        <f aca="false">INDEX(Capex,1,7)+INDEX(CapInt,1,7)</f>
        <v>955.5</v>
      </c>
      <c r="M75" s="124" t="n">
        <f aca="false">INDEX(Capex,1,8)+INDEX(CapInt,1,8)</f>
        <v>2056</v>
      </c>
      <c r="N75" s="124" t="n">
        <f aca="false">INDEX(Capex,1,9)+INDEX(CapInt,1,9)</f>
        <v>2488.6</v>
      </c>
      <c r="O75" s="124" t="n">
        <f aca="false">INDEX(Capex,1,10)+INDEX(CapInt,1,10)</f>
        <v>5697.6</v>
      </c>
      <c r="P75" s="125" t="n">
        <f aca="false">INDEX(Capex,1,11)+INDEX(CapInt,1,11)</f>
        <v>3474.91847944214</v>
      </c>
      <c r="Q75" s="125" t="n">
        <f aca="false">INDEX(Capex,1,12)+INDEX(CapInt,1,12)</f>
        <v>6139.85732646643</v>
      </c>
      <c r="R75" s="125" t="n">
        <f aca="false">INDEX(Capex,1,13)+INDEX(CapInt,1,13)</f>
        <v>7725.64384433723</v>
      </c>
      <c r="S75" s="125" t="n">
        <f aca="false">INDEX(Capex,1,14)+INDEX(CapInt,1,14)</f>
        <v>9181.92187903965</v>
      </c>
      <c r="T75" s="125" t="n">
        <f aca="false">INDEX(Capex,1,15)+INDEX(CapInt,1,15)</f>
        <v>11568.5296812529</v>
      </c>
      <c r="U75" s="125" t="n">
        <f aca="false">INDEX(Capex,1,16)+INDEX(CapInt,1,16)</f>
        <v>5766.33834161085</v>
      </c>
      <c r="V75" s="125" t="n">
        <f aca="false">INDEX(Capex,1,17)+INDEX(CapInt,1,17)</f>
        <v>6378.81120088781</v>
      </c>
      <c r="W75" s="125" t="n">
        <f aca="false">INDEX(Capex,1,18)+INDEX(CapInt,1,18)</f>
        <v>4155.34410810737</v>
      </c>
      <c r="X75" s="125" t="n">
        <f aca="false">INDEX(Capex,1,19)+INDEX(CapInt,1,19)</f>
        <v>12664.0252837944</v>
      </c>
      <c r="Y75" s="125" t="n">
        <f aca="false">INDEX(Capex,1,20)+INDEX(CapInt,1,20)</f>
        <v>4273.77316885013</v>
      </c>
      <c r="Z75" s="125" t="n">
        <f aca="false">INDEX(Capex,1,21)+INDEX(CapInt,1,21)</f>
        <v>12837.3258384481</v>
      </c>
      <c r="AA75" s="125" t="n">
        <f aca="false">INDEX(Capex,1,22)+INDEX(CapInt,1,22)</f>
        <v>5946.99112837024</v>
      </c>
      <c r="AB75" s="125" t="n">
        <f aca="false">INDEX(Capex,1,23)+INDEX(CapInt,1,23)</f>
        <v>18259.8775212932</v>
      </c>
      <c r="AC75" s="125" t="n">
        <f aca="false">INDEX(Capex,1,24)+INDEX(CapInt,1,24)</f>
        <v>639.226537586365</v>
      </c>
      <c r="AD75" s="125" t="n">
        <f aca="false">INDEX(Capex,1,25)+INDEX(CapInt,1,25)</f>
        <v>750.911058533043</v>
      </c>
      <c r="AE75" s="125" t="n">
        <f aca="false">INDEX(Capex,1,26)+INDEX(CapInt,1,26)</f>
        <v>746.163645773386</v>
      </c>
      <c r="AF75" s="125" t="n">
        <f aca="false">INDEX(Capex,1,27)+INDEX(CapInt,1,27)</f>
        <v>1083.42116402014</v>
      </c>
      <c r="AG75" s="125" t="n">
        <f aca="false">INDEX(Capex,1,28)+INDEX(CapInt,1,28)</f>
        <v>1966.11004368874</v>
      </c>
      <c r="AI75" s="125" t="n">
        <f aca="false">SUMIF($F$7:$AG$7,AI$7,$F75:$AG75)</f>
        <v>807.5</v>
      </c>
      <c r="AJ75" s="125" t="n">
        <f aca="false">SUMIF($F$7:$AG$7,AJ$7,$F75:$AG75)</f>
        <v>4066.1</v>
      </c>
      <c r="AK75" s="125" t="n">
        <f aca="false">SUMIF($F$7:$AG$7,AK$7,$F75:$AG75)</f>
        <v>17800.9758059086</v>
      </c>
      <c r="AL75" s="125" t="n">
        <f aca="false">SUMIF($F$7:$AG$7,AL$7,$F75:$AG75)</f>
        <v>34242.4337462407</v>
      </c>
      <c r="AM75" s="125" t="n">
        <f aca="false">SUMIF($F$7:$AG$7,AM$7,$F75:$AG75)</f>
        <v>27471.9537616397</v>
      </c>
      <c r="AN75" s="125" t="n">
        <f aca="false">SUMIF($F$7:$AG$7,AN$7,$F75:$AG75)</f>
        <v>37683.4210256979</v>
      </c>
      <c r="AO75" s="125" t="n">
        <f aca="false">SUMIF($F$7:$AG$7,AO$7,$F75:$AG75)</f>
        <v>4546.60591201531</v>
      </c>
    </row>
    <row r="76" customFormat="false" ht="15" hidden="false" customHeight="false" outlineLevel="0" collapsed="false">
      <c r="A76" s="107" t="s">
        <v>2226</v>
      </c>
      <c r="B76" s="22" t="s">
        <v>613</v>
      </c>
      <c r="C76" s="22" t="s">
        <v>2084</v>
      </c>
      <c r="D76" s="22" t="s">
        <v>2227</v>
      </c>
      <c r="F76" s="124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24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24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24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24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24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24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24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24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24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25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25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25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25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25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25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25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9181.92187903965</v>
      </c>
      <c r="W76" s="125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11568.5296812529</v>
      </c>
      <c r="X76" s="125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5766.33834161085</v>
      </c>
      <c r="Y76" s="125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6378.81120088781</v>
      </c>
      <c r="Z76" s="125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4155.34410810737</v>
      </c>
      <c r="AA76" s="125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12664.0252837944</v>
      </c>
      <c r="AB76" s="125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4273.77316885013</v>
      </c>
      <c r="AC76" s="125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12837.3258384481</v>
      </c>
      <c r="AD76" s="125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5946.99112837024</v>
      </c>
      <c r="AE76" s="125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18259.8775212932</v>
      </c>
      <c r="AF76" s="125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639.226537586365</v>
      </c>
      <c r="AG76" s="125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750.911058533043</v>
      </c>
      <c r="AI76" s="125" t="n">
        <f aca="false">SUMIF($F$7:$AG$7,AI$7,$F76:$AG76)</f>
        <v>0</v>
      </c>
      <c r="AJ76" s="125" t="n">
        <f aca="false">SUMIF($F$7:$AG$7,AJ$7,$F76:$AG76)</f>
        <v>0</v>
      </c>
      <c r="AK76" s="125" t="n">
        <f aca="false">SUMIF($F$7:$AG$7,AK$7,$F76:$AG76)</f>
        <v>10376.6</v>
      </c>
      <c r="AL76" s="125" t="n">
        <f aca="false">SUMIF($F$7:$AG$7,AL$7,$F76:$AG76)</f>
        <v>23038.0196502458</v>
      </c>
      <c r="AM76" s="125" t="n">
        <f aca="false">SUMIF($F$7:$AG$7,AM$7,$F76:$AG76)</f>
        <v>32895.6011027913</v>
      </c>
      <c r="AN76" s="125" t="n">
        <f aca="false">SUMIF($F$7:$AG$7,AN$7,$F76:$AG76)</f>
        <v>33930.4683992</v>
      </c>
      <c r="AO76" s="125" t="n">
        <f aca="false">SUMIF($F$7:$AG$7,AO$7,$F76:$AG76)</f>
        <v>25597.0062457828</v>
      </c>
    </row>
    <row r="77" customFormat="false" ht="15" hidden="false" customHeight="false" outlineLevel="0" collapsed="false">
      <c r="A77" s="107" t="s">
        <v>2228</v>
      </c>
      <c r="B77" s="22" t="s">
        <v>613</v>
      </c>
      <c r="C77" s="22" t="s">
        <v>2084</v>
      </c>
      <c r="D77" s="22" t="s">
        <v>2229</v>
      </c>
      <c r="F77" s="124" t="n">
        <f aca="false">IF(F$5&lt;=LastHist,INDEX(H_CIP,1,F$5),E77+F75-F76)</f>
        <v>0</v>
      </c>
      <c r="G77" s="124" t="n">
        <f aca="false">IF(G$5&lt;=LastHist,INDEX(H_CIP,1,G$5),F77+G75-G76)</f>
        <v>0</v>
      </c>
      <c r="H77" s="124" t="n">
        <f aca="false">IF(H$5&lt;=LastHist,INDEX(H_CIP,1,H$5),G77+H75-H76)</f>
        <v>0</v>
      </c>
      <c r="I77" s="124" t="n">
        <f aca="false">IF(I$5&lt;=LastHist,INDEX(H_CIP,1,I$5),H77+I75-I76)</f>
        <v>0</v>
      </c>
      <c r="J77" s="124" t="n">
        <f aca="false">IF(J$5&lt;=LastHist,INDEX(H_CIP,1,J$5),I77+J75-J76)</f>
        <v>0</v>
      </c>
      <c r="K77" s="124" t="n">
        <f aca="false">IF(K$5&lt;=LastHist,INDEX(H_CIP,1,K$5),J77+K75-K76)</f>
        <v>0</v>
      </c>
      <c r="L77" s="124" t="n">
        <f aca="false">IF(L$5&lt;=LastHist,INDEX(H_CIP,1,L$5),K77+L75-L76)</f>
        <v>0</v>
      </c>
      <c r="M77" s="124" t="n">
        <f aca="false">IF(M$5&lt;=LastHist,INDEX(H_CIP,1,M$5),L77+M75-M76)</f>
        <v>2417.4</v>
      </c>
      <c r="N77" s="124" t="n">
        <f aca="false">IF(N$5&lt;=LastHist,INDEX(H_CIP,1,N$5),M77+N75-N76)</f>
        <v>2427.9</v>
      </c>
      <c r="O77" s="124" t="n">
        <f aca="false">IF(O$5&lt;=LastHist,INDEX(H_CIP,1,O$5),N77+O75-O76)</f>
        <v>7836.4</v>
      </c>
      <c r="P77" s="125" t="n">
        <f aca="false">IF(P$5&lt;=LastHist,INDEX(H_CIP,1,P$5),O77+P75-P76)</f>
        <v>6609.47847944214</v>
      </c>
      <c r="Q77" s="125" t="n">
        <f aca="false">IF(Q$5&lt;=LastHist,INDEX(H_CIP,1,Q$5),P77+Q75-Q76)</f>
        <v>9614.77580590857</v>
      </c>
      <c r="R77" s="125" t="n">
        <f aca="false">IF(R$5&lt;=LastHist,INDEX(H_CIP,1,R$5),Q77+R75-R76)</f>
        <v>11642.8196502458</v>
      </c>
      <c r="S77" s="125" t="n">
        <f aca="false">IF(S$5&lt;=LastHist,INDEX(H_CIP,1,S$5),R77+S75-S76)</f>
        <v>17349.8230498433</v>
      </c>
      <c r="T77" s="125" t="n">
        <f aca="false">IF(T$5&lt;=LastHist,INDEX(H_CIP,1,T$5),S77+T75-T76)</f>
        <v>22778.4954046298</v>
      </c>
      <c r="U77" s="125" t="n">
        <f aca="false">IF(U$5&lt;=LastHist,INDEX(H_CIP,1,U$5),T77+U75-U76)</f>
        <v>20819.1899019034</v>
      </c>
      <c r="V77" s="125" t="n">
        <f aca="false">IF(V$5&lt;=LastHist,INDEX(H_CIP,1,V$5),U77+V75-V76)</f>
        <v>18016.0792237516</v>
      </c>
      <c r="W77" s="125" t="n">
        <f aca="false">IF(W$5&lt;=LastHist,INDEX(H_CIP,1,W$5),V77+W75-W76)</f>
        <v>10602.893650606</v>
      </c>
      <c r="X77" s="125" t="n">
        <f aca="false">IF(X$5&lt;=LastHist,INDEX(H_CIP,1,X$5),W77+X75-X76)</f>
        <v>17500.5805927896</v>
      </c>
      <c r="Y77" s="125" t="n">
        <f aca="false">IF(Y$5&lt;=LastHist,INDEX(H_CIP,1,Y$5),X77+Y75-Y76)</f>
        <v>15395.5425607519</v>
      </c>
      <c r="Z77" s="125" t="n">
        <f aca="false">IF(Z$5&lt;=LastHist,INDEX(H_CIP,1,Z$5),Y77+Z75-Z76)</f>
        <v>24077.5242910927</v>
      </c>
      <c r="AA77" s="125" t="n">
        <f aca="false">IF(AA$5&lt;=LastHist,INDEX(H_CIP,1,AA$5),Z77+AA75-AA76)</f>
        <v>17360.4901356685</v>
      </c>
      <c r="AB77" s="125" t="n">
        <f aca="false">IF(AB$5&lt;=LastHist,INDEX(H_CIP,1,AB$5),AA77+AB75-AB76)</f>
        <v>31346.5944881115</v>
      </c>
      <c r="AC77" s="125" t="n">
        <f aca="false">IF(AC$5&lt;=LastHist,INDEX(H_CIP,1,AC$5),AB77+AC75-AC76)</f>
        <v>19148.4951872498</v>
      </c>
      <c r="AD77" s="125" t="n">
        <f aca="false">IF(AD$5&lt;=LastHist,INDEX(H_CIP,1,AD$5),AC77+AD75-AD76)</f>
        <v>13952.4151174126</v>
      </c>
      <c r="AE77" s="125" t="n">
        <f aca="false">IF(AE$5&lt;=LastHist,INDEX(H_CIP,1,AE$5),AD77+AE75-AE76)</f>
        <v>-3561.29875810721</v>
      </c>
      <c r="AF77" s="125" t="n">
        <f aca="false">IF(AF$5&lt;=LastHist,INDEX(H_CIP,1,AF$5),AE77+AF75-AF76)</f>
        <v>-3117.10413167344</v>
      </c>
      <c r="AG77" s="125" t="n">
        <f aca="false">IF(AG$5&lt;=LastHist,INDEX(H_CIP,1,AG$5),AF77+AG75-AG76)</f>
        <v>-1901.90514651774</v>
      </c>
      <c r="AI77" s="125" t="n">
        <f aca="false">INDEX($F77:$AG77,1,MATCH(AI$7,$F$7:$AG$7,1))</f>
        <v>0</v>
      </c>
      <c r="AJ77" s="125" t="n">
        <f aca="false">INDEX($F77:$AG77,1,MATCH(AJ$7,$F$7:$AG$7,1))</f>
        <v>2417.4</v>
      </c>
      <c r="AK77" s="125" t="n">
        <f aca="false">INDEX($F77:$AG77,1,MATCH(AK$7,$F$7:$AG$7,1))</f>
        <v>9614.77580590857</v>
      </c>
      <c r="AL77" s="125" t="n">
        <f aca="false">INDEX($F77:$AG77,1,MATCH(AL$7,$F$7:$AG$7,1))</f>
        <v>20819.1899019034</v>
      </c>
      <c r="AM77" s="125" t="n">
        <f aca="false">INDEX($F77:$AG77,1,MATCH(AM$7,$F$7:$AG$7,1))</f>
        <v>15395.5425607519</v>
      </c>
      <c r="AN77" s="125" t="n">
        <f aca="false">INDEX($F77:$AG77,1,MATCH(AN$7,$F$7:$AG$7,1))</f>
        <v>19148.4951872498</v>
      </c>
      <c r="AO77" s="125" t="n">
        <f aca="false">INDEX($F77:$AG77,1,MATCH(AO$7,$F$7:$AG$7,1))</f>
        <v>-1901.90514651774</v>
      </c>
    </row>
    <row r="78" customFormat="false" ht="15" hidden="false" customHeight="false" outlineLevel="0" collapsed="false">
      <c r="A78" s="107" t="s">
        <v>2230</v>
      </c>
      <c r="B78" s="22" t="s">
        <v>613</v>
      </c>
      <c r="C78" s="22" t="s">
        <v>2084</v>
      </c>
      <c r="D78" s="22" t="s">
        <v>2231</v>
      </c>
      <c r="F78" s="124" t="n">
        <f aca="false">IF(F$5&lt;=LastHist,INDEX(H_ISG,1,F$5),E78+F76)</f>
        <v>0</v>
      </c>
      <c r="G78" s="124" t="n">
        <f aca="false">IF(G$5&lt;=LastHist,INDEX(H_ISG,1,G$5),F78+G76)</f>
        <v>0</v>
      </c>
      <c r="H78" s="124" t="n">
        <f aca="false">IF(H$5&lt;=LastHist,INDEX(H_ISG,1,H$5),G78+H76)</f>
        <v>0</v>
      </c>
      <c r="I78" s="124" t="n">
        <f aca="false">IF(I$5&lt;=LastHist,INDEX(H_ISG,1,I$5),H78+I76)</f>
        <v>0</v>
      </c>
      <c r="J78" s="124" t="n">
        <f aca="false">IF(J$5&lt;=LastHist,INDEX(H_ISG,1,J$5),I78+J76)</f>
        <v>0</v>
      </c>
      <c r="K78" s="124" t="n">
        <f aca="false">IF(K$5&lt;=LastHist,INDEX(H_ISG,1,K$5),J78+K76)</f>
        <v>0</v>
      </c>
      <c r="L78" s="124" t="n">
        <f aca="false">IF(L$5&lt;=LastHist,INDEX(H_ISG,1,L$5),K78+L76)</f>
        <v>0</v>
      </c>
      <c r="M78" s="124" t="n">
        <f aca="false">IF(M$5&lt;=LastHist,INDEX(H_ISG,1,M$5),L78+M76)</f>
        <v>3772.9</v>
      </c>
      <c r="N78" s="124" t="n">
        <f aca="false">IF(N$5&lt;=LastHist,INDEX(H_ISG,1,N$5),M78+N76)</f>
        <v>5548.7</v>
      </c>
      <c r="O78" s="124" t="n">
        <f aca="false">IF(O$5&lt;=LastHist,INDEX(H_ISG,1,O$5),N78+O76)</f>
        <v>6313.1</v>
      </c>
      <c r="P78" s="125" t="n">
        <f aca="false">IF(P$5&lt;=LastHist,INDEX(H_ISG,1,P$5),O78+P76)</f>
        <v>11014.94</v>
      </c>
      <c r="Q78" s="125" t="n">
        <f aca="false">IF(Q$5&lt;=LastHist,INDEX(H_ISG,1,Q$5),P78+Q76)</f>
        <v>14149.5</v>
      </c>
      <c r="R78" s="125" t="n">
        <f aca="false">IF(R$5&lt;=LastHist,INDEX(H_ISG,1,R$5),Q78+R76)</f>
        <v>19847.1</v>
      </c>
      <c r="S78" s="125" t="n">
        <f aca="false">IF(S$5&lt;=LastHist,INDEX(H_ISG,1,S$5),R78+S76)</f>
        <v>23322.0184794421</v>
      </c>
      <c r="T78" s="125" t="n">
        <f aca="false">IF(T$5&lt;=LastHist,INDEX(H_ISG,1,T$5),S78+T76)</f>
        <v>29461.8758059086</v>
      </c>
      <c r="U78" s="125" t="n">
        <f aca="false">IF(U$5&lt;=LastHist,INDEX(H_ISG,1,U$5),T78+U76)</f>
        <v>37187.5196502458</v>
      </c>
      <c r="V78" s="125" t="n">
        <f aca="false">IF(V$5&lt;=LastHist,INDEX(H_ISG,1,V$5),U78+V76)</f>
        <v>46369.4415292854</v>
      </c>
      <c r="W78" s="125" t="n">
        <f aca="false">IF(W$5&lt;=LastHist,INDEX(H_ISG,1,W$5),V78+W76)</f>
        <v>57937.9712105384</v>
      </c>
      <c r="X78" s="125" t="n">
        <f aca="false">IF(X$5&lt;=LastHist,INDEX(H_ISG,1,X$5),W78+X76)</f>
        <v>63704.3095521492</v>
      </c>
      <c r="Y78" s="125" t="n">
        <f aca="false">IF(Y$5&lt;=LastHist,INDEX(H_ISG,1,Y$5),X78+Y76)</f>
        <v>70083.120753037</v>
      </c>
      <c r="Z78" s="125" t="n">
        <f aca="false">IF(Z$5&lt;=LastHist,INDEX(H_ISG,1,Z$5),Y78+Z76)</f>
        <v>74238.4648611444</v>
      </c>
      <c r="AA78" s="125" t="n">
        <f aca="false">IF(AA$5&lt;=LastHist,INDEX(H_ISG,1,AA$5),Z78+AA76)</f>
        <v>86902.4901449388</v>
      </c>
      <c r="AB78" s="125" t="n">
        <f aca="false">IF(AB$5&lt;=LastHist,INDEX(H_ISG,1,AB$5),AA78+AB76)</f>
        <v>91176.263313789</v>
      </c>
      <c r="AC78" s="125" t="n">
        <f aca="false">IF(AC$5&lt;=LastHist,INDEX(H_ISG,1,AC$5),AB78+AC76)</f>
        <v>104013.589152237</v>
      </c>
      <c r="AD78" s="125" t="n">
        <f aca="false">IF(AD$5&lt;=LastHist,INDEX(H_ISG,1,AD$5),AC78+AD76)</f>
        <v>109960.580280607</v>
      </c>
      <c r="AE78" s="125" t="n">
        <f aca="false">IF(AE$5&lt;=LastHist,INDEX(H_ISG,1,AE$5),AD78+AE76)</f>
        <v>128220.457801901</v>
      </c>
      <c r="AF78" s="125" t="n">
        <f aca="false">IF(AF$5&lt;=LastHist,INDEX(H_ISG,1,AF$5),AE78+AF76)</f>
        <v>128859.684339487</v>
      </c>
      <c r="AG78" s="125" t="n">
        <f aca="false">IF(AG$5&lt;=LastHist,INDEX(H_ISG,1,AG$5),AF78+AG76)</f>
        <v>129610.59539802</v>
      </c>
      <c r="AI78" s="125" t="n">
        <f aca="false">INDEX($F78:$AG78,1,MATCH(AI$7,$F$7:$AG$7,1))</f>
        <v>0</v>
      </c>
      <c r="AJ78" s="125" t="n">
        <f aca="false">INDEX($F78:$AG78,1,MATCH(AJ$7,$F$7:$AG$7,1))</f>
        <v>3772.9</v>
      </c>
      <c r="AK78" s="125" t="n">
        <f aca="false">INDEX($F78:$AG78,1,MATCH(AK$7,$F$7:$AG$7,1))</f>
        <v>14149.5</v>
      </c>
      <c r="AL78" s="125" t="n">
        <f aca="false">INDEX($F78:$AG78,1,MATCH(AL$7,$F$7:$AG$7,1))</f>
        <v>37187.5196502458</v>
      </c>
      <c r="AM78" s="125" t="n">
        <f aca="false">INDEX($F78:$AG78,1,MATCH(AM$7,$F$7:$AG$7,1))</f>
        <v>70083.120753037</v>
      </c>
      <c r="AN78" s="125" t="n">
        <f aca="false">INDEX($F78:$AG78,1,MATCH(AN$7,$F$7:$AG$7,1))</f>
        <v>104013.589152237</v>
      </c>
      <c r="AO78" s="125" t="n">
        <f aca="false">INDEX($F78:$AG78,1,MATCH(AO$7,$F$7:$AG$7,1))</f>
        <v>129610.59539802</v>
      </c>
    </row>
    <row r="79" customFormat="false" ht="15" hidden="false" customHeight="false" outlineLevel="0" collapsed="false">
      <c r="A79" s="107" t="s">
        <v>2232</v>
      </c>
      <c r="B79" s="22" t="s">
        <v>613</v>
      </c>
      <c r="C79" s="22" t="s">
        <v>2084</v>
      </c>
      <c r="D79" s="22" t="s">
        <v>2233</v>
      </c>
      <c r="F79" s="124" t="n">
        <f aca="false">IF(F$5&lt;=LastHist,INDEX(H_PPDep,1,F$5),F68-OtherDA)</f>
        <v>8.9</v>
      </c>
      <c r="G79" s="124" t="n">
        <f aca="false">IF(G$5&lt;=LastHist,INDEX(H_PPDep,1,G$5),G68-OtherDA)</f>
        <v>11.4</v>
      </c>
      <c r="H79" s="124" t="n">
        <f aca="false">IF(H$5&lt;=LastHist,INDEX(H_PPDep,1,H$5),H68-OtherDA)</f>
        <v>23.5</v>
      </c>
      <c r="I79" s="124" t="n">
        <f aca="false">IF(I$5&lt;=LastHist,INDEX(H_PPDep,1,I$5),I68-OtherDA)</f>
        <v>33.3</v>
      </c>
      <c r="J79" s="124" t="n">
        <f aca="false">IF(J$5&lt;=LastHist,INDEX(H_PPDep,1,J$5),J68-OtherDA)</f>
        <v>49.1</v>
      </c>
      <c r="K79" s="124" t="n">
        <f aca="false">IF(K$5&lt;=LastHist,INDEX(H_PPDep,1,K$5),K68-OtherDA)</f>
        <v>75.2</v>
      </c>
      <c r="L79" s="124" t="n">
        <f aca="false">IF(L$5&lt;=LastHist,INDEX(H_PPDep,1,L$5),L68-OtherDA)</f>
        <v>99</v>
      </c>
      <c r="M79" s="124" t="n">
        <f aca="false">IF(M$5&lt;=LastHist,INDEX(H_PPDep,1,M$5),M68-OtherDA)</f>
        <v>180.7</v>
      </c>
      <c r="N79" s="124" t="n">
        <f aca="false">IF(N$5&lt;=LastHist,INDEX(H_PPDep,1,N$5),N68-OtherDA)</f>
        <v>208.8</v>
      </c>
      <c r="O79" s="124" t="n">
        <f aca="false">IF(O$5&lt;=LastHist,INDEX(H_PPDep,1,O$5),O68-OtherDA)</f>
        <v>253.8</v>
      </c>
      <c r="P79" s="125" t="n">
        <f aca="false">IF(P$5&lt;=LastHist,INDEX(H_PPDep,1,P$5),P68-OtherDA)</f>
        <v>582.0866</v>
      </c>
      <c r="Q79" s="125" t="n">
        <f aca="false">IF(Q$5&lt;=LastHist,INDEX(H_PPDep,1,Q$5),Q68-OtherDA)</f>
        <v>585.945255222107</v>
      </c>
      <c r="R79" s="125" t="n">
        <f aca="false">IF(R$5&lt;=LastHist,INDEX(H_PPDep,1,R$5),R68-OtherDA)</f>
        <v>750.785662639179</v>
      </c>
      <c r="S79" s="125" t="n">
        <f aca="false">IF(S$5&lt;=LastHist,INDEX(H_PPDep,1,S$5),S68-OtherDA)</f>
        <v>1044.69095932479</v>
      </c>
      <c r="T79" s="125" t="n">
        <f aca="false">IF(T$5&lt;=LastHist,INDEX(H_PPDep,1,T$5),T68-OtherDA)</f>
        <v>1401.48673571427</v>
      </c>
      <c r="U79" s="125" t="n">
        <f aca="false">IF(U$5&lt;=LastHist,INDEX(H_PPDep,1,U$5),U68-OtherDA)</f>
        <v>1803.24480196442</v>
      </c>
      <c r="V79" s="125" t="n">
        <f aca="false">IF(V$5&lt;=LastHist,INDEX(H_PPDep,1,V$5),V68-OtherDA)</f>
        <v>2353.71392748246</v>
      </c>
      <c r="W79" s="125" t="n">
        <f aca="false">IF(W$5&lt;=LastHist,INDEX(H_PPDep,1,W$5),W68-OtherDA)</f>
        <v>2587.97427721435</v>
      </c>
      <c r="X79" s="125" t="n">
        <f aca="false">IF(X$5&lt;=LastHist,INDEX(H_PPDep,1,X$5),X68-OtherDA)</f>
        <v>2907.28343261972</v>
      </c>
      <c r="Y79" s="125" t="n">
        <f aca="false">IF(Y$5&lt;=LastHist,INDEX(H_PPDep,1,Y$5),Y68-OtherDA)</f>
        <v>3017.62981649694</v>
      </c>
      <c r="Z79" s="125" t="n">
        <f aca="false">IF(Z$5&lt;=LastHist,INDEX(H_PPDep,1,Z$5),Z68-OtherDA)</f>
        <v>3651.24067743945</v>
      </c>
      <c r="AA79" s="125" t="n">
        <f aca="false">IF(AA$5&lt;=LastHist,INDEX(H_PPDep,1,AA$5),AA68-OtherDA)</f>
        <v>3746.79784311185</v>
      </c>
      <c r="AB79" s="125" t="n">
        <f aca="false">IF(AB$5&lt;=LastHist,INDEX(H_PPDep,1,AB$5),AB68-OtherDA)</f>
        <v>4384.21899453037</v>
      </c>
      <c r="AC79" s="125" t="n">
        <f aca="false">IF(AC$5&lt;=LastHist,INDEX(H_PPDep,1,AC$5),AC68-OtherDA)</f>
        <v>4517.02964247003</v>
      </c>
      <c r="AD79" s="125" t="n">
        <f aca="false">IF(AD$5&lt;=LastHist,INDEX(H_PPDep,1,AD$5),AD68-OtherDA)</f>
        <v>5425.62474434934</v>
      </c>
      <c r="AE79" s="125" t="n">
        <f aca="false">IF(AE$5&lt;=LastHist,INDEX(H_PPDep,1,AE$5),AE68-OtherDA)</f>
        <v>5441.410297276</v>
      </c>
      <c r="AF79" s="125" t="n">
        <f aca="false">IF(AF$5&lt;=LastHist,INDEX(H_PPDep,1,AF$5),AF68-OtherDA)</f>
        <v>5458.29447956466</v>
      </c>
      <c r="AG79" s="125" t="n">
        <f aca="false">IF(AG$5&lt;=LastHist,INDEX(H_PPDep,1,AG$5),AG68-OtherDA)</f>
        <v>5474.24553776567</v>
      </c>
      <c r="AI79" s="125" t="n">
        <f aca="false">SUMIF($F$7:$AG$7,AI$7,$F79:$AG79)</f>
        <v>77.1</v>
      </c>
      <c r="AJ79" s="125" t="n">
        <f aca="false">SUMIF($F$7:$AG$7,AJ$7,$F79:$AG79)</f>
        <v>404</v>
      </c>
      <c r="AK79" s="125" t="n">
        <f aca="false">SUMIF($F$7:$AG$7,AK$7,$F79:$AG79)</f>
        <v>1630.63185522211</v>
      </c>
      <c r="AL79" s="125" t="n">
        <f aca="false">SUMIF($F$7:$AG$7,AL$7,$F79:$AG79)</f>
        <v>5000.20815964266</v>
      </c>
      <c r="AM79" s="125" t="n">
        <f aca="false">SUMIF($F$7:$AG$7,AM$7,$F79:$AG79)</f>
        <v>10866.6014538135</v>
      </c>
      <c r="AN79" s="125" t="n">
        <f aca="false">SUMIF($F$7:$AG$7,AN$7,$F79:$AG79)</f>
        <v>16299.2871575517</v>
      </c>
      <c r="AO79" s="125" t="n">
        <f aca="false">SUMIF($F$7:$AG$7,AO$7,$F79:$AG79)</f>
        <v>21799.5750589557</v>
      </c>
    </row>
    <row r="80" customFormat="false" ht="15" hidden="false" customHeight="false" outlineLevel="0" collapsed="false">
      <c r="A80" s="107" t="s">
        <v>2234</v>
      </c>
      <c r="B80" s="22" t="s">
        <v>613</v>
      </c>
      <c r="C80" s="22" t="s">
        <v>2084</v>
      </c>
      <c r="D80" s="22" t="s">
        <v>2235</v>
      </c>
      <c r="F80" s="124" t="n">
        <f aca="false">IF(F$5&lt;=LastHist,F79+INDEX(H_DAex,1,F$5)-INDEX(H_DA,1,F$5),F79+F41*(LQ_H/16-1)+F46*(LQ_B/16-1)+F51*(LQ_N/16-1))</f>
        <v>8.9</v>
      </c>
      <c r="G80" s="124" t="n">
        <f aca="false">IF(G$5&lt;=LastHist,G79+INDEX(H_DAex,1,G$5)-INDEX(H_DA,1,G$5),G79+G41*(LQ_H/16-1)+G46*(LQ_B/16-1)+G51*(LQ_N/16-1))</f>
        <v>11.4</v>
      </c>
      <c r="H80" s="124" t="n">
        <f aca="false">IF(H$5&lt;=LastHist,H79+INDEX(H_DAex,1,H$5)-INDEX(H_DA,1,H$5),H79+H41*(LQ_H/16-1)+H46*(LQ_B/16-1)+H51*(LQ_N/16-1))</f>
        <v>23.5</v>
      </c>
      <c r="I80" s="124" t="n">
        <f aca="false">IF(I$5&lt;=LastHist,I79+INDEX(H_DAex,1,I$5)-INDEX(H_DA,1,I$5),I79+I41*(LQ_H/16-1)+I46*(LQ_B/16-1)+I51*(LQ_N/16-1))</f>
        <v>33.3</v>
      </c>
      <c r="J80" s="124" t="n">
        <f aca="false">IF(J$5&lt;=LastHist,J79+INDEX(H_DAex,1,J$5)-INDEX(H_DA,1,J$5),J79+J41*(LQ_H/16-1)+J46*(LQ_B/16-1)+J51*(LQ_N/16-1))</f>
        <v>49.1</v>
      </c>
      <c r="K80" s="124" t="n">
        <f aca="false">IF(K$5&lt;=LastHist,K79+INDEX(H_DAex,1,K$5)-INDEX(H_DA,1,K$5),K79+K41*(LQ_H/16-1)+K46*(LQ_B/16-1)+K51*(LQ_N/16-1))</f>
        <v>75.2</v>
      </c>
      <c r="L80" s="124" t="n">
        <f aca="false">IF(L$5&lt;=LastHist,L79+INDEX(H_DAex,1,L$5)-INDEX(H_DA,1,L$5),L79+L41*(LQ_H/16-1)+L46*(LQ_B/16-1)+L51*(LQ_N/16-1))</f>
        <v>99</v>
      </c>
      <c r="M80" s="124" t="n">
        <f aca="false">IF(M$5&lt;=LastHist,M79+INDEX(H_DAex,1,M$5)-INDEX(H_DA,1,M$5),M79+M41*(LQ_H/16-1)+M46*(LQ_B/16-1)+M51*(LQ_N/16-1))</f>
        <v>180.7</v>
      </c>
      <c r="N80" s="124" t="n">
        <f aca="false">IF(N$5&lt;=LastHist,N79+INDEX(H_DAex,1,N$5)-INDEX(H_DA,1,N$5),N79+N41*(LQ_H/16-1)+N46*(LQ_B/16-1)+N51*(LQ_N/16-1))</f>
        <v>251.9</v>
      </c>
      <c r="O80" s="124" t="n">
        <f aca="false">IF(O$5&lt;=LastHist,O79+INDEX(H_DAex,1,O$5)-INDEX(H_DA,1,O$5),O79+O41*(LQ_H/16-1)+O46*(LQ_B/16-1)+O51*(LQ_N/16-1))</f>
        <v>296.8</v>
      </c>
      <c r="P80" s="125" t="n">
        <f aca="false">IF(P$5&lt;=LastHist,P79+INDEX(H_DAex,1,P$5)-INDEX(H_DA,1,P$5),P79+P41*(LQ_H/16-1)+P46*(LQ_B/16-1)+P51*(LQ_N/16-1))</f>
        <v>713.9056</v>
      </c>
      <c r="Q80" s="125" t="n">
        <f aca="false">IF(Q$5&lt;=LastHist,Q79+INDEX(H_DAex,1,Q$5)-INDEX(H_DA,1,Q$5),Q79+Q41*(LQ_H/16-1)+Q46*(LQ_B/16-1)+Q51*(LQ_N/16-1))</f>
        <v>717.764255222107</v>
      </c>
      <c r="R80" s="125" t="n">
        <f aca="false">IF(R$5&lt;=LastHist,R79+INDEX(H_DAex,1,R$5)-INDEX(H_DA,1,R$5),R79+R41*(LQ_H/16-1)+R46*(LQ_B/16-1)+R51*(LQ_N/16-1))</f>
        <v>920.773520139179</v>
      </c>
      <c r="S80" s="125" t="n">
        <f aca="false">IF(S$5&lt;=LastHist,S79+INDEX(H_DAex,1,S$5)-INDEX(H_DA,1,S$5),S79+S41*(LQ_H/16-1)+S46*(LQ_B/16-1)+S51*(LQ_N/16-1))</f>
        <v>1283.57891973104</v>
      </c>
      <c r="T80" s="125" t="n">
        <f aca="false">IF(T$5&lt;=LastHist,T79+INDEX(H_DAex,1,T$5)-INDEX(H_DA,1,T$5),T79+T41*(LQ_H/16-1)+T46*(LQ_B/16-1)+T51*(LQ_N/16-1))</f>
        <v>1722.20321946427</v>
      </c>
      <c r="U80" s="125" t="n">
        <f aca="false">IF(U$5&lt;=LastHist,U79+INDEX(H_DAex,1,U$5)-INDEX(H_DA,1,U$5),U79+U41*(LQ_H/16-1)+U46*(LQ_B/16-1)+U51*(LQ_N/16-1))</f>
        <v>2211.00265508942</v>
      </c>
      <c r="V80" s="125" t="n">
        <f aca="false">IF(V$5&lt;=LastHist,V79+INDEX(H_DAex,1,V$5)-INDEX(H_DA,1,V$5),V79+V41*(LQ_H/16-1)+V46*(LQ_B/16-1)+V51*(LQ_N/16-1))</f>
        <v>2891.45542873246</v>
      </c>
      <c r="W80" s="125" t="n">
        <f aca="false">IF(W$5&lt;=LastHist,W79+INDEX(H_DAex,1,W$5)-INDEX(H_DA,1,W$5),W79+W41*(LQ_H/16-1)+W46*(LQ_B/16-1)+W51*(LQ_N/16-1))</f>
        <v>3171.52663033935</v>
      </c>
      <c r="X80" s="125" t="n">
        <f aca="false">IF(X$5&lt;=LastHist,X79+INDEX(H_DAex,1,X$5)-INDEX(H_DA,1,X$5),X79+X41*(LQ_H/16-1)+X46*(LQ_B/16-1)+X51*(LQ_N/16-1))</f>
        <v>3567.75736011972</v>
      </c>
      <c r="Y80" s="125" t="n">
        <f aca="false">IF(Y$5&lt;=LastHist,Y79+INDEX(H_DAex,1,Y$5)-INDEX(H_DA,1,Y$5),Y79+Y41*(LQ_H/16-1)+Y46*(LQ_B/16-1)+Y51*(LQ_N/16-1))</f>
        <v>3684.52561899694</v>
      </c>
      <c r="Z80" s="125" t="n">
        <f aca="false">IF(Z$5&lt;=LastHist,Z79+INDEX(H_DAex,1,Z$5)-INDEX(H_DA,1,Z$5),Z79+Z41*(LQ_H/16-1)+Z46*(LQ_B/16-1)+Z51*(LQ_N/16-1))</f>
        <v>4471.72546806445</v>
      </c>
      <c r="AA80" s="125" t="n">
        <f aca="false">IF(AA$5&lt;=LastHist,AA79+INDEX(H_DAex,1,AA$5)-INDEX(H_DA,1,AA$5),AA79+AA41*(LQ_H/16-1)+AA46*(LQ_B/16-1)+AA51*(LQ_N/16-1))</f>
        <v>4565.98263373685</v>
      </c>
      <c r="AB80" s="125" t="n">
        <f aca="false">IF(AB$5&lt;=LastHist,AB79+INDEX(H_DAex,1,AB$5)-INDEX(H_DA,1,AB$5),AB79+AB41*(LQ_H/16-1)+AB46*(LQ_B/16-1)+AB51*(LQ_N/16-1))</f>
        <v>5358.03965265537</v>
      </c>
      <c r="AC80" s="125" t="n">
        <f aca="false">IF(AC$5&lt;=LastHist,AC79+INDEX(H_DAex,1,AC$5)-INDEX(H_DA,1,AC$5),AC79+AC41*(LQ_H/16-1)+AC46*(LQ_B/16-1)+AC51*(LQ_N/16-1))</f>
        <v>5489.55130059503</v>
      </c>
      <c r="AD80" s="125" t="n">
        <f aca="false">IF(AD$5&lt;=LastHist,AD79+INDEX(H_DAex,1,AD$5)-INDEX(H_DA,1,AD$5),AD79+AD41*(LQ_H/16-1)+AD46*(LQ_B/16-1)+AD51*(LQ_N/16-1))</f>
        <v>6617.30484622434</v>
      </c>
      <c r="AE80" s="125" t="n">
        <f aca="false">IF(AE$5&lt;=LastHist,AE79+INDEX(H_DAex,1,AE$5)-INDEX(H_DA,1,AE$5),AE79+AE41*(LQ_H/16-1)+AE46*(LQ_B/16-1)+AE51*(LQ_N/16-1))</f>
        <v>6627.650399151</v>
      </c>
      <c r="AF80" s="125" t="n">
        <f aca="false">IF(AF$5&lt;=LastHist,AF79+INDEX(H_DAex,1,AF$5)-INDEX(H_DA,1,AF$5),AF79+AF41*(LQ_H/16-1)+AF46*(LQ_B/16-1)+AF51*(LQ_N/16-1))</f>
        <v>6639.42858143966</v>
      </c>
      <c r="AG80" s="125" t="n">
        <f aca="false">IF(AG$5&lt;=LastHist,AG79+INDEX(H_DAex,1,AG$5)-INDEX(H_DA,1,AG$5),AG79+AG41*(LQ_H/16-1)+AG46*(LQ_B/16-1)+AG51*(LQ_N/16-1))</f>
        <v>6645.82463964067</v>
      </c>
      <c r="AI80" s="125" t="n">
        <f aca="false">SUMIF($F$7:$AG$7,AI$7,$F80:$AG80)</f>
        <v>77.1</v>
      </c>
      <c r="AJ80" s="125" t="n">
        <f aca="false">SUMIF($F$7:$AG$7,AJ$7,$F80:$AG80)</f>
        <v>404</v>
      </c>
      <c r="AK80" s="125" t="n">
        <f aca="false">SUMIF($F$7:$AG$7,AK$7,$F80:$AG80)</f>
        <v>1980.36985522211</v>
      </c>
      <c r="AL80" s="125" t="n">
        <f aca="false">SUMIF($F$7:$AG$7,AL$7,$F80:$AG80)</f>
        <v>6137.55831442391</v>
      </c>
      <c r="AM80" s="125" t="n">
        <f aca="false">SUMIF($F$7:$AG$7,AM$7,$F80:$AG80)</f>
        <v>13315.2650381885</v>
      </c>
      <c r="AN80" s="125" t="n">
        <f aca="false">SUMIF($F$7:$AG$7,AN$7,$F80:$AG80)</f>
        <v>19885.2990550517</v>
      </c>
      <c r="AO80" s="125" t="n">
        <f aca="false">SUMIF($F$7:$AG$7,AO$7,$F80:$AG80)</f>
        <v>26530.2084664557</v>
      </c>
    </row>
    <row r="81" customFormat="false" ht="15" hidden="false" customHeight="false" outlineLevel="0" collapsed="false">
      <c r="A81" s="107" t="s">
        <v>2236</v>
      </c>
      <c r="B81" s="22" t="s">
        <v>619</v>
      </c>
      <c r="C81" s="22" t="s">
        <v>540</v>
      </c>
      <c r="D81" s="22" t="s">
        <v>2237</v>
      </c>
      <c r="G81" s="128" t="str">
        <f aca="false">IF(AND(F78&gt;0,G78&gt;0),G79*4/AVERAGE(F78,G78),"")</f>
        <v/>
      </c>
      <c r="H81" s="128" t="str">
        <f aca="false">IF(AND(G78&gt;0,H78&gt;0),H79*4/AVERAGE(G78,H78),"")</f>
        <v/>
      </c>
      <c r="I81" s="128" t="str">
        <f aca="false">IF(AND(H78&gt;0,I78&gt;0),I79*4/AVERAGE(H78,I78),"")</f>
        <v/>
      </c>
      <c r="J81" s="128" t="str">
        <f aca="false">IF(AND(I78&gt;0,J78&gt;0),J79*4/AVERAGE(I78,J78),"")</f>
        <v/>
      </c>
      <c r="K81" s="128" t="str">
        <f aca="false">IF(AND(J78&gt;0,K78&gt;0),K79*4/AVERAGE(J78,K78),"")</f>
        <v/>
      </c>
      <c r="L81" s="128" t="str">
        <f aca="false">IF(AND(K78&gt;0,L78&gt;0),L79*4/AVERAGE(K78,L78),"")</f>
        <v/>
      </c>
      <c r="M81" s="128" t="str">
        <f aca="false">IF(AND(L78&gt;0,M78&gt;0),M79*4/AVERAGE(L78,M78),"")</f>
        <v/>
      </c>
      <c r="N81" s="128" t="n">
        <f aca="false">IF(AND(M78&gt;0,N78&gt;0),N79*4/AVERAGE(M78,N78),"")</f>
        <v>0.179196704428424</v>
      </c>
      <c r="O81" s="128" t="n">
        <f aca="false">IF(AND(N78&gt;0,O78&gt;0),O79*4/AVERAGE(N78,O78),"")</f>
        <v>0.171171323070698</v>
      </c>
      <c r="P81" s="27" t="n">
        <f aca="false">IF(AND(O78&gt;0,P78&gt;0),P79*4/AVERAGE(O78,P78),"")</f>
        <v>0.268737422120448</v>
      </c>
      <c r="Q81" s="27" t="n">
        <f aca="false">IF(AND(P78&gt;0,Q78&gt;0),Q79*4/AVERAGE(P78,Q78),"")</f>
        <v>0.186277224598555</v>
      </c>
      <c r="R81" s="27" t="n">
        <f aca="false">IF(AND(Q78&gt;0,R78&gt;0),R79*4/AVERAGE(Q78,R78),"")</f>
        <v>0.176673117344482</v>
      </c>
      <c r="S81" s="27" t="n">
        <f aca="false">IF(AND(R78&gt;0,S78&gt;0),S79*4/AVERAGE(R78,S78),"")</f>
        <v>0.1935996835001</v>
      </c>
      <c r="T81" s="27" t="n">
        <f aca="false">IF(AND(S78&gt;0,T78&gt;0),T79*4/AVERAGE(S78,T78),"")</f>
        <v>0.212411267442726</v>
      </c>
      <c r="U81" s="27" t="n">
        <f aca="false">IF(AND(T78&gt;0,U78&gt;0),U79*4/AVERAGE(T78,U78),"")</f>
        <v>0.216445450359794</v>
      </c>
      <c r="V81" s="27" t="n">
        <f aca="false">IF(AND(U78&gt;0,V78&gt;0),V79*4/AVERAGE(U78,V78),"")</f>
        <v>0.225351797792191</v>
      </c>
      <c r="W81" s="27" t="n">
        <f aca="false">IF(AND(V78&gt;0,W78&gt;0),W79*4/AVERAGE(V78,W78),"")</f>
        <v>0.198488234669925</v>
      </c>
      <c r="X81" s="27" t="n">
        <f aca="false">IF(AND(W78&gt;0,X78&gt;0),X79*4/AVERAGE(W78,X78),"")</f>
        <v>0.191202165193963</v>
      </c>
      <c r="Y81" s="27" t="n">
        <f aca="false">IF(AND(X78&gt;0,Y78&gt;0),Y79*4/AVERAGE(X78,Y78),"")</f>
        <v>0.180443248494322</v>
      </c>
      <c r="Z81" s="27" t="n">
        <f aca="false">IF(AND(Y78&gt;0,Z78&gt;0),Z79*4/AVERAGE(Y78,Z78),"")</f>
        <v>0.202394709670134</v>
      </c>
      <c r="AA81" s="27" t="n">
        <f aca="false">IF(AND(Z78&gt;0,AA78&gt;0),AA79*4/AVERAGE(Z78,AA78),"")</f>
        <v>0.186013436148267</v>
      </c>
      <c r="AB81" s="27" t="n">
        <f aca="false">IF(AND(AA78&gt;0,AB78&gt;0),AB79*4/AVERAGE(AA78,AB78),"")</f>
        <v>0.196956409874981</v>
      </c>
      <c r="AC81" s="27" t="n">
        <f aca="false">IF(AND(AB78&gt;0,AC78&gt;0),AC79*4/AVERAGE(AB78,AC78),"")</f>
        <v>0.185133789913848</v>
      </c>
      <c r="AD81" s="27" t="n">
        <f aca="false">IF(AND(AC78&gt;0,AD78&gt;0),AD79*4/AVERAGE(AC78,AD78),"")</f>
        <v>0.202851578159379</v>
      </c>
      <c r="AE81" s="27" t="n">
        <f aca="false">IF(AND(AD78&gt;0,AE78&gt;0),AE79*4/AVERAGE(AD78,AE78),"")</f>
        <v>0.182765524613796</v>
      </c>
      <c r="AF81" s="27" t="n">
        <f aca="false">IF(AND(AE78&gt;0,AF78&gt;0),AF79*4/AVERAGE(AE78,AF78),"")</f>
        <v>0.169855032258781</v>
      </c>
      <c r="AG81" s="27" t="n">
        <f aca="false">IF(AND(AF78&gt;0,AG78&gt;0),AG79*4/AVERAGE(AF78,AG78),"")</f>
        <v>0.169435202943259</v>
      </c>
    </row>
    <row r="82" customFormat="false" ht="15" hidden="false" customHeight="false" outlineLevel="0" collapsed="false">
      <c r="A82" s="3" t="s">
        <v>2238</v>
      </c>
      <c r="B82" s="22" t="s">
        <v>619</v>
      </c>
      <c r="C82" s="22" t="s">
        <v>540</v>
      </c>
      <c r="D82" s="22" t="s">
        <v>2239</v>
      </c>
      <c r="G82" s="131" t="str">
        <f aca="false">IF(AND(F78&gt;0,G78&gt;0),G80*4/AVERAGE(F78,G78),"")</f>
        <v/>
      </c>
      <c r="H82" s="131" t="str">
        <f aca="false">IF(AND(G78&gt;0,H78&gt;0),H80*4/AVERAGE(G78,H78),"")</f>
        <v/>
      </c>
      <c r="I82" s="131" t="str">
        <f aca="false">IF(AND(H78&gt;0,I78&gt;0),I80*4/AVERAGE(H78,I78),"")</f>
        <v/>
      </c>
      <c r="J82" s="131" t="str">
        <f aca="false">IF(AND(I78&gt;0,J78&gt;0),J80*4/AVERAGE(I78,J78),"")</f>
        <v/>
      </c>
      <c r="K82" s="131" t="str">
        <f aca="false">IF(AND(J78&gt;0,K78&gt;0),K80*4/AVERAGE(J78,K78),"")</f>
        <v/>
      </c>
      <c r="L82" s="131" t="str">
        <f aca="false">IF(AND(K78&gt;0,L78&gt;0),L80*4/AVERAGE(K78,L78),"")</f>
        <v/>
      </c>
      <c r="M82" s="131" t="str">
        <f aca="false">IF(AND(L78&gt;0,M78&gt;0),M80*4/AVERAGE(L78,M78),"")</f>
        <v/>
      </c>
      <c r="N82" s="131" t="n">
        <f aca="false">IF(AND(M78&gt;0,N78&gt;0),N80*4/AVERAGE(M78,N78),"")</f>
        <v>0.216186062478544</v>
      </c>
      <c r="O82" s="131" t="n">
        <f aca="false">IF(AND(N78&gt;0,O78&gt;0),O80*4/AVERAGE(N78,O78),"")</f>
        <v>0.200171980643747</v>
      </c>
      <c r="P82" s="76" t="n">
        <f aca="false">IF(AND(O78&gt;0,P78&gt;0),P80*4/AVERAGE(O78,P78),"")</f>
        <v>0.329595545716654</v>
      </c>
      <c r="Q82" s="76" t="n">
        <f aca="false">IF(AND(P78&gt;0,Q78&gt;0),Q80*4/AVERAGE(P78,Q78),"")</f>
        <v>0.228183660823641</v>
      </c>
      <c r="R82" s="76" t="n">
        <f aca="false">IF(AND(Q78&gt;0,R78&gt;0),R80*4/AVERAGE(Q78,R78),"")</f>
        <v>0.216674260399964</v>
      </c>
      <c r="S82" s="76" t="n">
        <f aca="false">IF(AND(R78&gt;0,S78&gt;0),S80*4/AVERAGE(R78,S78),"")</f>
        <v>0.237869841209253</v>
      </c>
      <c r="T82" s="76" t="n">
        <f aca="false">IF(AND(S78&gt;0,T78&gt;0),T80*4/AVERAGE(S78,T78),"")</f>
        <v>0.261019501161322</v>
      </c>
      <c r="U82" s="76" t="n">
        <f aca="false">IF(AND(T78&gt;0,U78&gt;0),U80*4/AVERAGE(T78,U78),"")</f>
        <v>0.265389072468804</v>
      </c>
      <c r="V82" s="76" t="n">
        <f aca="false">IF(AND(U78&gt;0,V78&gt;0),V80*4/AVERAGE(U78,V78),"")</f>
        <v>0.276836820096399</v>
      </c>
      <c r="W82" s="76" t="n">
        <f aca="false">IF(AND(V78&gt;0,W78&gt;0),W80*4/AVERAGE(V78,W78),"")</f>
        <v>0.243244582300217</v>
      </c>
      <c r="X82" s="76" t="n">
        <f aca="false">IF(AND(W78&gt;0,X78&gt;0),X80*4/AVERAGE(W78,X78),"")</f>
        <v>0.234639294018505</v>
      </c>
      <c r="Y82" s="76" t="n">
        <f aca="false">IF(AND(X78&gt;0,Y78&gt;0),Y80*4/AVERAGE(X78,Y78),"")</f>
        <v>0.220321183273619</v>
      </c>
      <c r="Z82" s="76" t="n">
        <f aca="false">IF(AND(Y78&gt;0,Z78&gt;0),Z80*4/AVERAGE(Y78,Z78),"")</f>
        <v>0.247875628529682</v>
      </c>
      <c r="AA82" s="76" t="n">
        <f aca="false">IF(AND(Z78&gt;0,AA78&gt;0),AA80*4/AVERAGE(Z78,AA78),"")</f>
        <v>0.226682664680223</v>
      </c>
      <c r="AB82" s="76" t="n">
        <f aca="false">IF(AND(AA78&gt;0,AB78&gt;0),AB80*4/AVERAGE(AA78,AB78),"")</f>
        <v>0.240704274871159</v>
      </c>
      <c r="AC82" s="76" t="n">
        <f aca="false">IF(AND(AB78&gt;0,AC78&gt;0),AC80*4/AVERAGE(AB78,AC78),"")</f>
        <v>0.224993307028623</v>
      </c>
      <c r="AD82" s="76" t="n">
        <f aca="false">IF(AND(AC78&gt;0,AD78&gt;0),AD80*4/AVERAGE(AC78,AD78),"")</f>
        <v>0.247405744862159</v>
      </c>
      <c r="AE82" s="76" t="n">
        <f aca="false">IF(AND(AD78&gt;0,AE78&gt;0),AE80*4/AVERAGE(AD78,AE78),"")</f>
        <v>0.222608834103918</v>
      </c>
      <c r="AF82" s="76" t="n">
        <f aca="false">IF(AND(AE78&gt;0,AF78&gt;0),AF80*4/AVERAGE(AE78,AF78),"")</f>
        <v>0.206610390865216</v>
      </c>
      <c r="AG82" s="76" t="n">
        <f aca="false">IF(AND(AF78&gt;0,AG78&gt;0),AG80*4/AVERAGE(AF78,AG78),"")</f>
        <v>0.205697139226682</v>
      </c>
    </row>
    <row r="83" customFormat="false" ht="15" hidden="false" customHeight="false" outlineLevel="0" collapsed="false">
      <c r="A83" s="107" t="s">
        <v>2240</v>
      </c>
      <c r="B83" s="22" t="s">
        <v>184</v>
      </c>
      <c r="C83" s="22" t="s">
        <v>540</v>
      </c>
      <c r="D83" s="22"/>
      <c r="H83" s="120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20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20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20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20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20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20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20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4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4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4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4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4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4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4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4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4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4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4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4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4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4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4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4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4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4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07" t="s">
        <v>2241</v>
      </c>
      <c r="B84" s="22" t="s">
        <v>2242</v>
      </c>
      <c r="C84" s="22" t="s">
        <v>604</v>
      </c>
      <c r="D84" s="22" t="s">
        <v>2243</v>
      </c>
      <c r="P84" s="31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2244</v>
      </c>
    </row>
    <row r="2" customFormat="false" ht="15" hidden="false" customHeight="false" outlineLevel="0" collapsed="false">
      <c r="A2" s="22" t="s">
        <v>2245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2246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3" t="s">
        <v>2247</v>
      </c>
      <c r="B11" s="3" t="s">
        <v>2248</v>
      </c>
      <c r="C11" s="3" t="s">
        <v>2249</v>
      </c>
      <c r="D11" s="3" t="s">
        <v>2250</v>
      </c>
      <c r="E11" s="3" t="s">
        <v>2251</v>
      </c>
      <c r="F11" s="3" t="s">
        <v>2252</v>
      </c>
      <c r="G11" s="3" t="s">
        <v>2253</v>
      </c>
      <c r="H11" s="3" t="s">
        <v>2254</v>
      </c>
      <c r="I11" s="3" t="s">
        <v>2255</v>
      </c>
      <c r="J11" s="3" t="s">
        <v>2256</v>
      </c>
      <c r="K11" s="3" t="s">
        <v>2257</v>
      </c>
      <c r="L11" s="3" t="s">
        <v>2258</v>
      </c>
      <c r="M11" s="3" t="s">
        <v>2259</v>
      </c>
      <c r="N11" s="3" t="s">
        <v>2260</v>
      </c>
      <c r="O11" s="3" t="s">
        <v>2261</v>
      </c>
      <c r="P11" s="3" t="s">
        <v>2262</v>
      </c>
      <c r="Q11" s="3" t="s">
        <v>1774</v>
      </c>
      <c r="R11" s="3" t="s">
        <v>535</v>
      </c>
      <c r="S11" s="3" t="s">
        <v>2263</v>
      </c>
      <c r="T11" s="3" t="s">
        <v>2264</v>
      </c>
    </row>
    <row r="12" customFormat="false" ht="15" hidden="false" customHeight="false" outlineLevel="0" collapsed="false">
      <c r="A12" s="0" t="s">
        <v>2265</v>
      </c>
      <c r="B12" s="60" t="n">
        <v>45813</v>
      </c>
      <c r="C12" s="132" t="n">
        <v>0.02</v>
      </c>
      <c r="D12" s="133" t="n">
        <v>47270</v>
      </c>
      <c r="E12" s="71" t="n">
        <v>500</v>
      </c>
      <c r="F12" s="71" t="n">
        <v>12.5</v>
      </c>
      <c r="G12" s="71" t="n">
        <v>400</v>
      </c>
      <c r="H12" s="30" t="n">
        <f aca="false">ExchIdx</f>
        <v>11</v>
      </c>
      <c r="I12" s="30" t="n">
        <f aca="false">ExchShares/2</f>
        <v>7.885</v>
      </c>
      <c r="J12" s="91" t="n">
        <v>1.175</v>
      </c>
      <c r="K12" s="134" t="n">
        <v>19.4363</v>
      </c>
      <c r="L12" s="23" t="n">
        <f aca="false">1000/K12</f>
        <v>51.4501216795378</v>
      </c>
      <c r="M12" s="24" t="n">
        <f aca="false">IFERROR(MATCH(B12-1,Q_End,1),0)+1</f>
        <v>6</v>
      </c>
      <c r="N12" s="24" t="n">
        <f aca="false">IFERROR(MATCH(D12-1,Q_End,1),0)+1</f>
        <v>22</v>
      </c>
      <c r="O12" s="24" t="n">
        <f aca="false">IF(SharePx&gt;=L12*J12,1,0)</f>
        <v>1</v>
      </c>
      <c r="P12" s="24" t="n">
        <f aca="false">CHOOSE(DilMethod,1,IF(DilPx&gt;L12,1,0),0)</f>
        <v>0</v>
      </c>
      <c r="Q12" s="22" t="s">
        <v>2266</v>
      </c>
      <c r="R12" s="22" t="s">
        <v>2267</v>
      </c>
      <c r="S12" s="134" t="n">
        <v>1.034051</v>
      </c>
      <c r="T12" s="60" t="n">
        <v>46203</v>
      </c>
    </row>
    <row r="13" customFormat="false" ht="15" hidden="false" customHeight="false" outlineLevel="0" collapsed="false">
      <c r="A13" s="0" t="s">
        <v>2268</v>
      </c>
      <c r="B13" s="60" t="n">
        <v>45813</v>
      </c>
      <c r="C13" s="132" t="n">
        <v>0.03</v>
      </c>
      <c r="D13" s="133" t="n">
        <v>48000</v>
      </c>
      <c r="E13" s="71" t="n">
        <v>500</v>
      </c>
      <c r="F13" s="71" t="n">
        <v>12.5</v>
      </c>
      <c r="G13" s="71" t="n">
        <v>400</v>
      </c>
      <c r="H13" s="30" t="n">
        <f aca="false">ExchIdx</f>
        <v>11</v>
      </c>
      <c r="I13" s="30" t="n">
        <f aca="false">ExchShares/2</f>
        <v>7.885</v>
      </c>
      <c r="J13" s="91" t="n">
        <v>1.225</v>
      </c>
      <c r="K13" s="134" t="n">
        <v>19.4363</v>
      </c>
      <c r="L13" s="23" t="n">
        <f aca="false">1000/K13</f>
        <v>51.4501216795378</v>
      </c>
      <c r="M13" s="24" t="n">
        <f aca="false">IFERROR(MATCH(B13-1,Q_End,1),0)+1</f>
        <v>6</v>
      </c>
      <c r="N13" s="24" t="n">
        <f aca="false">IFERROR(MATCH(D13-1,Q_End,1),0)+1</f>
        <v>29</v>
      </c>
      <c r="O13" s="24" t="n">
        <f aca="false">IF(SharePx&gt;=L13*J13,1,0)</f>
        <v>1</v>
      </c>
      <c r="P13" s="24" t="n">
        <f aca="false">CHOOSE(DilMethod,1,IF(DilPx&gt;L13,1,0),0)</f>
        <v>0</v>
      </c>
      <c r="Q13" s="22" t="s">
        <v>2266</v>
      </c>
      <c r="R13" s="22" t="s">
        <v>2269</v>
      </c>
      <c r="S13" s="134" t="n">
        <v>1.022359</v>
      </c>
      <c r="T13" s="60" t="n">
        <v>46203</v>
      </c>
    </row>
    <row r="14" customFormat="false" ht="15" hidden="false" customHeight="false" outlineLevel="0" collapsed="false">
      <c r="A14" s="0" t="s">
        <v>2270</v>
      </c>
      <c r="B14" s="60" t="n">
        <v>45915</v>
      </c>
      <c r="C14" s="132" t="n">
        <v>0.01</v>
      </c>
      <c r="D14" s="133" t="n">
        <v>47741</v>
      </c>
      <c r="E14" s="86" t="n">
        <v>1581.25</v>
      </c>
      <c r="F14" s="71" t="n">
        <v>0</v>
      </c>
      <c r="G14" s="71" t="n">
        <v>0</v>
      </c>
      <c r="H14" s="21" t="n">
        <v>0</v>
      </c>
      <c r="I14" s="21" t="n">
        <v>0</v>
      </c>
      <c r="J14" s="91" t="n">
        <v>1.15</v>
      </c>
      <c r="K14" s="134" t="n">
        <v>7.2072</v>
      </c>
      <c r="L14" s="23" t="n">
        <f aca="false">1000/K14</f>
        <v>138.750138750139</v>
      </c>
      <c r="M14" s="24" t="n">
        <f aca="false">IFERROR(MATCH(B14-1,Q_End,1),0)+1</f>
        <v>7</v>
      </c>
      <c r="N14" s="24" t="n">
        <f aca="false">IFERROR(MATCH(D14-1,Q_End,1),0)+1</f>
        <v>27</v>
      </c>
      <c r="O14" s="24" t="n">
        <f aca="false">IF(SharePx&gt;=L14*J14,1,0)</f>
        <v>1</v>
      </c>
      <c r="P14" s="24" t="n">
        <f aca="false">CHOOSE(DilMethod,1,IF(DilPx&gt;L14,1,0),0)</f>
        <v>0</v>
      </c>
      <c r="Q14" s="22" t="s">
        <v>2266</v>
      </c>
      <c r="R14" s="22" t="s">
        <v>2271</v>
      </c>
      <c r="S14" s="134" t="n">
        <v>1.004395</v>
      </c>
      <c r="T14" s="60" t="n">
        <v>46203</v>
      </c>
    </row>
    <row r="15" customFormat="false" ht="15" hidden="false" customHeight="false" outlineLevel="0" collapsed="false">
      <c r="A15" s="0" t="s">
        <v>2272</v>
      </c>
      <c r="B15" s="60" t="n">
        <v>45915</v>
      </c>
      <c r="C15" s="132" t="n">
        <v>0.0275</v>
      </c>
      <c r="D15" s="133" t="n">
        <v>48472</v>
      </c>
      <c r="E15" s="86" t="n">
        <v>1581.25</v>
      </c>
      <c r="F15" s="71" t="n">
        <v>0</v>
      </c>
      <c r="G15" s="71" t="n">
        <v>0</v>
      </c>
      <c r="H15" s="21" t="n">
        <v>0</v>
      </c>
      <c r="I15" s="21" t="n">
        <v>0</v>
      </c>
      <c r="J15" s="91" t="n">
        <v>1.15</v>
      </c>
      <c r="K15" s="134" t="n">
        <v>7.2072</v>
      </c>
      <c r="L15" s="23" t="n">
        <f aca="false">1000/K15</f>
        <v>138.750138750139</v>
      </c>
      <c r="M15" s="24" t="n">
        <f aca="false">IFERROR(MATCH(B15-1,Q_End,1),0)+1</f>
        <v>7</v>
      </c>
      <c r="N15" s="24" t="n">
        <f aca="false">IFERROR(MATCH(D15-1,Q_End,1),0)+1</f>
        <v>29</v>
      </c>
      <c r="O15" s="24" t="n">
        <f aca="false">IF(SharePx&gt;=L15*J15,1,0)</f>
        <v>1</v>
      </c>
      <c r="P15" s="24" t="n">
        <f aca="false">CHOOSE(DilMethod,1,IF(DilPx&gt;L15,1,0),0)</f>
        <v>0</v>
      </c>
      <c r="Q15" s="22" t="s">
        <v>2266</v>
      </c>
      <c r="R15" s="22" t="s">
        <v>1857</v>
      </c>
      <c r="S15" s="134" t="n">
        <v>0.996047</v>
      </c>
      <c r="T15" s="60" t="n">
        <v>46203</v>
      </c>
    </row>
    <row r="16" customFormat="false" ht="15" hidden="false" customHeight="false" outlineLevel="0" collapsed="false">
      <c r="A16" s="0" t="s">
        <v>2273</v>
      </c>
      <c r="B16" s="60" t="n">
        <v>46101</v>
      </c>
      <c r="C16" s="132" t="n">
        <v>0.0125</v>
      </c>
      <c r="D16" s="133" t="n">
        <v>47922</v>
      </c>
      <c r="E16" s="71" t="n">
        <v>2587.5</v>
      </c>
      <c r="F16" s="71" t="n">
        <v>0</v>
      </c>
      <c r="G16" s="71" t="n">
        <v>0</v>
      </c>
      <c r="H16" s="21" t="n">
        <v>0</v>
      </c>
      <c r="I16" s="21" t="n">
        <v>0</v>
      </c>
      <c r="J16" s="91" t="n">
        <v>1.2</v>
      </c>
      <c r="K16" s="134" t="n">
        <v>5.4579</v>
      </c>
      <c r="L16" s="23" t="n">
        <f aca="false">1000/K16</f>
        <v>183.220652631965</v>
      </c>
      <c r="M16" s="24" t="n">
        <f aca="false">IFERROR(MATCH(B16-1,Q_End,1),0)+1</f>
        <v>9</v>
      </c>
      <c r="N16" s="24" t="n">
        <f aca="false">IFERROR(MATCH(D16-1,Q_End,1),0)+1</f>
        <v>29</v>
      </c>
      <c r="O16" s="24" t="n">
        <f aca="false">IF(SharePx&gt;=L16*J16,1,0)</f>
        <v>1</v>
      </c>
      <c r="P16" s="24" t="n">
        <f aca="false">CHOOSE(DilMethod,1,IF(DilPx&gt;L16,1,0),0)</f>
        <v>0</v>
      </c>
      <c r="Q16" s="22" t="s">
        <v>2266</v>
      </c>
      <c r="R16" s="22" t="s">
        <v>2274</v>
      </c>
      <c r="S16" s="134" t="n">
        <v>1.000425</v>
      </c>
      <c r="T16" s="60" t="n">
        <v>46203</v>
      </c>
    </row>
    <row r="17" customFormat="false" ht="15" hidden="false" customHeight="false" outlineLevel="0" collapsed="false">
      <c r="A17" s="0" t="s">
        <v>2275</v>
      </c>
      <c r="B17" s="60" t="n">
        <v>46101</v>
      </c>
      <c r="C17" s="132" t="n">
        <v>0.02625</v>
      </c>
      <c r="D17" s="133" t="n">
        <v>48653</v>
      </c>
      <c r="E17" s="71" t="n">
        <v>1750</v>
      </c>
      <c r="F17" s="71" t="n">
        <v>0</v>
      </c>
      <c r="G17" s="71" t="n">
        <v>0</v>
      </c>
      <c r="H17" s="21" t="n">
        <v>0</v>
      </c>
      <c r="I17" s="21" t="n">
        <v>0</v>
      </c>
      <c r="J17" s="91" t="n">
        <v>1.2</v>
      </c>
      <c r="K17" s="134" t="n">
        <v>5.546</v>
      </c>
      <c r="L17" s="23" t="n">
        <f aca="false">1000/K17</f>
        <v>180.310133429499</v>
      </c>
      <c r="M17" s="24" t="n">
        <f aca="false">IFERROR(MATCH(B17-1,Q_End,1),0)+1</f>
        <v>9</v>
      </c>
      <c r="N17" s="24" t="n">
        <f aca="false">IFERROR(MATCH(D17-1,Q_End,1),0)+1</f>
        <v>29</v>
      </c>
      <c r="O17" s="24" t="n">
        <f aca="false">IF(SharePx&gt;=L17*J17,1,0)</f>
        <v>1</v>
      </c>
      <c r="P17" s="24" t="n">
        <f aca="false">CHOOSE(DilMethod,1,IF(DilPx&gt;L17,1,0),0)</f>
        <v>0</v>
      </c>
      <c r="Q17" s="22" t="s">
        <v>2266</v>
      </c>
      <c r="R17" s="22" t="s">
        <v>2276</v>
      </c>
      <c r="S17" s="134" t="n">
        <v>0.996971</v>
      </c>
      <c r="T17" s="60" t="n">
        <v>46203</v>
      </c>
    </row>
    <row r="18" customFormat="false" ht="15" hidden="false" customHeight="false" outlineLevel="0" collapsed="false">
      <c r="A18" s="0" t="s">
        <v>2277</v>
      </c>
      <c r="B18" s="60" t="n">
        <v>46258</v>
      </c>
      <c r="C18" s="132" t="n">
        <v>0.005</v>
      </c>
      <c r="D18" s="60" t="n">
        <v>47529</v>
      </c>
      <c r="E18" s="71" t="n">
        <v>3450</v>
      </c>
      <c r="F18" s="71" t="n">
        <v>0</v>
      </c>
      <c r="G18" s="71" t="n">
        <v>0</v>
      </c>
      <c r="H18" s="21" t="n">
        <v>0</v>
      </c>
      <c r="I18" s="21" t="n">
        <v>0</v>
      </c>
      <c r="J18" s="91" t="n">
        <v>1.1</v>
      </c>
      <c r="K18" s="134" t="n">
        <v>3.1902</v>
      </c>
      <c r="L18" s="23" t="n">
        <f aca="false">1000/K18</f>
        <v>313.459971161683</v>
      </c>
      <c r="M18" s="24" t="n">
        <f aca="false">IFERROR(MATCH(B18-1,Q_End,1),0)+1</f>
        <v>11</v>
      </c>
      <c r="N18" s="24" t="n">
        <f aca="false">IFERROR(MATCH(D18-1,Q_End,1),0)+1</f>
        <v>25</v>
      </c>
      <c r="O18" s="24" t="n">
        <f aca="false">IF(SharePx&gt;=L18*J18,1,0)</f>
        <v>0</v>
      </c>
      <c r="P18" s="24" t="n">
        <f aca="false">CHOOSE(DilMethod,1,IF(DilPx&gt;L18,1,0),0)</f>
        <v>0</v>
      </c>
      <c r="Q18" s="22" t="s">
        <v>2266</v>
      </c>
      <c r="R18" s="22" t="s">
        <v>2278</v>
      </c>
      <c r="S18" s="49" t="n">
        <f aca="false">1</f>
        <v>1</v>
      </c>
      <c r="T18" s="135" t="n">
        <f aca="false">B18</f>
        <v>46258</v>
      </c>
    </row>
    <row r="19" customFormat="false" ht="15" hidden="false" customHeight="false" outlineLevel="0" collapsed="false">
      <c r="A19" s="0" t="s">
        <v>2279</v>
      </c>
      <c r="B19" s="60" t="n">
        <v>46258</v>
      </c>
      <c r="C19" s="132" t="n">
        <v>0.045</v>
      </c>
      <c r="D19" s="60" t="n">
        <v>48990</v>
      </c>
      <c r="E19" s="71" t="n">
        <v>2300</v>
      </c>
      <c r="F19" s="71" t="n">
        <v>0</v>
      </c>
      <c r="G19" s="71" t="n">
        <v>0</v>
      </c>
      <c r="H19" s="21" t="n">
        <v>0</v>
      </c>
      <c r="I19" s="21" t="n">
        <v>0</v>
      </c>
      <c r="J19" s="91" t="n">
        <v>1.25</v>
      </c>
      <c r="K19" s="134" t="n">
        <v>3.0802</v>
      </c>
      <c r="L19" s="23" t="n">
        <f aca="false">1000/K19</f>
        <v>324.654243230959</v>
      </c>
      <c r="M19" s="24" t="n">
        <f aca="false">IFERROR(MATCH(B19-1,Q_End,1),0)+1</f>
        <v>11</v>
      </c>
      <c r="N19" s="24" t="n">
        <f aca="false">IFERROR(MATCH(D19-1,Q_End,1),0)+1</f>
        <v>29</v>
      </c>
      <c r="O19" s="24" t="n">
        <f aca="false">IF(SharePx&gt;=L19*J19,1,0)</f>
        <v>0</v>
      </c>
      <c r="P19" s="24" t="n">
        <f aca="false">CHOOSE(DilMethod,1,IF(DilPx&gt;L19,1,0),0)</f>
        <v>0</v>
      </c>
      <c r="Q19" s="22" t="s">
        <v>2266</v>
      </c>
      <c r="R19" s="22" t="s">
        <v>2280</v>
      </c>
      <c r="S19" s="49" t="n">
        <f aca="false">1</f>
        <v>1</v>
      </c>
      <c r="T19" s="135" t="n">
        <f aca="false">B19</f>
        <v>46258</v>
      </c>
    </row>
    <row r="20" customFormat="false" ht="15" hidden="false" customHeight="false" outlineLevel="0" collapsed="false">
      <c r="A20" s="0" t="s">
        <v>2281</v>
      </c>
      <c r="B20" s="136" t="n">
        <f aca="false">INDEX(Q_End,1,FP_CV1Idx-1)+45</f>
        <v>46432</v>
      </c>
      <c r="C20" s="137" t="n">
        <f aca="false">FP_CpnS</f>
        <v>0.005</v>
      </c>
      <c r="D20" s="136" t="n">
        <f aca="false">EDATE(B20,12*FP_TenS)</f>
        <v>47709</v>
      </c>
      <c r="E20" s="122" t="n">
        <f aca="false">FP_On*FP_CVOpen*FP_CV1Amt*FP_ShortSh</f>
        <v>3840</v>
      </c>
      <c r="F20" s="71" t="n">
        <v>0</v>
      </c>
      <c r="G20" s="71" t="n">
        <v>0</v>
      </c>
      <c r="H20" s="21" t="n">
        <v>0</v>
      </c>
      <c r="I20" s="21" t="n">
        <v>0</v>
      </c>
      <c r="J20" s="138" t="n">
        <f aca="false">FP_AccS</f>
        <v>1.1</v>
      </c>
      <c r="K20" s="139" t="n">
        <f aca="false">1000/(FP_RefPx*(1+FP_PremS))</f>
        <v>2.94174751569422</v>
      </c>
      <c r="L20" s="23" t="n">
        <f aca="false">1000/K20</f>
        <v>339.934</v>
      </c>
      <c r="M20" s="24" t="n">
        <f aca="false">IFERROR(MATCH(B20-1,Q_End,1),0)+1</f>
        <v>13</v>
      </c>
      <c r="N20" s="24" t="n">
        <f aca="false">IFERROR(MATCH(D20-1,Q_End,1),0)+1</f>
        <v>27</v>
      </c>
      <c r="O20" s="24" t="n">
        <f aca="false">IF(SharePx&gt;=L20*J20,1,0)</f>
        <v>0</v>
      </c>
      <c r="P20" s="24" t="n">
        <f aca="false">CHOOSE(DilMethod,1,IF(DilPx&gt;L20,1,0),0)</f>
        <v>0</v>
      </c>
      <c r="Q20" s="22" t="s">
        <v>2266</v>
      </c>
      <c r="R20" s="22" t="s">
        <v>2282</v>
      </c>
      <c r="S20" s="49" t="n">
        <f aca="false">1</f>
        <v>1</v>
      </c>
      <c r="T20" s="135" t="n">
        <f aca="false">B20</f>
        <v>46432</v>
      </c>
    </row>
    <row r="21" customFormat="false" ht="15" hidden="false" customHeight="false" outlineLevel="0" collapsed="false">
      <c r="A21" s="0" t="s">
        <v>2283</v>
      </c>
      <c r="B21" s="136" t="n">
        <f aca="false">INDEX(Q_End,1,FP_CV1Idx-1)+45</f>
        <v>46432</v>
      </c>
      <c r="C21" s="137" t="n">
        <f aca="false">FP_CpnL</f>
        <v>0.045</v>
      </c>
      <c r="D21" s="136" t="n">
        <f aca="false">EDATE(B21,12*FP_TenL)</f>
        <v>49170</v>
      </c>
      <c r="E21" s="122" t="n">
        <f aca="false">FP_On*FP_CVOpen*FP_CV1Amt*(1-FP_ShortSh)</f>
        <v>2560</v>
      </c>
      <c r="F21" s="71" t="n">
        <v>0</v>
      </c>
      <c r="G21" s="71" t="n">
        <v>0</v>
      </c>
      <c r="H21" s="21" t="n">
        <v>0</v>
      </c>
      <c r="I21" s="21" t="n">
        <v>0</v>
      </c>
      <c r="J21" s="138" t="n">
        <f aca="false">FP_AccL</f>
        <v>1.25</v>
      </c>
      <c r="K21" s="139" t="n">
        <f aca="false">1000/(FP_RefPx*(1+FP_PremL))</f>
        <v>2.84030794618753</v>
      </c>
      <c r="L21" s="23" t="n">
        <f aca="false">1000/K21</f>
        <v>352.0745</v>
      </c>
      <c r="M21" s="24" t="n">
        <f aca="false">IFERROR(MATCH(B21-1,Q_End,1),0)+1</f>
        <v>13</v>
      </c>
      <c r="N21" s="24" t="n">
        <f aca="false">IFERROR(MATCH(D21-1,Q_End,1),0)+1</f>
        <v>29</v>
      </c>
      <c r="O21" s="24" t="n">
        <f aca="false">IF(SharePx&gt;=L21*J21,1,0)</f>
        <v>0</v>
      </c>
      <c r="P21" s="24" t="n">
        <f aca="false">CHOOSE(DilMethod,1,IF(DilPx&gt;L21,1,0),0)</f>
        <v>0</v>
      </c>
      <c r="Q21" s="22" t="s">
        <v>2266</v>
      </c>
      <c r="R21" s="22" t="s">
        <v>2282</v>
      </c>
      <c r="S21" s="49" t="n">
        <f aca="false">1</f>
        <v>1</v>
      </c>
      <c r="T21" s="135" t="n">
        <f aca="false">B21</f>
        <v>46432</v>
      </c>
    </row>
    <row r="22" customFormat="false" ht="15" hidden="false" customHeight="false" outlineLevel="0" collapsed="false">
      <c r="A22" s="0" t="s">
        <v>2284</v>
      </c>
      <c r="B22" s="136" t="n">
        <f aca="false">INDEX(Q_End,1,FP_CV2Idx-1)+45</f>
        <v>46613</v>
      </c>
      <c r="C22" s="137" t="n">
        <f aca="false">FP_CpnS</f>
        <v>0.005</v>
      </c>
      <c r="D22" s="136" t="n">
        <f aca="false">EDATE(B22,12*FP_TenS)</f>
        <v>47893</v>
      </c>
      <c r="E22" s="122" t="n">
        <f aca="false">FP_On*FP_CVOpen*FP_CV2Amt*FP_ShortSh</f>
        <v>3840</v>
      </c>
      <c r="F22" s="71" t="n">
        <v>0</v>
      </c>
      <c r="G22" s="71" t="n">
        <v>0</v>
      </c>
      <c r="H22" s="21" t="n">
        <v>0</v>
      </c>
      <c r="I22" s="21" t="n">
        <v>0</v>
      </c>
      <c r="J22" s="138" t="n">
        <f aca="false">FP_AccS</f>
        <v>1.1</v>
      </c>
      <c r="K22" s="139" t="n">
        <f aca="false">1000/(FP_RefPx*(1+FP_PremS))</f>
        <v>2.94174751569422</v>
      </c>
      <c r="L22" s="23" t="n">
        <f aca="false">1000/K22</f>
        <v>339.934</v>
      </c>
      <c r="M22" s="24" t="n">
        <f aca="false">IFERROR(MATCH(B22-1,Q_End,1),0)+1</f>
        <v>15</v>
      </c>
      <c r="N22" s="24" t="n">
        <f aca="false">IFERROR(MATCH(D22-1,Q_End,1),0)+1</f>
        <v>29</v>
      </c>
      <c r="O22" s="24" t="n">
        <f aca="false">IF(SharePx&gt;=L22*J22,1,0)</f>
        <v>0</v>
      </c>
      <c r="P22" s="24" t="n">
        <f aca="false">CHOOSE(DilMethod,1,IF(DilPx&gt;L22,1,0),0)</f>
        <v>0</v>
      </c>
      <c r="Q22" s="22" t="s">
        <v>2266</v>
      </c>
      <c r="R22" s="22" t="s">
        <v>2282</v>
      </c>
      <c r="S22" s="49" t="n">
        <f aca="false">1</f>
        <v>1</v>
      </c>
      <c r="T22" s="135" t="n">
        <f aca="false">B22</f>
        <v>46613</v>
      </c>
    </row>
    <row r="23" customFormat="false" ht="15" hidden="false" customHeight="false" outlineLevel="0" collapsed="false">
      <c r="A23" s="0" t="s">
        <v>2285</v>
      </c>
      <c r="B23" s="136" t="n">
        <f aca="false">INDEX(Q_End,1,FP_CV2Idx-1)+45</f>
        <v>46613</v>
      </c>
      <c r="C23" s="137" t="n">
        <f aca="false">FP_CpnL</f>
        <v>0.045</v>
      </c>
      <c r="D23" s="136" t="n">
        <f aca="false">EDATE(B23,12*FP_TenL)</f>
        <v>49354</v>
      </c>
      <c r="E23" s="122" t="n">
        <f aca="false">FP_On*FP_CVOpen*FP_CV2Amt*(1-FP_ShortSh)</f>
        <v>2560</v>
      </c>
      <c r="F23" s="71" t="n">
        <v>0</v>
      </c>
      <c r="G23" s="71" t="n">
        <v>0</v>
      </c>
      <c r="H23" s="21" t="n">
        <v>0</v>
      </c>
      <c r="I23" s="21" t="n">
        <v>0</v>
      </c>
      <c r="J23" s="138" t="n">
        <f aca="false">FP_AccL</f>
        <v>1.25</v>
      </c>
      <c r="K23" s="139" t="n">
        <f aca="false">1000/(FP_RefPx*(1+FP_PremL))</f>
        <v>2.84030794618753</v>
      </c>
      <c r="L23" s="23" t="n">
        <f aca="false">1000/K23</f>
        <v>352.0745</v>
      </c>
      <c r="M23" s="24" t="n">
        <f aca="false">IFERROR(MATCH(B23-1,Q_End,1),0)+1</f>
        <v>15</v>
      </c>
      <c r="N23" s="24" t="n">
        <f aca="false">IFERROR(MATCH(D23-1,Q_End,1),0)+1</f>
        <v>29</v>
      </c>
      <c r="O23" s="24" t="n">
        <f aca="false">IF(SharePx&gt;=L23*J23,1,0)</f>
        <v>0</v>
      </c>
      <c r="P23" s="24" t="n">
        <f aca="false">CHOOSE(DilMethod,1,IF(DilPx&gt;L23,1,0),0)</f>
        <v>0</v>
      </c>
      <c r="Q23" s="22" t="s">
        <v>2266</v>
      </c>
      <c r="R23" s="22" t="s">
        <v>2282</v>
      </c>
      <c r="S23" s="49" t="n">
        <f aca="false">1</f>
        <v>1</v>
      </c>
      <c r="T23" s="135" t="n">
        <f aca="false">B23</f>
        <v>46613</v>
      </c>
    </row>
    <row r="24" customFormat="false" ht="15" hidden="false" customHeight="false" outlineLevel="0" collapsed="false">
      <c r="A24" s="3" t="s">
        <v>2286</v>
      </c>
      <c r="E24" s="72" t="n">
        <f aca="false">SUM(E12:E23)</f>
        <v>27050</v>
      </c>
      <c r="F24" s="72" t="n">
        <f aca="false">SUM(F12:F23)</f>
        <v>25</v>
      </c>
      <c r="G24" s="72" t="n">
        <f aca="false">SUM(G12:G23)</f>
        <v>800</v>
      </c>
      <c r="I24" s="72" t="n">
        <f aca="false">SUM(I12:I23)</f>
        <v>15.77</v>
      </c>
    </row>
    <row r="27" customFormat="false" ht="15" hidden="false" customHeight="false" outlineLevel="0" collapsed="false">
      <c r="A27" s="58" t="s">
        <v>2287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</row>
    <row r="28" customFormat="false" ht="15" hidden="false" customHeight="false" outlineLevel="0" collapsed="false">
      <c r="A28" s="107" t="s">
        <v>2288</v>
      </c>
      <c r="B28" s="22" t="s">
        <v>613</v>
      </c>
      <c r="C28" s="22" t="s">
        <v>604</v>
      </c>
      <c r="D28" s="22"/>
      <c r="F28" s="124" t="n">
        <f aca="false">IF(AND(F$5&gt;=$M$12,F$5&lt;$N$12),$E$12-$F$12-IF(F$5&gt;=$H$12,$G$12,0),0)*($H$12&lt;&gt;0)+IF(AND(F$5&gt;=$M$12,F$5&lt;$N$12),$E$12-$F$12,0)*($H$12=0)</f>
        <v>0</v>
      </c>
      <c r="G28" s="124" t="n">
        <f aca="false">IF(AND(G$5&gt;=$M$12,G$5&lt;$N$12),$E$12-$F$12-IF(G$5&gt;=$H$12,$G$12,0),0)*($H$12&lt;&gt;0)+IF(AND(G$5&gt;=$M$12,G$5&lt;$N$12),$E$12-$F$12,0)*($H$12=0)</f>
        <v>0</v>
      </c>
      <c r="H28" s="124" t="n">
        <f aca="false">IF(AND(H$5&gt;=$M$12,H$5&lt;$N$12),$E$12-$F$12-IF(H$5&gt;=$H$12,$G$12,0),0)*($H$12&lt;&gt;0)+IF(AND(H$5&gt;=$M$12,H$5&lt;$N$12),$E$12-$F$12,0)*($H$12=0)</f>
        <v>0</v>
      </c>
      <c r="I28" s="124" t="n">
        <f aca="false">IF(AND(I$5&gt;=$M$12,I$5&lt;$N$12),$E$12-$F$12-IF(I$5&gt;=$H$12,$G$12,0),0)*($H$12&lt;&gt;0)+IF(AND(I$5&gt;=$M$12,I$5&lt;$N$12),$E$12-$F$12,0)*($H$12=0)</f>
        <v>0</v>
      </c>
      <c r="J28" s="124" t="n">
        <f aca="false">IF(AND(J$5&gt;=$M$12,J$5&lt;$N$12),$E$12-$F$12-IF(J$5&gt;=$H$12,$G$12,0),0)*($H$12&lt;&gt;0)+IF(AND(J$5&gt;=$M$12,J$5&lt;$N$12),$E$12-$F$12,0)*($H$12=0)</f>
        <v>0</v>
      </c>
      <c r="K28" s="124" t="n">
        <f aca="false">IF(AND(K$5&gt;=$M$12,K$5&lt;$N$12),$E$12-$F$12-IF(K$5&gt;=$H$12,$G$12,0),0)*($H$12&lt;&gt;0)+IF(AND(K$5&gt;=$M$12,K$5&lt;$N$12),$E$12-$F$12,0)*($H$12=0)</f>
        <v>487.5</v>
      </c>
      <c r="L28" s="124" t="n">
        <f aca="false">IF(AND(L$5&gt;=$M$12,L$5&lt;$N$12),$E$12-$F$12-IF(L$5&gt;=$H$12,$G$12,0),0)*($H$12&lt;&gt;0)+IF(AND(L$5&gt;=$M$12,L$5&lt;$N$12),$E$12-$F$12,0)*($H$12=0)</f>
        <v>487.5</v>
      </c>
      <c r="M28" s="124" t="n">
        <f aca="false">IF(AND(M$5&gt;=$M$12,M$5&lt;$N$12),$E$12-$F$12-IF(M$5&gt;=$H$12,$G$12,0),0)*($H$12&lt;&gt;0)+IF(AND(M$5&gt;=$M$12,M$5&lt;$N$12),$E$12-$F$12,0)*($H$12=0)</f>
        <v>487.5</v>
      </c>
      <c r="N28" s="124" t="n">
        <f aca="false">IF(AND(N$5&gt;=$M$12,N$5&lt;$N$12),$E$12-$F$12-IF(N$5&gt;=$H$12,$G$12,0),0)*($H$12&lt;&gt;0)+IF(AND(N$5&gt;=$M$12,N$5&lt;$N$12),$E$12-$F$12,0)*($H$12=0)</f>
        <v>487.5</v>
      </c>
      <c r="O28" s="124" t="n">
        <f aca="false">IF(AND(O$5&gt;=$M$12,O$5&lt;$N$12),$E$12-$F$12-IF(O$5&gt;=$H$12,$G$12,0),0)*($H$12&lt;&gt;0)+IF(AND(O$5&gt;=$M$12,O$5&lt;$N$12),$E$12-$F$12,0)*($H$12=0)</f>
        <v>487.5</v>
      </c>
      <c r="P28" s="125" t="n">
        <f aca="false">IF(AND(P$5&gt;=$M$12,P$5&lt;$N$12),$E$12-$F$12-IF(P$5&gt;=$H$12,$G$12,0),0)*($H$12&lt;&gt;0)+IF(AND(P$5&gt;=$M$12,P$5&lt;$N$12),$E$12-$F$12,0)*($H$12=0)</f>
        <v>87.5</v>
      </c>
      <c r="Q28" s="125" t="n">
        <f aca="false">IF(AND(Q$5&gt;=$M$12,Q$5&lt;$N$12),$E$12-$F$12-IF(Q$5&gt;=$H$12,$G$12,0),0)*($H$12&lt;&gt;0)+IF(AND(Q$5&gt;=$M$12,Q$5&lt;$N$12),$E$12-$F$12,0)*($H$12=0)</f>
        <v>87.5</v>
      </c>
      <c r="R28" s="125" t="n">
        <f aca="false">IF(AND(R$5&gt;=$M$12,R$5&lt;$N$12),$E$12-$F$12-IF(R$5&gt;=$H$12,$G$12,0),0)*($H$12&lt;&gt;0)+IF(AND(R$5&gt;=$M$12,R$5&lt;$N$12),$E$12-$F$12,0)*($H$12=0)</f>
        <v>87.5</v>
      </c>
      <c r="S28" s="125" t="n">
        <f aca="false">IF(AND(S$5&gt;=$M$12,S$5&lt;$N$12),$E$12-$F$12-IF(S$5&gt;=$H$12,$G$12,0),0)*($H$12&lt;&gt;0)+IF(AND(S$5&gt;=$M$12,S$5&lt;$N$12),$E$12-$F$12,0)*($H$12=0)</f>
        <v>87.5</v>
      </c>
      <c r="T28" s="125" t="n">
        <f aca="false">IF(AND(T$5&gt;=$M$12,T$5&lt;$N$12),$E$12-$F$12-IF(T$5&gt;=$H$12,$G$12,0),0)*($H$12&lt;&gt;0)+IF(AND(T$5&gt;=$M$12,T$5&lt;$N$12),$E$12-$F$12,0)*($H$12=0)</f>
        <v>87.5</v>
      </c>
      <c r="U28" s="125" t="n">
        <f aca="false">IF(AND(U$5&gt;=$M$12,U$5&lt;$N$12),$E$12-$F$12-IF(U$5&gt;=$H$12,$G$12,0),0)*($H$12&lt;&gt;0)+IF(AND(U$5&gt;=$M$12,U$5&lt;$N$12),$E$12-$F$12,0)*($H$12=0)</f>
        <v>87.5</v>
      </c>
      <c r="V28" s="125" t="n">
        <f aca="false">IF(AND(V$5&gt;=$M$12,V$5&lt;$N$12),$E$12-$F$12-IF(V$5&gt;=$H$12,$G$12,0),0)*($H$12&lt;&gt;0)+IF(AND(V$5&gt;=$M$12,V$5&lt;$N$12),$E$12-$F$12,0)*($H$12=0)</f>
        <v>87.5</v>
      </c>
      <c r="W28" s="125" t="n">
        <f aca="false">IF(AND(W$5&gt;=$M$12,W$5&lt;$N$12),$E$12-$F$12-IF(W$5&gt;=$H$12,$G$12,0),0)*($H$12&lt;&gt;0)+IF(AND(W$5&gt;=$M$12,W$5&lt;$N$12),$E$12-$F$12,0)*($H$12=0)</f>
        <v>87.5</v>
      </c>
      <c r="X28" s="125" t="n">
        <f aca="false">IF(AND(X$5&gt;=$M$12,X$5&lt;$N$12),$E$12-$F$12-IF(X$5&gt;=$H$12,$G$12,0),0)*($H$12&lt;&gt;0)+IF(AND(X$5&gt;=$M$12,X$5&lt;$N$12),$E$12-$F$12,0)*($H$12=0)</f>
        <v>87.5</v>
      </c>
      <c r="Y28" s="125" t="n">
        <f aca="false">IF(AND(Y$5&gt;=$M$12,Y$5&lt;$N$12),$E$12-$F$12-IF(Y$5&gt;=$H$12,$G$12,0),0)*($H$12&lt;&gt;0)+IF(AND(Y$5&gt;=$M$12,Y$5&lt;$N$12),$E$12-$F$12,0)*($H$12=0)</f>
        <v>87.5</v>
      </c>
      <c r="Z28" s="125" t="n">
        <f aca="false">IF(AND(Z$5&gt;=$M$12,Z$5&lt;$N$12),$E$12-$F$12-IF(Z$5&gt;=$H$12,$G$12,0),0)*($H$12&lt;&gt;0)+IF(AND(Z$5&gt;=$M$12,Z$5&lt;$N$12),$E$12-$F$12,0)*($H$12=0)</f>
        <v>87.5</v>
      </c>
      <c r="AA28" s="125" t="n">
        <f aca="false">IF(AND(AA$5&gt;=$M$12,AA$5&lt;$N$12),$E$12-$F$12-IF(AA$5&gt;=$H$12,$G$12,0),0)*($H$12&lt;&gt;0)+IF(AND(AA$5&gt;=$M$12,AA$5&lt;$N$12),$E$12-$F$12,0)*($H$12=0)</f>
        <v>0</v>
      </c>
      <c r="AB28" s="125" t="n">
        <f aca="false">IF(AND(AB$5&gt;=$M$12,AB$5&lt;$N$12),$E$12-$F$12-IF(AB$5&gt;=$H$12,$G$12,0),0)*($H$12&lt;&gt;0)+IF(AND(AB$5&gt;=$M$12,AB$5&lt;$N$12),$E$12-$F$12,0)*($H$12=0)</f>
        <v>0</v>
      </c>
      <c r="AC28" s="125" t="n">
        <f aca="false">IF(AND(AC$5&gt;=$M$12,AC$5&lt;$N$12),$E$12-$F$12-IF(AC$5&gt;=$H$12,$G$12,0),0)*($H$12&lt;&gt;0)+IF(AND(AC$5&gt;=$M$12,AC$5&lt;$N$12),$E$12-$F$12,0)*($H$12=0)</f>
        <v>0</v>
      </c>
      <c r="AD28" s="125" t="n">
        <f aca="false">IF(AND(AD$5&gt;=$M$12,AD$5&lt;$N$12),$E$12-$F$12-IF(AD$5&gt;=$H$12,$G$12,0),0)*($H$12&lt;&gt;0)+IF(AND(AD$5&gt;=$M$12,AD$5&lt;$N$12),$E$12-$F$12,0)*($H$12=0)</f>
        <v>0</v>
      </c>
      <c r="AE28" s="125" t="n">
        <f aca="false">IF(AND(AE$5&gt;=$M$12,AE$5&lt;$N$12),$E$12-$F$12-IF(AE$5&gt;=$H$12,$G$12,0),0)*($H$12&lt;&gt;0)+IF(AND(AE$5&gt;=$M$12,AE$5&lt;$N$12),$E$12-$F$12,0)*($H$12=0)</f>
        <v>0</v>
      </c>
      <c r="AF28" s="125" t="n">
        <f aca="false">IF(AND(AF$5&gt;=$M$12,AF$5&lt;$N$12),$E$12-$F$12-IF(AF$5&gt;=$H$12,$G$12,0),0)*($H$12&lt;&gt;0)+IF(AND(AF$5&gt;=$M$12,AF$5&lt;$N$12),$E$12-$F$12,0)*($H$12=0)</f>
        <v>0</v>
      </c>
      <c r="AG28" s="125" t="n">
        <f aca="false">IF(AND(AG$5&gt;=$M$12,AG$5&lt;$N$12),$E$12-$F$12-IF(AG$5&gt;=$H$12,$G$12,0),0)*($H$12&lt;&gt;0)+IF(AND(AG$5&gt;=$M$12,AG$5&lt;$N$12),$E$12-$F$12,0)*($H$12=0)</f>
        <v>0</v>
      </c>
      <c r="AI28" s="125" t="n">
        <f aca="false">INDEX($F28:$AG28,1,MATCH(AI$7,$F$7:$AG$7,1))</f>
        <v>0</v>
      </c>
      <c r="AJ28" s="125" t="n">
        <f aca="false">INDEX($F28:$AG28,1,MATCH(AJ$7,$F$7:$AG$7,1))</f>
        <v>487.5</v>
      </c>
      <c r="AK28" s="125" t="n">
        <f aca="false">INDEX($F28:$AG28,1,MATCH(AK$7,$F$7:$AG$7,1))</f>
        <v>87.5</v>
      </c>
      <c r="AL28" s="125" t="n">
        <f aca="false">INDEX($F28:$AG28,1,MATCH(AL$7,$F$7:$AG$7,1))</f>
        <v>87.5</v>
      </c>
      <c r="AM28" s="125" t="n">
        <f aca="false">INDEX($F28:$AG28,1,MATCH(AM$7,$F$7:$AG$7,1))</f>
        <v>87.5</v>
      </c>
      <c r="AN28" s="125" t="n">
        <f aca="false">INDEX($F28:$AG28,1,MATCH(AN$7,$F$7:$AG$7,1))</f>
        <v>0</v>
      </c>
      <c r="AO28" s="125" t="n">
        <f aca="false">INDEX($F28:$AG28,1,MATCH(AO$7,$F$7:$AG$7,1))</f>
        <v>0</v>
      </c>
    </row>
    <row r="29" customFormat="false" ht="15" hidden="false" customHeight="false" outlineLevel="0" collapsed="false">
      <c r="A29" s="107" t="s">
        <v>2289</v>
      </c>
      <c r="B29" s="22" t="s">
        <v>613</v>
      </c>
      <c r="C29" s="22" t="s">
        <v>604</v>
      </c>
      <c r="D29" s="22"/>
      <c r="F29" s="124" t="n">
        <f aca="false">F28*$C$12/4</f>
        <v>0</v>
      </c>
      <c r="G29" s="124" t="n">
        <f aca="false">G28*$C$12/4</f>
        <v>0</v>
      </c>
      <c r="H29" s="124" t="n">
        <f aca="false">H28*$C$12/4</f>
        <v>0</v>
      </c>
      <c r="I29" s="124" t="n">
        <f aca="false">I28*$C$12/4</f>
        <v>0</v>
      </c>
      <c r="J29" s="124" t="n">
        <f aca="false">J28*$C$12/4</f>
        <v>0</v>
      </c>
      <c r="K29" s="124" t="n">
        <f aca="false">K28*$C$12/4</f>
        <v>2.4375</v>
      </c>
      <c r="L29" s="124" t="n">
        <f aca="false">L28*$C$12/4</f>
        <v>2.4375</v>
      </c>
      <c r="M29" s="124" t="n">
        <f aca="false">M28*$C$12/4</f>
        <v>2.4375</v>
      </c>
      <c r="N29" s="124" t="n">
        <f aca="false">N28*$C$12/4</f>
        <v>2.4375</v>
      </c>
      <c r="O29" s="124" t="n">
        <f aca="false">O28*$C$12/4</f>
        <v>2.4375</v>
      </c>
      <c r="P29" s="125" t="n">
        <f aca="false">P28*$C$12/4</f>
        <v>0.4375</v>
      </c>
      <c r="Q29" s="125" t="n">
        <f aca="false">Q28*$C$12/4</f>
        <v>0.4375</v>
      </c>
      <c r="R29" s="125" t="n">
        <f aca="false">R28*$C$12/4</f>
        <v>0.4375</v>
      </c>
      <c r="S29" s="125" t="n">
        <f aca="false">S28*$C$12/4</f>
        <v>0.4375</v>
      </c>
      <c r="T29" s="125" t="n">
        <f aca="false">T28*$C$12/4</f>
        <v>0.4375</v>
      </c>
      <c r="U29" s="125" t="n">
        <f aca="false">U28*$C$12/4</f>
        <v>0.4375</v>
      </c>
      <c r="V29" s="125" t="n">
        <f aca="false">V28*$C$12/4</f>
        <v>0.4375</v>
      </c>
      <c r="W29" s="125" t="n">
        <f aca="false">W28*$C$12/4</f>
        <v>0.4375</v>
      </c>
      <c r="X29" s="125" t="n">
        <f aca="false">X28*$C$12/4</f>
        <v>0.4375</v>
      </c>
      <c r="Y29" s="125" t="n">
        <f aca="false">Y28*$C$12/4</f>
        <v>0.4375</v>
      </c>
      <c r="Z29" s="125" t="n">
        <f aca="false">Z28*$C$12/4</f>
        <v>0.4375</v>
      </c>
      <c r="AA29" s="125" t="n">
        <f aca="false">AA28*$C$12/4</f>
        <v>0</v>
      </c>
      <c r="AB29" s="125" t="n">
        <f aca="false">AB28*$C$12/4</f>
        <v>0</v>
      </c>
      <c r="AC29" s="125" t="n">
        <f aca="false">AC28*$C$12/4</f>
        <v>0</v>
      </c>
      <c r="AD29" s="125" t="n">
        <f aca="false">AD28*$C$12/4</f>
        <v>0</v>
      </c>
      <c r="AE29" s="125" t="n">
        <f aca="false">AE28*$C$12/4</f>
        <v>0</v>
      </c>
      <c r="AF29" s="125" t="n">
        <f aca="false">AF28*$C$12/4</f>
        <v>0</v>
      </c>
      <c r="AG29" s="125" t="n">
        <f aca="false">AG28*$C$12/4</f>
        <v>0</v>
      </c>
      <c r="AI29" s="125" t="n">
        <f aca="false">SUMIF($F$7:$AG$7,AI$7,$F29:$AG29)</f>
        <v>0</v>
      </c>
      <c r="AJ29" s="125" t="n">
        <f aca="false">SUMIF($F$7:$AG$7,AJ$7,$F29:$AG29)</f>
        <v>7.3125</v>
      </c>
      <c r="AK29" s="125" t="n">
        <f aca="false">SUMIF($F$7:$AG$7,AK$7,$F29:$AG29)</f>
        <v>5.75</v>
      </c>
      <c r="AL29" s="125" t="n">
        <f aca="false">SUMIF($F$7:$AG$7,AL$7,$F29:$AG29)</f>
        <v>1.75</v>
      </c>
      <c r="AM29" s="125" t="n">
        <f aca="false">SUMIF($F$7:$AG$7,AM$7,$F29:$AG29)</f>
        <v>1.75</v>
      </c>
      <c r="AN29" s="125" t="n">
        <f aca="false">SUMIF($F$7:$AG$7,AN$7,$F29:$AG29)</f>
        <v>0.4375</v>
      </c>
      <c r="AO29" s="125" t="n">
        <f aca="false">SUMIF($F$7:$AG$7,AO$7,$F29:$AG29)</f>
        <v>0</v>
      </c>
    </row>
    <row r="30" customFormat="false" ht="15" hidden="false" customHeight="false" outlineLevel="0" collapsed="false">
      <c r="A30" s="107" t="s">
        <v>2290</v>
      </c>
      <c r="B30" s="22" t="s">
        <v>613</v>
      </c>
      <c r="C30" s="22" t="s">
        <v>604</v>
      </c>
      <c r="D30" s="22"/>
      <c r="F30" s="124" t="n">
        <f aca="false">F28*($J$12-1)/(($D$12-$B$12)/91.3125)</f>
        <v>0</v>
      </c>
      <c r="G30" s="124" t="n">
        <f aca="false">G28*($J$12-1)/(($D$12-$B$12)/91.3125)</f>
        <v>0</v>
      </c>
      <c r="H30" s="124" t="n">
        <f aca="false">H28*($J$12-1)/(($D$12-$B$12)/91.3125)</f>
        <v>0</v>
      </c>
      <c r="I30" s="124" t="n">
        <f aca="false">I28*($J$12-1)/(($D$12-$B$12)/91.3125)</f>
        <v>0</v>
      </c>
      <c r="J30" s="124" t="n">
        <f aca="false">J28*($J$12-1)/(($D$12-$B$12)/91.3125)</f>
        <v>0</v>
      </c>
      <c r="K30" s="124" t="n">
        <f aca="false">K28*($J$12-1)/(($D$12-$B$12)/91.3125)</f>
        <v>5.34666963366507</v>
      </c>
      <c r="L30" s="124" t="n">
        <f aca="false">L28*($J$12-1)/(($D$12-$B$12)/91.3125)</f>
        <v>5.34666963366507</v>
      </c>
      <c r="M30" s="124" t="n">
        <f aca="false">M28*($J$12-1)/(($D$12-$B$12)/91.3125)</f>
        <v>5.34666963366507</v>
      </c>
      <c r="N30" s="124" t="n">
        <f aca="false">N28*($J$12-1)/(($D$12-$B$12)/91.3125)</f>
        <v>5.34666963366507</v>
      </c>
      <c r="O30" s="124" t="n">
        <f aca="false">O28*($J$12-1)/(($D$12-$B$12)/91.3125)</f>
        <v>5.34666963366507</v>
      </c>
      <c r="P30" s="125" t="n">
        <f aca="false">P28*($J$12-1)/(($D$12-$B$12)/91.3125)</f>
        <v>0.959658652196294</v>
      </c>
      <c r="Q30" s="125" t="n">
        <f aca="false">Q28*($J$12-1)/(($D$12-$B$12)/91.3125)</f>
        <v>0.959658652196294</v>
      </c>
      <c r="R30" s="125" t="n">
        <f aca="false">R28*($J$12-1)/(($D$12-$B$12)/91.3125)</f>
        <v>0.959658652196294</v>
      </c>
      <c r="S30" s="125" t="n">
        <f aca="false">S28*($J$12-1)/(($D$12-$B$12)/91.3125)</f>
        <v>0.959658652196294</v>
      </c>
      <c r="T30" s="125" t="n">
        <f aca="false">T28*($J$12-1)/(($D$12-$B$12)/91.3125)</f>
        <v>0.959658652196294</v>
      </c>
      <c r="U30" s="125" t="n">
        <f aca="false">U28*($J$12-1)/(($D$12-$B$12)/91.3125)</f>
        <v>0.959658652196294</v>
      </c>
      <c r="V30" s="125" t="n">
        <f aca="false">V28*($J$12-1)/(($D$12-$B$12)/91.3125)</f>
        <v>0.959658652196294</v>
      </c>
      <c r="W30" s="125" t="n">
        <f aca="false">W28*($J$12-1)/(($D$12-$B$12)/91.3125)</f>
        <v>0.959658652196294</v>
      </c>
      <c r="X30" s="125" t="n">
        <f aca="false">X28*($J$12-1)/(($D$12-$B$12)/91.3125)</f>
        <v>0.959658652196294</v>
      </c>
      <c r="Y30" s="125" t="n">
        <f aca="false">Y28*($J$12-1)/(($D$12-$B$12)/91.3125)</f>
        <v>0.959658652196294</v>
      </c>
      <c r="Z30" s="125" t="n">
        <f aca="false">Z28*($J$12-1)/(($D$12-$B$12)/91.3125)</f>
        <v>0.959658652196294</v>
      </c>
      <c r="AA30" s="125" t="n">
        <f aca="false">AA28*($J$12-1)/(($D$12-$B$12)/91.3125)</f>
        <v>0</v>
      </c>
      <c r="AB30" s="125" t="n">
        <f aca="false">AB28*($J$12-1)/(($D$12-$B$12)/91.3125)</f>
        <v>0</v>
      </c>
      <c r="AC30" s="125" t="n">
        <f aca="false">AC28*($J$12-1)/(($D$12-$B$12)/91.3125)</f>
        <v>0</v>
      </c>
      <c r="AD30" s="125" t="n">
        <f aca="false">AD28*($J$12-1)/(($D$12-$B$12)/91.3125)</f>
        <v>0</v>
      </c>
      <c r="AE30" s="125" t="n">
        <f aca="false">AE28*($J$12-1)/(($D$12-$B$12)/91.3125)</f>
        <v>0</v>
      </c>
      <c r="AF30" s="125" t="n">
        <f aca="false">AF28*($J$12-1)/(($D$12-$B$12)/91.3125)</f>
        <v>0</v>
      </c>
      <c r="AG30" s="125" t="n">
        <f aca="false">AG28*($J$12-1)/(($D$12-$B$12)/91.3125)</f>
        <v>0</v>
      </c>
      <c r="AI30" s="125" t="n">
        <f aca="false">SUMIF($F$7:$AG$7,AI$7,$F30:$AG30)</f>
        <v>0</v>
      </c>
      <c r="AJ30" s="125" t="n">
        <f aca="false">SUMIF($F$7:$AG$7,AJ$7,$F30:$AG30)</f>
        <v>16.0400089009952</v>
      </c>
      <c r="AK30" s="125" t="n">
        <f aca="false">SUMIF($F$7:$AG$7,AK$7,$F30:$AG30)</f>
        <v>12.6126565717227</v>
      </c>
      <c r="AL30" s="125" t="n">
        <f aca="false">SUMIF($F$7:$AG$7,AL$7,$F30:$AG30)</f>
        <v>3.83863460878518</v>
      </c>
      <c r="AM30" s="125" t="n">
        <f aca="false">SUMIF($F$7:$AG$7,AM$7,$F30:$AG30)</f>
        <v>3.83863460878518</v>
      </c>
      <c r="AN30" s="125" t="n">
        <f aca="false">SUMIF($F$7:$AG$7,AN$7,$F30:$AG30)</f>
        <v>0.959658652196294</v>
      </c>
      <c r="AO30" s="125" t="n">
        <f aca="false">SUMIF($F$7:$AG$7,AO$7,$F30:$AG30)</f>
        <v>0</v>
      </c>
    </row>
    <row r="31" customFormat="false" ht="15" hidden="false" customHeight="false" outlineLevel="0" collapsed="false">
      <c r="A31" s="107" t="s">
        <v>2291</v>
      </c>
      <c r="B31" s="22" t="s">
        <v>613</v>
      </c>
      <c r="C31" s="22" t="s">
        <v>604</v>
      </c>
      <c r="D31" s="22"/>
      <c r="F31" s="124" t="n">
        <f aca="false">F28*(1+($J$12-1)*MIN(1,MAX(0,(F$4-$B$12)/($D$12-$B$12))))</f>
        <v>0</v>
      </c>
      <c r="G31" s="124" t="n">
        <f aca="false">G28*(1+($J$12-1)*MIN(1,MAX(0,(G$4-$B$12)/($D$12-$B$12))))</f>
        <v>0</v>
      </c>
      <c r="H31" s="124" t="n">
        <f aca="false">H28*(1+($J$12-1)*MIN(1,MAX(0,(H$4-$B$12)/($D$12-$B$12))))</f>
        <v>0</v>
      </c>
      <c r="I31" s="124" t="n">
        <f aca="false">I28*(1+($J$12-1)*MIN(1,MAX(0,(I$4-$B$12)/($D$12-$B$12))))</f>
        <v>0</v>
      </c>
      <c r="J31" s="124" t="n">
        <f aca="false">J28*(1+($J$12-1)*MIN(1,MAX(0,(J$4-$B$12)/($D$12-$B$12))))</f>
        <v>0</v>
      </c>
      <c r="K31" s="124" t="n">
        <f aca="false">K28*(1+($J$12-1)*MIN(1,MAX(0,(K$4-$B$12)/($D$12-$B$12))))</f>
        <v>488.963838366507</v>
      </c>
      <c r="L31" s="124" t="n">
        <f aca="false">L28*(1+($J$12-1)*MIN(1,MAX(0,(L$4-$B$12)/($D$12-$B$12))))</f>
        <v>494.35076355525</v>
      </c>
      <c r="M31" s="124" t="n">
        <f aca="false">M28*(1+($J$12-1)*MIN(1,MAX(0,(M$4-$B$12)/($D$12-$B$12))))</f>
        <v>499.737688743995</v>
      </c>
      <c r="N31" s="124" t="n">
        <f aca="false">N28*(1+($J$12-1)*MIN(1,MAX(0,(N$4-$B$12)/($D$12-$B$12))))</f>
        <v>505.007506863418</v>
      </c>
      <c r="O31" s="124" t="n">
        <f aca="false">O28*(1+($J$12-1)*MIN(1,MAX(0,(O$4-$B$12)/($D$12-$B$12))))</f>
        <v>510.335878517502</v>
      </c>
      <c r="P31" s="125" t="n">
        <f aca="false">P28*(1+($J$12-1)*MIN(1,MAX(0,(P$4-$B$12)/($D$12-$B$12))))</f>
        <v>92.5656314344544</v>
      </c>
      <c r="Q31" s="125" t="n">
        <f aca="false">Q28*(1+($J$12-1)*MIN(1,MAX(0,(Q$4-$B$12)/($D$12-$B$12))))</f>
        <v>93.5325154426905</v>
      </c>
      <c r="R31" s="125" t="n">
        <f aca="false">R28*(1+($J$12-1)*MIN(1,MAX(0,(R$4-$B$12)/($D$12-$B$12))))</f>
        <v>94.4783802333562</v>
      </c>
      <c r="S31" s="125" t="n">
        <f aca="false">S28*(1+($J$12-1)*MIN(1,MAX(0,(S$4-$B$12)/($D$12-$B$12))))</f>
        <v>95.4347546328071</v>
      </c>
      <c r="T31" s="125" t="n">
        <f aca="false">T28*(1+($J$12-1)*MIN(1,MAX(0,(T$4-$B$12)/($D$12-$B$12))))</f>
        <v>96.4016386410432</v>
      </c>
      <c r="U31" s="125" t="n">
        <f aca="false">U28*(1+($J$12-1)*MIN(1,MAX(0,(U$4-$B$12)/($D$12-$B$12))))</f>
        <v>97.3685226492793</v>
      </c>
      <c r="V31" s="125" t="n">
        <f aca="false">V28*(1+($J$12-1)*MIN(1,MAX(0,(V$4-$B$12)/($D$12-$B$12))))</f>
        <v>98.3248970487303</v>
      </c>
      <c r="W31" s="125" t="n">
        <f aca="false">W28*(1+($J$12-1)*MIN(1,MAX(0,(W$4-$B$12)/($D$12-$B$12))))</f>
        <v>99.2812714481812</v>
      </c>
      <c r="X31" s="125" t="n">
        <f aca="false">X28*(1+($J$12-1)*MIN(1,MAX(0,(X$4-$B$12)/($D$12-$B$12))))</f>
        <v>100.248155456417</v>
      </c>
      <c r="Y31" s="125" t="n">
        <f aca="false">Y28*(1+($J$12-1)*MIN(1,MAX(0,(Y$4-$B$12)/($D$12-$B$12))))</f>
        <v>101.215039464653</v>
      </c>
      <c r="Z31" s="125" t="n">
        <f aca="false">Z28*(1+($J$12-1)*MIN(1,MAX(0,(Z$4-$B$12)/($D$12-$B$12))))</f>
        <v>102.160904255319</v>
      </c>
      <c r="AA31" s="125" t="n">
        <f aca="false">AA28*(1+($J$12-1)*MIN(1,MAX(0,(AA$4-$B$12)/($D$12-$B$12))))</f>
        <v>0</v>
      </c>
      <c r="AB31" s="125" t="n">
        <f aca="false">AB28*(1+($J$12-1)*MIN(1,MAX(0,(AB$4-$B$12)/($D$12-$B$12))))</f>
        <v>0</v>
      </c>
      <c r="AC31" s="125" t="n">
        <f aca="false">AC28*(1+($J$12-1)*MIN(1,MAX(0,(AC$4-$B$12)/($D$12-$B$12))))</f>
        <v>0</v>
      </c>
      <c r="AD31" s="125" t="n">
        <f aca="false">AD28*(1+($J$12-1)*MIN(1,MAX(0,(AD$4-$B$12)/($D$12-$B$12))))</f>
        <v>0</v>
      </c>
      <c r="AE31" s="125" t="n">
        <f aca="false">AE28*(1+($J$12-1)*MIN(1,MAX(0,(AE$4-$B$12)/($D$12-$B$12))))</f>
        <v>0</v>
      </c>
      <c r="AF31" s="125" t="n">
        <f aca="false">AF28*(1+($J$12-1)*MIN(1,MAX(0,(AF$4-$B$12)/($D$12-$B$12))))</f>
        <v>0</v>
      </c>
      <c r="AG31" s="125" t="n">
        <f aca="false">AG28*(1+($J$12-1)*MIN(1,MAX(0,(AG$4-$B$12)/($D$12-$B$12))))</f>
        <v>0</v>
      </c>
      <c r="AI31" s="125" t="n">
        <f aca="false">INDEX($F31:$AG31,1,MATCH(AI$7,$F$7:$AG$7,1))</f>
        <v>0</v>
      </c>
      <c r="AJ31" s="125" t="n">
        <f aca="false">INDEX($F31:$AG31,1,MATCH(AJ$7,$F$7:$AG$7,1))</f>
        <v>499.737688743995</v>
      </c>
      <c r="AK31" s="125" t="n">
        <f aca="false">INDEX($F31:$AG31,1,MATCH(AK$7,$F$7:$AG$7,1))</f>
        <v>93.5325154426905</v>
      </c>
      <c r="AL31" s="125" t="n">
        <f aca="false">INDEX($F31:$AG31,1,MATCH(AL$7,$F$7:$AG$7,1))</f>
        <v>97.3685226492793</v>
      </c>
      <c r="AM31" s="125" t="n">
        <f aca="false">INDEX($F31:$AG31,1,MATCH(AM$7,$F$7:$AG$7,1))</f>
        <v>101.215039464653</v>
      </c>
      <c r="AN31" s="125" t="n">
        <f aca="false">INDEX($F31:$AG31,1,MATCH(AN$7,$F$7:$AG$7,1))</f>
        <v>0</v>
      </c>
      <c r="AO31" s="125" t="n">
        <f aca="false">INDEX($F31:$AG31,1,MATCH(AO$7,$F$7:$AG$7,1))</f>
        <v>0</v>
      </c>
    </row>
    <row r="32" customFormat="false" ht="15" hidden="false" customHeight="false" outlineLevel="0" collapsed="false">
      <c r="A32" s="107" t="s">
        <v>2292</v>
      </c>
      <c r="B32" s="22" t="s">
        <v>613</v>
      </c>
      <c r="C32" s="22" t="s">
        <v>604</v>
      </c>
      <c r="D32" s="22"/>
      <c r="F32" s="124" t="n">
        <f aca="false">F28*($S$12+($J$12-$S$12)*MIN(1,MAX(0,(F$4-$T$12)/($D$12-$T$12))))</f>
        <v>0</v>
      </c>
      <c r="G32" s="124" t="n">
        <f aca="false">G28*($S$12+($J$12-$S$12)*MIN(1,MAX(0,(G$4-$T$12)/($D$12-$T$12))))</f>
        <v>0</v>
      </c>
      <c r="H32" s="124" t="n">
        <f aca="false">H28*($S$12+($J$12-$S$12)*MIN(1,MAX(0,(H$4-$T$12)/($D$12-$T$12))))</f>
        <v>0</v>
      </c>
      <c r="I32" s="124" t="n">
        <f aca="false">I28*($S$12+($J$12-$S$12)*MIN(1,MAX(0,(I$4-$T$12)/($D$12-$T$12))))</f>
        <v>0</v>
      </c>
      <c r="J32" s="124" t="n">
        <f aca="false">J28*($S$12+($J$12-$S$12)*MIN(1,MAX(0,(J$4-$T$12)/($D$12-$T$12))))</f>
        <v>0</v>
      </c>
      <c r="K32" s="124" t="n">
        <f aca="false">K28*($S$12+($J$12-$S$12)*MIN(1,MAX(0,(K$4-$T$12)/($D$12-$T$12))))</f>
        <v>504.0998625</v>
      </c>
      <c r="L32" s="124" t="n">
        <f aca="false">L28*($S$12+($J$12-$S$12)*MIN(1,MAX(0,(L$4-$T$12)/($D$12-$T$12))))</f>
        <v>504.0998625</v>
      </c>
      <c r="M32" s="124" t="n">
        <f aca="false">M28*($S$12+($J$12-$S$12)*MIN(1,MAX(0,(M$4-$T$12)/($D$12-$T$12))))</f>
        <v>504.0998625</v>
      </c>
      <c r="N32" s="124" t="n">
        <f aca="false">N28*($S$12+($J$12-$S$12)*MIN(1,MAX(0,(N$4-$T$12)/($D$12-$T$12))))</f>
        <v>504.0998625</v>
      </c>
      <c r="O32" s="124" t="n">
        <f aca="false">O28*($S$12+($J$12-$S$12)*MIN(1,MAX(0,(O$4-$T$12)/($D$12-$T$12))))</f>
        <v>504.0998625</v>
      </c>
      <c r="P32" s="125" t="n">
        <f aca="false">P28*($S$12+($J$12-$S$12)*MIN(1,MAX(0,(P$4-$T$12)/($D$12-$T$12))))</f>
        <v>91.5428546743205</v>
      </c>
      <c r="Q32" s="125" t="n">
        <f aca="false">Q28*($S$12+($J$12-$S$12)*MIN(1,MAX(0,(Q$4-$T$12)/($D$12-$T$12))))</f>
        <v>92.6062468486411</v>
      </c>
      <c r="R32" s="125" t="n">
        <f aca="false">R28*($S$12+($J$12-$S$12)*MIN(1,MAX(0,(R$4-$T$12)/($D$12-$T$12))))</f>
        <v>93.6465218017807</v>
      </c>
      <c r="S32" s="125" t="n">
        <f aca="false">S28*($S$12+($J$12-$S$12)*MIN(1,MAX(0,(S$4-$T$12)/($D$12-$T$12))))</f>
        <v>94.6983553655108</v>
      </c>
      <c r="T32" s="125" t="n">
        <f aca="false">T28*($S$12+($J$12-$S$12)*MIN(1,MAX(0,(T$4-$T$12)/($D$12-$T$12))))</f>
        <v>95.7617475398313</v>
      </c>
      <c r="U32" s="125" t="n">
        <f aca="false">U28*($S$12+($J$12-$S$12)*MIN(1,MAX(0,(U$4-$T$12)/($D$12-$T$12))))</f>
        <v>96.8251397141519</v>
      </c>
      <c r="V32" s="125" t="n">
        <f aca="false">V28*($S$12+($J$12-$S$12)*MIN(1,MAX(0,(V$4-$T$12)/($D$12-$T$12))))</f>
        <v>97.8769732778819</v>
      </c>
      <c r="W32" s="125" t="n">
        <f aca="false">W28*($S$12+($J$12-$S$12)*MIN(1,MAX(0,(W$4-$T$12)/($D$12-$T$12))))</f>
        <v>98.928806841612</v>
      </c>
      <c r="X32" s="125" t="n">
        <f aca="false">X28*($S$12+($J$12-$S$12)*MIN(1,MAX(0,(X$4-$T$12)/($D$12-$T$12))))</f>
        <v>99.9921990159325</v>
      </c>
      <c r="Y32" s="125" t="n">
        <f aca="false">Y28*($S$12+($J$12-$S$12)*MIN(1,MAX(0,(Y$4-$T$12)/($D$12-$T$12))))</f>
        <v>101.055591190253</v>
      </c>
      <c r="Z32" s="125" t="n">
        <f aca="false">Z28*($S$12+($J$12-$S$12)*MIN(1,MAX(0,(Z$4-$T$12)/($D$12-$T$12))))</f>
        <v>102.095866143393</v>
      </c>
      <c r="AA32" s="125" t="n">
        <f aca="false">AA28*($S$12+($J$12-$S$12)*MIN(1,MAX(0,(AA$4-$T$12)/($D$12-$T$12))))</f>
        <v>0</v>
      </c>
      <c r="AB32" s="125" t="n">
        <f aca="false">AB28*($S$12+($J$12-$S$12)*MIN(1,MAX(0,(AB$4-$T$12)/($D$12-$T$12))))</f>
        <v>0</v>
      </c>
      <c r="AC32" s="125" t="n">
        <f aca="false">AC28*($S$12+($J$12-$S$12)*MIN(1,MAX(0,(AC$4-$T$12)/($D$12-$T$12))))</f>
        <v>0</v>
      </c>
      <c r="AD32" s="125" t="n">
        <f aca="false">AD28*($S$12+($J$12-$S$12)*MIN(1,MAX(0,(AD$4-$T$12)/($D$12-$T$12))))</f>
        <v>0</v>
      </c>
      <c r="AE32" s="125" t="n">
        <f aca="false">AE28*($S$12+($J$12-$S$12)*MIN(1,MAX(0,(AE$4-$T$12)/($D$12-$T$12))))</f>
        <v>0</v>
      </c>
      <c r="AF32" s="125" t="n">
        <f aca="false">AF28*($S$12+($J$12-$S$12)*MIN(1,MAX(0,(AF$4-$T$12)/($D$12-$T$12))))</f>
        <v>0</v>
      </c>
      <c r="AG32" s="125" t="n">
        <f aca="false">AG28*($S$12+($J$12-$S$12)*MIN(1,MAX(0,(AG$4-$T$12)/($D$12-$T$12))))</f>
        <v>0</v>
      </c>
      <c r="AI32" s="125" t="n">
        <f aca="false">INDEX($F32:$AG32,1,MATCH(AI$7,$F$7:$AG$7,1))</f>
        <v>0</v>
      </c>
      <c r="AJ32" s="125" t="n">
        <f aca="false">INDEX($F32:$AG32,1,MATCH(AJ$7,$F$7:$AG$7,1))</f>
        <v>504.0998625</v>
      </c>
      <c r="AK32" s="125" t="n">
        <f aca="false">INDEX($F32:$AG32,1,MATCH(AK$7,$F$7:$AG$7,1))</f>
        <v>92.6062468486411</v>
      </c>
      <c r="AL32" s="125" t="n">
        <f aca="false">INDEX($F32:$AG32,1,MATCH(AL$7,$F$7:$AG$7,1))</f>
        <v>96.8251397141519</v>
      </c>
      <c r="AM32" s="125" t="n">
        <f aca="false">INDEX($F32:$AG32,1,MATCH(AM$7,$F$7:$AG$7,1))</f>
        <v>101.055591190253</v>
      </c>
      <c r="AN32" s="125" t="n">
        <f aca="false">INDEX($F32:$AG32,1,MATCH(AN$7,$F$7:$AG$7,1))</f>
        <v>0</v>
      </c>
      <c r="AO32" s="125" t="n">
        <f aca="false">INDEX($F32:$AG32,1,MATCH(AO$7,$F$7:$AG$7,1))</f>
        <v>0</v>
      </c>
    </row>
    <row r="33" customFormat="false" ht="15" hidden="false" customHeight="false" outlineLevel="0" collapsed="false">
      <c r="A33" s="107" t="s">
        <v>2293</v>
      </c>
      <c r="B33" s="22" t="s">
        <v>613</v>
      </c>
      <c r="C33" s="22" t="s">
        <v>604</v>
      </c>
      <c r="D33" s="22"/>
      <c r="F33" s="124" t="n">
        <f aca="false">IF(F$5=$N$12,E28*$J$12*(1-$O$12),0)</f>
        <v>0</v>
      </c>
      <c r="G33" s="124" t="n">
        <f aca="false">IF(G$5=$N$12,F28*$J$12*(1-$O$12),0)</f>
        <v>0</v>
      </c>
      <c r="H33" s="124" t="n">
        <f aca="false">IF(H$5=$N$12,G28*$J$12*(1-$O$12),0)</f>
        <v>0</v>
      </c>
      <c r="I33" s="124" t="n">
        <f aca="false">IF(I$5=$N$12,H28*$J$12*(1-$O$12),0)</f>
        <v>0</v>
      </c>
      <c r="J33" s="124" t="n">
        <f aca="false">IF(J$5=$N$12,I28*$J$12*(1-$O$12),0)</f>
        <v>0</v>
      </c>
      <c r="K33" s="124" t="n">
        <f aca="false">IF(K$5=$N$12,J28*$J$12*(1-$O$12),0)</f>
        <v>0</v>
      </c>
      <c r="L33" s="124" t="n">
        <f aca="false">IF(L$5=$N$12,K28*$J$12*(1-$O$12),0)</f>
        <v>0</v>
      </c>
      <c r="M33" s="124" t="n">
        <f aca="false">IF(M$5=$N$12,L28*$J$12*(1-$O$12),0)</f>
        <v>0</v>
      </c>
      <c r="N33" s="124" t="n">
        <f aca="false">IF(N$5=$N$12,M28*$J$12*(1-$O$12),0)</f>
        <v>0</v>
      </c>
      <c r="O33" s="124" t="n">
        <f aca="false">IF(O$5=$N$12,N28*$J$12*(1-$O$12),0)</f>
        <v>0</v>
      </c>
      <c r="P33" s="125" t="n">
        <f aca="false">IF(P$5=$N$12,O28*$J$12*(1-$O$12),0)</f>
        <v>0</v>
      </c>
      <c r="Q33" s="125" t="n">
        <f aca="false">IF(Q$5=$N$12,P28*$J$12*(1-$O$12),0)</f>
        <v>0</v>
      </c>
      <c r="R33" s="125" t="n">
        <f aca="false">IF(R$5=$N$12,Q28*$J$12*(1-$O$12),0)</f>
        <v>0</v>
      </c>
      <c r="S33" s="125" t="n">
        <f aca="false">IF(S$5=$N$12,R28*$J$12*(1-$O$12),0)</f>
        <v>0</v>
      </c>
      <c r="T33" s="125" t="n">
        <f aca="false">IF(T$5=$N$12,S28*$J$12*(1-$O$12),0)</f>
        <v>0</v>
      </c>
      <c r="U33" s="125" t="n">
        <f aca="false">IF(U$5=$N$12,T28*$J$12*(1-$O$12),0)</f>
        <v>0</v>
      </c>
      <c r="V33" s="125" t="n">
        <f aca="false">IF(V$5=$N$12,U28*$J$12*(1-$O$12),0)</f>
        <v>0</v>
      </c>
      <c r="W33" s="125" t="n">
        <f aca="false">IF(W$5=$N$12,V28*$J$12*(1-$O$12),0)</f>
        <v>0</v>
      </c>
      <c r="X33" s="125" t="n">
        <f aca="false">IF(X$5=$N$12,W28*$J$12*(1-$O$12),0)</f>
        <v>0</v>
      </c>
      <c r="Y33" s="125" t="n">
        <f aca="false">IF(Y$5=$N$12,X28*$J$12*(1-$O$12),0)</f>
        <v>0</v>
      </c>
      <c r="Z33" s="125" t="n">
        <f aca="false">IF(Z$5=$N$12,Y28*$J$12*(1-$O$12),0)</f>
        <v>0</v>
      </c>
      <c r="AA33" s="125" t="n">
        <f aca="false">IF(AA$5=$N$12,Z28*$J$12*(1-$O$12),0)</f>
        <v>0</v>
      </c>
      <c r="AB33" s="125" t="n">
        <f aca="false">IF(AB$5=$N$12,AA28*$J$12*(1-$O$12),0)</f>
        <v>0</v>
      </c>
      <c r="AC33" s="125" t="n">
        <f aca="false">IF(AC$5=$N$12,AB28*$J$12*(1-$O$12),0)</f>
        <v>0</v>
      </c>
      <c r="AD33" s="125" t="n">
        <f aca="false">IF(AD$5=$N$12,AC28*$J$12*(1-$O$12),0)</f>
        <v>0</v>
      </c>
      <c r="AE33" s="125" t="n">
        <f aca="false">IF(AE$5=$N$12,AD28*$J$12*(1-$O$12),0)</f>
        <v>0</v>
      </c>
      <c r="AF33" s="125" t="n">
        <f aca="false">IF(AF$5=$N$12,AE28*$J$12*(1-$O$12),0)</f>
        <v>0</v>
      </c>
      <c r="AG33" s="125" t="n">
        <f aca="false">IF(AG$5=$N$12,AF28*$J$12*(1-$O$12),0)</f>
        <v>0</v>
      </c>
      <c r="AI33" s="125" t="n">
        <f aca="false">SUMIF($F$7:$AG$7,AI$7,$F33:$AG33)</f>
        <v>0</v>
      </c>
      <c r="AJ33" s="125" t="n">
        <f aca="false">SUMIF($F$7:$AG$7,AJ$7,$F33:$AG33)</f>
        <v>0</v>
      </c>
      <c r="AK33" s="125" t="n">
        <f aca="false">SUMIF($F$7:$AG$7,AK$7,$F33:$AG33)</f>
        <v>0</v>
      </c>
      <c r="AL33" s="125" t="n">
        <f aca="false">SUMIF($F$7:$AG$7,AL$7,$F33:$AG33)</f>
        <v>0</v>
      </c>
      <c r="AM33" s="125" t="n">
        <f aca="false">SUMIF($F$7:$AG$7,AM$7,$F33:$AG33)</f>
        <v>0</v>
      </c>
      <c r="AN33" s="125" t="n">
        <f aca="false">SUMIF($F$7:$AG$7,AN$7,$F33:$AG33)</f>
        <v>0</v>
      </c>
      <c r="AO33" s="125" t="n">
        <f aca="false">SUMIF($F$7:$AG$7,AO$7,$F33:$AG33)</f>
        <v>0</v>
      </c>
    </row>
    <row r="34" customFormat="false" ht="15" hidden="false" customHeight="false" outlineLevel="0" collapsed="false">
      <c r="A34" s="107" t="s">
        <v>2294</v>
      </c>
      <c r="B34" s="22" t="s">
        <v>635</v>
      </c>
      <c r="C34" s="22" t="s">
        <v>604</v>
      </c>
      <c r="D34" s="22"/>
      <c r="F34" s="140" t="n">
        <f aca="false">IF(F$5=$N$12,E28*$K$12/1000*$O$12,0)</f>
        <v>0</v>
      </c>
      <c r="G34" s="140" t="n">
        <f aca="false">IF(G$5=$N$12,F28*$K$12/1000*$O$12,0)</f>
        <v>0</v>
      </c>
      <c r="H34" s="140" t="n">
        <f aca="false">IF(H$5=$N$12,G28*$K$12/1000*$O$12,0)</f>
        <v>0</v>
      </c>
      <c r="I34" s="140" t="n">
        <f aca="false">IF(I$5=$N$12,H28*$K$12/1000*$O$12,0)</f>
        <v>0</v>
      </c>
      <c r="J34" s="140" t="n">
        <f aca="false">IF(J$5=$N$12,I28*$K$12/1000*$O$12,0)</f>
        <v>0</v>
      </c>
      <c r="K34" s="140" t="n">
        <f aca="false">IF(K$5=$N$12,J28*$K$12/1000*$O$12,0)</f>
        <v>0</v>
      </c>
      <c r="L34" s="140" t="n">
        <f aca="false">IF(L$5=$N$12,K28*$K$12/1000*$O$12,0)</f>
        <v>0</v>
      </c>
      <c r="M34" s="140" t="n">
        <f aca="false">IF(M$5=$N$12,L28*$K$12/1000*$O$12,0)</f>
        <v>0</v>
      </c>
      <c r="N34" s="140" t="n">
        <f aca="false">IF(N$5=$N$12,M28*$K$12/1000*$O$12,0)</f>
        <v>0</v>
      </c>
      <c r="O34" s="140" t="n">
        <f aca="false">IF(O$5=$N$12,N28*$K$12/1000*$O$12,0)</f>
        <v>0</v>
      </c>
      <c r="P34" s="47" t="n">
        <f aca="false">IF(P$5=$N$12,O28*$K$12/1000*$O$12,0)</f>
        <v>0</v>
      </c>
      <c r="Q34" s="47" t="n">
        <f aca="false">IF(Q$5=$N$12,P28*$K$12/1000*$O$12,0)</f>
        <v>0</v>
      </c>
      <c r="R34" s="47" t="n">
        <f aca="false">IF(R$5=$N$12,Q28*$K$12/1000*$O$12,0)</f>
        <v>0</v>
      </c>
      <c r="S34" s="47" t="n">
        <f aca="false">IF(S$5=$N$12,R28*$K$12/1000*$O$12,0)</f>
        <v>0</v>
      </c>
      <c r="T34" s="47" t="n">
        <f aca="false">IF(T$5=$N$12,S28*$K$12/1000*$O$12,0)</f>
        <v>0</v>
      </c>
      <c r="U34" s="47" t="n">
        <f aca="false">IF(U$5=$N$12,T28*$K$12/1000*$O$12,0)</f>
        <v>0</v>
      </c>
      <c r="V34" s="47" t="n">
        <f aca="false">IF(V$5=$N$12,U28*$K$12/1000*$O$12,0)</f>
        <v>0</v>
      </c>
      <c r="W34" s="47" t="n">
        <f aca="false">IF(W$5=$N$12,V28*$K$12/1000*$O$12,0)</f>
        <v>0</v>
      </c>
      <c r="X34" s="47" t="n">
        <f aca="false">IF(X$5=$N$12,W28*$K$12/1000*$O$12,0)</f>
        <v>0</v>
      </c>
      <c r="Y34" s="47" t="n">
        <f aca="false">IF(Y$5=$N$12,X28*$K$12/1000*$O$12,0)</f>
        <v>0</v>
      </c>
      <c r="Z34" s="47" t="n">
        <f aca="false">IF(Z$5=$N$12,Y28*$K$12/1000*$O$12,0)</f>
        <v>0</v>
      </c>
      <c r="AA34" s="47" t="n">
        <f aca="false">IF(AA$5=$N$12,Z28*$K$12/1000*$O$12,0)</f>
        <v>1.70067625</v>
      </c>
      <c r="AB34" s="47" t="n">
        <f aca="false">IF(AB$5=$N$12,AA28*$K$12/1000*$O$12,0)</f>
        <v>0</v>
      </c>
      <c r="AC34" s="47" t="n">
        <f aca="false">IF(AC$5=$N$12,AB28*$K$12/1000*$O$12,0)</f>
        <v>0</v>
      </c>
      <c r="AD34" s="47" t="n">
        <f aca="false">IF(AD$5=$N$12,AC28*$K$12/1000*$O$12,0)</f>
        <v>0</v>
      </c>
      <c r="AE34" s="47" t="n">
        <f aca="false">IF(AE$5=$N$12,AD28*$K$12/1000*$O$12,0)</f>
        <v>0</v>
      </c>
      <c r="AF34" s="47" t="n">
        <f aca="false">IF(AF$5=$N$12,AE28*$K$12/1000*$O$12,0)</f>
        <v>0</v>
      </c>
      <c r="AG34" s="47" t="n">
        <f aca="false">IF(AG$5=$N$12,AF28*$K$12/1000*$O$12,0)</f>
        <v>0</v>
      </c>
      <c r="AI34" s="47" t="n">
        <f aca="false">SUMIF($F$7:$AG$7,AI$7,$F34:$AG34)</f>
        <v>0</v>
      </c>
      <c r="AJ34" s="47" t="n">
        <f aca="false">SUMIF($F$7:$AG$7,AJ$7,$F34:$AG34)</f>
        <v>0</v>
      </c>
      <c r="AK34" s="47" t="n">
        <f aca="false">SUMIF($F$7:$AG$7,AK$7,$F34:$AG34)</f>
        <v>0</v>
      </c>
      <c r="AL34" s="47" t="n">
        <f aca="false">SUMIF($F$7:$AG$7,AL$7,$F34:$AG34)</f>
        <v>0</v>
      </c>
      <c r="AM34" s="47" t="n">
        <f aca="false">SUMIF($F$7:$AG$7,AM$7,$F34:$AG34)</f>
        <v>0</v>
      </c>
      <c r="AN34" s="47" t="n">
        <f aca="false">SUMIF($F$7:$AG$7,AN$7,$F34:$AG34)</f>
        <v>1.70067625</v>
      </c>
      <c r="AO34" s="47" t="n">
        <f aca="false">SUMIF($F$7:$AG$7,AO$7,$F34:$AG34)</f>
        <v>0</v>
      </c>
    </row>
    <row r="35" customFormat="false" ht="15" hidden="false" customHeight="false" outlineLevel="0" collapsed="false">
      <c r="A35" s="107" t="s">
        <v>2295</v>
      </c>
      <c r="B35" s="22" t="s">
        <v>635</v>
      </c>
      <c r="C35" s="22" t="s">
        <v>540</v>
      </c>
      <c r="D35" s="22"/>
      <c r="F35" s="140" t="n">
        <f aca="false">IF(DilMethod=3,MAX(0,F28*$K$12/1000*DilPx-F31)/DilPx,F28*$K$12/1000*$P$12)</f>
        <v>0</v>
      </c>
      <c r="G35" s="140" t="n">
        <f aca="false">IF(DilMethod=3,MAX(0,G28*$K$12/1000*DilPx-G31)/DilPx,G28*$K$12/1000*$P$12)</f>
        <v>0</v>
      </c>
      <c r="H35" s="140" t="n">
        <f aca="false">IF(DilMethod=3,MAX(0,H28*$K$12/1000*DilPx-H31)/DilPx,H28*$K$12/1000*$P$12)</f>
        <v>0</v>
      </c>
      <c r="I35" s="140" t="n">
        <f aca="false">IF(DilMethod=3,MAX(0,I28*$K$12/1000*DilPx-I31)/DilPx,I28*$K$12/1000*$P$12)</f>
        <v>0</v>
      </c>
      <c r="J35" s="140" t="n">
        <f aca="false">IF(DilMethod=3,MAX(0,J28*$K$12/1000*DilPx-J31)/DilPx,J28*$K$12/1000*$P$12)</f>
        <v>0</v>
      </c>
      <c r="K35" s="140" t="n">
        <f aca="false">IF(DilMethod=3,MAX(0,K28*$K$12/1000*DilPx-K31)/DilPx,K28*$K$12/1000*$P$12)</f>
        <v>0</v>
      </c>
      <c r="L35" s="140" t="n">
        <f aca="false">IF(DilMethod=3,MAX(0,L28*$K$12/1000*DilPx-L31)/DilPx,L28*$K$12/1000*$P$12)</f>
        <v>0</v>
      </c>
      <c r="M35" s="140" t="n">
        <f aca="false">IF(DilMethod=3,MAX(0,M28*$K$12/1000*DilPx-M31)/DilPx,M28*$K$12/1000*$P$12)</f>
        <v>0</v>
      </c>
      <c r="N35" s="140" t="n">
        <f aca="false">IF(DilMethod=3,MAX(0,N28*$K$12/1000*DilPx-N31)/DilPx,N28*$K$12/1000*$P$12)</f>
        <v>0</v>
      </c>
      <c r="O35" s="140" t="n">
        <f aca="false">IF(DilMethod=3,MAX(0,O28*$K$12/1000*DilPx-O31)/DilPx,O28*$K$12/1000*$P$12)</f>
        <v>0</v>
      </c>
      <c r="P35" s="47" t="n">
        <f aca="false">IF(DilMethod=3,MAX(0,P28*$K$12/1000*DilPx-P31)/DilPx,P28*$K$12/1000*$P$12)</f>
        <v>0</v>
      </c>
      <c r="Q35" s="47" t="n">
        <f aca="false">IF(DilMethod=3,MAX(0,Q28*$K$12/1000*DilPx-Q31)/DilPx,Q28*$K$12/1000*$P$12)</f>
        <v>0</v>
      </c>
      <c r="R35" s="47" t="n">
        <f aca="false">IF(DilMethod=3,MAX(0,R28*$K$12/1000*DilPx-R31)/DilPx,R28*$K$12/1000*$P$12)</f>
        <v>0</v>
      </c>
      <c r="S35" s="47" t="n">
        <f aca="false">IF(DilMethod=3,MAX(0,S28*$K$12/1000*DilPx-S31)/DilPx,S28*$K$12/1000*$P$12)</f>
        <v>0</v>
      </c>
      <c r="T35" s="47" t="n">
        <f aca="false">IF(DilMethod=3,MAX(0,T28*$K$12/1000*DilPx-T31)/DilPx,T28*$K$12/1000*$P$12)</f>
        <v>0</v>
      </c>
      <c r="U35" s="47" t="n">
        <f aca="false">IF(DilMethod=3,MAX(0,U28*$K$12/1000*DilPx-U31)/DilPx,U28*$K$12/1000*$P$12)</f>
        <v>0</v>
      </c>
      <c r="V35" s="47" t="n">
        <f aca="false">IF(DilMethod=3,MAX(0,V28*$K$12/1000*DilPx-V31)/DilPx,V28*$K$12/1000*$P$12)</f>
        <v>0</v>
      </c>
      <c r="W35" s="47" t="n">
        <f aca="false">IF(DilMethod=3,MAX(0,W28*$K$12/1000*DilPx-W31)/DilPx,W28*$K$12/1000*$P$12)</f>
        <v>0</v>
      </c>
      <c r="X35" s="47" t="n">
        <f aca="false">IF(DilMethod=3,MAX(0,X28*$K$12/1000*DilPx-X31)/DilPx,X28*$K$12/1000*$P$12)</f>
        <v>0</v>
      </c>
      <c r="Y35" s="47" t="n">
        <f aca="false">IF(DilMethod=3,MAX(0,Y28*$K$12/1000*DilPx-Y31)/DilPx,Y28*$K$12/1000*$P$12)</f>
        <v>0</v>
      </c>
      <c r="Z35" s="47" t="n">
        <f aca="false">IF(DilMethod=3,MAX(0,Z28*$K$12/1000*DilPx-Z31)/DilPx,Z28*$K$12/1000*$P$12)</f>
        <v>0</v>
      </c>
      <c r="AA35" s="47" t="n">
        <f aca="false">IF(DilMethod=3,MAX(0,AA28*$K$12/1000*DilPx-AA31)/DilPx,AA28*$K$12/1000*$P$12)</f>
        <v>0</v>
      </c>
      <c r="AB35" s="47" t="n">
        <f aca="false">IF(DilMethod=3,MAX(0,AB28*$K$12/1000*DilPx-AB31)/DilPx,AB28*$K$12/1000*$P$12)</f>
        <v>0</v>
      </c>
      <c r="AC35" s="47" t="n">
        <f aca="false">IF(DilMethod=3,MAX(0,AC28*$K$12/1000*DilPx-AC31)/DilPx,AC28*$K$12/1000*$P$12)</f>
        <v>0</v>
      </c>
      <c r="AD35" s="47" t="n">
        <f aca="false">IF(DilMethod=3,MAX(0,AD28*$K$12/1000*DilPx-AD31)/DilPx,AD28*$K$12/1000*$P$12)</f>
        <v>0</v>
      </c>
      <c r="AE35" s="47" t="n">
        <f aca="false">IF(DilMethod=3,MAX(0,AE28*$K$12/1000*DilPx-AE31)/DilPx,AE28*$K$12/1000*$P$12)</f>
        <v>0</v>
      </c>
      <c r="AF35" s="47" t="n">
        <f aca="false">IF(DilMethod=3,MAX(0,AF28*$K$12/1000*DilPx-AF31)/DilPx,AF28*$K$12/1000*$P$12)</f>
        <v>0</v>
      </c>
      <c r="AG35" s="47" t="n">
        <f aca="false">IF(DilMethod=3,MAX(0,AG28*$K$12/1000*DilPx-AG31)/DilPx,AG28*$K$12/1000*$P$12)</f>
        <v>0</v>
      </c>
      <c r="AI35" s="47" t="n">
        <f aca="false">INDEX($F35:$AG35,1,MATCH(AI$7,$F$7:$AG$7,1))</f>
        <v>0</v>
      </c>
      <c r="AJ35" s="47" t="n">
        <f aca="false">INDEX($F35:$AG35,1,MATCH(AJ$7,$F$7:$AG$7,1))</f>
        <v>0</v>
      </c>
      <c r="AK35" s="47" t="n">
        <f aca="false">INDEX($F35:$AG35,1,MATCH(AK$7,$F$7:$AG$7,1))</f>
        <v>0</v>
      </c>
      <c r="AL35" s="47" t="n">
        <f aca="false">INDEX($F35:$AG35,1,MATCH(AL$7,$F$7:$AG$7,1))</f>
        <v>0</v>
      </c>
      <c r="AM35" s="47" t="n">
        <f aca="false">INDEX($F35:$AG35,1,MATCH(AM$7,$F$7:$AG$7,1))</f>
        <v>0</v>
      </c>
      <c r="AN35" s="47" t="n">
        <f aca="false">INDEX($F35:$AG35,1,MATCH(AN$7,$F$7:$AG$7,1))</f>
        <v>0</v>
      </c>
      <c r="AO35" s="47" t="n">
        <f aca="false">INDEX($F35:$AG35,1,MATCH(AO$7,$F$7:$AG$7,1))</f>
        <v>0</v>
      </c>
    </row>
    <row r="36" customFormat="false" ht="15" hidden="false" customHeight="false" outlineLevel="0" collapsed="false">
      <c r="A36" s="107" t="s">
        <v>2296</v>
      </c>
      <c r="B36" s="22" t="s">
        <v>613</v>
      </c>
      <c r="C36" s="22" t="s">
        <v>540</v>
      </c>
      <c r="D36" s="22"/>
      <c r="F36" s="124" t="n">
        <f aca="false">F31*IF(DilMethod=3,1,1-$P$12)</f>
        <v>0</v>
      </c>
      <c r="G36" s="124" t="n">
        <f aca="false">G31*IF(DilMethod=3,1,1-$P$12)</f>
        <v>0</v>
      </c>
      <c r="H36" s="124" t="n">
        <f aca="false">H31*IF(DilMethod=3,1,1-$P$12)</f>
        <v>0</v>
      </c>
      <c r="I36" s="124" t="n">
        <f aca="false">I31*IF(DilMethod=3,1,1-$P$12)</f>
        <v>0</v>
      </c>
      <c r="J36" s="124" t="n">
        <f aca="false">J31*IF(DilMethod=3,1,1-$P$12)</f>
        <v>0</v>
      </c>
      <c r="K36" s="124" t="n">
        <f aca="false">K31*IF(DilMethod=3,1,1-$P$12)</f>
        <v>488.963838366507</v>
      </c>
      <c r="L36" s="124" t="n">
        <f aca="false">L31*IF(DilMethod=3,1,1-$P$12)</f>
        <v>494.35076355525</v>
      </c>
      <c r="M36" s="124" t="n">
        <f aca="false">M31*IF(DilMethod=3,1,1-$P$12)</f>
        <v>499.737688743995</v>
      </c>
      <c r="N36" s="124" t="n">
        <f aca="false">N31*IF(DilMethod=3,1,1-$P$12)</f>
        <v>505.007506863418</v>
      </c>
      <c r="O36" s="124" t="n">
        <f aca="false">O31*IF(DilMethod=3,1,1-$P$12)</f>
        <v>510.335878517502</v>
      </c>
      <c r="P36" s="125" t="n">
        <f aca="false">P31*IF(DilMethod=3,1,1-$P$12)</f>
        <v>92.5656314344544</v>
      </c>
      <c r="Q36" s="125" t="n">
        <f aca="false">Q31*IF(DilMethod=3,1,1-$P$12)</f>
        <v>93.5325154426905</v>
      </c>
      <c r="R36" s="125" t="n">
        <f aca="false">R31*IF(DilMethod=3,1,1-$P$12)</f>
        <v>94.4783802333562</v>
      </c>
      <c r="S36" s="125" t="n">
        <f aca="false">S31*IF(DilMethod=3,1,1-$P$12)</f>
        <v>95.4347546328071</v>
      </c>
      <c r="T36" s="125" t="n">
        <f aca="false">T31*IF(DilMethod=3,1,1-$P$12)</f>
        <v>96.4016386410432</v>
      </c>
      <c r="U36" s="125" t="n">
        <f aca="false">U31*IF(DilMethod=3,1,1-$P$12)</f>
        <v>97.3685226492793</v>
      </c>
      <c r="V36" s="125" t="n">
        <f aca="false">V31*IF(DilMethod=3,1,1-$P$12)</f>
        <v>98.3248970487303</v>
      </c>
      <c r="W36" s="125" t="n">
        <f aca="false">W31*IF(DilMethod=3,1,1-$P$12)</f>
        <v>99.2812714481812</v>
      </c>
      <c r="X36" s="125" t="n">
        <f aca="false">X31*IF(DilMethod=3,1,1-$P$12)</f>
        <v>100.248155456417</v>
      </c>
      <c r="Y36" s="125" t="n">
        <f aca="false">Y31*IF(DilMethod=3,1,1-$P$12)</f>
        <v>101.215039464653</v>
      </c>
      <c r="Z36" s="125" t="n">
        <f aca="false">Z31*IF(DilMethod=3,1,1-$P$12)</f>
        <v>102.160904255319</v>
      </c>
      <c r="AA36" s="125" t="n">
        <f aca="false">AA31*IF(DilMethod=3,1,1-$P$12)</f>
        <v>0</v>
      </c>
      <c r="AB36" s="125" t="n">
        <f aca="false">AB31*IF(DilMethod=3,1,1-$P$12)</f>
        <v>0</v>
      </c>
      <c r="AC36" s="125" t="n">
        <f aca="false">AC31*IF(DilMethod=3,1,1-$P$12)</f>
        <v>0</v>
      </c>
      <c r="AD36" s="125" t="n">
        <f aca="false">AD31*IF(DilMethod=3,1,1-$P$12)</f>
        <v>0</v>
      </c>
      <c r="AE36" s="125" t="n">
        <f aca="false">AE31*IF(DilMethod=3,1,1-$P$12)</f>
        <v>0</v>
      </c>
      <c r="AF36" s="125" t="n">
        <f aca="false">AF31*IF(DilMethod=3,1,1-$P$12)</f>
        <v>0</v>
      </c>
      <c r="AG36" s="125" t="n">
        <f aca="false">AG31*IF(DilMethod=3,1,1-$P$12)</f>
        <v>0</v>
      </c>
      <c r="AI36" s="125" t="n">
        <f aca="false">INDEX($F36:$AG36,1,MATCH(AI$7,$F$7:$AG$7,1))</f>
        <v>0</v>
      </c>
      <c r="AJ36" s="125" t="n">
        <f aca="false">INDEX($F36:$AG36,1,MATCH(AJ$7,$F$7:$AG$7,1))</f>
        <v>499.737688743995</v>
      </c>
      <c r="AK36" s="125" t="n">
        <f aca="false">INDEX($F36:$AG36,1,MATCH(AK$7,$F$7:$AG$7,1))</f>
        <v>93.5325154426905</v>
      </c>
      <c r="AL36" s="125" t="n">
        <f aca="false">INDEX($F36:$AG36,1,MATCH(AL$7,$F$7:$AG$7,1))</f>
        <v>97.3685226492793</v>
      </c>
      <c r="AM36" s="125" t="n">
        <f aca="false">INDEX($F36:$AG36,1,MATCH(AM$7,$F$7:$AG$7,1))</f>
        <v>101.215039464653</v>
      </c>
      <c r="AN36" s="125" t="n">
        <f aca="false">INDEX($F36:$AG36,1,MATCH(AN$7,$F$7:$AG$7,1))</f>
        <v>0</v>
      </c>
      <c r="AO36" s="125" t="n">
        <f aca="false">INDEX($F36:$AG36,1,MATCH(AO$7,$F$7:$AG$7,1))</f>
        <v>0</v>
      </c>
    </row>
    <row r="37" customFormat="false" ht="15" hidden="false" customHeight="false" outlineLevel="0" collapsed="false">
      <c r="A37" s="107" t="s">
        <v>2297</v>
      </c>
      <c r="B37" s="22" t="s">
        <v>613</v>
      </c>
      <c r="C37" s="22" t="s">
        <v>604</v>
      </c>
      <c r="D37" s="22"/>
      <c r="F37" s="124" t="n">
        <f aca="false">IF(AND(F$5&gt;=$M$13,F$5&lt;$N$13),$E$13-$F$13-IF(F$5&gt;=$H$13,$G$13,0),0)*($H$13&lt;&gt;0)+IF(AND(F$5&gt;=$M$13,F$5&lt;$N$13),$E$13-$F$13,0)*($H$13=0)</f>
        <v>0</v>
      </c>
      <c r="G37" s="124" t="n">
        <f aca="false">IF(AND(G$5&gt;=$M$13,G$5&lt;$N$13),$E$13-$F$13-IF(G$5&gt;=$H$13,$G$13,0),0)*($H$13&lt;&gt;0)+IF(AND(G$5&gt;=$M$13,G$5&lt;$N$13),$E$13-$F$13,0)*($H$13=0)</f>
        <v>0</v>
      </c>
      <c r="H37" s="124" t="n">
        <f aca="false">IF(AND(H$5&gt;=$M$13,H$5&lt;$N$13),$E$13-$F$13-IF(H$5&gt;=$H$13,$G$13,0),0)*($H$13&lt;&gt;0)+IF(AND(H$5&gt;=$M$13,H$5&lt;$N$13),$E$13-$F$13,0)*($H$13=0)</f>
        <v>0</v>
      </c>
      <c r="I37" s="124" t="n">
        <f aca="false">IF(AND(I$5&gt;=$M$13,I$5&lt;$N$13),$E$13-$F$13-IF(I$5&gt;=$H$13,$G$13,0),0)*($H$13&lt;&gt;0)+IF(AND(I$5&gt;=$M$13,I$5&lt;$N$13),$E$13-$F$13,0)*($H$13=0)</f>
        <v>0</v>
      </c>
      <c r="J37" s="124" t="n">
        <f aca="false">IF(AND(J$5&gt;=$M$13,J$5&lt;$N$13),$E$13-$F$13-IF(J$5&gt;=$H$13,$G$13,0),0)*($H$13&lt;&gt;0)+IF(AND(J$5&gt;=$M$13,J$5&lt;$N$13),$E$13-$F$13,0)*($H$13=0)</f>
        <v>0</v>
      </c>
      <c r="K37" s="124" t="n">
        <f aca="false">IF(AND(K$5&gt;=$M$13,K$5&lt;$N$13),$E$13-$F$13-IF(K$5&gt;=$H$13,$G$13,0),0)*($H$13&lt;&gt;0)+IF(AND(K$5&gt;=$M$13,K$5&lt;$N$13),$E$13-$F$13,0)*($H$13=0)</f>
        <v>487.5</v>
      </c>
      <c r="L37" s="124" t="n">
        <f aca="false">IF(AND(L$5&gt;=$M$13,L$5&lt;$N$13),$E$13-$F$13-IF(L$5&gt;=$H$13,$G$13,0),0)*($H$13&lt;&gt;0)+IF(AND(L$5&gt;=$M$13,L$5&lt;$N$13),$E$13-$F$13,0)*($H$13=0)</f>
        <v>487.5</v>
      </c>
      <c r="M37" s="124" t="n">
        <f aca="false">IF(AND(M$5&gt;=$M$13,M$5&lt;$N$13),$E$13-$F$13-IF(M$5&gt;=$H$13,$G$13,0),0)*($H$13&lt;&gt;0)+IF(AND(M$5&gt;=$M$13,M$5&lt;$N$13),$E$13-$F$13,0)*($H$13=0)</f>
        <v>487.5</v>
      </c>
      <c r="N37" s="124" t="n">
        <f aca="false">IF(AND(N$5&gt;=$M$13,N$5&lt;$N$13),$E$13-$F$13-IF(N$5&gt;=$H$13,$G$13,0),0)*($H$13&lt;&gt;0)+IF(AND(N$5&gt;=$M$13,N$5&lt;$N$13),$E$13-$F$13,0)*($H$13=0)</f>
        <v>487.5</v>
      </c>
      <c r="O37" s="124" t="n">
        <f aca="false">IF(AND(O$5&gt;=$M$13,O$5&lt;$N$13),$E$13-$F$13-IF(O$5&gt;=$H$13,$G$13,0),0)*($H$13&lt;&gt;0)+IF(AND(O$5&gt;=$M$13,O$5&lt;$N$13),$E$13-$F$13,0)*($H$13=0)</f>
        <v>487.5</v>
      </c>
      <c r="P37" s="125" t="n">
        <f aca="false">IF(AND(P$5&gt;=$M$13,P$5&lt;$N$13),$E$13-$F$13-IF(P$5&gt;=$H$13,$G$13,0),0)*($H$13&lt;&gt;0)+IF(AND(P$5&gt;=$M$13,P$5&lt;$N$13),$E$13-$F$13,0)*($H$13=0)</f>
        <v>87.5</v>
      </c>
      <c r="Q37" s="125" t="n">
        <f aca="false">IF(AND(Q$5&gt;=$M$13,Q$5&lt;$N$13),$E$13-$F$13-IF(Q$5&gt;=$H$13,$G$13,0),0)*($H$13&lt;&gt;0)+IF(AND(Q$5&gt;=$M$13,Q$5&lt;$N$13),$E$13-$F$13,0)*($H$13=0)</f>
        <v>87.5</v>
      </c>
      <c r="R37" s="125" t="n">
        <f aca="false">IF(AND(R$5&gt;=$M$13,R$5&lt;$N$13),$E$13-$F$13-IF(R$5&gt;=$H$13,$G$13,0),0)*($H$13&lt;&gt;0)+IF(AND(R$5&gt;=$M$13,R$5&lt;$N$13),$E$13-$F$13,0)*($H$13=0)</f>
        <v>87.5</v>
      </c>
      <c r="S37" s="125" t="n">
        <f aca="false">IF(AND(S$5&gt;=$M$13,S$5&lt;$N$13),$E$13-$F$13-IF(S$5&gt;=$H$13,$G$13,0),0)*($H$13&lt;&gt;0)+IF(AND(S$5&gt;=$M$13,S$5&lt;$N$13),$E$13-$F$13,0)*($H$13=0)</f>
        <v>87.5</v>
      </c>
      <c r="T37" s="125" t="n">
        <f aca="false">IF(AND(T$5&gt;=$M$13,T$5&lt;$N$13),$E$13-$F$13-IF(T$5&gt;=$H$13,$G$13,0),0)*($H$13&lt;&gt;0)+IF(AND(T$5&gt;=$M$13,T$5&lt;$N$13),$E$13-$F$13,0)*($H$13=0)</f>
        <v>87.5</v>
      </c>
      <c r="U37" s="125" t="n">
        <f aca="false">IF(AND(U$5&gt;=$M$13,U$5&lt;$N$13),$E$13-$F$13-IF(U$5&gt;=$H$13,$G$13,0),0)*($H$13&lt;&gt;0)+IF(AND(U$5&gt;=$M$13,U$5&lt;$N$13),$E$13-$F$13,0)*($H$13=0)</f>
        <v>87.5</v>
      </c>
      <c r="V37" s="125" t="n">
        <f aca="false">IF(AND(V$5&gt;=$M$13,V$5&lt;$N$13),$E$13-$F$13-IF(V$5&gt;=$H$13,$G$13,0),0)*($H$13&lt;&gt;0)+IF(AND(V$5&gt;=$M$13,V$5&lt;$N$13),$E$13-$F$13,0)*($H$13=0)</f>
        <v>87.5</v>
      </c>
      <c r="W37" s="125" t="n">
        <f aca="false">IF(AND(W$5&gt;=$M$13,W$5&lt;$N$13),$E$13-$F$13-IF(W$5&gt;=$H$13,$G$13,0),0)*($H$13&lt;&gt;0)+IF(AND(W$5&gt;=$M$13,W$5&lt;$N$13),$E$13-$F$13,0)*($H$13=0)</f>
        <v>87.5</v>
      </c>
      <c r="X37" s="125" t="n">
        <f aca="false">IF(AND(X$5&gt;=$M$13,X$5&lt;$N$13),$E$13-$F$13-IF(X$5&gt;=$H$13,$G$13,0),0)*($H$13&lt;&gt;0)+IF(AND(X$5&gt;=$M$13,X$5&lt;$N$13),$E$13-$F$13,0)*($H$13=0)</f>
        <v>87.5</v>
      </c>
      <c r="Y37" s="125" t="n">
        <f aca="false">IF(AND(Y$5&gt;=$M$13,Y$5&lt;$N$13),$E$13-$F$13-IF(Y$5&gt;=$H$13,$G$13,0),0)*($H$13&lt;&gt;0)+IF(AND(Y$5&gt;=$M$13,Y$5&lt;$N$13),$E$13-$F$13,0)*($H$13=0)</f>
        <v>87.5</v>
      </c>
      <c r="Z37" s="125" t="n">
        <f aca="false">IF(AND(Z$5&gt;=$M$13,Z$5&lt;$N$13),$E$13-$F$13-IF(Z$5&gt;=$H$13,$G$13,0),0)*($H$13&lt;&gt;0)+IF(AND(Z$5&gt;=$M$13,Z$5&lt;$N$13),$E$13-$F$13,0)*($H$13=0)</f>
        <v>87.5</v>
      </c>
      <c r="AA37" s="125" t="n">
        <f aca="false">IF(AND(AA$5&gt;=$M$13,AA$5&lt;$N$13),$E$13-$F$13-IF(AA$5&gt;=$H$13,$G$13,0),0)*($H$13&lt;&gt;0)+IF(AND(AA$5&gt;=$M$13,AA$5&lt;$N$13),$E$13-$F$13,0)*($H$13=0)</f>
        <v>87.5</v>
      </c>
      <c r="AB37" s="125" t="n">
        <f aca="false">IF(AND(AB$5&gt;=$M$13,AB$5&lt;$N$13),$E$13-$F$13-IF(AB$5&gt;=$H$13,$G$13,0),0)*($H$13&lt;&gt;0)+IF(AND(AB$5&gt;=$M$13,AB$5&lt;$N$13),$E$13-$F$13,0)*($H$13=0)</f>
        <v>87.5</v>
      </c>
      <c r="AC37" s="125" t="n">
        <f aca="false">IF(AND(AC$5&gt;=$M$13,AC$5&lt;$N$13),$E$13-$F$13-IF(AC$5&gt;=$H$13,$G$13,0),0)*($H$13&lt;&gt;0)+IF(AND(AC$5&gt;=$M$13,AC$5&lt;$N$13),$E$13-$F$13,0)*($H$13=0)</f>
        <v>87.5</v>
      </c>
      <c r="AD37" s="125" t="n">
        <f aca="false">IF(AND(AD$5&gt;=$M$13,AD$5&lt;$N$13),$E$13-$F$13-IF(AD$5&gt;=$H$13,$G$13,0),0)*($H$13&lt;&gt;0)+IF(AND(AD$5&gt;=$M$13,AD$5&lt;$N$13),$E$13-$F$13,0)*($H$13=0)</f>
        <v>87.5</v>
      </c>
      <c r="AE37" s="125" t="n">
        <f aca="false">IF(AND(AE$5&gt;=$M$13,AE$5&lt;$N$13),$E$13-$F$13-IF(AE$5&gt;=$H$13,$G$13,0),0)*($H$13&lt;&gt;0)+IF(AND(AE$5&gt;=$M$13,AE$5&lt;$N$13),$E$13-$F$13,0)*($H$13=0)</f>
        <v>87.5</v>
      </c>
      <c r="AF37" s="125" t="n">
        <f aca="false">IF(AND(AF$5&gt;=$M$13,AF$5&lt;$N$13),$E$13-$F$13-IF(AF$5&gt;=$H$13,$G$13,0),0)*($H$13&lt;&gt;0)+IF(AND(AF$5&gt;=$M$13,AF$5&lt;$N$13),$E$13-$F$13,0)*($H$13=0)</f>
        <v>87.5</v>
      </c>
      <c r="AG37" s="125" t="n">
        <f aca="false">IF(AND(AG$5&gt;=$M$13,AG$5&lt;$N$13),$E$13-$F$13-IF(AG$5&gt;=$H$13,$G$13,0),0)*($H$13&lt;&gt;0)+IF(AND(AG$5&gt;=$M$13,AG$5&lt;$N$13),$E$13-$F$13,0)*($H$13=0)</f>
        <v>87.5</v>
      </c>
      <c r="AI37" s="125" t="n">
        <f aca="false">INDEX($F37:$AG37,1,MATCH(AI$7,$F$7:$AG$7,1))</f>
        <v>0</v>
      </c>
      <c r="AJ37" s="125" t="n">
        <f aca="false">INDEX($F37:$AG37,1,MATCH(AJ$7,$F$7:$AG$7,1))</f>
        <v>487.5</v>
      </c>
      <c r="AK37" s="125" t="n">
        <f aca="false">INDEX($F37:$AG37,1,MATCH(AK$7,$F$7:$AG$7,1))</f>
        <v>87.5</v>
      </c>
      <c r="AL37" s="125" t="n">
        <f aca="false">INDEX($F37:$AG37,1,MATCH(AL$7,$F$7:$AG$7,1))</f>
        <v>87.5</v>
      </c>
      <c r="AM37" s="125" t="n">
        <f aca="false">INDEX($F37:$AG37,1,MATCH(AM$7,$F$7:$AG$7,1))</f>
        <v>87.5</v>
      </c>
      <c r="AN37" s="125" t="n">
        <f aca="false">INDEX($F37:$AG37,1,MATCH(AN$7,$F$7:$AG$7,1))</f>
        <v>87.5</v>
      </c>
      <c r="AO37" s="125" t="n">
        <f aca="false">INDEX($F37:$AG37,1,MATCH(AO$7,$F$7:$AG$7,1))</f>
        <v>87.5</v>
      </c>
    </row>
    <row r="38" customFormat="false" ht="15" hidden="false" customHeight="false" outlineLevel="0" collapsed="false">
      <c r="A38" s="107" t="s">
        <v>2298</v>
      </c>
      <c r="B38" s="22" t="s">
        <v>613</v>
      </c>
      <c r="C38" s="22" t="s">
        <v>604</v>
      </c>
      <c r="D38" s="22"/>
      <c r="F38" s="124" t="n">
        <f aca="false">F37*$C$13/4</f>
        <v>0</v>
      </c>
      <c r="G38" s="124" t="n">
        <f aca="false">G37*$C$13/4</f>
        <v>0</v>
      </c>
      <c r="H38" s="124" t="n">
        <f aca="false">H37*$C$13/4</f>
        <v>0</v>
      </c>
      <c r="I38" s="124" t="n">
        <f aca="false">I37*$C$13/4</f>
        <v>0</v>
      </c>
      <c r="J38" s="124" t="n">
        <f aca="false">J37*$C$13/4</f>
        <v>0</v>
      </c>
      <c r="K38" s="124" t="n">
        <f aca="false">K37*$C$13/4</f>
        <v>3.65625</v>
      </c>
      <c r="L38" s="124" t="n">
        <f aca="false">L37*$C$13/4</f>
        <v>3.65625</v>
      </c>
      <c r="M38" s="124" t="n">
        <f aca="false">M37*$C$13/4</f>
        <v>3.65625</v>
      </c>
      <c r="N38" s="124" t="n">
        <f aca="false">N37*$C$13/4</f>
        <v>3.65625</v>
      </c>
      <c r="O38" s="124" t="n">
        <f aca="false">O37*$C$13/4</f>
        <v>3.65625</v>
      </c>
      <c r="P38" s="125" t="n">
        <f aca="false">P37*$C$13/4</f>
        <v>0.65625</v>
      </c>
      <c r="Q38" s="125" t="n">
        <f aca="false">Q37*$C$13/4</f>
        <v>0.65625</v>
      </c>
      <c r="R38" s="125" t="n">
        <f aca="false">R37*$C$13/4</f>
        <v>0.65625</v>
      </c>
      <c r="S38" s="125" t="n">
        <f aca="false">S37*$C$13/4</f>
        <v>0.65625</v>
      </c>
      <c r="T38" s="125" t="n">
        <f aca="false">T37*$C$13/4</f>
        <v>0.65625</v>
      </c>
      <c r="U38" s="125" t="n">
        <f aca="false">U37*$C$13/4</f>
        <v>0.65625</v>
      </c>
      <c r="V38" s="125" t="n">
        <f aca="false">V37*$C$13/4</f>
        <v>0.65625</v>
      </c>
      <c r="W38" s="125" t="n">
        <f aca="false">W37*$C$13/4</f>
        <v>0.65625</v>
      </c>
      <c r="X38" s="125" t="n">
        <f aca="false">X37*$C$13/4</f>
        <v>0.65625</v>
      </c>
      <c r="Y38" s="125" t="n">
        <f aca="false">Y37*$C$13/4</f>
        <v>0.65625</v>
      </c>
      <c r="Z38" s="125" t="n">
        <f aca="false">Z37*$C$13/4</f>
        <v>0.65625</v>
      </c>
      <c r="AA38" s="125" t="n">
        <f aca="false">AA37*$C$13/4</f>
        <v>0.65625</v>
      </c>
      <c r="AB38" s="125" t="n">
        <f aca="false">AB37*$C$13/4</f>
        <v>0.65625</v>
      </c>
      <c r="AC38" s="125" t="n">
        <f aca="false">AC37*$C$13/4</f>
        <v>0.65625</v>
      </c>
      <c r="AD38" s="125" t="n">
        <f aca="false">AD37*$C$13/4</f>
        <v>0.65625</v>
      </c>
      <c r="AE38" s="125" t="n">
        <f aca="false">AE37*$C$13/4</f>
        <v>0.65625</v>
      </c>
      <c r="AF38" s="125" t="n">
        <f aca="false">AF37*$C$13/4</f>
        <v>0.65625</v>
      </c>
      <c r="AG38" s="125" t="n">
        <f aca="false">AG37*$C$13/4</f>
        <v>0.65625</v>
      </c>
      <c r="AI38" s="125" t="n">
        <f aca="false">SUMIF($F$7:$AG$7,AI$7,$F38:$AG38)</f>
        <v>0</v>
      </c>
      <c r="AJ38" s="125" t="n">
        <f aca="false">SUMIF($F$7:$AG$7,AJ$7,$F38:$AG38)</f>
        <v>10.96875</v>
      </c>
      <c r="AK38" s="125" t="n">
        <f aca="false">SUMIF($F$7:$AG$7,AK$7,$F38:$AG38)</f>
        <v>8.625</v>
      </c>
      <c r="AL38" s="125" t="n">
        <f aca="false">SUMIF($F$7:$AG$7,AL$7,$F38:$AG38)</f>
        <v>2.625</v>
      </c>
      <c r="AM38" s="125" t="n">
        <f aca="false">SUMIF($F$7:$AG$7,AM$7,$F38:$AG38)</f>
        <v>2.625</v>
      </c>
      <c r="AN38" s="125" t="n">
        <f aca="false">SUMIF($F$7:$AG$7,AN$7,$F38:$AG38)</f>
        <v>2.625</v>
      </c>
      <c r="AO38" s="125" t="n">
        <f aca="false">SUMIF($F$7:$AG$7,AO$7,$F38:$AG38)</f>
        <v>2.625</v>
      </c>
    </row>
    <row r="39" customFormat="false" ht="15" hidden="false" customHeight="false" outlineLevel="0" collapsed="false">
      <c r="A39" s="107" t="s">
        <v>2299</v>
      </c>
      <c r="B39" s="22" t="s">
        <v>613</v>
      </c>
      <c r="C39" s="22" t="s">
        <v>604</v>
      </c>
      <c r="D39" s="22"/>
      <c r="F39" s="124" t="n">
        <f aca="false">F37*($J$13-1)/(($D$13-$B$13)/91.3125)</f>
        <v>0</v>
      </c>
      <c r="G39" s="124" t="n">
        <f aca="false">G37*($J$13-1)/(($D$13-$B$13)/91.3125)</f>
        <v>0</v>
      </c>
      <c r="H39" s="124" t="n">
        <f aca="false">H37*($J$13-1)/(($D$13-$B$13)/91.3125)</f>
        <v>0</v>
      </c>
      <c r="I39" s="124" t="n">
        <f aca="false">I37*($J$13-1)/(($D$13-$B$13)/91.3125)</f>
        <v>0</v>
      </c>
      <c r="J39" s="124" t="n">
        <f aca="false">J37*($J$13-1)/(($D$13-$B$13)/91.3125)</f>
        <v>0</v>
      </c>
      <c r="K39" s="124" t="n">
        <f aca="false">K37*($J$13-1)/(($D$13-$B$13)/91.3125)</f>
        <v>4.57971643518519</v>
      </c>
      <c r="L39" s="124" t="n">
        <f aca="false">L37*($J$13-1)/(($D$13-$B$13)/91.3125)</f>
        <v>4.57971643518519</v>
      </c>
      <c r="M39" s="124" t="n">
        <f aca="false">M37*($J$13-1)/(($D$13-$B$13)/91.3125)</f>
        <v>4.57971643518519</v>
      </c>
      <c r="N39" s="124" t="n">
        <f aca="false">N37*($J$13-1)/(($D$13-$B$13)/91.3125)</f>
        <v>4.57971643518519</v>
      </c>
      <c r="O39" s="124" t="n">
        <f aca="false">O37*($J$13-1)/(($D$13-$B$13)/91.3125)</f>
        <v>4.57971643518519</v>
      </c>
      <c r="P39" s="125" t="n">
        <f aca="false">P37*($J$13-1)/(($D$13-$B$13)/91.3125)</f>
        <v>0.82200038580247</v>
      </c>
      <c r="Q39" s="125" t="n">
        <f aca="false">Q37*($J$13-1)/(($D$13-$B$13)/91.3125)</f>
        <v>0.82200038580247</v>
      </c>
      <c r="R39" s="125" t="n">
        <f aca="false">R37*($J$13-1)/(($D$13-$B$13)/91.3125)</f>
        <v>0.82200038580247</v>
      </c>
      <c r="S39" s="125" t="n">
        <f aca="false">S37*($J$13-1)/(($D$13-$B$13)/91.3125)</f>
        <v>0.82200038580247</v>
      </c>
      <c r="T39" s="125" t="n">
        <f aca="false">T37*($J$13-1)/(($D$13-$B$13)/91.3125)</f>
        <v>0.82200038580247</v>
      </c>
      <c r="U39" s="125" t="n">
        <f aca="false">U37*($J$13-1)/(($D$13-$B$13)/91.3125)</f>
        <v>0.82200038580247</v>
      </c>
      <c r="V39" s="125" t="n">
        <f aca="false">V37*($J$13-1)/(($D$13-$B$13)/91.3125)</f>
        <v>0.82200038580247</v>
      </c>
      <c r="W39" s="125" t="n">
        <f aca="false">W37*($J$13-1)/(($D$13-$B$13)/91.3125)</f>
        <v>0.82200038580247</v>
      </c>
      <c r="X39" s="125" t="n">
        <f aca="false">X37*($J$13-1)/(($D$13-$B$13)/91.3125)</f>
        <v>0.82200038580247</v>
      </c>
      <c r="Y39" s="125" t="n">
        <f aca="false">Y37*($J$13-1)/(($D$13-$B$13)/91.3125)</f>
        <v>0.82200038580247</v>
      </c>
      <c r="Z39" s="125" t="n">
        <f aca="false">Z37*($J$13-1)/(($D$13-$B$13)/91.3125)</f>
        <v>0.82200038580247</v>
      </c>
      <c r="AA39" s="125" t="n">
        <f aca="false">AA37*($J$13-1)/(($D$13-$B$13)/91.3125)</f>
        <v>0.82200038580247</v>
      </c>
      <c r="AB39" s="125" t="n">
        <f aca="false">AB37*($J$13-1)/(($D$13-$B$13)/91.3125)</f>
        <v>0.82200038580247</v>
      </c>
      <c r="AC39" s="125" t="n">
        <f aca="false">AC37*($J$13-1)/(($D$13-$B$13)/91.3125)</f>
        <v>0.82200038580247</v>
      </c>
      <c r="AD39" s="125" t="n">
        <f aca="false">AD37*($J$13-1)/(($D$13-$B$13)/91.3125)</f>
        <v>0.82200038580247</v>
      </c>
      <c r="AE39" s="125" t="n">
        <f aca="false">AE37*($J$13-1)/(($D$13-$B$13)/91.3125)</f>
        <v>0.82200038580247</v>
      </c>
      <c r="AF39" s="125" t="n">
        <f aca="false">AF37*($J$13-1)/(($D$13-$B$13)/91.3125)</f>
        <v>0.82200038580247</v>
      </c>
      <c r="AG39" s="125" t="n">
        <f aca="false">AG37*($J$13-1)/(($D$13-$B$13)/91.3125)</f>
        <v>0.82200038580247</v>
      </c>
      <c r="AI39" s="125" t="n">
        <f aca="false">SUMIF($F$7:$AG$7,AI$7,$F39:$AG39)</f>
        <v>0</v>
      </c>
      <c r="AJ39" s="125" t="n">
        <f aca="false">SUMIF($F$7:$AG$7,AJ$7,$F39:$AG39)</f>
        <v>13.7391493055556</v>
      </c>
      <c r="AK39" s="125" t="n">
        <f aca="false">SUMIF($F$7:$AG$7,AK$7,$F39:$AG39)</f>
        <v>10.8034336419753</v>
      </c>
      <c r="AL39" s="125" t="n">
        <f aca="false">SUMIF($F$7:$AG$7,AL$7,$F39:$AG39)</f>
        <v>3.28800154320988</v>
      </c>
      <c r="AM39" s="125" t="n">
        <f aca="false">SUMIF($F$7:$AG$7,AM$7,$F39:$AG39)</f>
        <v>3.28800154320988</v>
      </c>
      <c r="AN39" s="125" t="n">
        <f aca="false">SUMIF($F$7:$AG$7,AN$7,$F39:$AG39)</f>
        <v>3.28800154320988</v>
      </c>
      <c r="AO39" s="125" t="n">
        <f aca="false">SUMIF($F$7:$AG$7,AO$7,$F39:$AG39)</f>
        <v>3.28800154320988</v>
      </c>
    </row>
    <row r="40" customFormat="false" ht="15" hidden="false" customHeight="false" outlineLevel="0" collapsed="false">
      <c r="A40" s="107" t="s">
        <v>2300</v>
      </c>
      <c r="B40" s="22" t="s">
        <v>613</v>
      </c>
      <c r="C40" s="22" t="s">
        <v>604</v>
      </c>
      <c r="D40" s="22"/>
      <c r="F40" s="124" t="n">
        <f aca="false">F37*(1+($J$13-1)*MIN(1,MAX(0,(F$4-$B$13)/($D$13-$B$13))))</f>
        <v>0</v>
      </c>
      <c r="G40" s="124" t="n">
        <f aca="false">G37*(1+($J$13-1)*MIN(1,MAX(0,(G$4-$B$13)/($D$13-$B$13))))</f>
        <v>0</v>
      </c>
      <c r="H40" s="124" t="n">
        <f aca="false">H37*(1+($J$13-1)*MIN(1,MAX(0,(H$4-$B$13)/($D$13-$B$13))))</f>
        <v>0</v>
      </c>
      <c r="I40" s="124" t="n">
        <f aca="false">I37*(1+($J$13-1)*MIN(1,MAX(0,(I$4-$B$13)/($D$13-$B$13))))</f>
        <v>0</v>
      </c>
      <c r="J40" s="124" t="n">
        <f aca="false">J37*(1+($J$13-1)*MIN(1,MAX(0,(J$4-$B$13)/($D$13-$B$13))))</f>
        <v>0</v>
      </c>
      <c r="K40" s="124" t="n">
        <f aca="false">K37*(1+($J$13-1)*MIN(1,MAX(0,(K$4-$B$13)/($D$13-$B$13))))</f>
        <v>488.753858024691</v>
      </c>
      <c r="L40" s="124" t="n">
        <f aca="false">L37*(1+($J$13-1)*MIN(1,MAX(0,(L$4-$B$13)/($D$13-$B$13))))</f>
        <v>493.368055555556</v>
      </c>
      <c r="M40" s="124" t="n">
        <f aca="false">M37*(1+($J$13-1)*MIN(1,MAX(0,(M$4-$B$13)/($D$13-$B$13))))</f>
        <v>497.98225308642</v>
      </c>
      <c r="N40" s="124" t="n">
        <f aca="false">N37*(1+($J$13-1)*MIN(1,MAX(0,(N$4-$B$13)/($D$13-$B$13))))</f>
        <v>502.496141975309</v>
      </c>
      <c r="O40" s="124" t="n">
        <f aca="false">O37*(1+($J$13-1)*MIN(1,MAX(0,(O$4-$B$13)/($D$13-$B$13))))</f>
        <v>507.060185185185</v>
      </c>
      <c r="P40" s="125" t="n">
        <f aca="false">P37*(1+($J$13-1)*MIN(1,MAX(0,(P$4-$B$13)/($D$13-$B$13))))</f>
        <v>91.8389917695473</v>
      </c>
      <c r="Q40" s="125" t="n">
        <f aca="false">Q37*(1+($J$13-1)*MIN(1,MAX(0,(Q$4-$B$13)/($D$13-$B$13))))</f>
        <v>92.6671810699589</v>
      </c>
      <c r="R40" s="125" t="n">
        <f aca="false">R37*(1+($J$13-1)*MIN(1,MAX(0,(R$4-$B$13)/($D$13-$B$13))))</f>
        <v>93.4773662551441</v>
      </c>
      <c r="S40" s="125" t="n">
        <f aca="false">S37*(1+($J$13-1)*MIN(1,MAX(0,(S$4-$B$13)/($D$13-$B$13))))</f>
        <v>94.2965534979424</v>
      </c>
      <c r="T40" s="125" t="n">
        <f aca="false">T37*(1+($J$13-1)*MIN(1,MAX(0,(T$4-$B$13)/($D$13-$B$13))))</f>
        <v>95.1247427983539</v>
      </c>
      <c r="U40" s="125" t="n">
        <f aca="false">U37*(1+($J$13-1)*MIN(1,MAX(0,(U$4-$B$13)/($D$13-$B$13))))</f>
        <v>95.9529320987654</v>
      </c>
      <c r="V40" s="125" t="n">
        <f aca="false">V37*(1+($J$13-1)*MIN(1,MAX(0,(V$4-$B$13)/($D$13-$B$13))))</f>
        <v>96.7721193415638</v>
      </c>
      <c r="W40" s="125" t="n">
        <f aca="false">W37*(1+($J$13-1)*MIN(1,MAX(0,(W$4-$B$13)/($D$13-$B$13))))</f>
        <v>97.5913065843622</v>
      </c>
      <c r="X40" s="125" t="n">
        <f aca="false">X37*(1+($J$13-1)*MIN(1,MAX(0,(X$4-$B$13)/($D$13-$B$13))))</f>
        <v>98.4194958847737</v>
      </c>
      <c r="Y40" s="125" t="n">
        <f aca="false">Y37*(1+($J$13-1)*MIN(1,MAX(0,(Y$4-$B$13)/($D$13-$B$13))))</f>
        <v>99.2476851851852</v>
      </c>
      <c r="Z40" s="125" t="n">
        <f aca="false">Z37*(1+($J$13-1)*MIN(1,MAX(0,(Z$4-$B$13)/($D$13-$B$13))))</f>
        <v>100.05787037037</v>
      </c>
      <c r="AA40" s="125" t="n">
        <f aca="false">AA37*(1+($J$13-1)*MIN(1,MAX(0,(AA$4-$B$13)/($D$13-$B$13))))</f>
        <v>100.877057613169</v>
      </c>
      <c r="AB40" s="125" t="n">
        <f aca="false">AB37*(1+($J$13-1)*MIN(1,MAX(0,(AB$4-$B$13)/($D$13-$B$13))))</f>
        <v>101.70524691358</v>
      </c>
      <c r="AC40" s="125" t="n">
        <f aca="false">AC37*(1+($J$13-1)*MIN(1,MAX(0,(AC$4-$B$13)/($D$13-$B$13))))</f>
        <v>102.533436213992</v>
      </c>
      <c r="AD40" s="125" t="n">
        <f aca="false">AD37*(1+($J$13-1)*MIN(1,MAX(0,(AD$4-$B$13)/($D$13-$B$13))))</f>
        <v>103.343621399177</v>
      </c>
      <c r="AE40" s="125" t="n">
        <f aca="false">AE37*(1+($J$13-1)*MIN(1,MAX(0,(AE$4-$B$13)/($D$13-$B$13))))</f>
        <v>104.162808641975</v>
      </c>
      <c r="AF40" s="125" t="n">
        <f aca="false">AF37*(1+($J$13-1)*MIN(1,MAX(0,(AF$4-$B$13)/($D$13-$B$13))))</f>
        <v>104.990997942387</v>
      </c>
      <c r="AG40" s="125" t="n">
        <f aca="false">AG37*(1+($J$13-1)*MIN(1,MAX(0,(AG$4-$B$13)/($D$13-$B$13))))</f>
        <v>105.819187242798</v>
      </c>
      <c r="AI40" s="125" t="n">
        <f aca="false">INDEX($F40:$AG40,1,MATCH(AI$7,$F$7:$AG$7,1))</f>
        <v>0</v>
      </c>
      <c r="AJ40" s="125" t="n">
        <f aca="false">INDEX($F40:$AG40,1,MATCH(AJ$7,$F$7:$AG$7,1))</f>
        <v>497.98225308642</v>
      </c>
      <c r="AK40" s="125" t="n">
        <f aca="false">INDEX($F40:$AG40,1,MATCH(AK$7,$F$7:$AG$7,1))</f>
        <v>92.6671810699589</v>
      </c>
      <c r="AL40" s="125" t="n">
        <f aca="false">INDEX($F40:$AG40,1,MATCH(AL$7,$F$7:$AG$7,1))</f>
        <v>95.9529320987654</v>
      </c>
      <c r="AM40" s="125" t="n">
        <f aca="false">INDEX($F40:$AG40,1,MATCH(AM$7,$F$7:$AG$7,1))</f>
        <v>99.2476851851852</v>
      </c>
      <c r="AN40" s="125" t="n">
        <f aca="false">INDEX($F40:$AG40,1,MATCH(AN$7,$F$7:$AG$7,1))</f>
        <v>102.533436213992</v>
      </c>
      <c r="AO40" s="125" t="n">
        <f aca="false">INDEX($F40:$AG40,1,MATCH(AO$7,$F$7:$AG$7,1))</f>
        <v>105.819187242798</v>
      </c>
    </row>
    <row r="41" customFormat="false" ht="15" hidden="false" customHeight="false" outlineLevel="0" collapsed="false">
      <c r="A41" s="107" t="s">
        <v>2301</v>
      </c>
      <c r="B41" s="22" t="s">
        <v>613</v>
      </c>
      <c r="C41" s="22" t="s">
        <v>604</v>
      </c>
      <c r="D41" s="22"/>
      <c r="F41" s="124" t="n">
        <f aca="false">F37*($S$13+($J$13-$S$13)*MIN(1,MAX(0,(F$4-$T$13)/($D$13-$T$13))))</f>
        <v>0</v>
      </c>
      <c r="G41" s="124" t="n">
        <f aca="false">G37*($S$13+($J$13-$S$13)*MIN(1,MAX(0,(G$4-$T$13)/($D$13-$T$13))))</f>
        <v>0</v>
      </c>
      <c r="H41" s="124" t="n">
        <f aca="false">H37*($S$13+($J$13-$S$13)*MIN(1,MAX(0,(H$4-$T$13)/($D$13-$T$13))))</f>
        <v>0</v>
      </c>
      <c r="I41" s="124" t="n">
        <f aca="false">I37*($S$13+($J$13-$S$13)*MIN(1,MAX(0,(I$4-$T$13)/($D$13-$T$13))))</f>
        <v>0</v>
      </c>
      <c r="J41" s="124" t="n">
        <f aca="false">J37*($S$13+($J$13-$S$13)*MIN(1,MAX(0,(J$4-$T$13)/($D$13-$T$13))))</f>
        <v>0</v>
      </c>
      <c r="K41" s="124" t="n">
        <f aca="false">K37*($S$13+($J$13-$S$13)*MIN(1,MAX(0,(K$4-$T$13)/($D$13-$T$13))))</f>
        <v>498.4000125</v>
      </c>
      <c r="L41" s="124" t="n">
        <f aca="false">L37*($S$13+($J$13-$S$13)*MIN(1,MAX(0,(L$4-$T$13)/($D$13-$T$13))))</f>
        <v>498.4000125</v>
      </c>
      <c r="M41" s="124" t="n">
        <f aca="false">M37*($S$13+($J$13-$S$13)*MIN(1,MAX(0,(M$4-$T$13)/($D$13-$T$13))))</f>
        <v>498.4000125</v>
      </c>
      <c r="N41" s="124" t="n">
        <f aca="false">N37*($S$13+($J$13-$S$13)*MIN(1,MAX(0,(N$4-$T$13)/($D$13-$T$13))))</f>
        <v>498.4000125</v>
      </c>
      <c r="O41" s="124" t="n">
        <f aca="false">O37*($S$13+($J$13-$S$13)*MIN(1,MAX(0,(O$4-$T$13)/($D$13-$T$13))))</f>
        <v>498.4000125</v>
      </c>
      <c r="P41" s="125" t="n">
        <f aca="false">P37*($S$13+($J$13-$S$13)*MIN(1,MAX(0,(P$4-$T$13)/($D$13-$T$13))))</f>
        <v>90.3641810308848</v>
      </c>
      <c r="Q41" s="125" t="n">
        <f aca="false">Q37*($S$13+($J$13-$S$13)*MIN(1,MAX(0,(Q$4-$T$13)/($D$13-$T$13))))</f>
        <v>91.2719495617696</v>
      </c>
      <c r="R41" s="125" t="n">
        <f aca="false">R37*($S$13+($J$13-$S$13)*MIN(1,MAX(0,(R$4-$T$13)/($D$13-$T$13))))</f>
        <v>92.1599839941569</v>
      </c>
      <c r="S41" s="125" t="n">
        <f aca="false">S37*($S$13+($J$13-$S$13)*MIN(1,MAX(0,(S$4-$T$13)/($D$13-$T$13))))</f>
        <v>93.057885475793</v>
      </c>
      <c r="T41" s="125" t="n">
        <f aca="false">T37*($S$13+($J$13-$S$13)*MIN(1,MAX(0,(T$4-$T$13)/($D$13-$T$13))))</f>
        <v>93.9656540066778</v>
      </c>
      <c r="U41" s="125" t="n">
        <f aca="false">U37*($S$13+($J$13-$S$13)*MIN(1,MAX(0,(U$4-$T$13)/($D$13-$T$13))))</f>
        <v>94.8734225375626</v>
      </c>
      <c r="V41" s="125" t="n">
        <f aca="false">V37*($S$13+($J$13-$S$13)*MIN(1,MAX(0,(V$4-$T$13)/($D$13-$T$13))))</f>
        <v>95.7713240191987</v>
      </c>
      <c r="W41" s="125" t="n">
        <f aca="false">W37*($S$13+($J$13-$S$13)*MIN(1,MAX(0,(W$4-$T$13)/($D$13-$T$13))))</f>
        <v>96.6692255008347</v>
      </c>
      <c r="X41" s="125" t="n">
        <f aca="false">X37*($S$13+($J$13-$S$13)*MIN(1,MAX(0,(X$4-$T$13)/($D$13-$T$13))))</f>
        <v>97.5769940317195</v>
      </c>
      <c r="Y41" s="125" t="n">
        <f aca="false">Y37*($S$13+($J$13-$S$13)*MIN(1,MAX(0,(Y$4-$T$13)/($D$13-$T$13))))</f>
        <v>98.4847625626044</v>
      </c>
      <c r="Z41" s="125" t="n">
        <f aca="false">Z37*($S$13+($J$13-$S$13)*MIN(1,MAX(0,(Z$4-$T$13)/($D$13-$T$13))))</f>
        <v>99.3727969949917</v>
      </c>
      <c r="AA41" s="125" t="n">
        <f aca="false">AA37*($S$13+($J$13-$S$13)*MIN(1,MAX(0,(AA$4-$T$13)/($D$13-$T$13))))</f>
        <v>100.270698476628</v>
      </c>
      <c r="AB41" s="125" t="n">
        <f aca="false">AB37*($S$13+($J$13-$S$13)*MIN(1,MAX(0,(AB$4-$T$13)/($D$13-$T$13))))</f>
        <v>101.178467007513</v>
      </c>
      <c r="AC41" s="125" t="n">
        <f aca="false">AC37*($S$13+($J$13-$S$13)*MIN(1,MAX(0,(AC$4-$T$13)/($D$13-$T$13))))</f>
        <v>102.086235538397</v>
      </c>
      <c r="AD41" s="125" t="n">
        <f aca="false">AD37*($S$13+($J$13-$S$13)*MIN(1,MAX(0,(AD$4-$T$13)/($D$13-$T$13))))</f>
        <v>102.974269970785</v>
      </c>
      <c r="AE41" s="125" t="n">
        <f aca="false">AE37*($S$13+($J$13-$S$13)*MIN(1,MAX(0,(AE$4-$T$13)/($D$13-$T$13))))</f>
        <v>103.872171452421</v>
      </c>
      <c r="AF41" s="125" t="n">
        <f aca="false">AF37*($S$13+($J$13-$S$13)*MIN(1,MAX(0,(AF$4-$T$13)/($D$13-$T$13))))</f>
        <v>104.779939983306</v>
      </c>
      <c r="AG41" s="125" t="n">
        <f aca="false">AG37*($S$13+($J$13-$S$13)*MIN(1,MAX(0,(AG$4-$T$13)/($D$13-$T$13))))</f>
        <v>105.68770851419</v>
      </c>
      <c r="AI41" s="125" t="n">
        <f aca="false">INDEX($F41:$AG41,1,MATCH(AI$7,$F$7:$AG$7,1))</f>
        <v>0</v>
      </c>
      <c r="AJ41" s="125" t="n">
        <f aca="false">INDEX($F41:$AG41,1,MATCH(AJ$7,$F$7:$AG$7,1))</f>
        <v>498.4000125</v>
      </c>
      <c r="AK41" s="125" t="n">
        <f aca="false">INDEX($F41:$AG41,1,MATCH(AK$7,$F$7:$AG$7,1))</f>
        <v>91.2719495617696</v>
      </c>
      <c r="AL41" s="125" t="n">
        <f aca="false">INDEX($F41:$AG41,1,MATCH(AL$7,$F$7:$AG$7,1))</f>
        <v>94.8734225375626</v>
      </c>
      <c r="AM41" s="125" t="n">
        <f aca="false">INDEX($F41:$AG41,1,MATCH(AM$7,$F$7:$AG$7,1))</f>
        <v>98.4847625626044</v>
      </c>
      <c r="AN41" s="125" t="n">
        <f aca="false">INDEX($F41:$AG41,1,MATCH(AN$7,$F$7:$AG$7,1))</f>
        <v>102.086235538397</v>
      </c>
      <c r="AO41" s="125" t="n">
        <f aca="false">INDEX($F41:$AG41,1,MATCH(AO$7,$F$7:$AG$7,1))</f>
        <v>105.68770851419</v>
      </c>
    </row>
    <row r="42" customFormat="false" ht="15" hidden="false" customHeight="false" outlineLevel="0" collapsed="false">
      <c r="A42" s="107" t="s">
        <v>2302</v>
      </c>
      <c r="B42" s="22" t="s">
        <v>613</v>
      </c>
      <c r="C42" s="22" t="s">
        <v>604</v>
      </c>
      <c r="D42" s="22"/>
      <c r="F42" s="124" t="n">
        <f aca="false">IF(F$5=$N$13,E37*$J$13*(1-$O$13),0)</f>
        <v>0</v>
      </c>
      <c r="G42" s="124" t="n">
        <f aca="false">IF(G$5=$N$13,F37*$J$13*(1-$O$13),0)</f>
        <v>0</v>
      </c>
      <c r="H42" s="124" t="n">
        <f aca="false">IF(H$5=$N$13,G37*$J$13*(1-$O$13),0)</f>
        <v>0</v>
      </c>
      <c r="I42" s="124" t="n">
        <f aca="false">IF(I$5=$N$13,H37*$J$13*(1-$O$13),0)</f>
        <v>0</v>
      </c>
      <c r="J42" s="124" t="n">
        <f aca="false">IF(J$5=$N$13,I37*$J$13*(1-$O$13),0)</f>
        <v>0</v>
      </c>
      <c r="K42" s="124" t="n">
        <f aca="false">IF(K$5=$N$13,J37*$J$13*(1-$O$13),0)</f>
        <v>0</v>
      </c>
      <c r="L42" s="124" t="n">
        <f aca="false">IF(L$5=$N$13,K37*$J$13*(1-$O$13),0)</f>
        <v>0</v>
      </c>
      <c r="M42" s="124" t="n">
        <f aca="false">IF(M$5=$N$13,L37*$J$13*(1-$O$13),0)</f>
        <v>0</v>
      </c>
      <c r="N42" s="124" t="n">
        <f aca="false">IF(N$5=$N$13,M37*$J$13*(1-$O$13),0)</f>
        <v>0</v>
      </c>
      <c r="O42" s="124" t="n">
        <f aca="false">IF(O$5=$N$13,N37*$J$13*(1-$O$13),0)</f>
        <v>0</v>
      </c>
      <c r="P42" s="125" t="n">
        <f aca="false">IF(P$5=$N$13,O37*$J$13*(1-$O$13),0)</f>
        <v>0</v>
      </c>
      <c r="Q42" s="125" t="n">
        <f aca="false">IF(Q$5=$N$13,P37*$J$13*(1-$O$13),0)</f>
        <v>0</v>
      </c>
      <c r="R42" s="125" t="n">
        <f aca="false">IF(R$5=$N$13,Q37*$J$13*(1-$O$13),0)</f>
        <v>0</v>
      </c>
      <c r="S42" s="125" t="n">
        <f aca="false">IF(S$5=$N$13,R37*$J$13*(1-$O$13),0)</f>
        <v>0</v>
      </c>
      <c r="T42" s="125" t="n">
        <f aca="false">IF(T$5=$N$13,S37*$J$13*(1-$O$13),0)</f>
        <v>0</v>
      </c>
      <c r="U42" s="125" t="n">
        <f aca="false">IF(U$5=$N$13,T37*$J$13*(1-$O$13),0)</f>
        <v>0</v>
      </c>
      <c r="V42" s="125" t="n">
        <f aca="false">IF(V$5=$N$13,U37*$J$13*(1-$O$13),0)</f>
        <v>0</v>
      </c>
      <c r="W42" s="125" t="n">
        <f aca="false">IF(W$5=$N$13,V37*$J$13*(1-$O$13),0)</f>
        <v>0</v>
      </c>
      <c r="X42" s="125" t="n">
        <f aca="false">IF(X$5=$N$13,W37*$J$13*(1-$O$13),0)</f>
        <v>0</v>
      </c>
      <c r="Y42" s="125" t="n">
        <f aca="false">IF(Y$5=$N$13,X37*$J$13*(1-$O$13),0)</f>
        <v>0</v>
      </c>
      <c r="Z42" s="125" t="n">
        <f aca="false">IF(Z$5=$N$13,Y37*$J$13*(1-$O$13),0)</f>
        <v>0</v>
      </c>
      <c r="AA42" s="125" t="n">
        <f aca="false">IF(AA$5=$N$13,Z37*$J$13*(1-$O$13),0)</f>
        <v>0</v>
      </c>
      <c r="AB42" s="125" t="n">
        <f aca="false">IF(AB$5=$N$13,AA37*$J$13*(1-$O$13),0)</f>
        <v>0</v>
      </c>
      <c r="AC42" s="125" t="n">
        <f aca="false">IF(AC$5=$N$13,AB37*$J$13*(1-$O$13),0)</f>
        <v>0</v>
      </c>
      <c r="AD42" s="125" t="n">
        <f aca="false">IF(AD$5=$N$13,AC37*$J$13*(1-$O$13),0)</f>
        <v>0</v>
      </c>
      <c r="AE42" s="125" t="n">
        <f aca="false">IF(AE$5=$N$13,AD37*$J$13*(1-$O$13),0)</f>
        <v>0</v>
      </c>
      <c r="AF42" s="125" t="n">
        <f aca="false">IF(AF$5=$N$13,AE37*$J$13*(1-$O$13),0)</f>
        <v>0</v>
      </c>
      <c r="AG42" s="125" t="n">
        <f aca="false">IF(AG$5=$N$13,AF37*$J$13*(1-$O$13),0)</f>
        <v>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2303</v>
      </c>
      <c r="B43" s="22" t="s">
        <v>635</v>
      </c>
      <c r="C43" s="22" t="s">
        <v>604</v>
      </c>
      <c r="D43" s="22"/>
      <c r="F43" s="140" t="n">
        <f aca="false">IF(F$5=$N$13,E37*$K$13/1000*$O$13,0)</f>
        <v>0</v>
      </c>
      <c r="G43" s="140" t="n">
        <f aca="false">IF(G$5=$N$13,F37*$K$13/1000*$O$13,0)</f>
        <v>0</v>
      </c>
      <c r="H43" s="140" t="n">
        <f aca="false">IF(H$5=$N$13,G37*$K$13/1000*$O$13,0)</f>
        <v>0</v>
      </c>
      <c r="I43" s="140" t="n">
        <f aca="false">IF(I$5=$N$13,H37*$K$13/1000*$O$13,0)</f>
        <v>0</v>
      </c>
      <c r="J43" s="140" t="n">
        <f aca="false">IF(J$5=$N$13,I37*$K$13/1000*$O$13,0)</f>
        <v>0</v>
      </c>
      <c r="K43" s="140" t="n">
        <f aca="false">IF(K$5=$N$13,J37*$K$13/1000*$O$13,0)</f>
        <v>0</v>
      </c>
      <c r="L43" s="140" t="n">
        <f aca="false">IF(L$5=$N$13,K37*$K$13/1000*$O$13,0)</f>
        <v>0</v>
      </c>
      <c r="M43" s="140" t="n">
        <f aca="false">IF(M$5=$N$13,L37*$K$13/1000*$O$13,0)</f>
        <v>0</v>
      </c>
      <c r="N43" s="140" t="n">
        <f aca="false">IF(N$5=$N$13,M37*$K$13/1000*$O$13,0)</f>
        <v>0</v>
      </c>
      <c r="O43" s="140" t="n">
        <f aca="false">IF(O$5=$N$13,N37*$K$13/1000*$O$13,0)</f>
        <v>0</v>
      </c>
      <c r="P43" s="47" t="n">
        <f aca="false">IF(P$5=$N$13,O37*$K$13/1000*$O$13,0)</f>
        <v>0</v>
      </c>
      <c r="Q43" s="47" t="n">
        <f aca="false">IF(Q$5=$N$13,P37*$K$13/1000*$O$13,0)</f>
        <v>0</v>
      </c>
      <c r="R43" s="47" t="n">
        <f aca="false">IF(R$5=$N$13,Q37*$K$13/1000*$O$13,0)</f>
        <v>0</v>
      </c>
      <c r="S43" s="47" t="n">
        <f aca="false">IF(S$5=$N$13,R37*$K$13/1000*$O$13,0)</f>
        <v>0</v>
      </c>
      <c r="T43" s="47" t="n">
        <f aca="false">IF(T$5=$N$13,S37*$K$13/1000*$O$13,0)</f>
        <v>0</v>
      </c>
      <c r="U43" s="47" t="n">
        <f aca="false">IF(U$5=$N$13,T37*$K$13/1000*$O$13,0)</f>
        <v>0</v>
      </c>
      <c r="V43" s="47" t="n">
        <f aca="false">IF(V$5=$N$13,U37*$K$13/1000*$O$13,0)</f>
        <v>0</v>
      </c>
      <c r="W43" s="47" t="n">
        <f aca="false">IF(W$5=$N$13,V37*$K$13/1000*$O$13,0)</f>
        <v>0</v>
      </c>
      <c r="X43" s="47" t="n">
        <f aca="false">IF(X$5=$N$13,W37*$K$13/1000*$O$13,0)</f>
        <v>0</v>
      </c>
      <c r="Y43" s="47" t="n">
        <f aca="false">IF(Y$5=$N$13,X37*$K$13/1000*$O$13,0)</f>
        <v>0</v>
      </c>
      <c r="Z43" s="47" t="n">
        <f aca="false">IF(Z$5=$N$13,Y37*$K$13/1000*$O$13,0)</f>
        <v>0</v>
      </c>
      <c r="AA43" s="47" t="n">
        <f aca="false">IF(AA$5=$N$13,Z37*$K$13/1000*$O$13,0)</f>
        <v>0</v>
      </c>
      <c r="AB43" s="47" t="n">
        <f aca="false">IF(AB$5=$N$13,AA37*$K$13/1000*$O$13,0)</f>
        <v>0</v>
      </c>
      <c r="AC43" s="47" t="n">
        <f aca="false">IF(AC$5=$N$13,AB37*$K$13/1000*$O$13,0)</f>
        <v>0</v>
      </c>
      <c r="AD43" s="47" t="n">
        <f aca="false">IF(AD$5=$N$13,AC37*$K$13/1000*$O$13,0)</f>
        <v>0</v>
      </c>
      <c r="AE43" s="47" t="n">
        <f aca="false">IF(AE$5=$N$13,AD37*$K$13/1000*$O$13,0)</f>
        <v>0</v>
      </c>
      <c r="AF43" s="47" t="n">
        <f aca="false">IF(AF$5=$N$13,AE37*$K$13/1000*$O$13,0)</f>
        <v>0</v>
      </c>
      <c r="AG43" s="47" t="n">
        <f aca="false">IF(AG$5=$N$13,AF37*$K$13/1000*$O$13,0)</f>
        <v>0</v>
      </c>
      <c r="AI43" s="47" t="n">
        <f aca="false">SUMIF($F$7:$AG$7,AI$7,$F43:$AG43)</f>
        <v>0</v>
      </c>
      <c r="AJ43" s="47" t="n">
        <f aca="false">SUMIF($F$7:$AG$7,AJ$7,$F43:$AG43)</f>
        <v>0</v>
      </c>
      <c r="AK43" s="47" t="n">
        <f aca="false">SUMIF($F$7:$AG$7,AK$7,$F43:$AG43)</f>
        <v>0</v>
      </c>
      <c r="AL43" s="47" t="n">
        <f aca="false">SUMIF($F$7:$AG$7,AL$7,$F43:$AG43)</f>
        <v>0</v>
      </c>
      <c r="AM43" s="47" t="n">
        <f aca="false">SUMIF($F$7:$AG$7,AM$7,$F43:$AG43)</f>
        <v>0</v>
      </c>
      <c r="AN43" s="47" t="n">
        <f aca="false">SUMIF($F$7:$AG$7,AN$7,$F43:$AG43)</f>
        <v>0</v>
      </c>
      <c r="AO43" s="47" t="n">
        <f aca="false">SUMIF($F$7:$AG$7,AO$7,$F43:$AG43)</f>
        <v>0</v>
      </c>
    </row>
    <row r="44" customFormat="false" ht="15" hidden="false" customHeight="false" outlineLevel="0" collapsed="false">
      <c r="A44" s="107" t="s">
        <v>2304</v>
      </c>
      <c r="B44" s="22" t="s">
        <v>635</v>
      </c>
      <c r="C44" s="22" t="s">
        <v>540</v>
      </c>
      <c r="D44" s="22"/>
      <c r="F44" s="140" t="n">
        <f aca="false">IF(DilMethod=3,MAX(0,F37*$K$13/1000*DilPx-F40)/DilPx,F37*$K$13/1000*$P$13)</f>
        <v>0</v>
      </c>
      <c r="G44" s="140" t="n">
        <f aca="false">IF(DilMethod=3,MAX(0,G37*$K$13/1000*DilPx-G40)/DilPx,G37*$K$13/1000*$P$13)</f>
        <v>0</v>
      </c>
      <c r="H44" s="140" t="n">
        <f aca="false">IF(DilMethod=3,MAX(0,H37*$K$13/1000*DilPx-H40)/DilPx,H37*$K$13/1000*$P$13)</f>
        <v>0</v>
      </c>
      <c r="I44" s="140" t="n">
        <f aca="false">IF(DilMethod=3,MAX(0,I37*$K$13/1000*DilPx-I40)/DilPx,I37*$K$13/1000*$P$13)</f>
        <v>0</v>
      </c>
      <c r="J44" s="140" t="n">
        <f aca="false">IF(DilMethod=3,MAX(0,J37*$K$13/1000*DilPx-J40)/DilPx,J37*$K$13/1000*$P$13)</f>
        <v>0</v>
      </c>
      <c r="K44" s="140" t="n">
        <f aca="false">IF(DilMethod=3,MAX(0,K37*$K$13/1000*DilPx-K40)/DilPx,K37*$K$13/1000*$P$13)</f>
        <v>0</v>
      </c>
      <c r="L44" s="140" t="n">
        <f aca="false">IF(DilMethod=3,MAX(0,L37*$K$13/1000*DilPx-L40)/DilPx,L37*$K$13/1000*$P$13)</f>
        <v>0</v>
      </c>
      <c r="M44" s="140" t="n">
        <f aca="false">IF(DilMethod=3,MAX(0,M37*$K$13/1000*DilPx-M40)/DilPx,M37*$K$13/1000*$P$13)</f>
        <v>0</v>
      </c>
      <c r="N44" s="140" t="n">
        <f aca="false">IF(DilMethod=3,MAX(0,N37*$K$13/1000*DilPx-N40)/DilPx,N37*$K$13/1000*$P$13)</f>
        <v>0</v>
      </c>
      <c r="O44" s="140" t="n">
        <f aca="false">IF(DilMethod=3,MAX(0,O37*$K$13/1000*DilPx-O40)/DilPx,O37*$K$13/1000*$P$13)</f>
        <v>0</v>
      </c>
      <c r="P44" s="47" t="n">
        <f aca="false">IF(DilMethod=3,MAX(0,P37*$K$13/1000*DilPx-P40)/DilPx,P37*$K$13/1000*$P$13)</f>
        <v>0</v>
      </c>
      <c r="Q44" s="47" t="n">
        <f aca="false">IF(DilMethod=3,MAX(0,Q37*$K$13/1000*DilPx-Q40)/DilPx,Q37*$K$13/1000*$P$13)</f>
        <v>0</v>
      </c>
      <c r="R44" s="47" t="n">
        <f aca="false">IF(DilMethod=3,MAX(0,R37*$K$13/1000*DilPx-R40)/DilPx,R37*$K$13/1000*$P$13)</f>
        <v>0</v>
      </c>
      <c r="S44" s="47" t="n">
        <f aca="false">IF(DilMethod=3,MAX(0,S37*$K$13/1000*DilPx-S40)/DilPx,S37*$K$13/1000*$P$13)</f>
        <v>0</v>
      </c>
      <c r="T44" s="47" t="n">
        <f aca="false">IF(DilMethod=3,MAX(0,T37*$K$13/1000*DilPx-T40)/DilPx,T37*$K$13/1000*$P$13)</f>
        <v>0</v>
      </c>
      <c r="U44" s="47" t="n">
        <f aca="false">IF(DilMethod=3,MAX(0,U37*$K$13/1000*DilPx-U40)/DilPx,U37*$K$13/1000*$P$13)</f>
        <v>0</v>
      </c>
      <c r="V44" s="47" t="n">
        <f aca="false">IF(DilMethod=3,MAX(0,V37*$K$13/1000*DilPx-V40)/DilPx,V37*$K$13/1000*$P$13)</f>
        <v>0</v>
      </c>
      <c r="W44" s="47" t="n">
        <f aca="false">IF(DilMethod=3,MAX(0,W37*$K$13/1000*DilPx-W40)/DilPx,W37*$K$13/1000*$P$13)</f>
        <v>0</v>
      </c>
      <c r="X44" s="47" t="n">
        <f aca="false">IF(DilMethod=3,MAX(0,X37*$K$13/1000*DilPx-X40)/DilPx,X37*$K$13/1000*$P$13)</f>
        <v>0</v>
      </c>
      <c r="Y44" s="47" t="n">
        <f aca="false">IF(DilMethod=3,MAX(0,Y37*$K$13/1000*DilPx-Y40)/DilPx,Y37*$K$13/1000*$P$13)</f>
        <v>0</v>
      </c>
      <c r="Z44" s="47" t="n">
        <f aca="false">IF(DilMethod=3,MAX(0,Z37*$K$13/1000*DilPx-Z40)/DilPx,Z37*$K$13/1000*$P$13)</f>
        <v>0</v>
      </c>
      <c r="AA44" s="47" t="n">
        <f aca="false">IF(DilMethod=3,MAX(0,AA37*$K$13/1000*DilPx-AA40)/DilPx,AA37*$K$13/1000*$P$13)</f>
        <v>0</v>
      </c>
      <c r="AB44" s="47" t="n">
        <f aca="false">IF(DilMethod=3,MAX(0,AB37*$K$13/1000*DilPx-AB40)/DilPx,AB37*$K$13/1000*$P$13)</f>
        <v>0</v>
      </c>
      <c r="AC44" s="47" t="n">
        <f aca="false">IF(DilMethod=3,MAX(0,AC37*$K$13/1000*DilPx-AC40)/DilPx,AC37*$K$13/1000*$P$13)</f>
        <v>0</v>
      </c>
      <c r="AD44" s="47" t="n">
        <f aca="false">IF(DilMethod=3,MAX(0,AD37*$K$13/1000*DilPx-AD40)/DilPx,AD37*$K$13/1000*$P$13)</f>
        <v>0</v>
      </c>
      <c r="AE44" s="47" t="n">
        <f aca="false">IF(DilMethod=3,MAX(0,AE37*$K$13/1000*DilPx-AE40)/DilPx,AE37*$K$13/1000*$P$13)</f>
        <v>0</v>
      </c>
      <c r="AF44" s="47" t="n">
        <f aca="false">IF(DilMethod=3,MAX(0,AF37*$K$13/1000*DilPx-AF40)/DilPx,AF37*$K$13/1000*$P$13)</f>
        <v>0</v>
      </c>
      <c r="AG44" s="47" t="n">
        <f aca="false">IF(DilMethod=3,MAX(0,AG37*$K$13/1000*DilPx-AG40)/DilPx,AG37*$K$13/1000*$P$13)</f>
        <v>0</v>
      </c>
      <c r="AI44" s="47" t="n">
        <f aca="false">INDEX($F44:$AG44,1,MATCH(AI$7,$F$7:$AG$7,1))</f>
        <v>0</v>
      </c>
      <c r="AJ44" s="47" t="n">
        <f aca="false">INDEX($F44:$AG44,1,MATCH(AJ$7,$F$7:$AG$7,1))</f>
        <v>0</v>
      </c>
      <c r="AK44" s="47" t="n">
        <f aca="false">INDEX($F44:$AG44,1,MATCH(AK$7,$F$7:$AG$7,1))</f>
        <v>0</v>
      </c>
      <c r="AL44" s="47" t="n">
        <f aca="false">INDEX($F44:$AG44,1,MATCH(AL$7,$F$7:$AG$7,1))</f>
        <v>0</v>
      </c>
      <c r="AM44" s="47" t="n">
        <f aca="false">INDEX($F44:$AG44,1,MATCH(AM$7,$F$7:$AG$7,1))</f>
        <v>0</v>
      </c>
      <c r="AN44" s="47" t="n">
        <f aca="false">INDEX($F44:$AG44,1,MATCH(AN$7,$F$7:$AG$7,1))</f>
        <v>0</v>
      </c>
      <c r="AO44" s="47" t="n">
        <f aca="false">INDEX($F44:$AG44,1,MATCH(AO$7,$F$7:$AG$7,1))</f>
        <v>0</v>
      </c>
    </row>
    <row r="45" customFormat="false" ht="15" hidden="false" customHeight="false" outlineLevel="0" collapsed="false">
      <c r="A45" s="107" t="s">
        <v>2305</v>
      </c>
      <c r="B45" s="22" t="s">
        <v>613</v>
      </c>
      <c r="C45" s="22" t="s">
        <v>540</v>
      </c>
      <c r="D45" s="22"/>
      <c r="F45" s="124" t="n">
        <f aca="false">F40*IF(DilMethod=3,1,1-$P$13)</f>
        <v>0</v>
      </c>
      <c r="G45" s="124" t="n">
        <f aca="false">G40*IF(DilMethod=3,1,1-$P$13)</f>
        <v>0</v>
      </c>
      <c r="H45" s="124" t="n">
        <f aca="false">H40*IF(DilMethod=3,1,1-$P$13)</f>
        <v>0</v>
      </c>
      <c r="I45" s="124" t="n">
        <f aca="false">I40*IF(DilMethod=3,1,1-$P$13)</f>
        <v>0</v>
      </c>
      <c r="J45" s="124" t="n">
        <f aca="false">J40*IF(DilMethod=3,1,1-$P$13)</f>
        <v>0</v>
      </c>
      <c r="K45" s="124" t="n">
        <f aca="false">K40*IF(DilMethod=3,1,1-$P$13)</f>
        <v>488.753858024691</v>
      </c>
      <c r="L45" s="124" t="n">
        <f aca="false">L40*IF(DilMethod=3,1,1-$P$13)</f>
        <v>493.368055555556</v>
      </c>
      <c r="M45" s="124" t="n">
        <f aca="false">M40*IF(DilMethod=3,1,1-$P$13)</f>
        <v>497.98225308642</v>
      </c>
      <c r="N45" s="124" t="n">
        <f aca="false">N40*IF(DilMethod=3,1,1-$P$13)</f>
        <v>502.496141975309</v>
      </c>
      <c r="O45" s="124" t="n">
        <f aca="false">O40*IF(DilMethod=3,1,1-$P$13)</f>
        <v>507.060185185185</v>
      </c>
      <c r="P45" s="125" t="n">
        <f aca="false">P40*IF(DilMethod=3,1,1-$P$13)</f>
        <v>91.8389917695473</v>
      </c>
      <c r="Q45" s="125" t="n">
        <f aca="false">Q40*IF(DilMethod=3,1,1-$P$13)</f>
        <v>92.6671810699589</v>
      </c>
      <c r="R45" s="125" t="n">
        <f aca="false">R40*IF(DilMethod=3,1,1-$P$13)</f>
        <v>93.4773662551441</v>
      </c>
      <c r="S45" s="125" t="n">
        <f aca="false">S40*IF(DilMethod=3,1,1-$P$13)</f>
        <v>94.2965534979424</v>
      </c>
      <c r="T45" s="125" t="n">
        <f aca="false">T40*IF(DilMethod=3,1,1-$P$13)</f>
        <v>95.1247427983539</v>
      </c>
      <c r="U45" s="125" t="n">
        <f aca="false">U40*IF(DilMethod=3,1,1-$P$13)</f>
        <v>95.9529320987654</v>
      </c>
      <c r="V45" s="125" t="n">
        <f aca="false">V40*IF(DilMethod=3,1,1-$P$13)</f>
        <v>96.7721193415638</v>
      </c>
      <c r="W45" s="125" t="n">
        <f aca="false">W40*IF(DilMethod=3,1,1-$P$13)</f>
        <v>97.5913065843622</v>
      </c>
      <c r="X45" s="125" t="n">
        <f aca="false">X40*IF(DilMethod=3,1,1-$P$13)</f>
        <v>98.4194958847737</v>
      </c>
      <c r="Y45" s="125" t="n">
        <f aca="false">Y40*IF(DilMethod=3,1,1-$P$13)</f>
        <v>99.2476851851852</v>
      </c>
      <c r="Z45" s="125" t="n">
        <f aca="false">Z40*IF(DilMethod=3,1,1-$P$13)</f>
        <v>100.05787037037</v>
      </c>
      <c r="AA45" s="125" t="n">
        <f aca="false">AA40*IF(DilMethod=3,1,1-$P$13)</f>
        <v>100.877057613169</v>
      </c>
      <c r="AB45" s="125" t="n">
        <f aca="false">AB40*IF(DilMethod=3,1,1-$P$13)</f>
        <v>101.70524691358</v>
      </c>
      <c r="AC45" s="125" t="n">
        <f aca="false">AC40*IF(DilMethod=3,1,1-$P$13)</f>
        <v>102.533436213992</v>
      </c>
      <c r="AD45" s="125" t="n">
        <f aca="false">AD40*IF(DilMethod=3,1,1-$P$13)</f>
        <v>103.343621399177</v>
      </c>
      <c r="AE45" s="125" t="n">
        <f aca="false">AE40*IF(DilMethod=3,1,1-$P$13)</f>
        <v>104.162808641975</v>
      </c>
      <c r="AF45" s="125" t="n">
        <f aca="false">AF40*IF(DilMethod=3,1,1-$P$13)</f>
        <v>104.990997942387</v>
      </c>
      <c r="AG45" s="125" t="n">
        <f aca="false">AG40*IF(DilMethod=3,1,1-$P$13)</f>
        <v>105.819187242798</v>
      </c>
      <c r="AI45" s="125" t="n">
        <f aca="false">INDEX($F45:$AG45,1,MATCH(AI$7,$F$7:$AG$7,1))</f>
        <v>0</v>
      </c>
      <c r="AJ45" s="125" t="n">
        <f aca="false">INDEX($F45:$AG45,1,MATCH(AJ$7,$F$7:$AG$7,1))</f>
        <v>497.98225308642</v>
      </c>
      <c r="AK45" s="125" t="n">
        <f aca="false">INDEX($F45:$AG45,1,MATCH(AK$7,$F$7:$AG$7,1))</f>
        <v>92.6671810699589</v>
      </c>
      <c r="AL45" s="125" t="n">
        <f aca="false">INDEX($F45:$AG45,1,MATCH(AL$7,$F$7:$AG$7,1))</f>
        <v>95.9529320987654</v>
      </c>
      <c r="AM45" s="125" t="n">
        <f aca="false">INDEX($F45:$AG45,1,MATCH(AM$7,$F$7:$AG$7,1))</f>
        <v>99.2476851851852</v>
      </c>
      <c r="AN45" s="125" t="n">
        <f aca="false">INDEX($F45:$AG45,1,MATCH(AN$7,$F$7:$AG$7,1))</f>
        <v>102.533436213992</v>
      </c>
      <c r="AO45" s="125" t="n">
        <f aca="false">INDEX($F45:$AG45,1,MATCH(AO$7,$F$7:$AG$7,1))</f>
        <v>105.819187242798</v>
      </c>
    </row>
    <row r="46" customFormat="false" ht="15" hidden="false" customHeight="false" outlineLevel="0" collapsed="false">
      <c r="A46" s="107" t="s">
        <v>2306</v>
      </c>
      <c r="B46" s="22" t="s">
        <v>613</v>
      </c>
      <c r="C46" s="22" t="s">
        <v>604</v>
      </c>
      <c r="D46" s="22"/>
      <c r="F46" s="124" t="n">
        <f aca="false">IF(AND(F$5&gt;=$M$14,F$5&lt;$N$14),$E$14-$F$14-IF(F$5&gt;=$H$14,$G$14,0),0)*($H$14&lt;&gt;0)+IF(AND(F$5&gt;=$M$14,F$5&lt;$N$14),$E$14-$F$14,0)*($H$14=0)</f>
        <v>0</v>
      </c>
      <c r="G46" s="124" t="n">
        <f aca="false">IF(AND(G$5&gt;=$M$14,G$5&lt;$N$14),$E$14-$F$14-IF(G$5&gt;=$H$14,$G$14,0),0)*($H$14&lt;&gt;0)+IF(AND(G$5&gt;=$M$14,G$5&lt;$N$14),$E$14-$F$14,0)*($H$14=0)</f>
        <v>0</v>
      </c>
      <c r="H46" s="124" t="n">
        <f aca="false">IF(AND(H$5&gt;=$M$14,H$5&lt;$N$14),$E$14-$F$14-IF(H$5&gt;=$H$14,$G$14,0),0)*($H$14&lt;&gt;0)+IF(AND(H$5&gt;=$M$14,H$5&lt;$N$14),$E$14-$F$14,0)*($H$14=0)</f>
        <v>0</v>
      </c>
      <c r="I46" s="124" t="n">
        <f aca="false">IF(AND(I$5&gt;=$M$14,I$5&lt;$N$14),$E$14-$F$14-IF(I$5&gt;=$H$14,$G$14,0),0)*($H$14&lt;&gt;0)+IF(AND(I$5&gt;=$M$14,I$5&lt;$N$14),$E$14-$F$14,0)*($H$14=0)</f>
        <v>0</v>
      </c>
      <c r="J46" s="124" t="n">
        <f aca="false">IF(AND(J$5&gt;=$M$14,J$5&lt;$N$14),$E$14-$F$14-IF(J$5&gt;=$H$14,$G$14,0),0)*($H$14&lt;&gt;0)+IF(AND(J$5&gt;=$M$14,J$5&lt;$N$14),$E$14-$F$14,0)*($H$14=0)</f>
        <v>0</v>
      </c>
      <c r="K46" s="124" t="n">
        <f aca="false">IF(AND(K$5&gt;=$M$14,K$5&lt;$N$14),$E$14-$F$14-IF(K$5&gt;=$H$14,$G$14,0),0)*($H$14&lt;&gt;0)+IF(AND(K$5&gt;=$M$14,K$5&lt;$N$14),$E$14-$F$14,0)*($H$14=0)</f>
        <v>0</v>
      </c>
      <c r="L46" s="124" t="n">
        <f aca="false">IF(AND(L$5&gt;=$M$14,L$5&lt;$N$14),$E$14-$F$14-IF(L$5&gt;=$H$14,$G$14,0),0)*($H$14&lt;&gt;0)+IF(AND(L$5&gt;=$M$14,L$5&lt;$N$14),$E$14-$F$14,0)*($H$14=0)</f>
        <v>1581.25</v>
      </c>
      <c r="M46" s="124" t="n">
        <f aca="false">IF(AND(M$5&gt;=$M$14,M$5&lt;$N$14),$E$14-$F$14-IF(M$5&gt;=$H$14,$G$14,0),0)*($H$14&lt;&gt;0)+IF(AND(M$5&gt;=$M$14,M$5&lt;$N$14),$E$14-$F$14,0)*($H$14=0)</f>
        <v>1581.25</v>
      </c>
      <c r="N46" s="124" t="n">
        <f aca="false">IF(AND(N$5&gt;=$M$14,N$5&lt;$N$14),$E$14-$F$14-IF(N$5&gt;=$H$14,$G$14,0),0)*($H$14&lt;&gt;0)+IF(AND(N$5&gt;=$M$14,N$5&lt;$N$14),$E$14-$F$14,0)*($H$14=0)</f>
        <v>1581.25</v>
      </c>
      <c r="O46" s="124" t="n">
        <f aca="false">IF(AND(O$5&gt;=$M$14,O$5&lt;$N$14),$E$14-$F$14-IF(O$5&gt;=$H$14,$G$14,0),0)*($H$14&lt;&gt;0)+IF(AND(O$5&gt;=$M$14,O$5&lt;$N$14),$E$14-$F$14,0)*($H$14=0)</f>
        <v>1581.25</v>
      </c>
      <c r="P46" s="125" t="n">
        <f aca="false">IF(AND(P$5&gt;=$M$14,P$5&lt;$N$14),$E$14-$F$14-IF(P$5&gt;=$H$14,$G$14,0),0)*($H$14&lt;&gt;0)+IF(AND(P$5&gt;=$M$14,P$5&lt;$N$14),$E$14-$F$14,0)*($H$14=0)</f>
        <v>1581.25</v>
      </c>
      <c r="Q46" s="125" t="n">
        <f aca="false">IF(AND(Q$5&gt;=$M$14,Q$5&lt;$N$14),$E$14-$F$14-IF(Q$5&gt;=$H$14,$G$14,0),0)*($H$14&lt;&gt;0)+IF(AND(Q$5&gt;=$M$14,Q$5&lt;$N$14),$E$14-$F$14,0)*($H$14=0)</f>
        <v>1581.25</v>
      </c>
      <c r="R46" s="125" t="n">
        <f aca="false">IF(AND(R$5&gt;=$M$14,R$5&lt;$N$14),$E$14-$F$14-IF(R$5&gt;=$H$14,$G$14,0),0)*($H$14&lt;&gt;0)+IF(AND(R$5&gt;=$M$14,R$5&lt;$N$14),$E$14-$F$14,0)*($H$14=0)</f>
        <v>1581.25</v>
      </c>
      <c r="S46" s="125" t="n">
        <f aca="false">IF(AND(S$5&gt;=$M$14,S$5&lt;$N$14),$E$14-$F$14-IF(S$5&gt;=$H$14,$G$14,0),0)*($H$14&lt;&gt;0)+IF(AND(S$5&gt;=$M$14,S$5&lt;$N$14),$E$14-$F$14,0)*($H$14=0)</f>
        <v>1581.25</v>
      </c>
      <c r="T46" s="125" t="n">
        <f aca="false">IF(AND(T$5&gt;=$M$14,T$5&lt;$N$14),$E$14-$F$14-IF(T$5&gt;=$H$14,$G$14,0),0)*($H$14&lt;&gt;0)+IF(AND(T$5&gt;=$M$14,T$5&lt;$N$14),$E$14-$F$14,0)*($H$14=0)</f>
        <v>1581.25</v>
      </c>
      <c r="U46" s="125" t="n">
        <f aca="false">IF(AND(U$5&gt;=$M$14,U$5&lt;$N$14),$E$14-$F$14-IF(U$5&gt;=$H$14,$G$14,0),0)*($H$14&lt;&gt;0)+IF(AND(U$5&gt;=$M$14,U$5&lt;$N$14),$E$14-$F$14,0)*($H$14=0)</f>
        <v>1581.25</v>
      </c>
      <c r="V46" s="125" t="n">
        <f aca="false">IF(AND(V$5&gt;=$M$14,V$5&lt;$N$14),$E$14-$F$14-IF(V$5&gt;=$H$14,$G$14,0),0)*($H$14&lt;&gt;0)+IF(AND(V$5&gt;=$M$14,V$5&lt;$N$14),$E$14-$F$14,0)*($H$14=0)</f>
        <v>1581.25</v>
      </c>
      <c r="W46" s="125" t="n">
        <f aca="false">IF(AND(W$5&gt;=$M$14,W$5&lt;$N$14),$E$14-$F$14-IF(W$5&gt;=$H$14,$G$14,0),0)*($H$14&lt;&gt;0)+IF(AND(W$5&gt;=$M$14,W$5&lt;$N$14),$E$14-$F$14,0)*($H$14=0)</f>
        <v>1581.25</v>
      </c>
      <c r="X46" s="125" t="n">
        <f aca="false">IF(AND(X$5&gt;=$M$14,X$5&lt;$N$14),$E$14-$F$14-IF(X$5&gt;=$H$14,$G$14,0),0)*($H$14&lt;&gt;0)+IF(AND(X$5&gt;=$M$14,X$5&lt;$N$14),$E$14-$F$14,0)*($H$14=0)</f>
        <v>1581.25</v>
      </c>
      <c r="Y46" s="125" t="n">
        <f aca="false">IF(AND(Y$5&gt;=$M$14,Y$5&lt;$N$14),$E$14-$F$14-IF(Y$5&gt;=$H$14,$G$14,0),0)*($H$14&lt;&gt;0)+IF(AND(Y$5&gt;=$M$14,Y$5&lt;$N$14),$E$14-$F$14,0)*($H$14=0)</f>
        <v>1581.25</v>
      </c>
      <c r="Z46" s="125" t="n">
        <f aca="false">IF(AND(Z$5&gt;=$M$14,Z$5&lt;$N$14),$E$14-$F$14-IF(Z$5&gt;=$H$14,$G$14,0),0)*($H$14&lt;&gt;0)+IF(AND(Z$5&gt;=$M$14,Z$5&lt;$N$14),$E$14-$F$14,0)*($H$14=0)</f>
        <v>1581.25</v>
      </c>
      <c r="AA46" s="125" t="n">
        <f aca="false">IF(AND(AA$5&gt;=$M$14,AA$5&lt;$N$14),$E$14-$F$14-IF(AA$5&gt;=$H$14,$G$14,0),0)*($H$14&lt;&gt;0)+IF(AND(AA$5&gt;=$M$14,AA$5&lt;$N$14),$E$14-$F$14,0)*($H$14=0)</f>
        <v>1581.25</v>
      </c>
      <c r="AB46" s="125" t="n">
        <f aca="false">IF(AND(AB$5&gt;=$M$14,AB$5&lt;$N$14),$E$14-$F$14-IF(AB$5&gt;=$H$14,$G$14,0),0)*($H$14&lt;&gt;0)+IF(AND(AB$5&gt;=$M$14,AB$5&lt;$N$14),$E$14-$F$14,0)*($H$14=0)</f>
        <v>1581.25</v>
      </c>
      <c r="AC46" s="125" t="n">
        <f aca="false">IF(AND(AC$5&gt;=$M$14,AC$5&lt;$N$14),$E$14-$F$14-IF(AC$5&gt;=$H$14,$G$14,0),0)*($H$14&lt;&gt;0)+IF(AND(AC$5&gt;=$M$14,AC$5&lt;$N$14),$E$14-$F$14,0)*($H$14=0)</f>
        <v>1581.25</v>
      </c>
      <c r="AD46" s="125" t="n">
        <f aca="false">IF(AND(AD$5&gt;=$M$14,AD$5&lt;$N$14),$E$14-$F$14-IF(AD$5&gt;=$H$14,$G$14,0),0)*($H$14&lt;&gt;0)+IF(AND(AD$5&gt;=$M$14,AD$5&lt;$N$14),$E$14-$F$14,0)*($H$14=0)</f>
        <v>1581.25</v>
      </c>
      <c r="AE46" s="125" t="n">
        <f aca="false">IF(AND(AE$5&gt;=$M$14,AE$5&lt;$N$14),$E$14-$F$14-IF(AE$5&gt;=$H$14,$G$14,0),0)*($H$14&lt;&gt;0)+IF(AND(AE$5&gt;=$M$14,AE$5&lt;$N$14),$E$14-$F$14,0)*($H$14=0)</f>
        <v>1581.25</v>
      </c>
      <c r="AF46" s="125" t="n">
        <f aca="false">IF(AND(AF$5&gt;=$M$14,AF$5&lt;$N$14),$E$14-$F$14-IF(AF$5&gt;=$H$14,$G$14,0),0)*($H$14&lt;&gt;0)+IF(AND(AF$5&gt;=$M$14,AF$5&lt;$N$14),$E$14-$F$14,0)*($H$14=0)</f>
        <v>0</v>
      </c>
      <c r="AG46" s="125" t="n">
        <f aca="false">IF(AND(AG$5&gt;=$M$14,AG$5&lt;$N$14),$E$14-$F$14-IF(AG$5&gt;=$H$14,$G$14,0),0)*($H$14&lt;&gt;0)+IF(AND(AG$5&gt;=$M$14,AG$5&lt;$N$14),$E$14-$F$14,0)*($H$14=0)</f>
        <v>0</v>
      </c>
      <c r="AI46" s="125" t="n">
        <f aca="false">INDEX($F46:$AG46,1,MATCH(AI$7,$F$7:$AG$7,1))</f>
        <v>0</v>
      </c>
      <c r="AJ46" s="125" t="n">
        <f aca="false">INDEX($F46:$AG46,1,MATCH(AJ$7,$F$7:$AG$7,1))</f>
        <v>1581.25</v>
      </c>
      <c r="AK46" s="125" t="n">
        <f aca="false">INDEX($F46:$AG46,1,MATCH(AK$7,$F$7:$AG$7,1))</f>
        <v>1581.25</v>
      </c>
      <c r="AL46" s="125" t="n">
        <f aca="false">INDEX($F46:$AG46,1,MATCH(AL$7,$F$7:$AG$7,1))</f>
        <v>1581.25</v>
      </c>
      <c r="AM46" s="125" t="n">
        <f aca="false">INDEX($F46:$AG46,1,MATCH(AM$7,$F$7:$AG$7,1))</f>
        <v>1581.25</v>
      </c>
      <c r="AN46" s="125" t="n">
        <f aca="false">INDEX($F46:$AG46,1,MATCH(AN$7,$F$7:$AG$7,1))</f>
        <v>1581.25</v>
      </c>
      <c r="AO46" s="125" t="n">
        <f aca="false">INDEX($F46:$AG46,1,MATCH(AO$7,$F$7:$AG$7,1))</f>
        <v>0</v>
      </c>
    </row>
    <row r="47" customFormat="false" ht="15" hidden="false" customHeight="false" outlineLevel="0" collapsed="false">
      <c r="A47" s="107" t="s">
        <v>2307</v>
      </c>
      <c r="B47" s="22" t="s">
        <v>613</v>
      </c>
      <c r="C47" s="22" t="s">
        <v>604</v>
      </c>
      <c r="D47" s="22"/>
      <c r="F47" s="124" t="n">
        <f aca="false">F46*$C$14/4</f>
        <v>0</v>
      </c>
      <c r="G47" s="124" t="n">
        <f aca="false">G46*$C$14/4</f>
        <v>0</v>
      </c>
      <c r="H47" s="124" t="n">
        <f aca="false">H46*$C$14/4</f>
        <v>0</v>
      </c>
      <c r="I47" s="124" t="n">
        <f aca="false">I46*$C$14/4</f>
        <v>0</v>
      </c>
      <c r="J47" s="124" t="n">
        <f aca="false">J46*$C$14/4</f>
        <v>0</v>
      </c>
      <c r="K47" s="124" t="n">
        <f aca="false">K46*$C$14/4</f>
        <v>0</v>
      </c>
      <c r="L47" s="124" t="n">
        <f aca="false">L46*$C$14/4</f>
        <v>3.953125</v>
      </c>
      <c r="M47" s="124" t="n">
        <f aca="false">M46*$C$14/4</f>
        <v>3.953125</v>
      </c>
      <c r="N47" s="124" t="n">
        <f aca="false">N46*$C$14/4</f>
        <v>3.953125</v>
      </c>
      <c r="O47" s="124" t="n">
        <f aca="false">O46*$C$14/4</f>
        <v>3.953125</v>
      </c>
      <c r="P47" s="125" t="n">
        <f aca="false">P46*$C$14/4</f>
        <v>3.953125</v>
      </c>
      <c r="Q47" s="125" t="n">
        <f aca="false">Q46*$C$14/4</f>
        <v>3.953125</v>
      </c>
      <c r="R47" s="125" t="n">
        <f aca="false">R46*$C$14/4</f>
        <v>3.953125</v>
      </c>
      <c r="S47" s="125" t="n">
        <f aca="false">S46*$C$14/4</f>
        <v>3.953125</v>
      </c>
      <c r="T47" s="125" t="n">
        <f aca="false">T46*$C$14/4</f>
        <v>3.953125</v>
      </c>
      <c r="U47" s="125" t="n">
        <f aca="false">U46*$C$14/4</f>
        <v>3.953125</v>
      </c>
      <c r="V47" s="125" t="n">
        <f aca="false">V46*$C$14/4</f>
        <v>3.953125</v>
      </c>
      <c r="W47" s="125" t="n">
        <f aca="false">W46*$C$14/4</f>
        <v>3.953125</v>
      </c>
      <c r="X47" s="125" t="n">
        <f aca="false">X46*$C$14/4</f>
        <v>3.953125</v>
      </c>
      <c r="Y47" s="125" t="n">
        <f aca="false">Y46*$C$14/4</f>
        <v>3.953125</v>
      </c>
      <c r="Z47" s="125" t="n">
        <f aca="false">Z46*$C$14/4</f>
        <v>3.953125</v>
      </c>
      <c r="AA47" s="125" t="n">
        <f aca="false">AA46*$C$14/4</f>
        <v>3.953125</v>
      </c>
      <c r="AB47" s="125" t="n">
        <f aca="false">AB46*$C$14/4</f>
        <v>3.953125</v>
      </c>
      <c r="AC47" s="125" t="n">
        <f aca="false">AC46*$C$14/4</f>
        <v>3.953125</v>
      </c>
      <c r="AD47" s="125" t="n">
        <f aca="false">AD46*$C$14/4</f>
        <v>3.953125</v>
      </c>
      <c r="AE47" s="125" t="n">
        <f aca="false">AE46*$C$14/4</f>
        <v>3.953125</v>
      </c>
      <c r="AF47" s="125" t="n">
        <f aca="false">AF46*$C$14/4</f>
        <v>0</v>
      </c>
      <c r="AG47" s="125" t="n">
        <f aca="false">AG46*$C$14/4</f>
        <v>0</v>
      </c>
      <c r="AI47" s="125" t="n">
        <f aca="false">SUMIF($F$7:$AG$7,AI$7,$F47:$AG47)</f>
        <v>0</v>
      </c>
      <c r="AJ47" s="125" t="n">
        <f aca="false">SUMIF($F$7:$AG$7,AJ$7,$F47:$AG47)</f>
        <v>7.90625</v>
      </c>
      <c r="AK47" s="125" t="n">
        <f aca="false">SUMIF($F$7:$AG$7,AK$7,$F47:$AG47)</f>
        <v>15.8125</v>
      </c>
      <c r="AL47" s="125" t="n">
        <f aca="false">SUMIF($F$7:$AG$7,AL$7,$F47:$AG47)</f>
        <v>15.8125</v>
      </c>
      <c r="AM47" s="125" t="n">
        <f aca="false">SUMIF($F$7:$AG$7,AM$7,$F47:$AG47)</f>
        <v>15.8125</v>
      </c>
      <c r="AN47" s="125" t="n">
        <f aca="false">SUMIF($F$7:$AG$7,AN$7,$F47:$AG47)</f>
        <v>15.8125</v>
      </c>
      <c r="AO47" s="125" t="n">
        <f aca="false">SUMIF($F$7:$AG$7,AO$7,$F47:$AG47)</f>
        <v>7.90625</v>
      </c>
    </row>
    <row r="48" customFormat="false" ht="15" hidden="false" customHeight="false" outlineLevel="0" collapsed="false">
      <c r="A48" s="107" t="s">
        <v>2308</v>
      </c>
      <c r="B48" s="22" t="s">
        <v>613</v>
      </c>
      <c r="C48" s="22" t="s">
        <v>604</v>
      </c>
      <c r="D48" s="22"/>
      <c r="F48" s="124" t="n">
        <f aca="false">F46*($J$14-1)/(($D$14-$B$14)/91.3125)</f>
        <v>0</v>
      </c>
      <c r="G48" s="124" t="n">
        <f aca="false">G46*($J$14-1)/(($D$14-$B$14)/91.3125)</f>
        <v>0</v>
      </c>
      <c r="H48" s="124" t="n">
        <f aca="false">H46*($J$14-1)/(($D$14-$B$14)/91.3125)</f>
        <v>0</v>
      </c>
      <c r="I48" s="124" t="n">
        <f aca="false">I46*($J$14-1)/(($D$14-$B$14)/91.3125)</f>
        <v>0</v>
      </c>
      <c r="J48" s="124" t="n">
        <f aca="false">J46*($J$14-1)/(($D$14-$B$14)/91.3125)</f>
        <v>0</v>
      </c>
      <c r="K48" s="124" t="n">
        <f aca="false">K46*($J$14-1)/(($D$14-$B$14)/91.3125)</f>
        <v>0</v>
      </c>
      <c r="L48" s="124" t="n">
        <f aca="false">L46*($J$14-1)/(($D$14-$B$14)/91.3125)</f>
        <v>11.8609986822289</v>
      </c>
      <c r="M48" s="124" t="n">
        <f aca="false">M46*($J$14-1)/(($D$14-$B$14)/91.3125)</f>
        <v>11.8609986822289</v>
      </c>
      <c r="N48" s="124" t="n">
        <f aca="false">N46*($J$14-1)/(($D$14-$B$14)/91.3125)</f>
        <v>11.8609986822289</v>
      </c>
      <c r="O48" s="124" t="n">
        <f aca="false">O46*($J$14-1)/(($D$14-$B$14)/91.3125)</f>
        <v>11.8609986822289</v>
      </c>
      <c r="P48" s="125" t="n">
        <f aca="false">P46*($J$14-1)/(($D$14-$B$14)/91.3125)</f>
        <v>11.8609986822289</v>
      </c>
      <c r="Q48" s="125" t="n">
        <f aca="false">Q46*($J$14-1)/(($D$14-$B$14)/91.3125)</f>
        <v>11.8609986822289</v>
      </c>
      <c r="R48" s="125" t="n">
        <f aca="false">R46*($J$14-1)/(($D$14-$B$14)/91.3125)</f>
        <v>11.8609986822289</v>
      </c>
      <c r="S48" s="125" t="n">
        <f aca="false">S46*($J$14-1)/(($D$14-$B$14)/91.3125)</f>
        <v>11.8609986822289</v>
      </c>
      <c r="T48" s="125" t="n">
        <f aca="false">T46*($J$14-1)/(($D$14-$B$14)/91.3125)</f>
        <v>11.8609986822289</v>
      </c>
      <c r="U48" s="125" t="n">
        <f aca="false">U46*($J$14-1)/(($D$14-$B$14)/91.3125)</f>
        <v>11.8609986822289</v>
      </c>
      <c r="V48" s="125" t="n">
        <f aca="false">V46*($J$14-1)/(($D$14-$B$14)/91.3125)</f>
        <v>11.8609986822289</v>
      </c>
      <c r="W48" s="125" t="n">
        <f aca="false">W46*($J$14-1)/(($D$14-$B$14)/91.3125)</f>
        <v>11.8609986822289</v>
      </c>
      <c r="X48" s="125" t="n">
        <f aca="false">X46*($J$14-1)/(($D$14-$B$14)/91.3125)</f>
        <v>11.8609986822289</v>
      </c>
      <c r="Y48" s="125" t="n">
        <f aca="false">Y46*($J$14-1)/(($D$14-$B$14)/91.3125)</f>
        <v>11.8609986822289</v>
      </c>
      <c r="Z48" s="125" t="n">
        <f aca="false">Z46*($J$14-1)/(($D$14-$B$14)/91.3125)</f>
        <v>11.8609986822289</v>
      </c>
      <c r="AA48" s="125" t="n">
        <f aca="false">AA46*($J$14-1)/(($D$14-$B$14)/91.3125)</f>
        <v>11.8609986822289</v>
      </c>
      <c r="AB48" s="125" t="n">
        <f aca="false">AB46*($J$14-1)/(($D$14-$B$14)/91.3125)</f>
        <v>11.8609986822289</v>
      </c>
      <c r="AC48" s="125" t="n">
        <f aca="false">AC46*($J$14-1)/(($D$14-$B$14)/91.3125)</f>
        <v>11.8609986822289</v>
      </c>
      <c r="AD48" s="125" t="n">
        <f aca="false">AD46*($J$14-1)/(($D$14-$B$14)/91.3125)</f>
        <v>11.8609986822289</v>
      </c>
      <c r="AE48" s="125" t="n">
        <f aca="false">AE46*($J$14-1)/(($D$14-$B$14)/91.3125)</f>
        <v>11.8609986822289</v>
      </c>
      <c r="AF48" s="125" t="n">
        <f aca="false">AF46*($J$14-1)/(($D$14-$B$14)/91.3125)</f>
        <v>0</v>
      </c>
      <c r="AG48" s="125" t="n">
        <f aca="false">AG46*($J$14-1)/(($D$14-$B$14)/91.3125)</f>
        <v>0</v>
      </c>
      <c r="AI48" s="125" t="n">
        <f aca="false">SUMIF($F$7:$AG$7,AI$7,$F48:$AG48)</f>
        <v>0</v>
      </c>
      <c r="AJ48" s="125" t="n">
        <f aca="false">SUMIF($F$7:$AG$7,AJ$7,$F48:$AG48)</f>
        <v>23.7219973644578</v>
      </c>
      <c r="AK48" s="125" t="n">
        <f aca="false">SUMIF($F$7:$AG$7,AK$7,$F48:$AG48)</f>
        <v>47.4439947289156</v>
      </c>
      <c r="AL48" s="125" t="n">
        <f aca="false">SUMIF($F$7:$AG$7,AL$7,$F48:$AG48)</f>
        <v>47.4439947289156</v>
      </c>
      <c r="AM48" s="125" t="n">
        <f aca="false">SUMIF($F$7:$AG$7,AM$7,$F48:$AG48)</f>
        <v>47.4439947289156</v>
      </c>
      <c r="AN48" s="125" t="n">
        <f aca="false">SUMIF($F$7:$AG$7,AN$7,$F48:$AG48)</f>
        <v>47.4439947289156</v>
      </c>
      <c r="AO48" s="125" t="n">
        <f aca="false">SUMIF($F$7:$AG$7,AO$7,$F48:$AG48)</f>
        <v>23.7219973644578</v>
      </c>
    </row>
    <row r="49" customFormat="false" ht="15" hidden="false" customHeight="false" outlineLevel="0" collapsed="false">
      <c r="A49" s="107" t="s">
        <v>2309</v>
      </c>
      <c r="B49" s="22" t="s">
        <v>613</v>
      </c>
      <c r="C49" s="22" t="s">
        <v>604</v>
      </c>
      <c r="D49" s="22"/>
      <c r="F49" s="124" t="n">
        <f aca="false">F46*(1+($J$14-1)*MIN(1,MAX(0,(F$4-$B$14)/($D$14-$B$14))))</f>
        <v>0</v>
      </c>
      <c r="G49" s="124" t="n">
        <f aca="false">G46*(1+($J$14-1)*MIN(1,MAX(0,(G$4-$B$14)/($D$14-$B$14))))</f>
        <v>0</v>
      </c>
      <c r="H49" s="124" t="n">
        <f aca="false">H46*(1+($J$14-1)*MIN(1,MAX(0,(H$4-$B$14)/($D$14-$B$14))))</f>
        <v>0</v>
      </c>
      <c r="I49" s="124" t="n">
        <f aca="false">I46*(1+($J$14-1)*MIN(1,MAX(0,(I$4-$B$14)/($D$14-$B$14))))</f>
        <v>0</v>
      </c>
      <c r="J49" s="124" t="n">
        <f aca="false">J46*(1+($J$14-1)*MIN(1,MAX(0,(J$4-$B$14)/($D$14-$B$14))))</f>
        <v>0</v>
      </c>
      <c r="K49" s="124" t="n">
        <f aca="false">K46*(1+($J$14-1)*MIN(1,MAX(0,(K$4-$B$14)/($D$14-$B$14))))</f>
        <v>0</v>
      </c>
      <c r="L49" s="124" t="n">
        <f aca="false">L46*(1+($J$14-1)*MIN(1,MAX(0,(L$4-$B$14)/($D$14-$B$14))))</f>
        <v>1583.1984186747</v>
      </c>
      <c r="M49" s="124" t="n">
        <f aca="false">M46*(1+($J$14-1)*MIN(1,MAX(0,(M$4-$B$14)/($D$14-$B$14))))</f>
        <v>1595.14871987952</v>
      </c>
      <c r="N49" s="124" t="n">
        <f aca="false">N46*(1+($J$14-1)*MIN(1,MAX(0,(N$4-$B$14)/($D$14-$B$14))))</f>
        <v>1606.83923192771</v>
      </c>
      <c r="O49" s="124" t="n">
        <f aca="false">O46*(1+($J$14-1)*MIN(1,MAX(0,(O$4-$B$14)/($D$14-$B$14))))</f>
        <v>1618.65963855422</v>
      </c>
      <c r="P49" s="125" t="n">
        <f aca="false">P46*(1+($J$14-1)*MIN(1,MAX(0,(P$4-$B$14)/($D$14-$B$14))))</f>
        <v>1630.60993975904</v>
      </c>
      <c r="Q49" s="125" t="n">
        <f aca="false">Q46*(1+($J$14-1)*MIN(1,MAX(0,(Q$4-$B$14)/($D$14-$B$14))))</f>
        <v>1642.56024096386</v>
      </c>
      <c r="R49" s="125" t="n">
        <f aca="false">R46*(1+($J$14-1)*MIN(1,MAX(0,(R$4-$B$14)/($D$14-$B$14))))</f>
        <v>1654.25075301205</v>
      </c>
      <c r="S49" s="125" t="n">
        <f aca="false">S46*(1+($J$14-1)*MIN(1,MAX(0,(S$4-$B$14)/($D$14-$B$14))))</f>
        <v>1666.07115963855</v>
      </c>
      <c r="T49" s="125" t="n">
        <f aca="false">T46*(1+($J$14-1)*MIN(1,MAX(0,(T$4-$B$14)/($D$14-$B$14))))</f>
        <v>1678.02146084337</v>
      </c>
      <c r="U49" s="125" t="n">
        <f aca="false">U46*(1+($J$14-1)*MIN(1,MAX(0,(U$4-$B$14)/($D$14-$B$14))))</f>
        <v>1689.97176204819</v>
      </c>
      <c r="V49" s="125" t="n">
        <f aca="false">V46*(1+($J$14-1)*MIN(1,MAX(0,(V$4-$B$14)/($D$14-$B$14))))</f>
        <v>1701.7921686747</v>
      </c>
      <c r="W49" s="125" t="n">
        <f aca="false">W46*(1+($J$14-1)*MIN(1,MAX(0,(W$4-$B$14)/($D$14-$B$14))))</f>
        <v>1713.6125753012</v>
      </c>
      <c r="X49" s="125" t="n">
        <f aca="false">X46*(1+($J$14-1)*MIN(1,MAX(0,(X$4-$B$14)/($D$14-$B$14))))</f>
        <v>1725.56287650602</v>
      </c>
      <c r="Y49" s="125" t="n">
        <f aca="false">Y46*(1+($J$14-1)*MIN(1,MAX(0,(Y$4-$B$14)/($D$14-$B$14))))</f>
        <v>1737.51317771084</v>
      </c>
      <c r="Z49" s="125" t="n">
        <f aca="false">Z46*(1+($J$14-1)*MIN(1,MAX(0,(Z$4-$B$14)/($D$14-$B$14))))</f>
        <v>1749.20368975904</v>
      </c>
      <c r="AA49" s="125" t="n">
        <f aca="false">AA46*(1+($J$14-1)*MIN(1,MAX(0,(AA$4-$B$14)/($D$14-$B$14))))</f>
        <v>1761.02409638554</v>
      </c>
      <c r="AB49" s="125" t="n">
        <f aca="false">AB46*(1+($J$14-1)*MIN(1,MAX(0,(AB$4-$B$14)/($D$14-$B$14))))</f>
        <v>1772.97439759036</v>
      </c>
      <c r="AC49" s="125" t="n">
        <f aca="false">AC46*(1+($J$14-1)*MIN(1,MAX(0,(AC$4-$B$14)/($D$14-$B$14))))</f>
        <v>1784.92469879518</v>
      </c>
      <c r="AD49" s="125" t="n">
        <f aca="false">AD46*(1+($J$14-1)*MIN(1,MAX(0,(AD$4-$B$14)/($D$14-$B$14))))</f>
        <v>1796.61521084337</v>
      </c>
      <c r="AE49" s="125" t="n">
        <f aca="false">AE46*(1+($J$14-1)*MIN(1,MAX(0,(AE$4-$B$14)/($D$14-$B$14))))</f>
        <v>1808.43561746988</v>
      </c>
      <c r="AF49" s="125" t="n">
        <f aca="false">AF46*(1+($J$14-1)*MIN(1,MAX(0,(AF$4-$B$14)/($D$14-$B$14))))</f>
        <v>0</v>
      </c>
      <c r="AG49" s="125" t="n">
        <f aca="false">AG46*(1+($J$14-1)*MIN(1,MAX(0,(AG$4-$B$14)/($D$14-$B$14))))</f>
        <v>0</v>
      </c>
      <c r="AI49" s="125" t="n">
        <f aca="false">INDEX($F49:$AG49,1,MATCH(AI$7,$F$7:$AG$7,1))</f>
        <v>0</v>
      </c>
      <c r="AJ49" s="125" t="n">
        <f aca="false">INDEX($F49:$AG49,1,MATCH(AJ$7,$F$7:$AG$7,1))</f>
        <v>1595.14871987952</v>
      </c>
      <c r="AK49" s="125" t="n">
        <f aca="false">INDEX($F49:$AG49,1,MATCH(AK$7,$F$7:$AG$7,1))</f>
        <v>1642.56024096386</v>
      </c>
      <c r="AL49" s="125" t="n">
        <f aca="false">INDEX($F49:$AG49,1,MATCH(AL$7,$F$7:$AG$7,1))</f>
        <v>1689.97176204819</v>
      </c>
      <c r="AM49" s="125" t="n">
        <f aca="false">INDEX($F49:$AG49,1,MATCH(AM$7,$F$7:$AG$7,1))</f>
        <v>1737.51317771084</v>
      </c>
      <c r="AN49" s="125" t="n">
        <f aca="false">INDEX($F49:$AG49,1,MATCH(AN$7,$F$7:$AG$7,1))</f>
        <v>1784.92469879518</v>
      </c>
      <c r="AO49" s="125" t="n">
        <f aca="false">INDEX($F49:$AG49,1,MATCH(AO$7,$F$7:$AG$7,1))</f>
        <v>0</v>
      </c>
    </row>
    <row r="50" customFormat="false" ht="15" hidden="false" customHeight="false" outlineLevel="0" collapsed="false">
      <c r="A50" s="107" t="s">
        <v>2310</v>
      </c>
      <c r="B50" s="22" t="s">
        <v>613</v>
      </c>
      <c r="C50" s="22" t="s">
        <v>604</v>
      </c>
      <c r="D50" s="22"/>
      <c r="F50" s="124" t="n">
        <f aca="false">F46*($S$14+($J$14-$S$14)*MIN(1,MAX(0,(F$4-$T$14)/($D$14-$T$14))))</f>
        <v>0</v>
      </c>
      <c r="G50" s="124" t="n">
        <f aca="false">G46*($S$14+($J$14-$S$14)*MIN(1,MAX(0,(G$4-$T$14)/($D$14-$T$14))))</f>
        <v>0</v>
      </c>
      <c r="H50" s="124" t="n">
        <f aca="false">H46*($S$14+($J$14-$S$14)*MIN(1,MAX(0,(H$4-$T$14)/($D$14-$T$14))))</f>
        <v>0</v>
      </c>
      <c r="I50" s="124" t="n">
        <f aca="false">I46*($S$14+($J$14-$S$14)*MIN(1,MAX(0,(I$4-$T$14)/($D$14-$T$14))))</f>
        <v>0</v>
      </c>
      <c r="J50" s="124" t="n">
        <f aca="false">J46*($S$14+($J$14-$S$14)*MIN(1,MAX(0,(J$4-$T$14)/($D$14-$T$14))))</f>
        <v>0</v>
      </c>
      <c r="K50" s="124" t="n">
        <f aca="false">K46*($S$14+($J$14-$S$14)*MIN(1,MAX(0,(K$4-$T$14)/($D$14-$T$14))))</f>
        <v>0</v>
      </c>
      <c r="L50" s="124" t="n">
        <f aca="false">L46*($S$14+($J$14-$S$14)*MIN(1,MAX(0,(L$4-$T$14)/($D$14-$T$14))))</f>
        <v>1588.19959375</v>
      </c>
      <c r="M50" s="124" t="n">
        <f aca="false">M46*($S$14+($J$14-$S$14)*MIN(1,MAX(0,(M$4-$T$14)/($D$14-$T$14))))</f>
        <v>1588.19959375</v>
      </c>
      <c r="N50" s="124" t="n">
        <f aca="false">N46*($S$14+($J$14-$S$14)*MIN(1,MAX(0,(N$4-$T$14)/($D$14-$T$14))))</f>
        <v>1588.19959375</v>
      </c>
      <c r="O50" s="124" t="n">
        <f aca="false">O46*($S$14+($J$14-$S$14)*MIN(1,MAX(0,(O$4-$T$14)/($D$14-$T$14))))</f>
        <v>1588.19959375</v>
      </c>
      <c r="P50" s="125" t="n">
        <f aca="false">P46*($S$14+($J$14-$S$14)*MIN(1,MAX(0,(P$4-$T$14)/($D$14-$T$14))))</f>
        <v>1601.9719522513</v>
      </c>
      <c r="Q50" s="125" t="n">
        <f aca="false">Q46*($S$14+($J$14-$S$14)*MIN(1,MAX(0,(Q$4-$T$14)/($D$14-$T$14))))</f>
        <v>1615.7443107526</v>
      </c>
      <c r="R50" s="125" t="n">
        <f aca="false">R46*($S$14+($J$14-$S$14)*MIN(1,MAX(0,(R$4-$T$14)/($D$14-$T$14))))</f>
        <v>1629.21727015605</v>
      </c>
      <c r="S50" s="125" t="n">
        <f aca="false">S46*($S$14+($J$14-$S$14)*MIN(1,MAX(0,(S$4-$T$14)/($D$14-$T$14))))</f>
        <v>1642.83992910842</v>
      </c>
      <c r="T50" s="125" t="n">
        <f aca="false">T46*($S$14+($J$14-$S$14)*MIN(1,MAX(0,(T$4-$T$14)/($D$14-$T$14))))</f>
        <v>1656.61228760972</v>
      </c>
      <c r="U50" s="125" t="n">
        <f aca="false">U46*($S$14+($J$14-$S$14)*MIN(1,MAX(0,(U$4-$T$14)/($D$14-$T$14))))</f>
        <v>1670.38464611102</v>
      </c>
      <c r="V50" s="125" t="n">
        <f aca="false">V46*($S$14+($J$14-$S$14)*MIN(1,MAX(0,(V$4-$T$14)/($D$14-$T$14))))</f>
        <v>1684.00730506339</v>
      </c>
      <c r="W50" s="125" t="n">
        <f aca="false">W46*($S$14+($J$14-$S$14)*MIN(1,MAX(0,(W$4-$T$14)/($D$14-$T$14))))</f>
        <v>1697.62996401577</v>
      </c>
      <c r="X50" s="125" t="n">
        <f aca="false">X46*($S$14+($J$14-$S$14)*MIN(1,MAX(0,(X$4-$T$14)/($D$14-$T$14))))</f>
        <v>1711.40232251707</v>
      </c>
      <c r="Y50" s="125" t="n">
        <f aca="false">Y46*($S$14+($J$14-$S$14)*MIN(1,MAX(0,(Y$4-$T$14)/($D$14-$T$14))))</f>
        <v>1725.17468101837</v>
      </c>
      <c r="Z50" s="125" t="n">
        <f aca="false">Z46*($S$14+($J$14-$S$14)*MIN(1,MAX(0,(Z$4-$T$14)/($D$14-$T$14))))</f>
        <v>1738.64764042181</v>
      </c>
      <c r="AA50" s="125" t="n">
        <f aca="false">AA46*($S$14+($J$14-$S$14)*MIN(1,MAX(0,(AA$4-$T$14)/($D$14-$T$14))))</f>
        <v>1752.27029937419</v>
      </c>
      <c r="AB50" s="125" t="n">
        <f aca="false">AB46*($S$14+($J$14-$S$14)*MIN(1,MAX(0,(AB$4-$T$14)/($D$14-$T$14))))</f>
        <v>1766.04265787549</v>
      </c>
      <c r="AC50" s="125" t="n">
        <f aca="false">AC46*($S$14+($J$14-$S$14)*MIN(1,MAX(0,(AC$4-$T$14)/($D$14-$T$14))))</f>
        <v>1779.81501637679</v>
      </c>
      <c r="AD50" s="125" t="n">
        <f aca="false">AD46*($S$14+($J$14-$S$14)*MIN(1,MAX(0,(AD$4-$T$14)/($D$14-$T$14))))</f>
        <v>1793.28797578023</v>
      </c>
      <c r="AE50" s="125" t="n">
        <f aca="false">AE46*($S$14+($J$14-$S$14)*MIN(1,MAX(0,(AE$4-$T$14)/($D$14-$T$14))))</f>
        <v>1806.91063473261</v>
      </c>
      <c r="AF50" s="125" t="n">
        <f aca="false">AF46*($S$14+($J$14-$S$14)*MIN(1,MAX(0,(AF$4-$T$14)/($D$14-$T$14))))</f>
        <v>0</v>
      </c>
      <c r="AG50" s="125" t="n">
        <f aca="false">AG46*($S$14+($J$14-$S$14)*MIN(1,MAX(0,(AG$4-$T$14)/($D$14-$T$14))))</f>
        <v>0</v>
      </c>
      <c r="AI50" s="125" t="n">
        <f aca="false">INDEX($F50:$AG50,1,MATCH(AI$7,$F$7:$AG$7,1))</f>
        <v>0</v>
      </c>
      <c r="AJ50" s="125" t="n">
        <f aca="false">INDEX($F50:$AG50,1,MATCH(AJ$7,$F$7:$AG$7,1))</f>
        <v>1588.19959375</v>
      </c>
      <c r="AK50" s="125" t="n">
        <f aca="false">INDEX($F50:$AG50,1,MATCH(AK$7,$F$7:$AG$7,1))</f>
        <v>1615.7443107526</v>
      </c>
      <c r="AL50" s="125" t="n">
        <f aca="false">INDEX($F50:$AG50,1,MATCH(AL$7,$F$7:$AG$7,1))</f>
        <v>1670.38464611102</v>
      </c>
      <c r="AM50" s="125" t="n">
        <f aca="false">INDEX($F50:$AG50,1,MATCH(AM$7,$F$7:$AG$7,1))</f>
        <v>1725.17468101837</v>
      </c>
      <c r="AN50" s="125" t="n">
        <f aca="false">INDEX($F50:$AG50,1,MATCH(AN$7,$F$7:$AG$7,1))</f>
        <v>1779.81501637679</v>
      </c>
      <c r="AO50" s="125" t="n">
        <f aca="false">INDEX($F50:$AG50,1,MATCH(AO$7,$F$7:$AG$7,1))</f>
        <v>0</v>
      </c>
    </row>
    <row r="51" customFormat="false" ht="15" hidden="false" customHeight="false" outlineLevel="0" collapsed="false">
      <c r="A51" s="107" t="s">
        <v>2311</v>
      </c>
      <c r="B51" s="22" t="s">
        <v>613</v>
      </c>
      <c r="C51" s="22" t="s">
        <v>604</v>
      </c>
      <c r="D51" s="22"/>
      <c r="F51" s="124" t="n">
        <f aca="false">IF(F$5=$N$14,E46*$J$14*(1-$O$14),0)</f>
        <v>0</v>
      </c>
      <c r="G51" s="124" t="n">
        <f aca="false">IF(G$5=$N$14,F46*$J$14*(1-$O$14),0)</f>
        <v>0</v>
      </c>
      <c r="H51" s="124" t="n">
        <f aca="false">IF(H$5=$N$14,G46*$J$14*(1-$O$14),0)</f>
        <v>0</v>
      </c>
      <c r="I51" s="124" t="n">
        <f aca="false">IF(I$5=$N$14,H46*$J$14*(1-$O$14),0)</f>
        <v>0</v>
      </c>
      <c r="J51" s="124" t="n">
        <f aca="false">IF(J$5=$N$14,I46*$J$14*(1-$O$14),0)</f>
        <v>0</v>
      </c>
      <c r="K51" s="124" t="n">
        <f aca="false">IF(K$5=$N$14,J46*$J$14*(1-$O$14),0)</f>
        <v>0</v>
      </c>
      <c r="L51" s="124" t="n">
        <f aca="false">IF(L$5=$N$14,K46*$J$14*(1-$O$14),0)</f>
        <v>0</v>
      </c>
      <c r="M51" s="124" t="n">
        <f aca="false">IF(M$5=$N$14,L46*$J$14*(1-$O$14),0)</f>
        <v>0</v>
      </c>
      <c r="N51" s="124" t="n">
        <f aca="false">IF(N$5=$N$14,M46*$J$14*(1-$O$14),0)</f>
        <v>0</v>
      </c>
      <c r="O51" s="124" t="n">
        <f aca="false">IF(O$5=$N$14,N46*$J$14*(1-$O$14),0)</f>
        <v>0</v>
      </c>
      <c r="P51" s="125" t="n">
        <f aca="false">IF(P$5=$N$14,O46*$J$14*(1-$O$14),0)</f>
        <v>0</v>
      </c>
      <c r="Q51" s="125" t="n">
        <f aca="false">IF(Q$5=$N$14,P46*$J$14*(1-$O$14),0)</f>
        <v>0</v>
      </c>
      <c r="R51" s="125" t="n">
        <f aca="false">IF(R$5=$N$14,Q46*$J$14*(1-$O$14),0)</f>
        <v>0</v>
      </c>
      <c r="S51" s="125" t="n">
        <f aca="false">IF(S$5=$N$14,R46*$J$14*(1-$O$14),0)</f>
        <v>0</v>
      </c>
      <c r="T51" s="125" t="n">
        <f aca="false">IF(T$5=$N$14,S46*$J$14*(1-$O$14),0)</f>
        <v>0</v>
      </c>
      <c r="U51" s="125" t="n">
        <f aca="false">IF(U$5=$N$14,T46*$J$14*(1-$O$14),0)</f>
        <v>0</v>
      </c>
      <c r="V51" s="125" t="n">
        <f aca="false">IF(V$5=$N$14,U46*$J$14*(1-$O$14),0)</f>
        <v>0</v>
      </c>
      <c r="W51" s="125" t="n">
        <f aca="false">IF(W$5=$N$14,V46*$J$14*(1-$O$14),0)</f>
        <v>0</v>
      </c>
      <c r="X51" s="125" t="n">
        <f aca="false">IF(X$5=$N$14,W46*$J$14*(1-$O$14),0)</f>
        <v>0</v>
      </c>
      <c r="Y51" s="125" t="n">
        <f aca="false">IF(Y$5=$N$14,X46*$J$14*(1-$O$14),0)</f>
        <v>0</v>
      </c>
      <c r="Z51" s="125" t="n">
        <f aca="false">IF(Z$5=$N$14,Y46*$J$14*(1-$O$14),0)</f>
        <v>0</v>
      </c>
      <c r="AA51" s="125" t="n">
        <f aca="false">IF(AA$5=$N$14,Z46*$J$14*(1-$O$14),0)</f>
        <v>0</v>
      </c>
      <c r="AB51" s="125" t="n">
        <f aca="false">IF(AB$5=$N$14,AA46*$J$14*(1-$O$14),0)</f>
        <v>0</v>
      </c>
      <c r="AC51" s="125" t="n">
        <f aca="false">IF(AC$5=$N$14,AB46*$J$14*(1-$O$14),0)</f>
        <v>0</v>
      </c>
      <c r="AD51" s="125" t="n">
        <f aca="false">IF(AD$5=$N$14,AC46*$J$14*(1-$O$14),0)</f>
        <v>0</v>
      </c>
      <c r="AE51" s="125" t="n">
        <f aca="false">IF(AE$5=$N$14,AD46*$J$14*(1-$O$14),0)</f>
        <v>0</v>
      </c>
      <c r="AF51" s="125" t="n">
        <f aca="false">IF(AF$5=$N$14,AE46*$J$14*(1-$O$14),0)</f>
        <v>0</v>
      </c>
      <c r="AG51" s="125" t="n">
        <f aca="false">IF(AG$5=$N$14,AF46*$J$14*(1-$O$14),0)</f>
        <v>0</v>
      </c>
      <c r="AI51" s="125" t="n">
        <f aca="false">SUMIF($F$7:$AG$7,AI$7,$F51:$AG51)</f>
        <v>0</v>
      </c>
      <c r="AJ51" s="125" t="n">
        <f aca="false">SUMIF($F$7:$AG$7,AJ$7,$F51:$AG51)</f>
        <v>0</v>
      </c>
      <c r="AK51" s="125" t="n">
        <f aca="false">SUMIF($F$7:$AG$7,AK$7,$F51:$AG51)</f>
        <v>0</v>
      </c>
      <c r="AL51" s="125" t="n">
        <f aca="false">SUMIF($F$7:$AG$7,AL$7,$F51:$AG51)</f>
        <v>0</v>
      </c>
      <c r="AM51" s="125" t="n">
        <f aca="false">SUMIF($F$7:$AG$7,AM$7,$F51:$AG51)</f>
        <v>0</v>
      </c>
      <c r="AN51" s="125" t="n">
        <f aca="false">SUMIF($F$7:$AG$7,AN$7,$F51:$AG51)</f>
        <v>0</v>
      </c>
      <c r="AO51" s="125" t="n">
        <f aca="false">SUMIF($F$7:$AG$7,AO$7,$F51:$AG51)</f>
        <v>0</v>
      </c>
    </row>
    <row r="52" customFormat="false" ht="15" hidden="false" customHeight="false" outlineLevel="0" collapsed="false">
      <c r="A52" s="107" t="s">
        <v>2312</v>
      </c>
      <c r="B52" s="22" t="s">
        <v>635</v>
      </c>
      <c r="C52" s="22" t="s">
        <v>604</v>
      </c>
      <c r="D52" s="22"/>
      <c r="F52" s="140" t="n">
        <f aca="false">IF(F$5=$N$14,E46*$K$14/1000*$O$14,0)</f>
        <v>0</v>
      </c>
      <c r="G52" s="140" t="n">
        <f aca="false">IF(G$5=$N$14,F46*$K$14/1000*$O$14,0)</f>
        <v>0</v>
      </c>
      <c r="H52" s="140" t="n">
        <f aca="false">IF(H$5=$N$14,G46*$K$14/1000*$O$14,0)</f>
        <v>0</v>
      </c>
      <c r="I52" s="140" t="n">
        <f aca="false">IF(I$5=$N$14,H46*$K$14/1000*$O$14,0)</f>
        <v>0</v>
      </c>
      <c r="J52" s="140" t="n">
        <f aca="false">IF(J$5=$N$14,I46*$K$14/1000*$O$14,0)</f>
        <v>0</v>
      </c>
      <c r="K52" s="140" t="n">
        <f aca="false">IF(K$5=$N$14,J46*$K$14/1000*$O$14,0)</f>
        <v>0</v>
      </c>
      <c r="L52" s="140" t="n">
        <f aca="false">IF(L$5=$N$14,K46*$K$14/1000*$O$14,0)</f>
        <v>0</v>
      </c>
      <c r="M52" s="140" t="n">
        <f aca="false">IF(M$5=$N$14,L46*$K$14/1000*$O$14,0)</f>
        <v>0</v>
      </c>
      <c r="N52" s="140" t="n">
        <f aca="false">IF(N$5=$N$14,M46*$K$14/1000*$O$14,0)</f>
        <v>0</v>
      </c>
      <c r="O52" s="140" t="n">
        <f aca="false">IF(O$5=$N$14,N46*$K$14/1000*$O$14,0)</f>
        <v>0</v>
      </c>
      <c r="P52" s="47" t="n">
        <f aca="false">IF(P$5=$N$14,O46*$K$14/1000*$O$14,0)</f>
        <v>0</v>
      </c>
      <c r="Q52" s="47" t="n">
        <f aca="false">IF(Q$5=$N$14,P46*$K$14/1000*$O$14,0)</f>
        <v>0</v>
      </c>
      <c r="R52" s="47" t="n">
        <f aca="false">IF(R$5=$N$14,Q46*$K$14/1000*$O$14,0)</f>
        <v>0</v>
      </c>
      <c r="S52" s="47" t="n">
        <f aca="false">IF(S$5=$N$14,R46*$K$14/1000*$O$14,0)</f>
        <v>0</v>
      </c>
      <c r="T52" s="47" t="n">
        <f aca="false">IF(T$5=$N$14,S46*$K$14/1000*$O$14,0)</f>
        <v>0</v>
      </c>
      <c r="U52" s="47" t="n">
        <f aca="false">IF(U$5=$N$14,T46*$K$14/1000*$O$14,0)</f>
        <v>0</v>
      </c>
      <c r="V52" s="47" t="n">
        <f aca="false">IF(V$5=$N$14,U46*$K$14/1000*$O$14,0)</f>
        <v>0</v>
      </c>
      <c r="W52" s="47" t="n">
        <f aca="false">IF(W$5=$N$14,V46*$K$14/1000*$O$14,0)</f>
        <v>0</v>
      </c>
      <c r="X52" s="47" t="n">
        <f aca="false">IF(X$5=$N$14,W46*$K$14/1000*$O$14,0)</f>
        <v>0</v>
      </c>
      <c r="Y52" s="47" t="n">
        <f aca="false">IF(Y$5=$N$14,X46*$K$14/1000*$O$14,0)</f>
        <v>0</v>
      </c>
      <c r="Z52" s="47" t="n">
        <f aca="false">IF(Z$5=$N$14,Y46*$K$14/1000*$O$14,0)</f>
        <v>0</v>
      </c>
      <c r="AA52" s="47" t="n">
        <f aca="false">IF(AA$5=$N$14,Z46*$K$14/1000*$O$14,0)</f>
        <v>0</v>
      </c>
      <c r="AB52" s="47" t="n">
        <f aca="false">IF(AB$5=$N$14,AA46*$K$14/1000*$O$14,0)</f>
        <v>0</v>
      </c>
      <c r="AC52" s="47" t="n">
        <f aca="false">IF(AC$5=$N$14,AB46*$K$14/1000*$O$14,0)</f>
        <v>0</v>
      </c>
      <c r="AD52" s="47" t="n">
        <f aca="false">IF(AD$5=$N$14,AC46*$K$14/1000*$O$14,0)</f>
        <v>0</v>
      </c>
      <c r="AE52" s="47" t="n">
        <f aca="false">IF(AE$5=$N$14,AD46*$K$14/1000*$O$14,0)</f>
        <v>0</v>
      </c>
      <c r="AF52" s="47" t="n">
        <f aca="false">IF(AF$5=$N$14,AE46*$K$14/1000*$O$14,0)</f>
        <v>11.396385</v>
      </c>
      <c r="AG52" s="47" t="n">
        <f aca="false">IF(AG$5=$N$14,AF46*$K$14/1000*$O$14,0)</f>
        <v>0</v>
      </c>
      <c r="AI52" s="47" t="n">
        <f aca="false">SUMIF($F$7:$AG$7,AI$7,$F52:$AG52)</f>
        <v>0</v>
      </c>
      <c r="AJ52" s="47" t="n">
        <f aca="false">SUMIF($F$7:$AG$7,AJ$7,$F52:$AG52)</f>
        <v>0</v>
      </c>
      <c r="AK52" s="47" t="n">
        <f aca="false">SUMIF($F$7:$AG$7,AK$7,$F52:$AG52)</f>
        <v>0</v>
      </c>
      <c r="AL52" s="47" t="n">
        <f aca="false">SUMIF($F$7:$AG$7,AL$7,$F52:$AG52)</f>
        <v>0</v>
      </c>
      <c r="AM52" s="47" t="n">
        <f aca="false">SUMIF($F$7:$AG$7,AM$7,$F52:$AG52)</f>
        <v>0</v>
      </c>
      <c r="AN52" s="47" t="n">
        <f aca="false">SUMIF($F$7:$AG$7,AN$7,$F52:$AG52)</f>
        <v>0</v>
      </c>
      <c r="AO52" s="47" t="n">
        <f aca="false">SUMIF($F$7:$AG$7,AO$7,$F52:$AG52)</f>
        <v>11.396385</v>
      </c>
    </row>
    <row r="53" customFormat="false" ht="15" hidden="false" customHeight="false" outlineLevel="0" collapsed="false">
      <c r="A53" s="107" t="s">
        <v>2313</v>
      </c>
      <c r="B53" s="22" t="s">
        <v>635</v>
      </c>
      <c r="C53" s="22" t="s">
        <v>540</v>
      </c>
      <c r="D53" s="22"/>
      <c r="F53" s="140" t="n">
        <f aca="false">IF(DilMethod=3,MAX(0,F46*$K$14/1000*DilPx-F49)/DilPx,F46*$K$14/1000*$P$14)</f>
        <v>0</v>
      </c>
      <c r="G53" s="140" t="n">
        <f aca="false">IF(DilMethod=3,MAX(0,G46*$K$14/1000*DilPx-G49)/DilPx,G46*$K$14/1000*$P$14)</f>
        <v>0</v>
      </c>
      <c r="H53" s="140" t="n">
        <f aca="false">IF(DilMethod=3,MAX(0,H46*$K$14/1000*DilPx-H49)/DilPx,H46*$K$14/1000*$P$14)</f>
        <v>0</v>
      </c>
      <c r="I53" s="140" t="n">
        <f aca="false">IF(DilMethod=3,MAX(0,I46*$K$14/1000*DilPx-I49)/DilPx,I46*$K$14/1000*$P$14)</f>
        <v>0</v>
      </c>
      <c r="J53" s="140" t="n">
        <f aca="false">IF(DilMethod=3,MAX(0,J46*$K$14/1000*DilPx-J49)/DilPx,J46*$K$14/1000*$P$14)</f>
        <v>0</v>
      </c>
      <c r="K53" s="140" t="n">
        <f aca="false">IF(DilMethod=3,MAX(0,K46*$K$14/1000*DilPx-K49)/DilPx,K46*$K$14/1000*$P$14)</f>
        <v>0</v>
      </c>
      <c r="L53" s="140" t="n">
        <f aca="false">IF(DilMethod=3,MAX(0,L46*$K$14/1000*DilPx-L49)/DilPx,L46*$K$14/1000*$P$14)</f>
        <v>0</v>
      </c>
      <c r="M53" s="140" t="n">
        <f aca="false">IF(DilMethod=3,MAX(0,M46*$K$14/1000*DilPx-M49)/DilPx,M46*$K$14/1000*$P$14)</f>
        <v>0</v>
      </c>
      <c r="N53" s="140" t="n">
        <f aca="false">IF(DilMethod=3,MAX(0,N46*$K$14/1000*DilPx-N49)/DilPx,N46*$K$14/1000*$P$14)</f>
        <v>0</v>
      </c>
      <c r="O53" s="140" t="n">
        <f aca="false">IF(DilMethod=3,MAX(0,O46*$K$14/1000*DilPx-O49)/DilPx,O46*$K$14/1000*$P$14)</f>
        <v>0</v>
      </c>
      <c r="P53" s="47" t="n">
        <f aca="false">IF(DilMethod=3,MAX(0,P46*$K$14/1000*DilPx-P49)/DilPx,P46*$K$14/1000*$P$14)</f>
        <v>0</v>
      </c>
      <c r="Q53" s="47" t="n">
        <f aca="false">IF(DilMethod=3,MAX(0,Q46*$K$14/1000*DilPx-Q49)/DilPx,Q46*$K$14/1000*$P$14)</f>
        <v>0</v>
      </c>
      <c r="R53" s="47" t="n">
        <f aca="false">IF(DilMethod=3,MAX(0,R46*$K$14/1000*DilPx-R49)/DilPx,R46*$K$14/1000*$P$14)</f>
        <v>0</v>
      </c>
      <c r="S53" s="47" t="n">
        <f aca="false">IF(DilMethod=3,MAX(0,S46*$K$14/1000*DilPx-S49)/DilPx,S46*$K$14/1000*$P$14)</f>
        <v>0</v>
      </c>
      <c r="T53" s="47" t="n">
        <f aca="false">IF(DilMethod=3,MAX(0,T46*$K$14/1000*DilPx-T49)/DilPx,T46*$K$14/1000*$P$14)</f>
        <v>0</v>
      </c>
      <c r="U53" s="47" t="n">
        <f aca="false">IF(DilMethod=3,MAX(0,U46*$K$14/1000*DilPx-U49)/DilPx,U46*$K$14/1000*$P$14)</f>
        <v>0</v>
      </c>
      <c r="V53" s="47" t="n">
        <f aca="false">IF(DilMethod=3,MAX(0,V46*$K$14/1000*DilPx-V49)/DilPx,V46*$K$14/1000*$P$14)</f>
        <v>0</v>
      </c>
      <c r="W53" s="47" t="n">
        <f aca="false">IF(DilMethod=3,MAX(0,W46*$K$14/1000*DilPx-W49)/DilPx,W46*$K$14/1000*$P$14)</f>
        <v>0</v>
      </c>
      <c r="X53" s="47" t="n">
        <f aca="false">IF(DilMethod=3,MAX(0,X46*$K$14/1000*DilPx-X49)/DilPx,X46*$K$14/1000*$P$14)</f>
        <v>0</v>
      </c>
      <c r="Y53" s="47" t="n">
        <f aca="false">IF(DilMethod=3,MAX(0,Y46*$K$14/1000*DilPx-Y49)/DilPx,Y46*$K$14/1000*$P$14)</f>
        <v>0</v>
      </c>
      <c r="Z53" s="47" t="n">
        <f aca="false">IF(DilMethod=3,MAX(0,Z46*$K$14/1000*DilPx-Z49)/DilPx,Z46*$K$14/1000*$P$14)</f>
        <v>0</v>
      </c>
      <c r="AA53" s="47" t="n">
        <f aca="false">IF(DilMethod=3,MAX(0,AA46*$K$14/1000*DilPx-AA49)/DilPx,AA46*$K$14/1000*$P$14)</f>
        <v>0</v>
      </c>
      <c r="AB53" s="47" t="n">
        <f aca="false">IF(DilMethod=3,MAX(0,AB46*$K$14/1000*DilPx-AB49)/DilPx,AB46*$K$14/1000*$P$14)</f>
        <v>0</v>
      </c>
      <c r="AC53" s="47" t="n">
        <f aca="false">IF(DilMethod=3,MAX(0,AC46*$K$14/1000*DilPx-AC49)/DilPx,AC46*$K$14/1000*$P$14)</f>
        <v>0</v>
      </c>
      <c r="AD53" s="47" t="n">
        <f aca="false">IF(DilMethod=3,MAX(0,AD46*$K$14/1000*DilPx-AD49)/DilPx,AD46*$K$14/1000*$P$14)</f>
        <v>0</v>
      </c>
      <c r="AE53" s="47" t="n">
        <f aca="false">IF(DilMethod=3,MAX(0,AE46*$K$14/1000*DilPx-AE49)/DilPx,AE46*$K$14/1000*$P$14)</f>
        <v>0</v>
      </c>
      <c r="AF53" s="47" t="n">
        <f aca="false">IF(DilMethod=3,MAX(0,AF46*$K$14/1000*DilPx-AF49)/DilPx,AF46*$K$14/1000*$P$14)</f>
        <v>0</v>
      </c>
      <c r="AG53" s="47" t="n">
        <f aca="false">IF(DilMethod=3,MAX(0,AG46*$K$14/1000*DilPx-AG49)/DilPx,AG46*$K$14/1000*$P$14)</f>
        <v>0</v>
      </c>
      <c r="AI53" s="47" t="n">
        <f aca="false">INDEX($F53:$AG53,1,MATCH(AI$7,$F$7:$AG$7,1))</f>
        <v>0</v>
      </c>
      <c r="AJ53" s="47" t="n">
        <f aca="false">INDEX($F53:$AG53,1,MATCH(AJ$7,$F$7:$AG$7,1))</f>
        <v>0</v>
      </c>
      <c r="AK53" s="47" t="n">
        <f aca="false">INDEX($F53:$AG53,1,MATCH(AK$7,$F$7:$AG$7,1))</f>
        <v>0</v>
      </c>
      <c r="AL53" s="47" t="n">
        <f aca="false">INDEX($F53:$AG53,1,MATCH(AL$7,$F$7:$AG$7,1))</f>
        <v>0</v>
      </c>
      <c r="AM53" s="47" t="n">
        <f aca="false">INDEX($F53:$AG53,1,MATCH(AM$7,$F$7:$AG$7,1))</f>
        <v>0</v>
      </c>
      <c r="AN53" s="47" t="n">
        <f aca="false">INDEX($F53:$AG53,1,MATCH(AN$7,$F$7:$AG$7,1))</f>
        <v>0</v>
      </c>
      <c r="AO53" s="47" t="n">
        <f aca="false">INDEX($F53:$AG53,1,MATCH(AO$7,$F$7:$AG$7,1))</f>
        <v>0</v>
      </c>
    </row>
    <row r="54" customFormat="false" ht="15" hidden="false" customHeight="false" outlineLevel="0" collapsed="false">
      <c r="A54" s="107" t="s">
        <v>2314</v>
      </c>
      <c r="B54" s="22" t="s">
        <v>613</v>
      </c>
      <c r="C54" s="22" t="s">
        <v>540</v>
      </c>
      <c r="D54" s="22"/>
      <c r="F54" s="124" t="n">
        <f aca="false">F49*IF(DilMethod=3,1,1-$P$14)</f>
        <v>0</v>
      </c>
      <c r="G54" s="124" t="n">
        <f aca="false">G49*IF(DilMethod=3,1,1-$P$14)</f>
        <v>0</v>
      </c>
      <c r="H54" s="124" t="n">
        <f aca="false">H49*IF(DilMethod=3,1,1-$P$14)</f>
        <v>0</v>
      </c>
      <c r="I54" s="124" t="n">
        <f aca="false">I49*IF(DilMethod=3,1,1-$P$14)</f>
        <v>0</v>
      </c>
      <c r="J54" s="124" t="n">
        <f aca="false">J49*IF(DilMethod=3,1,1-$P$14)</f>
        <v>0</v>
      </c>
      <c r="K54" s="124" t="n">
        <f aca="false">K49*IF(DilMethod=3,1,1-$P$14)</f>
        <v>0</v>
      </c>
      <c r="L54" s="124" t="n">
        <f aca="false">L49*IF(DilMethod=3,1,1-$P$14)</f>
        <v>1583.1984186747</v>
      </c>
      <c r="M54" s="124" t="n">
        <f aca="false">M49*IF(DilMethod=3,1,1-$P$14)</f>
        <v>1595.14871987952</v>
      </c>
      <c r="N54" s="124" t="n">
        <f aca="false">N49*IF(DilMethod=3,1,1-$P$14)</f>
        <v>1606.83923192771</v>
      </c>
      <c r="O54" s="124" t="n">
        <f aca="false">O49*IF(DilMethod=3,1,1-$P$14)</f>
        <v>1618.65963855422</v>
      </c>
      <c r="P54" s="125" t="n">
        <f aca="false">P49*IF(DilMethod=3,1,1-$P$14)</f>
        <v>1630.60993975904</v>
      </c>
      <c r="Q54" s="125" t="n">
        <f aca="false">Q49*IF(DilMethod=3,1,1-$P$14)</f>
        <v>1642.56024096386</v>
      </c>
      <c r="R54" s="125" t="n">
        <f aca="false">R49*IF(DilMethod=3,1,1-$P$14)</f>
        <v>1654.25075301205</v>
      </c>
      <c r="S54" s="125" t="n">
        <f aca="false">S49*IF(DilMethod=3,1,1-$P$14)</f>
        <v>1666.07115963855</v>
      </c>
      <c r="T54" s="125" t="n">
        <f aca="false">T49*IF(DilMethod=3,1,1-$P$14)</f>
        <v>1678.02146084337</v>
      </c>
      <c r="U54" s="125" t="n">
        <f aca="false">U49*IF(DilMethod=3,1,1-$P$14)</f>
        <v>1689.97176204819</v>
      </c>
      <c r="V54" s="125" t="n">
        <f aca="false">V49*IF(DilMethod=3,1,1-$P$14)</f>
        <v>1701.7921686747</v>
      </c>
      <c r="W54" s="125" t="n">
        <f aca="false">W49*IF(DilMethod=3,1,1-$P$14)</f>
        <v>1713.6125753012</v>
      </c>
      <c r="X54" s="125" t="n">
        <f aca="false">X49*IF(DilMethod=3,1,1-$P$14)</f>
        <v>1725.56287650602</v>
      </c>
      <c r="Y54" s="125" t="n">
        <f aca="false">Y49*IF(DilMethod=3,1,1-$P$14)</f>
        <v>1737.51317771084</v>
      </c>
      <c r="Z54" s="125" t="n">
        <f aca="false">Z49*IF(DilMethod=3,1,1-$P$14)</f>
        <v>1749.20368975904</v>
      </c>
      <c r="AA54" s="125" t="n">
        <f aca="false">AA49*IF(DilMethod=3,1,1-$P$14)</f>
        <v>1761.02409638554</v>
      </c>
      <c r="AB54" s="125" t="n">
        <f aca="false">AB49*IF(DilMethod=3,1,1-$P$14)</f>
        <v>1772.97439759036</v>
      </c>
      <c r="AC54" s="125" t="n">
        <f aca="false">AC49*IF(DilMethod=3,1,1-$P$14)</f>
        <v>1784.92469879518</v>
      </c>
      <c r="AD54" s="125" t="n">
        <f aca="false">AD49*IF(DilMethod=3,1,1-$P$14)</f>
        <v>1796.61521084337</v>
      </c>
      <c r="AE54" s="125" t="n">
        <f aca="false">AE49*IF(DilMethod=3,1,1-$P$14)</f>
        <v>1808.43561746988</v>
      </c>
      <c r="AF54" s="125" t="n">
        <f aca="false">AF49*IF(DilMethod=3,1,1-$P$14)</f>
        <v>0</v>
      </c>
      <c r="AG54" s="125" t="n">
        <f aca="false">AG49*IF(DilMethod=3,1,1-$P$14)</f>
        <v>0</v>
      </c>
      <c r="AI54" s="125" t="n">
        <f aca="false">INDEX($F54:$AG54,1,MATCH(AI$7,$F$7:$AG$7,1))</f>
        <v>0</v>
      </c>
      <c r="AJ54" s="125" t="n">
        <f aca="false">INDEX($F54:$AG54,1,MATCH(AJ$7,$F$7:$AG$7,1))</f>
        <v>1595.14871987952</v>
      </c>
      <c r="AK54" s="125" t="n">
        <f aca="false">INDEX($F54:$AG54,1,MATCH(AK$7,$F$7:$AG$7,1))</f>
        <v>1642.56024096386</v>
      </c>
      <c r="AL54" s="125" t="n">
        <f aca="false">INDEX($F54:$AG54,1,MATCH(AL$7,$F$7:$AG$7,1))</f>
        <v>1689.97176204819</v>
      </c>
      <c r="AM54" s="125" t="n">
        <f aca="false">INDEX($F54:$AG54,1,MATCH(AM$7,$F$7:$AG$7,1))</f>
        <v>1737.51317771084</v>
      </c>
      <c r="AN54" s="125" t="n">
        <f aca="false">INDEX($F54:$AG54,1,MATCH(AN$7,$F$7:$AG$7,1))</f>
        <v>1784.92469879518</v>
      </c>
      <c r="AO54" s="125" t="n">
        <f aca="false">INDEX($F54:$AG54,1,MATCH(AO$7,$F$7:$AG$7,1))</f>
        <v>0</v>
      </c>
    </row>
    <row r="55" customFormat="false" ht="15" hidden="false" customHeight="false" outlineLevel="0" collapsed="false">
      <c r="A55" s="107" t="s">
        <v>2315</v>
      </c>
      <c r="B55" s="22" t="s">
        <v>613</v>
      </c>
      <c r="C55" s="22" t="s">
        <v>604</v>
      </c>
      <c r="D55" s="22"/>
      <c r="F55" s="124" t="n">
        <f aca="false">IF(AND(F$5&gt;=$M$15,F$5&lt;$N$15),$E$15-$F$15-IF(F$5&gt;=$H$15,$G$15,0),0)*($H$15&lt;&gt;0)+IF(AND(F$5&gt;=$M$15,F$5&lt;$N$15),$E$15-$F$15,0)*($H$15=0)</f>
        <v>0</v>
      </c>
      <c r="G55" s="124" t="n">
        <f aca="false">IF(AND(G$5&gt;=$M$15,G$5&lt;$N$15),$E$15-$F$15-IF(G$5&gt;=$H$15,$G$15,0),0)*($H$15&lt;&gt;0)+IF(AND(G$5&gt;=$M$15,G$5&lt;$N$15),$E$15-$F$15,0)*($H$15=0)</f>
        <v>0</v>
      </c>
      <c r="H55" s="124" t="n">
        <f aca="false">IF(AND(H$5&gt;=$M$15,H$5&lt;$N$15),$E$15-$F$15-IF(H$5&gt;=$H$15,$G$15,0),0)*($H$15&lt;&gt;0)+IF(AND(H$5&gt;=$M$15,H$5&lt;$N$15),$E$15-$F$15,0)*($H$15=0)</f>
        <v>0</v>
      </c>
      <c r="I55" s="124" t="n">
        <f aca="false">IF(AND(I$5&gt;=$M$15,I$5&lt;$N$15),$E$15-$F$15-IF(I$5&gt;=$H$15,$G$15,0),0)*($H$15&lt;&gt;0)+IF(AND(I$5&gt;=$M$15,I$5&lt;$N$15),$E$15-$F$15,0)*($H$15=0)</f>
        <v>0</v>
      </c>
      <c r="J55" s="124" t="n">
        <f aca="false">IF(AND(J$5&gt;=$M$15,J$5&lt;$N$15),$E$15-$F$15-IF(J$5&gt;=$H$15,$G$15,0),0)*($H$15&lt;&gt;0)+IF(AND(J$5&gt;=$M$15,J$5&lt;$N$15),$E$15-$F$15,0)*($H$15=0)</f>
        <v>0</v>
      </c>
      <c r="K55" s="124" t="n">
        <f aca="false">IF(AND(K$5&gt;=$M$15,K$5&lt;$N$15),$E$15-$F$15-IF(K$5&gt;=$H$15,$G$15,0),0)*($H$15&lt;&gt;0)+IF(AND(K$5&gt;=$M$15,K$5&lt;$N$15),$E$15-$F$15,0)*($H$15=0)</f>
        <v>0</v>
      </c>
      <c r="L55" s="124" t="n">
        <f aca="false">IF(AND(L$5&gt;=$M$15,L$5&lt;$N$15),$E$15-$F$15-IF(L$5&gt;=$H$15,$G$15,0),0)*($H$15&lt;&gt;0)+IF(AND(L$5&gt;=$M$15,L$5&lt;$N$15),$E$15-$F$15,0)*($H$15=0)</f>
        <v>1581.25</v>
      </c>
      <c r="M55" s="124" t="n">
        <f aca="false">IF(AND(M$5&gt;=$M$15,M$5&lt;$N$15),$E$15-$F$15-IF(M$5&gt;=$H$15,$G$15,0),0)*($H$15&lt;&gt;0)+IF(AND(M$5&gt;=$M$15,M$5&lt;$N$15),$E$15-$F$15,0)*($H$15=0)</f>
        <v>1581.25</v>
      </c>
      <c r="N55" s="124" t="n">
        <f aca="false">IF(AND(N$5&gt;=$M$15,N$5&lt;$N$15),$E$15-$F$15-IF(N$5&gt;=$H$15,$G$15,0),0)*($H$15&lt;&gt;0)+IF(AND(N$5&gt;=$M$15,N$5&lt;$N$15),$E$15-$F$15,0)*($H$15=0)</f>
        <v>1581.25</v>
      </c>
      <c r="O55" s="124" t="n">
        <f aca="false">IF(AND(O$5&gt;=$M$15,O$5&lt;$N$15),$E$15-$F$15-IF(O$5&gt;=$H$15,$G$15,0),0)*($H$15&lt;&gt;0)+IF(AND(O$5&gt;=$M$15,O$5&lt;$N$15),$E$15-$F$15,0)*($H$15=0)</f>
        <v>1581.25</v>
      </c>
      <c r="P55" s="125" t="n">
        <f aca="false">IF(AND(P$5&gt;=$M$15,P$5&lt;$N$15),$E$15-$F$15-IF(P$5&gt;=$H$15,$G$15,0),0)*($H$15&lt;&gt;0)+IF(AND(P$5&gt;=$M$15,P$5&lt;$N$15),$E$15-$F$15,0)*($H$15=0)</f>
        <v>1581.25</v>
      </c>
      <c r="Q55" s="125" t="n">
        <f aca="false">IF(AND(Q$5&gt;=$M$15,Q$5&lt;$N$15),$E$15-$F$15-IF(Q$5&gt;=$H$15,$G$15,0),0)*($H$15&lt;&gt;0)+IF(AND(Q$5&gt;=$M$15,Q$5&lt;$N$15),$E$15-$F$15,0)*($H$15=0)</f>
        <v>1581.25</v>
      </c>
      <c r="R55" s="125" t="n">
        <f aca="false">IF(AND(R$5&gt;=$M$15,R$5&lt;$N$15),$E$15-$F$15-IF(R$5&gt;=$H$15,$G$15,0),0)*($H$15&lt;&gt;0)+IF(AND(R$5&gt;=$M$15,R$5&lt;$N$15),$E$15-$F$15,0)*($H$15=0)</f>
        <v>1581.25</v>
      </c>
      <c r="S55" s="125" t="n">
        <f aca="false">IF(AND(S$5&gt;=$M$15,S$5&lt;$N$15),$E$15-$F$15-IF(S$5&gt;=$H$15,$G$15,0),0)*($H$15&lt;&gt;0)+IF(AND(S$5&gt;=$M$15,S$5&lt;$N$15),$E$15-$F$15,0)*($H$15=0)</f>
        <v>1581.25</v>
      </c>
      <c r="T55" s="125" t="n">
        <f aca="false">IF(AND(T$5&gt;=$M$15,T$5&lt;$N$15),$E$15-$F$15-IF(T$5&gt;=$H$15,$G$15,0),0)*($H$15&lt;&gt;0)+IF(AND(T$5&gt;=$M$15,T$5&lt;$N$15),$E$15-$F$15,0)*($H$15=0)</f>
        <v>1581.25</v>
      </c>
      <c r="U55" s="125" t="n">
        <f aca="false">IF(AND(U$5&gt;=$M$15,U$5&lt;$N$15),$E$15-$F$15-IF(U$5&gt;=$H$15,$G$15,0),0)*($H$15&lt;&gt;0)+IF(AND(U$5&gt;=$M$15,U$5&lt;$N$15),$E$15-$F$15,0)*($H$15=0)</f>
        <v>1581.25</v>
      </c>
      <c r="V55" s="125" t="n">
        <f aca="false">IF(AND(V$5&gt;=$M$15,V$5&lt;$N$15),$E$15-$F$15-IF(V$5&gt;=$H$15,$G$15,0),0)*($H$15&lt;&gt;0)+IF(AND(V$5&gt;=$M$15,V$5&lt;$N$15),$E$15-$F$15,0)*($H$15=0)</f>
        <v>1581.25</v>
      </c>
      <c r="W55" s="125" t="n">
        <f aca="false">IF(AND(W$5&gt;=$M$15,W$5&lt;$N$15),$E$15-$F$15-IF(W$5&gt;=$H$15,$G$15,0),0)*($H$15&lt;&gt;0)+IF(AND(W$5&gt;=$M$15,W$5&lt;$N$15),$E$15-$F$15,0)*($H$15=0)</f>
        <v>1581.25</v>
      </c>
      <c r="X55" s="125" t="n">
        <f aca="false">IF(AND(X$5&gt;=$M$15,X$5&lt;$N$15),$E$15-$F$15-IF(X$5&gt;=$H$15,$G$15,0),0)*($H$15&lt;&gt;0)+IF(AND(X$5&gt;=$M$15,X$5&lt;$N$15),$E$15-$F$15,0)*($H$15=0)</f>
        <v>1581.25</v>
      </c>
      <c r="Y55" s="125" t="n">
        <f aca="false">IF(AND(Y$5&gt;=$M$15,Y$5&lt;$N$15),$E$15-$F$15-IF(Y$5&gt;=$H$15,$G$15,0),0)*($H$15&lt;&gt;0)+IF(AND(Y$5&gt;=$M$15,Y$5&lt;$N$15),$E$15-$F$15,0)*($H$15=0)</f>
        <v>1581.25</v>
      </c>
      <c r="Z55" s="125" t="n">
        <f aca="false">IF(AND(Z$5&gt;=$M$15,Z$5&lt;$N$15),$E$15-$F$15-IF(Z$5&gt;=$H$15,$G$15,0),0)*($H$15&lt;&gt;0)+IF(AND(Z$5&gt;=$M$15,Z$5&lt;$N$15),$E$15-$F$15,0)*($H$15=0)</f>
        <v>1581.25</v>
      </c>
      <c r="AA55" s="125" t="n">
        <f aca="false">IF(AND(AA$5&gt;=$M$15,AA$5&lt;$N$15),$E$15-$F$15-IF(AA$5&gt;=$H$15,$G$15,0),0)*($H$15&lt;&gt;0)+IF(AND(AA$5&gt;=$M$15,AA$5&lt;$N$15),$E$15-$F$15,0)*($H$15=0)</f>
        <v>1581.25</v>
      </c>
      <c r="AB55" s="125" t="n">
        <f aca="false">IF(AND(AB$5&gt;=$M$15,AB$5&lt;$N$15),$E$15-$F$15-IF(AB$5&gt;=$H$15,$G$15,0),0)*($H$15&lt;&gt;0)+IF(AND(AB$5&gt;=$M$15,AB$5&lt;$N$15),$E$15-$F$15,0)*($H$15=0)</f>
        <v>1581.25</v>
      </c>
      <c r="AC55" s="125" t="n">
        <f aca="false">IF(AND(AC$5&gt;=$M$15,AC$5&lt;$N$15),$E$15-$F$15-IF(AC$5&gt;=$H$15,$G$15,0),0)*($H$15&lt;&gt;0)+IF(AND(AC$5&gt;=$M$15,AC$5&lt;$N$15),$E$15-$F$15,0)*($H$15=0)</f>
        <v>1581.25</v>
      </c>
      <c r="AD55" s="125" t="n">
        <f aca="false">IF(AND(AD$5&gt;=$M$15,AD$5&lt;$N$15),$E$15-$F$15-IF(AD$5&gt;=$H$15,$G$15,0),0)*($H$15&lt;&gt;0)+IF(AND(AD$5&gt;=$M$15,AD$5&lt;$N$15),$E$15-$F$15,0)*($H$15=0)</f>
        <v>1581.25</v>
      </c>
      <c r="AE55" s="125" t="n">
        <f aca="false">IF(AND(AE$5&gt;=$M$15,AE$5&lt;$N$15),$E$15-$F$15-IF(AE$5&gt;=$H$15,$G$15,0),0)*($H$15&lt;&gt;0)+IF(AND(AE$5&gt;=$M$15,AE$5&lt;$N$15),$E$15-$F$15,0)*($H$15=0)</f>
        <v>1581.25</v>
      </c>
      <c r="AF55" s="125" t="n">
        <f aca="false">IF(AND(AF$5&gt;=$M$15,AF$5&lt;$N$15),$E$15-$F$15-IF(AF$5&gt;=$H$15,$G$15,0),0)*($H$15&lt;&gt;0)+IF(AND(AF$5&gt;=$M$15,AF$5&lt;$N$15),$E$15-$F$15,0)*($H$15=0)</f>
        <v>1581.25</v>
      </c>
      <c r="AG55" s="125" t="n">
        <f aca="false">IF(AND(AG$5&gt;=$M$15,AG$5&lt;$N$15),$E$15-$F$15-IF(AG$5&gt;=$H$15,$G$15,0),0)*($H$15&lt;&gt;0)+IF(AND(AG$5&gt;=$M$15,AG$5&lt;$N$15),$E$15-$F$15,0)*($H$15=0)</f>
        <v>1581.25</v>
      </c>
      <c r="AI55" s="125" t="n">
        <f aca="false">INDEX($F55:$AG55,1,MATCH(AI$7,$F$7:$AG$7,1))</f>
        <v>0</v>
      </c>
      <c r="AJ55" s="125" t="n">
        <f aca="false">INDEX($F55:$AG55,1,MATCH(AJ$7,$F$7:$AG$7,1))</f>
        <v>1581.25</v>
      </c>
      <c r="AK55" s="125" t="n">
        <f aca="false">INDEX($F55:$AG55,1,MATCH(AK$7,$F$7:$AG$7,1))</f>
        <v>1581.25</v>
      </c>
      <c r="AL55" s="125" t="n">
        <f aca="false">INDEX($F55:$AG55,1,MATCH(AL$7,$F$7:$AG$7,1))</f>
        <v>1581.25</v>
      </c>
      <c r="AM55" s="125" t="n">
        <f aca="false">INDEX($F55:$AG55,1,MATCH(AM$7,$F$7:$AG$7,1))</f>
        <v>1581.25</v>
      </c>
      <c r="AN55" s="125" t="n">
        <f aca="false">INDEX($F55:$AG55,1,MATCH(AN$7,$F$7:$AG$7,1))</f>
        <v>1581.25</v>
      </c>
      <c r="AO55" s="125" t="n">
        <f aca="false">INDEX($F55:$AG55,1,MATCH(AO$7,$F$7:$AG$7,1))</f>
        <v>1581.25</v>
      </c>
    </row>
    <row r="56" customFormat="false" ht="15" hidden="false" customHeight="false" outlineLevel="0" collapsed="false">
      <c r="A56" s="107" t="s">
        <v>2316</v>
      </c>
      <c r="B56" s="22" t="s">
        <v>613</v>
      </c>
      <c r="C56" s="22" t="s">
        <v>604</v>
      </c>
      <c r="D56" s="22"/>
      <c r="F56" s="124" t="n">
        <f aca="false">F55*$C$15/4</f>
        <v>0</v>
      </c>
      <c r="G56" s="124" t="n">
        <f aca="false">G55*$C$15/4</f>
        <v>0</v>
      </c>
      <c r="H56" s="124" t="n">
        <f aca="false">H55*$C$15/4</f>
        <v>0</v>
      </c>
      <c r="I56" s="124" t="n">
        <f aca="false">I55*$C$15/4</f>
        <v>0</v>
      </c>
      <c r="J56" s="124" t="n">
        <f aca="false">J55*$C$15/4</f>
        <v>0</v>
      </c>
      <c r="K56" s="124" t="n">
        <f aca="false">K55*$C$15/4</f>
        <v>0</v>
      </c>
      <c r="L56" s="124" t="n">
        <f aca="false">L55*$C$15/4</f>
        <v>10.87109375</v>
      </c>
      <c r="M56" s="124" t="n">
        <f aca="false">M55*$C$15/4</f>
        <v>10.87109375</v>
      </c>
      <c r="N56" s="124" t="n">
        <f aca="false">N55*$C$15/4</f>
        <v>10.87109375</v>
      </c>
      <c r="O56" s="124" t="n">
        <f aca="false">O55*$C$15/4</f>
        <v>10.87109375</v>
      </c>
      <c r="P56" s="125" t="n">
        <f aca="false">P55*$C$15/4</f>
        <v>10.87109375</v>
      </c>
      <c r="Q56" s="125" t="n">
        <f aca="false">Q55*$C$15/4</f>
        <v>10.87109375</v>
      </c>
      <c r="R56" s="125" t="n">
        <f aca="false">R55*$C$15/4</f>
        <v>10.87109375</v>
      </c>
      <c r="S56" s="125" t="n">
        <f aca="false">S55*$C$15/4</f>
        <v>10.87109375</v>
      </c>
      <c r="T56" s="125" t="n">
        <f aca="false">T55*$C$15/4</f>
        <v>10.87109375</v>
      </c>
      <c r="U56" s="125" t="n">
        <f aca="false">U55*$C$15/4</f>
        <v>10.87109375</v>
      </c>
      <c r="V56" s="125" t="n">
        <f aca="false">V55*$C$15/4</f>
        <v>10.87109375</v>
      </c>
      <c r="W56" s="125" t="n">
        <f aca="false">W55*$C$15/4</f>
        <v>10.87109375</v>
      </c>
      <c r="X56" s="125" t="n">
        <f aca="false">X55*$C$15/4</f>
        <v>10.87109375</v>
      </c>
      <c r="Y56" s="125" t="n">
        <f aca="false">Y55*$C$15/4</f>
        <v>10.87109375</v>
      </c>
      <c r="Z56" s="125" t="n">
        <f aca="false">Z55*$C$15/4</f>
        <v>10.87109375</v>
      </c>
      <c r="AA56" s="125" t="n">
        <f aca="false">AA55*$C$15/4</f>
        <v>10.87109375</v>
      </c>
      <c r="AB56" s="125" t="n">
        <f aca="false">AB55*$C$15/4</f>
        <v>10.87109375</v>
      </c>
      <c r="AC56" s="125" t="n">
        <f aca="false">AC55*$C$15/4</f>
        <v>10.87109375</v>
      </c>
      <c r="AD56" s="125" t="n">
        <f aca="false">AD55*$C$15/4</f>
        <v>10.87109375</v>
      </c>
      <c r="AE56" s="125" t="n">
        <f aca="false">AE55*$C$15/4</f>
        <v>10.87109375</v>
      </c>
      <c r="AF56" s="125" t="n">
        <f aca="false">AF55*$C$15/4</f>
        <v>10.87109375</v>
      </c>
      <c r="AG56" s="125" t="n">
        <f aca="false">AG55*$C$15/4</f>
        <v>10.87109375</v>
      </c>
      <c r="AI56" s="125" t="n">
        <f aca="false">SUMIF($F$7:$AG$7,AI$7,$F56:$AG56)</f>
        <v>0</v>
      </c>
      <c r="AJ56" s="125" t="n">
        <f aca="false">SUMIF($F$7:$AG$7,AJ$7,$F56:$AG56)</f>
        <v>21.7421875</v>
      </c>
      <c r="AK56" s="125" t="n">
        <f aca="false">SUMIF($F$7:$AG$7,AK$7,$F56:$AG56)</f>
        <v>43.484375</v>
      </c>
      <c r="AL56" s="125" t="n">
        <f aca="false">SUMIF($F$7:$AG$7,AL$7,$F56:$AG56)</f>
        <v>43.484375</v>
      </c>
      <c r="AM56" s="125" t="n">
        <f aca="false">SUMIF($F$7:$AG$7,AM$7,$F56:$AG56)</f>
        <v>43.484375</v>
      </c>
      <c r="AN56" s="125" t="n">
        <f aca="false">SUMIF($F$7:$AG$7,AN$7,$F56:$AG56)</f>
        <v>43.484375</v>
      </c>
      <c r="AO56" s="125" t="n">
        <f aca="false">SUMIF($F$7:$AG$7,AO$7,$F56:$AG56)</f>
        <v>43.484375</v>
      </c>
    </row>
    <row r="57" customFormat="false" ht="15" hidden="false" customHeight="false" outlineLevel="0" collapsed="false">
      <c r="A57" s="107" t="s">
        <v>2317</v>
      </c>
      <c r="B57" s="22" t="s">
        <v>613</v>
      </c>
      <c r="C57" s="22" t="s">
        <v>604</v>
      </c>
      <c r="D57" s="22"/>
      <c r="F57" s="124" t="n">
        <f aca="false">F55*($J$15-1)/(($D$15-$B$15)/91.3125)</f>
        <v>0</v>
      </c>
      <c r="G57" s="124" t="n">
        <f aca="false">G55*($J$15-1)/(($D$15-$B$15)/91.3125)</f>
        <v>0</v>
      </c>
      <c r="H57" s="124" t="n">
        <f aca="false">H55*($J$15-1)/(($D$15-$B$15)/91.3125)</f>
        <v>0</v>
      </c>
      <c r="I57" s="124" t="n">
        <f aca="false">I55*($J$15-1)/(($D$15-$B$15)/91.3125)</f>
        <v>0</v>
      </c>
      <c r="J57" s="124" t="n">
        <f aca="false">J55*($J$15-1)/(($D$15-$B$15)/91.3125)</f>
        <v>0</v>
      </c>
      <c r="K57" s="124" t="n">
        <f aca="false">K55*($J$15-1)/(($D$15-$B$15)/91.3125)</f>
        <v>0</v>
      </c>
      <c r="L57" s="124" t="n">
        <f aca="false">L55*($J$15-1)/(($D$15-$B$15)/91.3125)</f>
        <v>8.4701539279429</v>
      </c>
      <c r="M57" s="124" t="n">
        <f aca="false">M55*($J$15-1)/(($D$15-$B$15)/91.3125)</f>
        <v>8.4701539279429</v>
      </c>
      <c r="N57" s="124" t="n">
        <f aca="false">N55*($J$15-1)/(($D$15-$B$15)/91.3125)</f>
        <v>8.4701539279429</v>
      </c>
      <c r="O57" s="124" t="n">
        <f aca="false">O55*($J$15-1)/(($D$15-$B$15)/91.3125)</f>
        <v>8.4701539279429</v>
      </c>
      <c r="P57" s="125" t="n">
        <f aca="false">P55*($J$15-1)/(($D$15-$B$15)/91.3125)</f>
        <v>8.4701539279429</v>
      </c>
      <c r="Q57" s="125" t="n">
        <f aca="false">Q55*($J$15-1)/(($D$15-$B$15)/91.3125)</f>
        <v>8.4701539279429</v>
      </c>
      <c r="R57" s="125" t="n">
        <f aca="false">R55*($J$15-1)/(($D$15-$B$15)/91.3125)</f>
        <v>8.4701539279429</v>
      </c>
      <c r="S57" s="125" t="n">
        <f aca="false">S55*($J$15-1)/(($D$15-$B$15)/91.3125)</f>
        <v>8.4701539279429</v>
      </c>
      <c r="T57" s="125" t="n">
        <f aca="false">T55*($J$15-1)/(($D$15-$B$15)/91.3125)</f>
        <v>8.4701539279429</v>
      </c>
      <c r="U57" s="125" t="n">
        <f aca="false">U55*($J$15-1)/(($D$15-$B$15)/91.3125)</f>
        <v>8.4701539279429</v>
      </c>
      <c r="V57" s="125" t="n">
        <f aca="false">V55*($J$15-1)/(($D$15-$B$15)/91.3125)</f>
        <v>8.4701539279429</v>
      </c>
      <c r="W57" s="125" t="n">
        <f aca="false">W55*($J$15-1)/(($D$15-$B$15)/91.3125)</f>
        <v>8.4701539279429</v>
      </c>
      <c r="X57" s="125" t="n">
        <f aca="false">X55*($J$15-1)/(($D$15-$B$15)/91.3125)</f>
        <v>8.4701539279429</v>
      </c>
      <c r="Y57" s="125" t="n">
        <f aca="false">Y55*($J$15-1)/(($D$15-$B$15)/91.3125)</f>
        <v>8.4701539279429</v>
      </c>
      <c r="Z57" s="125" t="n">
        <f aca="false">Z55*($J$15-1)/(($D$15-$B$15)/91.3125)</f>
        <v>8.4701539279429</v>
      </c>
      <c r="AA57" s="125" t="n">
        <f aca="false">AA55*($J$15-1)/(($D$15-$B$15)/91.3125)</f>
        <v>8.4701539279429</v>
      </c>
      <c r="AB57" s="125" t="n">
        <f aca="false">AB55*($J$15-1)/(($D$15-$B$15)/91.3125)</f>
        <v>8.4701539279429</v>
      </c>
      <c r="AC57" s="125" t="n">
        <f aca="false">AC55*($J$15-1)/(($D$15-$B$15)/91.3125)</f>
        <v>8.4701539279429</v>
      </c>
      <c r="AD57" s="125" t="n">
        <f aca="false">AD55*($J$15-1)/(($D$15-$B$15)/91.3125)</f>
        <v>8.4701539279429</v>
      </c>
      <c r="AE57" s="125" t="n">
        <f aca="false">AE55*($J$15-1)/(($D$15-$B$15)/91.3125)</f>
        <v>8.4701539279429</v>
      </c>
      <c r="AF57" s="125" t="n">
        <f aca="false">AF55*($J$15-1)/(($D$15-$B$15)/91.3125)</f>
        <v>8.4701539279429</v>
      </c>
      <c r="AG57" s="125" t="n">
        <f aca="false">AG55*($J$15-1)/(($D$15-$B$15)/91.3125)</f>
        <v>8.4701539279429</v>
      </c>
      <c r="AI57" s="125" t="n">
        <f aca="false">SUMIF($F$7:$AG$7,AI$7,$F57:$AG57)</f>
        <v>0</v>
      </c>
      <c r="AJ57" s="125" t="n">
        <f aca="false">SUMIF($F$7:$AG$7,AJ$7,$F57:$AG57)</f>
        <v>16.9403078558858</v>
      </c>
      <c r="AK57" s="125" t="n">
        <f aca="false">SUMIF($F$7:$AG$7,AK$7,$F57:$AG57)</f>
        <v>33.8806157117716</v>
      </c>
      <c r="AL57" s="125" t="n">
        <f aca="false">SUMIF($F$7:$AG$7,AL$7,$F57:$AG57)</f>
        <v>33.8806157117716</v>
      </c>
      <c r="AM57" s="125" t="n">
        <f aca="false">SUMIF($F$7:$AG$7,AM$7,$F57:$AG57)</f>
        <v>33.8806157117716</v>
      </c>
      <c r="AN57" s="125" t="n">
        <f aca="false">SUMIF($F$7:$AG$7,AN$7,$F57:$AG57)</f>
        <v>33.8806157117716</v>
      </c>
      <c r="AO57" s="125" t="n">
        <f aca="false">SUMIF($F$7:$AG$7,AO$7,$F57:$AG57)</f>
        <v>33.8806157117716</v>
      </c>
    </row>
    <row r="58" customFormat="false" ht="15" hidden="false" customHeight="false" outlineLevel="0" collapsed="false">
      <c r="A58" s="107" t="s">
        <v>2318</v>
      </c>
      <c r="B58" s="22" t="s">
        <v>613</v>
      </c>
      <c r="C58" s="22" t="s">
        <v>604</v>
      </c>
      <c r="D58" s="22"/>
      <c r="F58" s="124" t="n">
        <f aca="false">F55*(1+($J$15-1)*MIN(1,MAX(0,(F$4-$B$15)/($D$15-$B$15))))</f>
        <v>0</v>
      </c>
      <c r="G58" s="124" t="n">
        <f aca="false">G55*(1+($J$15-1)*MIN(1,MAX(0,(G$4-$B$15)/($D$15-$B$15))))</f>
        <v>0</v>
      </c>
      <c r="H58" s="124" t="n">
        <f aca="false">H55*(1+($J$15-1)*MIN(1,MAX(0,(H$4-$B$15)/($D$15-$B$15))))</f>
        <v>0</v>
      </c>
      <c r="I58" s="124" t="n">
        <f aca="false">I55*(1+($J$15-1)*MIN(1,MAX(0,(I$4-$B$15)/($D$15-$B$15))))</f>
        <v>0</v>
      </c>
      <c r="J58" s="124" t="n">
        <f aca="false">J55*(1+($J$15-1)*MIN(1,MAX(0,(J$4-$B$15)/($D$15-$B$15))))</f>
        <v>0</v>
      </c>
      <c r="K58" s="124" t="n">
        <f aca="false">K55*(1+($J$15-1)*MIN(1,MAX(0,(K$4-$B$15)/($D$15-$B$15))))</f>
        <v>0</v>
      </c>
      <c r="L58" s="124" t="n">
        <f aca="false">L55*(1+($J$15-1)*MIN(1,MAX(0,(L$4-$B$15)/($D$15-$B$15))))</f>
        <v>1582.64140105593</v>
      </c>
      <c r="M58" s="124" t="n">
        <f aca="false">M55*(1+($J$15-1)*MIN(1,MAX(0,(M$4-$B$15)/($D$15-$B$15))))</f>
        <v>1591.17532753226</v>
      </c>
      <c r="N58" s="124" t="n">
        <f aca="false">N55*(1+($J$15-1)*MIN(1,MAX(0,(N$4-$B$15)/($D$15-$B$15))))</f>
        <v>1599.52373386781</v>
      </c>
      <c r="O58" s="124" t="n">
        <f aca="false">O55*(1+($J$15-1)*MIN(1,MAX(0,(O$4-$B$15)/($D$15-$B$15))))</f>
        <v>1607.96490027376</v>
      </c>
      <c r="P58" s="125" t="n">
        <f aca="false">P55*(1+($J$15-1)*MIN(1,MAX(0,(P$4-$B$15)/($D$15-$B$15))))</f>
        <v>1616.4988267501</v>
      </c>
      <c r="Q58" s="125" t="n">
        <f aca="false">Q55*(1+($J$15-1)*MIN(1,MAX(0,(Q$4-$B$15)/($D$15-$B$15))))</f>
        <v>1625.03275322644</v>
      </c>
      <c r="R58" s="125" t="n">
        <f aca="false">R55*(1+($J$15-1)*MIN(1,MAX(0,(R$4-$B$15)/($D$15-$B$15))))</f>
        <v>1633.38115956199</v>
      </c>
      <c r="S58" s="125" t="n">
        <f aca="false">S55*(1+($J$15-1)*MIN(1,MAX(0,(S$4-$B$15)/($D$15-$B$15))))</f>
        <v>1641.82232596793</v>
      </c>
      <c r="T58" s="125" t="n">
        <f aca="false">T55*(1+($J$15-1)*MIN(1,MAX(0,(T$4-$B$15)/($D$15-$B$15))))</f>
        <v>1650.35625244427</v>
      </c>
      <c r="U58" s="125" t="n">
        <f aca="false">U55*(1+($J$15-1)*MIN(1,MAX(0,(U$4-$B$15)/($D$15-$B$15))))</f>
        <v>1658.89017892061</v>
      </c>
      <c r="V58" s="125" t="n">
        <f aca="false">V55*(1+($J$15-1)*MIN(1,MAX(0,(V$4-$B$15)/($D$15-$B$15))))</f>
        <v>1667.33134532655</v>
      </c>
      <c r="W58" s="125" t="n">
        <f aca="false">W55*(1+($J$15-1)*MIN(1,MAX(0,(W$4-$B$15)/($D$15-$B$15))))</f>
        <v>1675.7725117325</v>
      </c>
      <c r="X58" s="125" t="n">
        <f aca="false">X55*(1+($J$15-1)*MIN(1,MAX(0,(X$4-$B$15)/($D$15-$B$15))))</f>
        <v>1684.30643820884</v>
      </c>
      <c r="Y58" s="125" t="n">
        <f aca="false">Y55*(1+($J$15-1)*MIN(1,MAX(0,(Y$4-$B$15)/($D$15-$B$15))))</f>
        <v>1692.84036468518</v>
      </c>
      <c r="Z58" s="125" t="n">
        <f aca="false">Z55*(1+($J$15-1)*MIN(1,MAX(0,(Z$4-$B$15)/($D$15-$B$15))))</f>
        <v>1701.18877102073</v>
      </c>
      <c r="AA58" s="125" t="n">
        <f aca="false">AA55*(1+($J$15-1)*MIN(1,MAX(0,(AA$4-$B$15)/($D$15-$B$15))))</f>
        <v>1709.62993742667</v>
      </c>
      <c r="AB58" s="125" t="n">
        <f aca="false">AB55*(1+($J$15-1)*MIN(1,MAX(0,(AB$4-$B$15)/($D$15-$B$15))))</f>
        <v>1718.16386390301</v>
      </c>
      <c r="AC58" s="125" t="n">
        <f aca="false">AC55*(1+($J$15-1)*MIN(1,MAX(0,(AC$4-$B$15)/($D$15-$B$15))))</f>
        <v>1726.69779037935</v>
      </c>
      <c r="AD58" s="125" t="n">
        <f aca="false">AD55*(1+($J$15-1)*MIN(1,MAX(0,(AD$4-$B$15)/($D$15-$B$15))))</f>
        <v>1735.0461967149</v>
      </c>
      <c r="AE58" s="125" t="n">
        <f aca="false">AE55*(1+($J$15-1)*MIN(1,MAX(0,(AE$4-$B$15)/($D$15-$B$15))))</f>
        <v>1743.48736312084</v>
      </c>
      <c r="AF58" s="125" t="n">
        <f aca="false">AF55*(1+($J$15-1)*MIN(1,MAX(0,(AF$4-$B$15)/($D$15-$B$15))))</f>
        <v>1752.02128959718</v>
      </c>
      <c r="AG58" s="125" t="n">
        <f aca="false">AG55*(1+($J$15-1)*MIN(1,MAX(0,(AG$4-$B$15)/($D$15-$B$15))))</f>
        <v>1760.55521607352</v>
      </c>
      <c r="AI58" s="125" t="n">
        <f aca="false">INDEX($F58:$AG58,1,MATCH(AI$7,$F$7:$AG$7,1))</f>
        <v>0</v>
      </c>
      <c r="AJ58" s="125" t="n">
        <f aca="false">INDEX($F58:$AG58,1,MATCH(AJ$7,$F$7:$AG$7,1))</f>
        <v>1591.17532753226</v>
      </c>
      <c r="AK58" s="125" t="n">
        <f aca="false">INDEX($F58:$AG58,1,MATCH(AK$7,$F$7:$AG$7,1))</f>
        <v>1625.03275322644</v>
      </c>
      <c r="AL58" s="125" t="n">
        <f aca="false">INDEX($F58:$AG58,1,MATCH(AL$7,$F$7:$AG$7,1))</f>
        <v>1658.89017892061</v>
      </c>
      <c r="AM58" s="125" t="n">
        <f aca="false">INDEX($F58:$AG58,1,MATCH(AM$7,$F$7:$AG$7,1))</f>
        <v>1692.84036468518</v>
      </c>
      <c r="AN58" s="125" t="n">
        <f aca="false">INDEX($F58:$AG58,1,MATCH(AN$7,$F$7:$AG$7,1))</f>
        <v>1726.69779037935</v>
      </c>
      <c r="AO58" s="125" t="n">
        <f aca="false">INDEX($F58:$AG58,1,MATCH(AO$7,$F$7:$AG$7,1))</f>
        <v>1760.55521607352</v>
      </c>
    </row>
    <row r="59" customFormat="false" ht="15" hidden="false" customHeight="false" outlineLevel="0" collapsed="false">
      <c r="A59" s="107" t="s">
        <v>2319</v>
      </c>
      <c r="B59" s="22" t="s">
        <v>613</v>
      </c>
      <c r="C59" s="22" t="s">
        <v>604</v>
      </c>
      <c r="D59" s="22"/>
      <c r="F59" s="124" t="n">
        <f aca="false">F55*($S$15+($J$15-$S$15)*MIN(1,MAX(0,(F$4-$T$15)/($D$15-$T$15))))</f>
        <v>0</v>
      </c>
      <c r="G59" s="124" t="n">
        <f aca="false">G55*($S$15+($J$15-$S$15)*MIN(1,MAX(0,(G$4-$T$15)/($D$15-$T$15))))</f>
        <v>0</v>
      </c>
      <c r="H59" s="124" t="n">
        <f aca="false">H55*($S$15+($J$15-$S$15)*MIN(1,MAX(0,(H$4-$T$15)/($D$15-$T$15))))</f>
        <v>0</v>
      </c>
      <c r="I59" s="124" t="n">
        <f aca="false">I55*($S$15+($J$15-$S$15)*MIN(1,MAX(0,(I$4-$T$15)/($D$15-$T$15))))</f>
        <v>0</v>
      </c>
      <c r="J59" s="124" t="n">
        <f aca="false">J55*($S$15+($J$15-$S$15)*MIN(1,MAX(0,(J$4-$T$15)/($D$15-$T$15))))</f>
        <v>0</v>
      </c>
      <c r="K59" s="124" t="n">
        <f aca="false">K55*($S$15+($J$15-$S$15)*MIN(1,MAX(0,(K$4-$T$15)/($D$15-$T$15))))</f>
        <v>0</v>
      </c>
      <c r="L59" s="124" t="n">
        <f aca="false">L55*($S$15+($J$15-$S$15)*MIN(1,MAX(0,(L$4-$T$15)/($D$15-$T$15))))</f>
        <v>1574.99931875</v>
      </c>
      <c r="M59" s="124" t="n">
        <f aca="false">M55*($S$15+($J$15-$S$15)*MIN(1,MAX(0,(M$4-$T$15)/($D$15-$T$15))))</f>
        <v>1574.99931875</v>
      </c>
      <c r="N59" s="124" t="n">
        <f aca="false">N55*($S$15+($J$15-$S$15)*MIN(1,MAX(0,(N$4-$T$15)/($D$15-$T$15))))</f>
        <v>1574.99931875</v>
      </c>
      <c r="O59" s="124" t="n">
        <f aca="false">O55*($S$15+($J$15-$S$15)*MIN(1,MAX(0,(O$4-$T$15)/($D$15-$T$15))))</f>
        <v>1574.99931875</v>
      </c>
      <c r="P59" s="125" t="n">
        <f aca="false">P55*($S$15+($J$15-$S$15)*MIN(1,MAX(0,(P$4-$T$15)/($D$15-$T$15))))</f>
        <v>1584.8698840541</v>
      </c>
      <c r="Q59" s="125" t="n">
        <f aca="false">Q55*($S$15+($J$15-$S$15)*MIN(1,MAX(0,(Q$4-$T$15)/($D$15-$T$15))))</f>
        <v>1594.7404493582</v>
      </c>
      <c r="R59" s="125" t="n">
        <f aca="false">R55*($S$15+($J$15-$S$15)*MIN(1,MAX(0,(R$4-$T$15)/($D$15-$T$15))))</f>
        <v>1604.39643715569</v>
      </c>
      <c r="S59" s="125" t="n">
        <f aca="false">S55*($S$15+($J$15-$S$15)*MIN(1,MAX(0,(S$4-$T$15)/($D$15-$T$15))))</f>
        <v>1614.15971370648</v>
      </c>
      <c r="T59" s="125" t="n">
        <f aca="false">T55*($S$15+($J$15-$S$15)*MIN(1,MAX(0,(T$4-$T$15)/($D$15-$T$15))))</f>
        <v>1624.03027901058</v>
      </c>
      <c r="U59" s="125" t="n">
        <f aca="false">U55*($S$15+($J$15-$S$15)*MIN(1,MAX(0,(U$4-$T$15)/($D$15-$T$15))))</f>
        <v>1633.90084431468</v>
      </c>
      <c r="V59" s="125" t="n">
        <f aca="false">V55*($S$15+($J$15-$S$15)*MIN(1,MAX(0,(V$4-$T$15)/($D$15-$T$15))))</f>
        <v>1643.66412086547</v>
      </c>
      <c r="W59" s="125" t="n">
        <f aca="false">W55*($S$15+($J$15-$S$15)*MIN(1,MAX(0,(W$4-$T$15)/($D$15-$T$15))))</f>
        <v>1653.42739741626</v>
      </c>
      <c r="X59" s="125" t="n">
        <f aca="false">X55*($S$15+($J$15-$S$15)*MIN(1,MAX(0,(X$4-$T$15)/($D$15-$T$15))))</f>
        <v>1663.29796272036</v>
      </c>
      <c r="Y59" s="125" t="n">
        <f aca="false">Y55*($S$15+($J$15-$S$15)*MIN(1,MAX(0,(Y$4-$T$15)/($D$15-$T$15))))</f>
        <v>1673.16852802446</v>
      </c>
      <c r="Z59" s="125" t="n">
        <f aca="false">Z55*($S$15+($J$15-$S$15)*MIN(1,MAX(0,(Z$4-$T$15)/($D$15-$T$15))))</f>
        <v>1682.82451582195</v>
      </c>
      <c r="AA59" s="125" t="n">
        <f aca="false">AA55*($S$15+($J$15-$S$15)*MIN(1,MAX(0,(AA$4-$T$15)/($D$15-$T$15))))</f>
        <v>1692.58779237274</v>
      </c>
      <c r="AB59" s="125" t="n">
        <f aca="false">AB55*($S$15+($J$15-$S$15)*MIN(1,MAX(0,(AB$4-$T$15)/($D$15-$T$15))))</f>
        <v>1702.45835767684</v>
      </c>
      <c r="AC59" s="125" t="n">
        <f aca="false">AC55*($S$15+($J$15-$S$15)*MIN(1,MAX(0,(AC$4-$T$15)/($D$15-$T$15))))</f>
        <v>1712.32892298094</v>
      </c>
      <c r="AD59" s="125" t="n">
        <f aca="false">AD55*($S$15+($J$15-$S$15)*MIN(1,MAX(0,(AD$4-$T$15)/($D$15-$T$15))))</f>
        <v>1721.98491077843</v>
      </c>
      <c r="AE59" s="125" t="n">
        <f aca="false">AE55*($S$15+($J$15-$S$15)*MIN(1,MAX(0,(AE$4-$T$15)/($D$15-$T$15))))</f>
        <v>1731.74818732922</v>
      </c>
      <c r="AF59" s="125" t="n">
        <f aca="false">AF55*($S$15+($J$15-$S$15)*MIN(1,MAX(0,(AF$4-$T$15)/($D$15-$T$15))))</f>
        <v>1741.61875263332</v>
      </c>
      <c r="AG59" s="125" t="n">
        <f aca="false">AG55*($S$15+($J$15-$S$15)*MIN(1,MAX(0,(AG$4-$T$15)/($D$15-$T$15))))</f>
        <v>1751.48931793742</v>
      </c>
      <c r="AI59" s="125" t="n">
        <f aca="false">INDEX($F59:$AG59,1,MATCH(AI$7,$F$7:$AG$7,1))</f>
        <v>0</v>
      </c>
      <c r="AJ59" s="125" t="n">
        <f aca="false">INDEX($F59:$AG59,1,MATCH(AJ$7,$F$7:$AG$7,1))</f>
        <v>1574.99931875</v>
      </c>
      <c r="AK59" s="125" t="n">
        <f aca="false">INDEX($F59:$AG59,1,MATCH(AK$7,$F$7:$AG$7,1))</f>
        <v>1594.7404493582</v>
      </c>
      <c r="AL59" s="125" t="n">
        <f aca="false">INDEX($F59:$AG59,1,MATCH(AL$7,$F$7:$AG$7,1))</f>
        <v>1633.90084431468</v>
      </c>
      <c r="AM59" s="125" t="n">
        <f aca="false">INDEX($F59:$AG59,1,MATCH(AM$7,$F$7:$AG$7,1))</f>
        <v>1673.16852802446</v>
      </c>
      <c r="AN59" s="125" t="n">
        <f aca="false">INDEX($F59:$AG59,1,MATCH(AN$7,$F$7:$AG$7,1))</f>
        <v>1712.32892298094</v>
      </c>
      <c r="AO59" s="125" t="n">
        <f aca="false">INDEX($F59:$AG59,1,MATCH(AO$7,$F$7:$AG$7,1))</f>
        <v>1751.48931793742</v>
      </c>
    </row>
    <row r="60" customFormat="false" ht="15" hidden="false" customHeight="false" outlineLevel="0" collapsed="false">
      <c r="A60" s="107" t="s">
        <v>2320</v>
      </c>
      <c r="B60" s="22" t="s">
        <v>613</v>
      </c>
      <c r="C60" s="22" t="s">
        <v>604</v>
      </c>
      <c r="D60" s="22"/>
      <c r="F60" s="124" t="n">
        <f aca="false">IF(F$5=$N$15,E55*$J$15*(1-$O$15),0)</f>
        <v>0</v>
      </c>
      <c r="G60" s="124" t="n">
        <f aca="false">IF(G$5=$N$15,F55*$J$15*(1-$O$15),0)</f>
        <v>0</v>
      </c>
      <c r="H60" s="124" t="n">
        <f aca="false">IF(H$5=$N$15,G55*$J$15*(1-$O$15),0)</f>
        <v>0</v>
      </c>
      <c r="I60" s="124" t="n">
        <f aca="false">IF(I$5=$N$15,H55*$J$15*(1-$O$15),0)</f>
        <v>0</v>
      </c>
      <c r="J60" s="124" t="n">
        <f aca="false">IF(J$5=$N$15,I55*$J$15*(1-$O$15),0)</f>
        <v>0</v>
      </c>
      <c r="K60" s="124" t="n">
        <f aca="false">IF(K$5=$N$15,J55*$J$15*(1-$O$15),0)</f>
        <v>0</v>
      </c>
      <c r="L60" s="124" t="n">
        <f aca="false">IF(L$5=$N$15,K55*$J$15*(1-$O$15),0)</f>
        <v>0</v>
      </c>
      <c r="M60" s="124" t="n">
        <f aca="false">IF(M$5=$N$15,L55*$J$15*(1-$O$15),0)</f>
        <v>0</v>
      </c>
      <c r="N60" s="124" t="n">
        <f aca="false">IF(N$5=$N$15,M55*$J$15*(1-$O$15),0)</f>
        <v>0</v>
      </c>
      <c r="O60" s="124" t="n">
        <f aca="false">IF(O$5=$N$15,N55*$J$15*(1-$O$15),0)</f>
        <v>0</v>
      </c>
      <c r="P60" s="125" t="n">
        <f aca="false">IF(P$5=$N$15,O55*$J$15*(1-$O$15),0)</f>
        <v>0</v>
      </c>
      <c r="Q60" s="125" t="n">
        <f aca="false">IF(Q$5=$N$15,P55*$J$15*(1-$O$15),0)</f>
        <v>0</v>
      </c>
      <c r="R60" s="125" t="n">
        <f aca="false">IF(R$5=$N$15,Q55*$J$15*(1-$O$15),0)</f>
        <v>0</v>
      </c>
      <c r="S60" s="125" t="n">
        <f aca="false">IF(S$5=$N$15,R55*$J$15*(1-$O$15),0)</f>
        <v>0</v>
      </c>
      <c r="T60" s="125" t="n">
        <f aca="false">IF(T$5=$N$15,S55*$J$15*(1-$O$15),0)</f>
        <v>0</v>
      </c>
      <c r="U60" s="125" t="n">
        <f aca="false">IF(U$5=$N$15,T55*$J$15*(1-$O$15),0)</f>
        <v>0</v>
      </c>
      <c r="V60" s="125" t="n">
        <f aca="false">IF(V$5=$N$15,U55*$J$15*(1-$O$15),0)</f>
        <v>0</v>
      </c>
      <c r="W60" s="125" t="n">
        <f aca="false">IF(W$5=$N$15,V55*$J$15*(1-$O$15),0)</f>
        <v>0</v>
      </c>
      <c r="X60" s="125" t="n">
        <f aca="false">IF(X$5=$N$15,W55*$J$15*(1-$O$15),0)</f>
        <v>0</v>
      </c>
      <c r="Y60" s="125" t="n">
        <f aca="false">IF(Y$5=$N$15,X55*$J$15*(1-$O$15),0)</f>
        <v>0</v>
      </c>
      <c r="Z60" s="125" t="n">
        <f aca="false">IF(Z$5=$N$15,Y55*$J$15*(1-$O$15),0)</f>
        <v>0</v>
      </c>
      <c r="AA60" s="125" t="n">
        <f aca="false">IF(AA$5=$N$15,Z55*$J$15*(1-$O$15),0)</f>
        <v>0</v>
      </c>
      <c r="AB60" s="125" t="n">
        <f aca="false">IF(AB$5=$N$15,AA55*$J$15*(1-$O$15),0)</f>
        <v>0</v>
      </c>
      <c r="AC60" s="125" t="n">
        <f aca="false">IF(AC$5=$N$15,AB55*$J$15*(1-$O$15),0)</f>
        <v>0</v>
      </c>
      <c r="AD60" s="125" t="n">
        <f aca="false">IF(AD$5=$N$15,AC55*$J$15*(1-$O$15),0)</f>
        <v>0</v>
      </c>
      <c r="AE60" s="125" t="n">
        <f aca="false">IF(AE$5=$N$15,AD55*$J$15*(1-$O$15),0)</f>
        <v>0</v>
      </c>
      <c r="AF60" s="125" t="n">
        <f aca="false">IF(AF$5=$N$15,AE55*$J$15*(1-$O$15),0)</f>
        <v>0</v>
      </c>
      <c r="AG60" s="125" t="n">
        <f aca="false">IF(AG$5=$N$15,AF55*$J$15*(1-$O$15),0)</f>
        <v>0</v>
      </c>
      <c r="AI60" s="125" t="n">
        <f aca="false">SUMIF($F$7:$AG$7,AI$7,$F60:$AG60)</f>
        <v>0</v>
      </c>
      <c r="AJ60" s="125" t="n">
        <f aca="false">SUMIF($F$7:$AG$7,AJ$7,$F60:$AG60)</f>
        <v>0</v>
      </c>
      <c r="AK60" s="125" t="n">
        <f aca="false">SUMIF($F$7:$AG$7,AK$7,$F60:$AG60)</f>
        <v>0</v>
      </c>
      <c r="AL60" s="125" t="n">
        <f aca="false">SUMIF($F$7:$AG$7,AL$7,$F60:$AG60)</f>
        <v>0</v>
      </c>
      <c r="AM60" s="125" t="n">
        <f aca="false">SUMIF($F$7:$AG$7,AM$7,$F60:$AG60)</f>
        <v>0</v>
      </c>
      <c r="AN60" s="125" t="n">
        <f aca="false">SUMIF($F$7:$AG$7,AN$7,$F60:$AG60)</f>
        <v>0</v>
      </c>
      <c r="AO60" s="125" t="n">
        <f aca="false">SUMIF($F$7:$AG$7,AO$7,$F60:$AG60)</f>
        <v>0</v>
      </c>
    </row>
    <row r="61" customFormat="false" ht="15" hidden="false" customHeight="false" outlineLevel="0" collapsed="false">
      <c r="A61" s="107" t="s">
        <v>2321</v>
      </c>
      <c r="B61" s="22" t="s">
        <v>635</v>
      </c>
      <c r="C61" s="22" t="s">
        <v>604</v>
      </c>
      <c r="D61" s="22"/>
      <c r="F61" s="140" t="n">
        <f aca="false">IF(F$5=$N$15,E55*$K$15/1000*$O$15,0)</f>
        <v>0</v>
      </c>
      <c r="G61" s="140" t="n">
        <f aca="false">IF(G$5=$N$15,F55*$K$15/1000*$O$15,0)</f>
        <v>0</v>
      </c>
      <c r="H61" s="140" t="n">
        <f aca="false">IF(H$5=$N$15,G55*$K$15/1000*$O$15,0)</f>
        <v>0</v>
      </c>
      <c r="I61" s="140" t="n">
        <f aca="false">IF(I$5=$N$15,H55*$K$15/1000*$O$15,0)</f>
        <v>0</v>
      </c>
      <c r="J61" s="140" t="n">
        <f aca="false">IF(J$5=$N$15,I55*$K$15/1000*$O$15,0)</f>
        <v>0</v>
      </c>
      <c r="K61" s="140" t="n">
        <f aca="false">IF(K$5=$N$15,J55*$K$15/1000*$O$15,0)</f>
        <v>0</v>
      </c>
      <c r="L61" s="140" t="n">
        <f aca="false">IF(L$5=$N$15,K55*$K$15/1000*$O$15,0)</f>
        <v>0</v>
      </c>
      <c r="M61" s="140" t="n">
        <f aca="false">IF(M$5=$N$15,L55*$K$15/1000*$O$15,0)</f>
        <v>0</v>
      </c>
      <c r="N61" s="140" t="n">
        <f aca="false">IF(N$5=$N$15,M55*$K$15/1000*$O$15,0)</f>
        <v>0</v>
      </c>
      <c r="O61" s="140" t="n">
        <f aca="false">IF(O$5=$N$15,N55*$K$15/1000*$O$15,0)</f>
        <v>0</v>
      </c>
      <c r="P61" s="47" t="n">
        <f aca="false">IF(P$5=$N$15,O55*$K$15/1000*$O$15,0)</f>
        <v>0</v>
      </c>
      <c r="Q61" s="47" t="n">
        <f aca="false">IF(Q$5=$N$15,P55*$K$15/1000*$O$15,0)</f>
        <v>0</v>
      </c>
      <c r="R61" s="47" t="n">
        <f aca="false">IF(R$5=$N$15,Q55*$K$15/1000*$O$15,0)</f>
        <v>0</v>
      </c>
      <c r="S61" s="47" t="n">
        <f aca="false">IF(S$5=$N$15,R55*$K$15/1000*$O$15,0)</f>
        <v>0</v>
      </c>
      <c r="T61" s="47" t="n">
        <f aca="false">IF(T$5=$N$15,S55*$K$15/1000*$O$15,0)</f>
        <v>0</v>
      </c>
      <c r="U61" s="47" t="n">
        <f aca="false">IF(U$5=$N$15,T55*$K$15/1000*$O$15,0)</f>
        <v>0</v>
      </c>
      <c r="V61" s="47" t="n">
        <f aca="false">IF(V$5=$N$15,U55*$K$15/1000*$O$15,0)</f>
        <v>0</v>
      </c>
      <c r="W61" s="47" t="n">
        <f aca="false">IF(W$5=$N$15,V55*$K$15/1000*$O$15,0)</f>
        <v>0</v>
      </c>
      <c r="X61" s="47" t="n">
        <f aca="false">IF(X$5=$N$15,W55*$K$15/1000*$O$15,0)</f>
        <v>0</v>
      </c>
      <c r="Y61" s="47" t="n">
        <f aca="false">IF(Y$5=$N$15,X55*$K$15/1000*$O$15,0)</f>
        <v>0</v>
      </c>
      <c r="Z61" s="47" t="n">
        <f aca="false">IF(Z$5=$N$15,Y55*$K$15/1000*$O$15,0)</f>
        <v>0</v>
      </c>
      <c r="AA61" s="47" t="n">
        <f aca="false">IF(AA$5=$N$15,Z55*$K$15/1000*$O$15,0)</f>
        <v>0</v>
      </c>
      <c r="AB61" s="47" t="n">
        <f aca="false">IF(AB$5=$N$15,AA55*$K$15/1000*$O$15,0)</f>
        <v>0</v>
      </c>
      <c r="AC61" s="47" t="n">
        <f aca="false">IF(AC$5=$N$15,AB55*$K$15/1000*$O$15,0)</f>
        <v>0</v>
      </c>
      <c r="AD61" s="47" t="n">
        <f aca="false">IF(AD$5=$N$15,AC55*$K$15/1000*$O$15,0)</f>
        <v>0</v>
      </c>
      <c r="AE61" s="47" t="n">
        <f aca="false">IF(AE$5=$N$15,AD55*$K$15/1000*$O$15,0)</f>
        <v>0</v>
      </c>
      <c r="AF61" s="47" t="n">
        <f aca="false">IF(AF$5=$N$15,AE55*$K$15/1000*$O$15,0)</f>
        <v>0</v>
      </c>
      <c r="AG61" s="47" t="n">
        <f aca="false">IF(AG$5=$N$15,AF55*$K$15/1000*$O$15,0)</f>
        <v>0</v>
      </c>
      <c r="AI61" s="47" t="n">
        <f aca="false">SUMIF($F$7:$AG$7,AI$7,$F61:$AG61)</f>
        <v>0</v>
      </c>
      <c r="AJ61" s="47" t="n">
        <f aca="false">SUMIF($F$7:$AG$7,AJ$7,$F61:$AG61)</f>
        <v>0</v>
      </c>
      <c r="AK61" s="47" t="n">
        <f aca="false">SUMIF($F$7:$AG$7,AK$7,$F61:$AG61)</f>
        <v>0</v>
      </c>
      <c r="AL61" s="47" t="n">
        <f aca="false">SUMIF($F$7:$AG$7,AL$7,$F61:$AG61)</f>
        <v>0</v>
      </c>
      <c r="AM61" s="47" t="n">
        <f aca="false">SUMIF($F$7:$AG$7,AM$7,$F61:$AG61)</f>
        <v>0</v>
      </c>
      <c r="AN61" s="47" t="n">
        <f aca="false">SUMIF($F$7:$AG$7,AN$7,$F61:$AG61)</f>
        <v>0</v>
      </c>
      <c r="AO61" s="47" t="n">
        <f aca="false">SUMIF($F$7:$AG$7,AO$7,$F61:$AG61)</f>
        <v>0</v>
      </c>
    </row>
    <row r="62" customFormat="false" ht="15" hidden="false" customHeight="false" outlineLevel="0" collapsed="false">
      <c r="A62" s="107" t="s">
        <v>2322</v>
      </c>
      <c r="B62" s="22" t="s">
        <v>635</v>
      </c>
      <c r="C62" s="22" t="s">
        <v>540</v>
      </c>
      <c r="D62" s="22"/>
      <c r="F62" s="140" t="n">
        <f aca="false">IF(DilMethod=3,MAX(0,F55*$K$15/1000*DilPx-F58)/DilPx,F55*$K$15/1000*$P$15)</f>
        <v>0</v>
      </c>
      <c r="G62" s="140" t="n">
        <f aca="false">IF(DilMethod=3,MAX(0,G55*$K$15/1000*DilPx-G58)/DilPx,G55*$K$15/1000*$P$15)</f>
        <v>0</v>
      </c>
      <c r="H62" s="140" t="n">
        <f aca="false">IF(DilMethod=3,MAX(0,H55*$K$15/1000*DilPx-H58)/DilPx,H55*$K$15/1000*$P$15)</f>
        <v>0</v>
      </c>
      <c r="I62" s="140" t="n">
        <f aca="false">IF(DilMethod=3,MAX(0,I55*$K$15/1000*DilPx-I58)/DilPx,I55*$K$15/1000*$P$15)</f>
        <v>0</v>
      </c>
      <c r="J62" s="140" t="n">
        <f aca="false">IF(DilMethod=3,MAX(0,J55*$K$15/1000*DilPx-J58)/DilPx,J55*$K$15/1000*$P$15)</f>
        <v>0</v>
      </c>
      <c r="K62" s="140" t="n">
        <f aca="false">IF(DilMethod=3,MAX(0,K55*$K$15/1000*DilPx-K58)/DilPx,K55*$K$15/1000*$P$15)</f>
        <v>0</v>
      </c>
      <c r="L62" s="140" t="n">
        <f aca="false">IF(DilMethod=3,MAX(0,L55*$K$15/1000*DilPx-L58)/DilPx,L55*$K$15/1000*$P$15)</f>
        <v>0</v>
      </c>
      <c r="M62" s="140" t="n">
        <f aca="false">IF(DilMethod=3,MAX(0,M55*$K$15/1000*DilPx-M58)/DilPx,M55*$K$15/1000*$P$15)</f>
        <v>0</v>
      </c>
      <c r="N62" s="140" t="n">
        <f aca="false">IF(DilMethod=3,MAX(0,N55*$K$15/1000*DilPx-N58)/DilPx,N55*$K$15/1000*$P$15)</f>
        <v>0</v>
      </c>
      <c r="O62" s="140" t="n">
        <f aca="false">IF(DilMethod=3,MAX(0,O55*$K$15/1000*DilPx-O58)/DilPx,O55*$K$15/1000*$P$15)</f>
        <v>0</v>
      </c>
      <c r="P62" s="47" t="n">
        <f aca="false">IF(DilMethod=3,MAX(0,P55*$K$15/1000*DilPx-P58)/DilPx,P55*$K$15/1000*$P$15)</f>
        <v>0</v>
      </c>
      <c r="Q62" s="47" t="n">
        <f aca="false">IF(DilMethod=3,MAX(0,Q55*$K$15/1000*DilPx-Q58)/DilPx,Q55*$K$15/1000*$P$15)</f>
        <v>0</v>
      </c>
      <c r="R62" s="47" t="n">
        <f aca="false">IF(DilMethod=3,MAX(0,R55*$K$15/1000*DilPx-R58)/DilPx,R55*$K$15/1000*$P$15)</f>
        <v>0</v>
      </c>
      <c r="S62" s="47" t="n">
        <f aca="false">IF(DilMethod=3,MAX(0,S55*$K$15/1000*DilPx-S58)/DilPx,S55*$K$15/1000*$P$15)</f>
        <v>0</v>
      </c>
      <c r="T62" s="47" t="n">
        <f aca="false">IF(DilMethod=3,MAX(0,T55*$K$15/1000*DilPx-T58)/DilPx,T55*$K$15/1000*$P$15)</f>
        <v>0</v>
      </c>
      <c r="U62" s="47" t="n">
        <f aca="false">IF(DilMethod=3,MAX(0,U55*$K$15/1000*DilPx-U58)/DilPx,U55*$K$15/1000*$P$15)</f>
        <v>0</v>
      </c>
      <c r="V62" s="47" t="n">
        <f aca="false">IF(DilMethod=3,MAX(0,V55*$K$15/1000*DilPx-V58)/DilPx,V55*$K$15/1000*$P$15)</f>
        <v>0</v>
      </c>
      <c r="W62" s="47" t="n">
        <f aca="false">IF(DilMethod=3,MAX(0,W55*$K$15/1000*DilPx-W58)/DilPx,W55*$K$15/1000*$P$15)</f>
        <v>0</v>
      </c>
      <c r="X62" s="47" t="n">
        <f aca="false">IF(DilMethod=3,MAX(0,X55*$K$15/1000*DilPx-X58)/DilPx,X55*$K$15/1000*$P$15)</f>
        <v>0</v>
      </c>
      <c r="Y62" s="47" t="n">
        <f aca="false">IF(DilMethod=3,MAX(0,Y55*$K$15/1000*DilPx-Y58)/DilPx,Y55*$K$15/1000*$P$15)</f>
        <v>0</v>
      </c>
      <c r="Z62" s="47" t="n">
        <f aca="false">IF(DilMethod=3,MAX(0,Z55*$K$15/1000*DilPx-Z58)/DilPx,Z55*$K$15/1000*$P$15)</f>
        <v>0</v>
      </c>
      <c r="AA62" s="47" t="n">
        <f aca="false">IF(DilMethod=3,MAX(0,AA55*$K$15/1000*DilPx-AA58)/DilPx,AA55*$K$15/1000*$P$15)</f>
        <v>0</v>
      </c>
      <c r="AB62" s="47" t="n">
        <f aca="false">IF(DilMethod=3,MAX(0,AB55*$K$15/1000*DilPx-AB58)/DilPx,AB55*$K$15/1000*$P$15)</f>
        <v>0</v>
      </c>
      <c r="AC62" s="47" t="n">
        <f aca="false">IF(DilMethod=3,MAX(0,AC55*$K$15/1000*DilPx-AC58)/DilPx,AC55*$K$15/1000*$P$15)</f>
        <v>0</v>
      </c>
      <c r="AD62" s="47" t="n">
        <f aca="false">IF(DilMethod=3,MAX(0,AD55*$K$15/1000*DilPx-AD58)/DilPx,AD55*$K$15/1000*$P$15)</f>
        <v>0</v>
      </c>
      <c r="AE62" s="47" t="n">
        <f aca="false">IF(DilMethod=3,MAX(0,AE55*$K$15/1000*DilPx-AE58)/DilPx,AE55*$K$15/1000*$P$15)</f>
        <v>0</v>
      </c>
      <c r="AF62" s="47" t="n">
        <f aca="false">IF(DilMethod=3,MAX(0,AF55*$K$15/1000*DilPx-AF58)/DilPx,AF55*$K$15/1000*$P$15)</f>
        <v>0</v>
      </c>
      <c r="AG62" s="47" t="n">
        <f aca="false">IF(DilMethod=3,MAX(0,AG55*$K$15/1000*DilPx-AG58)/DilPx,AG55*$K$15/1000*$P$15)</f>
        <v>0</v>
      </c>
      <c r="AI62" s="47" t="n">
        <f aca="false">INDEX($F62:$AG62,1,MATCH(AI$7,$F$7:$AG$7,1))</f>
        <v>0</v>
      </c>
      <c r="AJ62" s="47" t="n">
        <f aca="false">INDEX($F62:$AG62,1,MATCH(AJ$7,$F$7:$AG$7,1))</f>
        <v>0</v>
      </c>
      <c r="AK62" s="47" t="n">
        <f aca="false">INDEX($F62:$AG62,1,MATCH(AK$7,$F$7:$AG$7,1))</f>
        <v>0</v>
      </c>
      <c r="AL62" s="47" t="n">
        <f aca="false">INDEX($F62:$AG62,1,MATCH(AL$7,$F$7:$AG$7,1))</f>
        <v>0</v>
      </c>
      <c r="AM62" s="47" t="n">
        <f aca="false">INDEX($F62:$AG62,1,MATCH(AM$7,$F$7:$AG$7,1))</f>
        <v>0</v>
      </c>
      <c r="AN62" s="47" t="n">
        <f aca="false">INDEX($F62:$AG62,1,MATCH(AN$7,$F$7:$AG$7,1))</f>
        <v>0</v>
      </c>
      <c r="AO62" s="47" t="n">
        <f aca="false">INDEX($F62:$AG62,1,MATCH(AO$7,$F$7:$AG$7,1))</f>
        <v>0</v>
      </c>
    </row>
    <row r="63" customFormat="false" ht="15" hidden="false" customHeight="false" outlineLevel="0" collapsed="false">
      <c r="A63" s="107" t="s">
        <v>2323</v>
      </c>
      <c r="B63" s="22" t="s">
        <v>613</v>
      </c>
      <c r="C63" s="22" t="s">
        <v>540</v>
      </c>
      <c r="D63" s="22"/>
      <c r="F63" s="124" t="n">
        <f aca="false">F58*IF(DilMethod=3,1,1-$P$15)</f>
        <v>0</v>
      </c>
      <c r="G63" s="124" t="n">
        <f aca="false">G58*IF(DilMethod=3,1,1-$P$15)</f>
        <v>0</v>
      </c>
      <c r="H63" s="124" t="n">
        <f aca="false">H58*IF(DilMethod=3,1,1-$P$15)</f>
        <v>0</v>
      </c>
      <c r="I63" s="124" t="n">
        <f aca="false">I58*IF(DilMethod=3,1,1-$P$15)</f>
        <v>0</v>
      </c>
      <c r="J63" s="124" t="n">
        <f aca="false">J58*IF(DilMethod=3,1,1-$P$15)</f>
        <v>0</v>
      </c>
      <c r="K63" s="124" t="n">
        <f aca="false">K58*IF(DilMethod=3,1,1-$P$15)</f>
        <v>0</v>
      </c>
      <c r="L63" s="124" t="n">
        <f aca="false">L58*IF(DilMethod=3,1,1-$P$15)</f>
        <v>1582.64140105593</v>
      </c>
      <c r="M63" s="124" t="n">
        <f aca="false">M58*IF(DilMethod=3,1,1-$P$15)</f>
        <v>1591.17532753226</v>
      </c>
      <c r="N63" s="124" t="n">
        <f aca="false">N58*IF(DilMethod=3,1,1-$P$15)</f>
        <v>1599.52373386781</v>
      </c>
      <c r="O63" s="124" t="n">
        <f aca="false">O58*IF(DilMethod=3,1,1-$P$15)</f>
        <v>1607.96490027376</v>
      </c>
      <c r="P63" s="125" t="n">
        <f aca="false">P58*IF(DilMethod=3,1,1-$P$15)</f>
        <v>1616.4988267501</v>
      </c>
      <c r="Q63" s="125" t="n">
        <f aca="false">Q58*IF(DilMethod=3,1,1-$P$15)</f>
        <v>1625.03275322644</v>
      </c>
      <c r="R63" s="125" t="n">
        <f aca="false">R58*IF(DilMethod=3,1,1-$P$15)</f>
        <v>1633.38115956199</v>
      </c>
      <c r="S63" s="125" t="n">
        <f aca="false">S58*IF(DilMethod=3,1,1-$P$15)</f>
        <v>1641.82232596793</v>
      </c>
      <c r="T63" s="125" t="n">
        <f aca="false">T58*IF(DilMethod=3,1,1-$P$15)</f>
        <v>1650.35625244427</v>
      </c>
      <c r="U63" s="125" t="n">
        <f aca="false">U58*IF(DilMethod=3,1,1-$P$15)</f>
        <v>1658.89017892061</v>
      </c>
      <c r="V63" s="125" t="n">
        <f aca="false">V58*IF(DilMethod=3,1,1-$P$15)</f>
        <v>1667.33134532655</v>
      </c>
      <c r="W63" s="125" t="n">
        <f aca="false">W58*IF(DilMethod=3,1,1-$P$15)</f>
        <v>1675.7725117325</v>
      </c>
      <c r="X63" s="125" t="n">
        <f aca="false">X58*IF(DilMethod=3,1,1-$P$15)</f>
        <v>1684.30643820884</v>
      </c>
      <c r="Y63" s="125" t="n">
        <f aca="false">Y58*IF(DilMethod=3,1,1-$P$15)</f>
        <v>1692.84036468518</v>
      </c>
      <c r="Z63" s="125" t="n">
        <f aca="false">Z58*IF(DilMethod=3,1,1-$P$15)</f>
        <v>1701.18877102073</v>
      </c>
      <c r="AA63" s="125" t="n">
        <f aca="false">AA58*IF(DilMethod=3,1,1-$P$15)</f>
        <v>1709.62993742667</v>
      </c>
      <c r="AB63" s="125" t="n">
        <f aca="false">AB58*IF(DilMethod=3,1,1-$P$15)</f>
        <v>1718.16386390301</v>
      </c>
      <c r="AC63" s="125" t="n">
        <f aca="false">AC58*IF(DilMethod=3,1,1-$P$15)</f>
        <v>1726.69779037935</v>
      </c>
      <c r="AD63" s="125" t="n">
        <f aca="false">AD58*IF(DilMethod=3,1,1-$P$15)</f>
        <v>1735.0461967149</v>
      </c>
      <c r="AE63" s="125" t="n">
        <f aca="false">AE58*IF(DilMethod=3,1,1-$P$15)</f>
        <v>1743.48736312084</v>
      </c>
      <c r="AF63" s="125" t="n">
        <f aca="false">AF58*IF(DilMethod=3,1,1-$P$15)</f>
        <v>1752.02128959718</v>
      </c>
      <c r="AG63" s="125" t="n">
        <f aca="false">AG58*IF(DilMethod=3,1,1-$P$15)</f>
        <v>1760.55521607352</v>
      </c>
      <c r="AI63" s="125" t="n">
        <f aca="false">INDEX($F63:$AG63,1,MATCH(AI$7,$F$7:$AG$7,1))</f>
        <v>0</v>
      </c>
      <c r="AJ63" s="125" t="n">
        <f aca="false">INDEX($F63:$AG63,1,MATCH(AJ$7,$F$7:$AG$7,1))</f>
        <v>1591.17532753226</v>
      </c>
      <c r="AK63" s="125" t="n">
        <f aca="false">INDEX($F63:$AG63,1,MATCH(AK$7,$F$7:$AG$7,1))</f>
        <v>1625.03275322644</v>
      </c>
      <c r="AL63" s="125" t="n">
        <f aca="false">INDEX($F63:$AG63,1,MATCH(AL$7,$F$7:$AG$7,1))</f>
        <v>1658.89017892061</v>
      </c>
      <c r="AM63" s="125" t="n">
        <f aca="false">INDEX($F63:$AG63,1,MATCH(AM$7,$F$7:$AG$7,1))</f>
        <v>1692.84036468518</v>
      </c>
      <c r="AN63" s="125" t="n">
        <f aca="false">INDEX($F63:$AG63,1,MATCH(AN$7,$F$7:$AG$7,1))</f>
        <v>1726.69779037935</v>
      </c>
      <c r="AO63" s="125" t="n">
        <f aca="false">INDEX($F63:$AG63,1,MATCH(AO$7,$F$7:$AG$7,1))</f>
        <v>1760.55521607352</v>
      </c>
    </row>
    <row r="64" customFormat="false" ht="15" hidden="false" customHeight="false" outlineLevel="0" collapsed="false">
      <c r="A64" s="107" t="s">
        <v>2324</v>
      </c>
      <c r="B64" s="22" t="s">
        <v>613</v>
      </c>
      <c r="C64" s="22" t="s">
        <v>604</v>
      </c>
      <c r="D64" s="22"/>
      <c r="F64" s="124" t="n">
        <f aca="false">IF(AND(F$5&gt;=$M$16,F$5&lt;$N$16),$E$16-$F$16-IF(F$5&gt;=$H$16,$G$16,0),0)*($H$16&lt;&gt;0)+IF(AND(F$5&gt;=$M$16,F$5&lt;$N$16),$E$16-$F$16,0)*($H$16=0)</f>
        <v>0</v>
      </c>
      <c r="G64" s="124" t="n">
        <f aca="false">IF(AND(G$5&gt;=$M$16,G$5&lt;$N$16),$E$16-$F$16-IF(G$5&gt;=$H$16,$G$16,0),0)*($H$16&lt;&gt;0)+IF(AND(G$5&gt;=$M$16,G$5&lt;$N$16),$E$16-$F$16,0)*($H$16=0)</f>
        <v>0</v>
      </c>
      <c r="H64" s="124" t="n">
        <f aca="false">IF(AND(H$5&gt;=$M$16,H$5&lt;$N$16),$E$16-$F$16-IF(H$5&gt;=$H$16,$G$16,0),0)*($H$16&lt;&gt;0)+IF(AND(H$5&gt;=$M$16,H$5&lt;$N$16),$E$16-$F$16,0)*($H$16=0)</f>
        <v>0</v>
      </c>
      <c r="I64" s="124" t="n">
        <f aca="false">IF(AND(I$5&gt;=$M$16,I$5&lt;$N$16),$E$16-$F$16-IF(I$5&gt;=$H$16,$G$16,0),0)*($H$16&lt;&gt;0)+IF(AND(I$5&gt;=$M$16,I$5&lt;$N$16),$E$16-$F$16,0)*($H$16=0)</f>
        <v>0</v>
      </c>
      <c r="J64" s="124" t="n">
        <f aca="false">IF(AND(J$5&gt;=$M$16,J$5&lt;$N$16),$E$16-$F$16-IF(J$5&gt;=$H$16,$G$16,0),0)*($H$16&lt;&gt;0)+IF(AND(J$5&gt;=$M$16,J$5&lt;$N$16),$E$16-$F$16,0)*($H$16=0)</f>
        <v>0</v>
      </c>
      <c r="K64" s="124" t="n">
        <f aca="false">IF(AND(K$5&gt;=$M$16,K$5&lt;$N$16),$E$16-$F$16-IF(K$5&gt;=$H$16,$G$16,0),0)*($H$16&lt;&gt;0)+IF(AND(K$5&gt;=$M$16,K$5&lt;$N$16),$E$16-$F$16,0)*($H$16=0)</f>
        <v>0</v>
      </c>
      <c r="L64" s="124" t="n">
        <f aca="false">IF(AND(L$5&gt;=$M$16,L$5&lt;$N$16),$E$16-$F$16-IF(L$5&gt;=$H$16,$G$16,0),0)*($H$16&lt;&gt;0)+IF(AND(L$5&gt;=$M$16,L$5&lt;$N$16),$E$16-$F$16,0)*($H$16=0)</f>
        <v>0</v>
      </c>
      <c r="M64" s="124" t="n">
        <f aca="false">IF(AND(M$5&gt;=$M$16,M$5&lt;$N$16),$E$16-$F$16-IF(M$5&gt;=$H$16,$G$16,0),0)*($H$16&lt;&gt;0)+IF(AND(M$5&gt;=$M$16,M$5&lt;$N$16),$E$16-$F$16,0)*($H$16=0)</f>
        <v>0</v>
      </c>
      <c r="N64" s="124" t="n">
        <f aca="false">IF(AND(N$5&gt;=$M$16,N$5&lt;$N$16),$E$16-$F$16-IF(N$5&gt;=$H$16,$G$16,0),0)*($H$16&lt;&gt;0)+IF(AND(N$5&gt;=$M$16,N$5&lt;$N$16),$E$16-$F$16,0)*($H$16=0)</f>
        <v>2587.5</v>
      </c>
      <c r="O64" s="124" t="n">
        <f aca="false">IF(AND(O$5&gt;=$M$16,O$5&lt;$N$16),$E$16-$F$16-IF(O$5&gt;=$H$16,$G$16,0),0)*($H$16&lt;&gt;0)+IF(AND(O$5&gt;=$M$16,O$5&lt;$N$16),$E$16-$F$16,0)*($H$16=0)</f>
        <v>2587.5</v>
      </c>
      <c r="P64" s="125" t="n">
        <f aca="false">IF(AND(P$5&gt;=$M$16,P$5&lt;$N$16),$E$16-$F$16-IF(P$5&gt;=$H$16,$G$16,0),0)*($H$16&lt;&gt;0)+IF(AND(P$5&gt;=$M$16,P$5&lt;$N$16),$E$16-$F$16,0)*($H$16=0)</f>
        <v>2587.5</v>
      </c>
      <c r="Q64" s="125" t="n">
        <f aca="false">IF(AND(Q$5&gt;=$M$16,Q$5&lt;$N$16),$E$16-$F$16-IF(Q$5&gt;=$H$16,$G$16,0),0)*($H$16&lt;&gt;0)+IF(AND(Q$5&gt;=$M$16,Q$5&lt;$N$16),$E$16-$F$16,0)*($H$16=0)</f>
        <v>2587.5</v>
      </c>
      <c r="R64" s="125" t="n">
        <f aca="false">IF(AND(R$5&gt;=$M$16,R$5&lt;$N$16),$E$16-$F$16-IF(R$5&gt;=$H$16,$G$16,0),0)*($H$16&lt;&gt;0)+IF(AND(R$5&gt;=$M$16,R$5&lt;$N$16),$E$16-$F$16,0)*($H$16=0)</f>
        <v>2587.5</v>
      </c>
      <c r="S64" s="125" t="n">
        <f aca="false">IF(AND(S$5&gt;=$M$16,S$5&lt;$N$16),$E$16-$F$16-IF(S$5&gt;=$H$16,$G$16,0),0)*($H$16&lt;&gt;0)+IF(AND(S$5&gt;=$M$16,S$5&lt;$N$16),$E$16-$F$16,0)*($H$16=0)</f>
        <v>2587.5</v>
      </c>
      <c r="T64" s="125" t="n">
        <f aca="false">IF(AND(T$5&gt;=$M$16,T$5&lt;$N$16),$E$16-$F$16-IF(T$5&gt;=$H$16,$G$16,0),0)*($H$16&lt;&gt;0)+IF(AND(T$5&gt;=$M$16,T$5&lt;$N$16),$E$16-$F$16,0)*($H$16=0)</f>
        <v>2587.5</v>
      </c>
      <c r="U64" s="125" t="n">
        <f aca="false">IF(AND(U$5&gt;=$M$16,U$5&lt;$N$16),$E$16-$F$16-IF(U$5&gt;=$H$16,$G$16,0),0)*($H$16&lt;&gt;0)+IF(AND(U$5&gt;=$M$16,U$5&lt;$N$16),$E$16-$F$16,0)*($H$16=0)</f>
        <v>2587.5</v>
      </c>
      <c r="V64" s="125" t="n">
        <f aca="false">IF(AND(V$5&gt;=$M$16,V$5&lt;$N$16),$E$16-$F$16-IF(V$5&gt;=$H$16,$G$16,0),0)*($H$16&lt;&gt;0)+IF(AND(V$5&gt;=$M$16,V$5&lt;$N$16),$E$16-$F$16,0)*($H$16=0)</f>
        <v>2587.5</v>
      </c>
      <c r="W64" s="125" t="n">
        <f aca="false">IF(AND(W$5&gt;=$M$16,W$5&lt;$N$16),$E$16-$F$16-IF(W$5&gt;=$H$16,$G$16,0),0)*($H$16&lt;&gt;0)+IF(AND(W$5&gt;=$M$16,W$5&lt;$N$16),$E$16-$F$16,0)*($H$16=0)</f>
        <v>2587.5</v>
      </c>
      <c r="X64" s="125" t="n">
        <f aca="false">IF(AND(X$5&gt;=$M$16,X$5&lt;$N$16),$E$16-$F$16-IF(X$5&gt;=$H$16,$G$16,0),0)*($H$16&lt;&gt;0)+IF(AND(X$5&gt;=$M$16,X$5&lt;$N$16),$E$16-$F$16,0)*($H$16=0)</f>
        <v>2587.5</v>
      </c>
      <c r="Y64" s="125" t="n">
        <f aca="false">IF(AND(Y$5&gt;=$M$16,Y$5&lt;$N$16),$E$16-$F$16-IF(Y$5&gt;=$H$16,$G$16,0),0)*($H$16&lt;&gt;0)+IF(AND(Y$5&gt;=$M$16,Y$5&lt;$N$16),$E$16-$F$16,0)*($H$16=0)</f>
        <v>2587.5</v>
      </c>
      <c r="Z64" s="125" t="n">
        <f aca="false">IF(AND(Z$5&gt;=$M$16,Z$5&lt;$N$16),$E$16-$F$16-IF(Z$5&gt;=$H$16,$G$16,0),0)*($H$16&lt;&gt;0)+IF(AND(Z$5&gt;=$M$16,Z$5&lt;$N$16),$E$16-$F$16,0)*($H$16=0)</f>
        <v>2587.5</v>
      </c>
      <c r="AA64" s="125" t="n">
        <f aca="false">IF(AND(AA$5&gt;=$M$16,AA$5&lt;$N$16),$E$16-$F$16-IF(AA$5&gt;=$H$16,$G$16,0),0)*($H$16&lt;&gt;0)+IF(AND(AA$5&gt;=$M$16,AA$5&lt;$N$16),$E$16-$F$16,0)*($H$16=0)</f>
        <v>2587.5</v>
      </c>
      <c r="AB64" s="125" t="n">
        <f aca="false">IF(AND(AB$5&gt;=$M$16,AB$5&lt;$N$16),$E$16-$F$16-IF(AB$5&gt;=$H$16,$G$16,0),0)*($H$16&lt;&gt;0)+IF(AND(AB$5&gt;=$M$16,AB$5&lt;$N$16),$E$16-$F$16,0)*($H$16=0)</f>
        <v>2587.5</v>
      </c>
      <c r="AC64" s="125" t="n">
        <f aca="false">IF(AND(AC$5&gt;=$M$16,AC$5&lt;$N$16),$E$16-$F$16-IF(AC$5&gt;=$H$16,$G$16,0),0)*($H$16&lt;&gt;0)+IF(AND(AC$5&gt;=$M$16,AC$5&lt;$N$16),$E$16-$F$16,0)*($H$16=0)</f>
        <v>2587.5</v>
      </c>
      <c r="AD64" s="125" t="n">
        <f aca="false">IF(AND(AD$5&gt;=$M$16,AD$5&lt;$N$16),$E$16-$F$16-IF(AD$5&gt;=$H$16,$G$16,0),0)*($H$16&lt;&gt;0)+IF(AND(AD$5&gt;=$M$16,AD$5&lt;$N$16),$E$16-$F$16,0)*($H$16=0)</f>
        <v>2587.5</v>
      </c>
      <c r="AE64" s="125" t="n">
        <f aca="false">IF(AND(AE$5&gt;=$M$16,AE$5&lt;$N$16),$E$16-$F$16-IF(AE$5&gt;=$H$16,$G$16,0),0)*($H$16&lt;&gt;0)+IF(AND(AE$5&gt;=$M$16,AE$5&lt;$N$16),$E$16-$F$16,0)*($H$16=0)</f>
        <v>2587.5</v>
      </c>
      <c r="AF64" s="125" t="n">
        <f aca="false">IF(AND(AF$5&gt;=$M$16,AF$5&lt;$N$16),$E$16-$F$16-IF(AF$5&gt;=$H$16,$G$16,0),0)*($H$16&lt;&gt;0)+IF(AND(AF$5&gt;=$M$16,AF$5&lt;$N$16),$E$16-$F$16,0)*($H$16=0)</f>
        <v>2587.5</v>
      </c>
      <c r="AG64" s="125" t="n">
        <f aca="false">IF(AND(AG$5&gt;=$M$16,AG$5&lt;$N$16),$E$16-$F$16-IF(AG$5&gt;=$H$16,$G$16,0),0)*($H$16&lt;&gt;0)+IF(AND(AG$5&gt;=$M$16,AG$5&lt;$N$16),$E$16-$F$16,0)*($H$16=0)</f>
        <v>2587.5</v>
      </c>
      <c r="AI64" s="125" t="n">
        <f aca="false">INDEX($F64:$AG64,1,MATCH(AI$7,$F$7:$AG$7,1))</f>
        <v>0</v>
      </c>
      <c r="AJ64" s="125" t="n">
        <f aca="false">INDEX($F64:$AG64,1,MATCH(AJ$7,$F$7:$AG$7,1))</f>
        <v>0</v>
      </c>
      <c r="AK64" s="125" t="n">
        <f aca="false">INDEX($F64:$AG64,1,MATCH(AK$7,$F$7:$AG$7,1))</f>
        <v>2587.5</v>
      </c>
      <c r="AL64" s="125" t="n">
        <f aca="false">INDEX($F64:$AG64,1,MATCH(AL$7,$F$7:$AG$7,1))</f>
        <v>2587.5</v>
      </c>
      <c r="AM64" s="125" t="n">
        <f aca="false">INDEX($F64:$AG64,1,MATCH(AM$7,$F$7:$AG$7,1))</f>
        <v>2587.5</v>
      </c>
      <c r="AN64" s="125" t="n">
        <f aca="false">INDEX($F64:$AG64,1,MATCH(AN$7,$F$7:$AG$7,1))</f>
        <v>2587.5</v>
      </c>
      <c r="AO64" s="125" t="n">
        <f aca="false">INDEX($F64:$AG64,1,MATCH(AO$7,$F$7:$AG$7,1))</f>
        <v>2587.5</v>
      </c>
    </row>
    <row r="65" customFormat="false" ht="15" hidden="false" customHeight="false" outlineLevel="0" collapsed="false">
      <c r="A65" s="107" t="s">
        <v>2325</v>
      </c>
      <c r="B65" s="22" t="s">
        <v>613</v>
      </c>
      <c r="C65" s="22" t="s">
        <v>604</v>
      </c>
      <c r="D65" s="22"/>
      <c r="F65" s="124" t="n">
        <f aca="false">F64*$C$16/4</f>
        <v>0</v>
      </c>
      <c r="G65" s="124" t="n">
        <f aca="false">G64*$C$16/4</f>
        <v>0</v>
      </c>
      <c r="H65" s="124" t="n">
        <f aca="false">H64*$C$16/4</f>
        <v>0</v>
      </c>
      <c r="I65" s="124" t="n">
        <f aca="false">I64*$C$16/4</f>
        <v>0</v>
      </c>
      <c r="J65" s="124" t="n">
        <f aca="false">J64*$C$16/4</f>
        <v>0</v>
      </c>
      <c r="K65" s="124" t="n">
        <f aca="false">K64*$C$16/4</f>
        <v>0</v>
      </c>
      <c r="L65" s="124" t="n">
        <f aca="false">L64*$C$16/4</f>
        <v>0</v>
      </c>
      <c r="M65" s="124" t="n">
        <f aca="false">M64*$C$16/4</f>
        <v>0</v>
      </c>
      <c r="N65" s="124" t="n">
        <f aca="false">N64*$C$16/4</f>
        <v>8.0859375</v>
      </c>
      <c r="O65" s="124" t="n">
        <f aca="false">O64*$C$16/4</f>
        <v>8.0859375</v>
      </c>
      <c r="P65" s="125" t="n">
        <f aca="false">P64*$C$16/4</f>
        <v>8.0859375</v>
      </c>
      <c r="Q65" s="125" t="n">
        <f aca="false">Q64*$C$16/4</f>
        <v>8.0859375</v>
      </c>
      <c r="R65" s="125" t="n">
        <f aca="false">R64*$C$16/4</f>
        <v>8.0859375</v>
      </c>
      <c r="S65" s="125" t="n">
        <f aca="false">S64*$C$16/4</f>
        <v>8.0859375</v>
      </c>
      <c r="T65" s="125" t="n">
        <f aca="false">T64*$C$16/4</f>
        <v>8.0859375</v>
      </c>
      <c r="U65" s="125" t="n">
        <f aca="false">U64*$C$16/4</f>
        <v>8.0859375</v>
      </c>
      <c r="V65" s="125" t="n">
        <f aca="false">V64*$C$16/4</f>
        <v>8.0859375</v>
      </c>
      <c r="W65" s="125" t="n">
        <f aca="false">W64*$C$16/4</f>
        <v>8.0859375</v>
      </c>
      <c r="X65" s="125" t="n">
        <f aca="false">X64*$C$16/4</f>
        <v>8.0859375</v>
      </c>
      <c r="Y65" s="125" t="n">
        <f aca="false">Y64*$C$16/4</f>
        <v>8.0859375</v>
      </c>
      <c r="Z65" s="125" t="n">
        <f aca="false">Z64*$C$16/4</f>
        <v>8.0859375</v>
      </c>
      <c r="AA65" s="125" t="n">
        <f aca="false">AA64*$C$16/4</f>
        <v>8.0859375</v>
      </c>
      <c r="AB65" s="125" t="n">
        <f aca="false">AB64*$C$16/4</f>
        <v>8.0859375</v>
      </c>
      <c r="AC65" s="125" t="n">
        <f aca="false">AC64*$C$16/4</f>
        <v>8.0859375</v>
      </c>
      <c r="AD65" s="125" t="n">
        <f aca="false">AD64*$C$16/4</f>
        <v>8.0859375</v>
      </c>
      <c r="AE65" s="125" t="n">
        <f aca="false">AE64*$C$16/4</f>
        <v>8.0859375</v>
      </c>
      <c r="AF65" s="125" t="n">
        <f aca="false">AF64*$C$16/4</f>
        <v>8.0859375</v>
      </c>
      <c r="AG65" s="125" t="n">
        <f aca="false">AG64*$C$16/4</f>
        <v>8.0859375</v>
      </c>
      <c r="AI65" s="125" t="n">
        <f aca="false">SUMIF($F$7:$AG$7,AI$7,$F65:$AG65)</f>
        <v>0</v>
      </c>
      <c r="AJ65" s="125" t="n">
        <f aca="false">SUMIF($F$7:$AG$7,AJ$7,$F65:$AG65)</f>
        <v>0</v>
      </c>
      <c r="AK65" s="125" t="n">
        <f aca="false">SUMIF($F$7:$AG$7,AK$7,$F65:$AG65)</f>
        <v>32.34375</v>
      </c>
      <c r="AL65" s="125" t="n">
        <f aca="false">SUMIF($F$7:$AG$7,AL$7,$F65:$AG65)</f>
        <v>32.34375</v>
      </c>
      <c r="AM65" s="125" t="n">
        <f aca="false">SUMIF($F$7:$AG$7,AM$7,$F65:$AG65)</f>
        <v>32.34375</v>
      </c>
      <c r="AN65" s="125" t="n">
        <f aca="false">SUMIF($F$7:$AG$7,AN$7,$F65:$AG65)</f>
        <v>32.34375</v>
      </c>
      <c r="AO65" s="125" t="n">
        <f aca="false">SUMIF($F$7:$AG$7,AO$7,$F65:$AG65)</f>
        <v>32.34375</v>
      </c>
    </row>
    <row r="66" customFormat="false" ht="15" hidden="false" customHeight="false" outlineLevel="0" collapsed="false">
      <c r="A66" s="107" t="s">
        <v>2326</v>
      </c>
      <c r="B66" s="22" t="s">
        <v>613</v>
      </c>
      <c r="C66" s="22" t="s">
        <v>604</v>
      </c>
      <c r="D66" s="22"/>
      <c r="F66" s="124" t="n">
        <f aca="false">F64*($J$16-1)/(($D$16-$B$16)/91.3125)</f>
        <v>0</v>
      </c>
      <c r="G66" s="124" t="n">
        <f aca="false">G64*($J$16-1)/(($D$16-$B$16)/91.3125)</f>
        <v>0</v>
      </c>
      <c r="H66" s="124" t="n">
        <f aca="false">H64*($J$16-1)/(($D$16-$B$16)/91.3125)</f>
        <v>0</v>
      </c>
      <c r="I66" s="124" t="n">
        <f aca="false">I64*($J$16-1)/(($D$16-$B$16)/91.3125)</f>
        <v>0</v>
      </c>
      <c r="J66" s="124" t="n">
        <f aca="false">J64*($J$16-1)/(($D$16-$B$16)/91.3125)</f>
        <v>0</v>
      </c>
      <c r="K66" s="124" t="n">
        <f aca="false">K64*($J$16-1)/(($D$16-$B$16)/91.3125)</f>
        <v>0</v>
      </c>
      <c r="L66" s="124" t="n">
        <f aca="false">L64*($J$16-1)/(($D$16-$B$16)/91.3125)</f>
        <v>0</v>
      </c>
      <c r="M66" s="124" t="n">
        <f aca="false">M64*($J$16-1)/(($D$16-$B$16)/91.3125)</f>
        <v>0</v>
      </c>
      <c r="N66" s="124" t="n">
        <f aca="false">N64*($J$16-1)/(($D$16-$B$16)/91.3125)</f>
        <v>25.9495984349259</v>
      </c>
      <c r="O66" s="124" t="n">
        <f aca="false">O64*($J$16-1)/(($D$16-$B$16)/91.3125)</f>
        <v>25.9495984349259</v>
      </c>
      <c r="P66" s="125" t="n">
        <f aca="false">P64*($J$16-1)/(($D$16-$B$16)/91.3125)</f>
        <v>25.9495984349259</v>
      </c>
      <c r="Q66" s="125" t="n">
        <f aca="false">Q64*($J$16-1)/(($D$16-$B$16)/91.3125)</f>
        <v>25.9495984349259</v>
      </c>
      <c r="R66" s="125" t="n">
        <f aca="false">R64*($J$16-1)/(($D$16-$B$16)/91.3125)</f>
        <v>25.9495984349259</v>
      </c>
      <c r="S66" s="125" t="n">
        <f aca="false">S64*($J$16-1)/(($D$16-$B$16)/91.3125)</f>
        <v>25.9495984349259</v>
      </c>
      <c r="T66" s="125" t="n">
        <f aca="false">T64*($J$16-1)/(($D$16-$B$16)/91.3125)</f>
        <v>25.9495984349259</v>
      </c>
      <c r="U66" s="125" t="n">
        <f aca="false">U64*($J$16-1)/(($D$16-$B$16)/91.3125)</f>
        <v>25.9495984349259</v>
      </c>
      <c r="V66" s="125" t="n">
        <f aca="false">V64*($J$16-1)/(($D$16-$B$16)/91.3125)</f>
        <v>25.9495984349259</v>
      </c>
      <c r="W66" s="125" t="n">
        <f aca="false">W64*($J$16-1)/(($D$16-$B$16)/91.3125)</f>
        <v>25.9495984349259</v>
      </c>
      <c r="X66" s="125" t="n">
        <f aca="false">X64*($J$16-1)/(($D$16-$B$16)/91.3125)</f>
        <v>25.9495984349259</v>
      </c>
      <c r="Y66" s="125" t="n">
        <f aca="false">Y64*($J$16-1)/(($D$16-$B$16)/91.3125)</f>
        <v>25.9495984349259</v>
      </c>
      <c r="Z66" s="125" t="n">
        <f aca="false">Z64*($J$16-1)/(($D$16-$B$16)/91.3125)</f>
        <v>25.9495984349259</v>
      </c>
      <c r="AA66" s="125" t="n">
        <f aca="false">AA64*($J$16-1)/(($D$16-$B$16)/91.3125)</f>
        <v>25.9495984349259</v>
      </c>
      <c r="AB66" s="125" t="n">
        <f aca="false">AB64*($J$16-1)/(($D$16-$B$16)/91.3125)</f>
        <v>25.9495984349259</v>
      </c>
      <c r="AC66" s="125" t="n">
        <f aca="false">AC64*($J$16-1)/(($D$16-$B$16)/91.3125)</f>
        <v>25.9495984349259</v>
      </c>
      <c r="AD66" s="125" t="n">
        <f aca="false">AD64*($J$16-1)/(($D$16-$B$16)/91.3125)</f>
        <v>25.9495984349259</v>
      </c>
      <c r="AE66" s="125" t="n">
        <f aca="false">AE64*($J$16-1)/(($D$16-$B$16)/91.3125)</f>
        <v>25.9495984349259</v>
      </c>
      <c r="AF66" s="125" t="n">
        <f aca="false">AF64*($J$16-1)/(($D$16-$B$16)/91.3125)</f>
        <v>25.9495984349259</v>
      </c>
      <c r="AG66" s="125" t="n">
        <f aca="false">AG64*($J$16-1)/(($D$16-$B$16)/91.3125)</f>
        <v>25.9495984349259</v>
      </c>
      <c r="AI66" s="125" t="n">
        <f aca="false">SUMIF($F$7:$AG$7,AI$7,$F66:$AG66)</f>
        <v>0</v>
      </c>
      <c r="AJ66" s="125" t="n">
        <f aca="false">SUMIF($F$7:$AG$7,AJ$7,$F66:$AG66)</f>
        <v>0</v>
      </c>
      <c r="AK66" s="125" t="n">
        <f aca="false">SUMIF($F$7:$AG$7,AK$7,$F66:$AG66)</f>
        <v>103.798393739703</v>
      </c>
      <c r="AL66" s="125" t="n">
        <f aca="false">SUMIF($F$7:$AG$7,AL$7,$F66:$AG66)</f>
        <v>103.798393739703</v>
      </c>
      <c r="AM66" s="125" t="n">
        <f aca="false">SUMIF($F$7:$AG$7,AM$7,$F66:$AG66)</f>
        <v>103.798393739703</v>
      </c>
      <c r="AN66" s="125" t="n">
        <f aca="false">SUMIF($F$7:$AG$7,AN$7,$F66:$AG66)</f>
        <v>103.798393739703</v>
      </c>
      <c r="AO66" s="125" t="n">
        <f aca="false">SUMIF($F$7:$AG$7,AO$7,$F66:$AG66)</f>
        <v>103.798393739703</v>
      </c>
    </row>
    <row r="67" customFormat="false" ht="15" hidden="false" customHeight="false" outlineLevel="0" collapsed="false">
      <c r="A67" s="107" t="s">
        <v>2327</v>
      </c>
      <c r="B67" s="22" t="s">
        <v>613</v>
      </c>
      <c r="C67" s="22" t="s">
        <v>604</v>
      </c>
      <c r="D67" s="22"/>
      <c r="F67" s="124" t="n">
        <f aca="false">F64*(1+($J$16-1)*MIN(1,MAX(0,(F$4-$B$16)/($D$16-$B$16))))</f>
        <v>0</v>
      </c>
      <c r="G67" s="124" t="n">
        <f aca="false">G64*(1+($J$16-1)*MIN(1,MAX(0,(G$4-$B$16)/($D$16-$B$16))))</f>
        <v>0</v>
      </c>
      <c r="H67" s="124" t="n">
        <f aca="false">H64*(1+($J$16-1)*MIN(1,MAX(0,(H$4-$B$16)/($D$16-$B$16))))</f>
        <v>0</v>
      </c>
      <c r="I67" s="124" t="n">
        <f aca="false">I64*(1+($J$16-1)*MIN(1,MAX(0,(I$4-$B$16)/($D$16-$B$16))))</f>
        <v>0</v>
      </c>
      <c r="J67" s="124" t="n">
        <f aca="false">J64*(1+($J$16-1)*MIN(1,MAX(0,(J$4-$B$16)/($D$16-$B$16))))</f>
        <v>0</v>
      </c>
      <c r="K67" s="124" t="n">
        <f aca="false">K64*(1+($J$16-1)*MIN(1,MAX(0,(K$4-$B$16)/($D$16-$B$16))))</f>
        <v>0</v>
      </c>
      <c r="L67" s="124" t="n">
        <f aca="false">L64*(1+($J$16-1)*MIN(1,MAX(0,(L$4-$B$16)/($D$16-$B$16))))</f>
        <v>0</v>
      </c>
      <c r="M67" s="124" t="n">
        <f aca="false">M64*(1+($J$16-1)*MIN(1,MAX(0,(M$4-$B$16)/($D$16-$B$16))))</f>
        <v>0</v>
      </c>
      <c r="N67" s="124" t="n">
        <f aca="false">N64*(1+($J$16-1)*MIN(1,MAX(0,(N$4-$B$16)/($D$16-$B$16))))</f>
        <v>2590.62602965404</v>
      </c>
      <c r="O67" s="124" t="n">
        <f aca="false">O64*(1+($J$16-1)*MIN(1,MAX(0,(O$4-$B$16)/($D$16-$B$16))))</f>
        <v>2616.48682042834</v>
      </c>
      <c r="P67" s="125" t="n">
        <f aca="false">P64*(1+($J$16-1)*MIN(1,MAX(0,(P$4-$B$16)/($D$16-$B$16))))</f>
        <v>2642.63179571664</v>
      </c>
      <c r="Q67" s="125" t="n">
        <f aca="false">Q64*(1+($J$16-1)*MIN(1,MAX(0,(Q$4-$B$16)/($D$16-$B$16))))</f>
        <v>2668.77677100494</v>
      </c>
      <c r="R67" s="125" t="n">
        <f aca="false">R64*(1+($J$16-1)*MIN(1,MAX(0,(R$4-$B$16)/($D$16-$B$16))))</f>
        <v>2694.35337726524</v>
      </c>
      <c r="S67" s="125" t="n">
        <f aca="false">S64*(1+($J$16-1)*MIN(1,MAX(0,(S$4-$B$16)/($D$16-$B$16))))</f>
        <v>2720.21416803954</v>
      </c>
      <c r="T67" s="125" t="n">
        <f aca="false">T64*(1+($J$16-1)*MIN(1,MAX(0,(T$4-$B$16)/($D$16-$B$16))))</f>
        <v>2746.35914332784</v>
      </c>
      <c r="U67" s="125" t="n">
        <f aca="false">U64*(1+($J$16-1)*MIN(1,MAX(0,(U$4-$B$16)/($D$16-$B$16))))</f>
        <v>2772.50411861614</v>
      </c>
      <c r="V67" s="125" t="n">
        <f aca="false">V64*(1+($J$16-1)*MIN(1,MAX(0,(V$4-$B$16)/($D$16-$B$16))))</f>
        <v>2798.36490939044</v>
      </c>
      <c r="W67" s="125" t="n">
        <f aca="false">W64*(1+($J$16-1)*MIN(1,MAX(0,(W$4-$B$16)/($D$16-$B$16))))</f>
        <v>2824.22570016474</v>
      </c>
      <c r="X67" s="125" t="n">
        <f aca="false">X64*(1+($J$16-1)*MIN(1,MAX(0,(X$4-$B$16)/($D$16-$B$16))))</f>
        <v>2850.37067545305</v>
      </c>
      <c r="Y67" s="125" t="n">
        <f aca="false">Y64*(1+($J$16-1)*MIN(1,MAX(0,(Y$4-$B$16)/($D$16-$B$16))))</f>
        <v>2876.51565074135</v>
      </c>
      <c r="Z67" s="125" t="n">
        <f aca="false">Z64*(1+($J$16-1)*MIN(1,MAX(0,(Z$4-$B$16)/($D$16-$B$16))))</f>
        <v>2902.09225700165</v>
      </c>
      <c r="AA67" s="125" t="n">
        <f aca="false">AA64*(1+($J$16-1)*MIN(1,MAX(0,(AA$4-$B$16)/($D$16-$B$16))))</f>
        <v>2927.95304777595</v>
      </c>
      <c r="AB67" s="125" t="n">
        <f aca="false">AB64*(1+($J$16-1)*MIN(1,MAX(0,(AB$4-$B$16)/($D$16-$B$16))))</f>
        <v>2954.09802306425</v>
      </c>
      <c r="AC67" s="125" t="n">
        <f aca="false">AC64*(1+($J$16-1)*MIN(1,MAX(0,(AC$4-$B$16)/($D$16-$B$16))))</f>
        <v>2980.24299835255</v>
      </c>
      <c r="AD67" s="125" t="n">
        <f aca="false">AD64*(1+($J$16-1)*MIN(1,MAX(0,(AD$4-$B$16)/($D$16-$B$16))))</f>
        <v>3005.81960461285</v>
      </c>
      <c r="AE67" s="125" t="n">
        <f aca="false">AE64*(1+($J$16-1)*MIN(1,MAX(0,(AE$4-$B$16)/($D$16-$B$16))))</f>
        <v>3031.68039538715</v>
      </c>
      <c r="AF67" s="125" t="n">
        <f aca="false">AF64*(1+($J$16-1)*MIN(1,MAX(0,(AF$4-$B$16)/($D$16-$B$16))))</f>
        <v>3057.82537067545</v>
      </c>
      <c r="AG67" s="125" t="n">
        <f aca="false">AG64*(1+($J$16-1)*MIN(1,MAX(0,(AG$4-$B$16)/($D$16-$B$16))))</f>
        <v>3083.97034596376</v>
      </c>
      <c r="AI67" s="125" t="n">
        <f aca="false">INDEX($F67:$AG67,1,MATCH(AI$7,$F$7:$AG$7,1))</f>
        <v>0</v>
      </c>
      <c r="AJ67" s="125" t="n">
        <f aca="false">INDEX($F67:$AG67,1,MATCH(AJ$7,$F$7:$AG$7,1))</f>
        <v>0</v>
      </c>
      <c r="AK67" s="125" t="n">
        <f aca="false">INDEX($F67:$AG67,1,MATCH(AK$7,$F$7:$AG$7,1))</f>
        <v>2668.77677100494</v>
      </c>
      <c r="AL67" s="125" t="n">
        <f aca="false">INDEX($F67:$AG67,1,MATCH(AL$7,$F$7:$AG$7,1))</f>
        <v>2772.50411861614</v>
      </c>
      <c r="AM67" s="125" t="n">
        <f aca="false">INDEX($F67:$AG67,1,MATCH(AM$7,$F$7:$AG$7,1))</f>
        <v>2876.51565074135</v>
      </c>
      <c r="AN67" s="125" t="n">
        <f aca="false">INDEX($F67:$AG67,1,MATCH(AN$7,$F$7:$AG$7,1))</f>
        <v>2980.24299835255</v>
      </c>
      <c r="AO67" s="125" t="n">
        <f aca="false">INDEX($F67:$AG67,1,MATCH(AO$7,$F$7:$AG$7,1))</f>
        <v>3083.97034596376</v>
      </c>
    </row>
    <row r="68" customFormat="false" ht="15" hidden="false" customHeight="false" outlineLevel="0" collapsed="false">
      <c r="A68" s="107" t="s">
        <v>2328</v>
      </c>
      <c r="B68" s="22" t="s">
        <v>613</v>
      </c>
      <c r="C68" s="22" t="s">
        <v>604</v>
      </c>
      <c r="D68" s="22"/>
      <c r="F68" s="124" t="n">
        <f aca="false">F64*($S$16+($J$16-$S$16)*MIN(1,MAX(0,(F$4-$T$16)/($D$16-$T$16))))</f>
        <v>0</v>
      </c>
      <c r="G68" s="124" t="n">
        <f aca="false">G64*($S$16+($J$16-$S$16)*MIN(1,MAX(0,(G$4-$T$16)/($D$16-$T$16))))</f>
        <v>0</v>
      </c>
      <c r="H68" s="124" t="n">
        <f aca="false">H64*($S$16+($J$16-$S$16)*MIN(1,MAX(0,(H$4-$T$16)/($D$16-$T$16))))</f>
        <v>0</v>
      </c>
      <c r="I68" s="124" t="n">
        <f aca="false">I64*($S$16+($J$16-$S$16)*MIN(1,MAX(0,(I$4-$T$16)/($D$16-$T$16))))</f>
        <v>0</v>
      </c>
      <c r="J68" s="124" t="n">
        <f aca="false">J64*($S$16+($J$16-$S$16)*MIN(1,MAX(0,(J$4-$T$16)/($D$16-$T$16))))</f>
        <v>0</v>
      </c>
      <c r="K68" s="124" t="n">
        <f aca="false">K64*($S$16+($J$16-$S$16)*MIN(1,MAX(0,(K$4-$T$16)/($D$16-$T$16))))</f>
        <v>0</v>
      </c>
      <c r="L68" s="124" t="n">
        <f aca="false">L64*($S$16+($J$16-$S$16)*MIN(1,MAX(0,(L$4-$T$16)/($D$16-$T$16))))</f>
        <v>0</v>
      </c>
      <c r="M68" s="124" t="n">
        <f aca="false">M64*($S$16+($J$16-$S$16)*MIN(1,MAX(0,(M$4-$T$16)/($D$16-$T$16))))</f>
        <v>0</v>
      </c>
      <c r="N68" s="124" t="n">
        <f aca="false">N64*($S$16+($J$16-$S$16)*MIN(1,MAX(0,(N$4-$T$16)/($D$16-$T$16))))</f>
        <v>2588.5996875</v>
      </c>
      <c r="O68" s="124" t="n">
        <f aca="false">O64*($S$16+($J$16-$S$16)*MIN(1,MAX(0,(O$4-$T$16)/($D$16-$T$16))))</f>
        <v>2588.5996875</v>
      </c>
      <c r="P68" s="125" t="n">
        <f aca="false">P64*($S$16+($J$16-$S$16)*MIN(1,MAX(0,(P$4-$T$16)/($D$16-$T$16))))</f>
        <v>2616.23716786649</v>
      </c>
      <c r="Q68" s="125" t="n">
        <f aca="false">Q64*($S$16+($J$16-$S$16)*MIN(1,MAX(0,(Q$4-$T$16)/($D$16-$T$16))))</f>
        <v>2643.87464823298</v>
      </c>
      <c r="R68" s="125" t="n">
        <f aca="false">R64*($S$16+($J$16-$S$16)*MIN(1,MAX(0,(R$4-$T$16)/($D$16-$T$16))))</f>
        <v>2670.9113138089</v>
      </c>
      <c r="S68" s="125" t="n">
        <f aca="false">S64*($S$16+($J$16-$S$16)*MIN(1,MAX(0,(S$4-$T$16)/($D$16-$T$16))))</f>
        <v>2698.2483867801</v>
      </c>
      <c r="T68" s="125" t="n">
        <f aca="false">T64*($S$16+($J$16-$S$16)*MIN(1,MAX(0,(T$4-$T$16)/($D$16-$T$16))))</f>
        <v>2725.8858671466</v>
      </c>
      <c r="U68" s="125" t="n">
        <f aca="false">U64*($S$16+($J$16-$S$16)*MIN(1,MAX(0,(U$4-$T$16)/($D$16-$T$16))))</f>
        <v>2753.52334751309</v>
      </c>
      <c r="V68" s="125" t="n">
        <f aca="false">V64*($S$16+($J$16-$S$16)*MIN(1,MAX(0,(V$4-$T$16)/($D$16-$T$16))))</f>
        <v>2780.86042048429</v>
      </c>
      <c r="W68" s="125" t="n">
        <f aca="false">W64*($S$16+($J$16-$S$16)*MIN(1,MAX(0,(W$4-$T$16)/($D$16-$T$16))))</f>
        <v>2808.1974934555</v>
      </c>
      <c r="X68" s="125" t="n">
        <f aca="false">X64*($S$16+($J$16-$S$16)*MIN(1,MAX(0,(X$4-$T$16)/($D$16-$T$16))))</f>
        <v>2835.83497382199</v>
      </c>
      <c r="Y68" s="125" t="n">
        <f aca="false">Y64*($S$16+($J$16-$S$16)*MIN(1,MAX(0,(Y$4-$T$16)/($D$16-$T$16))))</f>
        <v>2863.47245418848</v>
      </c>
      <c r="Z68" s="125" t="n">
        <f aca="false">Z64*($S$16+($J$16-$S$16)*MIN(1,MAX(0,(Z$4-$T$16)/($D$16-$T$16))))</f>
        <v>2890.5091197644</v>
      </c>
      <c r="AA68" s="125" t="n">
        <f aca="false">AA64*($S$16+($J$16-$S$16)*MIN(1,MAX(0,(AA$4-$T$16)/($D$16-$T$16))))</f>
        <v>2917.8461927356</v>
      </c>
      <c r="AB68" s="125" t="n">
        <f aca="false">AB64*($S$16+($J$16-$S$16)*MIN(1,MAX(0,(AB$4-$T$16)/($D$16-$T$16))))</f>
        <v>2945.48367310209</v>
      </c>
      <c r="AC68" s="125" t="n">
        <f aca="false">AC64*($S$16+($J$16-$S$16)*MIN(1,MAX(0,(AC$4-$T$16)/($D$16-$T$16))))</f>
        <v>2973.12115346859</v>
      </c>
      <c r="AD68" s="125" t="n">
        <f aca="false">AD64*($S$16+($J$16-$S$16)*MIN(1,MAX(0,(AD$4-$T$16)/($D$16-$T$16))))</f>
        <v>3000.1578190445</v>
      </c>
      <c r="AE68" s="125" t="n">
        <f aca="false">AE64*($S$16+($J$16-$S$16)*MIN(1,MAX(0,(AE$4-$T$16)/($D$16-$T$16))))</f>
        <v>3027.49489201571</v>
      </c>
      <c r="AF68" s="125" t="n">
        <f aca="false">AF64*($S$16+($J$16-$S$16)*MIN(1,MAX(0,(AF$4-$T$16)/($D$16-$T$16))))</f>
        <v>3055.1323723822</v>
      </c>
      <c r="AG68" s="125" t="n">
        <f aca="false">AG64*($S$16+($J$16-$S$16)*MIN(1,MAX(0,(AG$4-$T$16)/($D$16-$T$16))))</f>
        <v>3082.76985274869</v>
      </c>
      <c r="AI68" s="125" t="n">
        <f aca="false">INDEX($F68:$AG68,1,MATCH(AI$7,$F$7:$AG$7,1))</f>
        <v>0</v>
      </c>
      <c r="AJ68" s="125" t="n">
        <f aca="false">INDEX($F68:$AG68,1,MATCH(AJ$7,$F$7:$AG$7,1))</f>
        <v>0</v>
      </c>
      <c r="AK68" s="125" t="n">
        <f aca="false">INDEX($F68:$AG68,1,MATCH(AK$7,$F$7:$AG$7,1))</f>
        <v>2643.87464823298</v>
      </c>
      <c r="AL68" s="125" t="n">
        <f aca="false">INDEX($F68:$AG68,1,MATCH(AL$7,$F$7:$AG$7,1))</f>
        <v>2753.52334751309</v>
      </c>
      <c r="AM68" s="125" t="n">
        <f aca="false">INDEX($F68:$AG68,1,MATCH(AM$7,$F$7:$AG$7,1))</f>
        <v>2863.47245418848</v>
      </c>
      <c r="AN68" s="125" t="n">
        <f aca="false">INDEX($F68:$AG68,1,MATCH(AN$7,$F$7:$AG$7,1))</f>
        <v>2973.12115346859</v>
      </c>
      <c r="AO68" s="125" t="n">
        <f aca="false">INDEX($F68:$AG68,1,MATCH(AO$7,$F$7:$AG$7,1))</f>
        <v>3082.76985274869</v>
      </c>
    </row>
    <row r="69" customFormat="false" ht="15" hidden="false" customHeight="false" outlineLevel="0" collapsed="false">
      <c r="A69" s="107" t="s">
        <v>2329</v>
      </c>
      <c r="B69" s="22" t="s">
        <v>613</v>
      </c>
      <c r="C69" s="22" t="s">
        <v>604</v>
      </c>
      <c r="D69" s="22"/>
      <c r="F69" s="124" t="n">
        <f aca="false">IF(F$5=$N$16,E64*$J$16*(1-$O$16),0)</f>
        <v>0</v>
      </c>
      <c r="G69" s="124" t="n">
        <f aca="false">IF(G$5=$N$16,F64*$J$16*(1-$O$16),0)</f>
        <v>0</v>
      </c>
      <c r="H69" s="124" t="n">
        <f aca="false">IF(H$5=$N$16,G64*$J$16*(1-$O$16),0)</f>
        <v>0</v>
      </c>
      <c r="I69" s="124" t="n">
        <f aca="false">IF(I$5=$N$16,H64*$J$16*(1-$O$16),0)</f>
        <v>0</v>
      </c>
      <c r="J69" s="124" t="n">
        <f aca="false">IF(J$5=$N$16,I64*$J$16*(1-$O$16),0)</f>
        <v>0</v>
      </c>
      <c r="K69" s="124" t="n">
        <f aca="false">IF(K$5=$N$16,J64*$J$16*(1-$O$16),0)</f>
        <v>0</v>
      </c>
      <c r="L69" s="124" t="n">
        <f aca="false">IF(L$5=$N$16,K64*$J$16*(1-$O$16),0)</f>
        <v>0</v>
      </c>
      <c r="M69" s="124" t="n">
        <f aca="false">IF(M$5=$N$16,L64*$J$16*(1-$O$16),0)</f>
        <v>0</v>
      </c>
      <c r="N69" s="124" t="n">
        <f aca="false">IF(N$5=$N$16,M64*$J$16*(1-$O$16),0)</f>
        <v>0</v>
      </c>
      <c r="O69" s="124" t="n">
        <f aca="false">IF(O$5=$N$16,N64*$J$16*(1-$O$16),0)</f>
        <v>0</v>
      </c>
      <c r="P69" s="125" t="n">
        <f aca="false">IF(P$5=$N$16,O64*$J$16*(1-$O$16),0)</f>
        <v>0</v>
      </c>
      <c r="Q69" s="125" t="n">
        <f aca="false">IF(Q$5=$N$16,P64*$J$16*(1-$O$16),0)</f>
        <v>0</v>
      </c>
      <c r="R69" s="125" t="n">
        <f aca="false">IF(R$5=$N$16,Q64*$J$16*(1-$O$16),0)</f>
        <v>0</v>
      </c>
      <c r="S69" s="125" t="n">
        <f aca="false">IF(S$5=$N$16,R64*$J$16*(1-$O$16),0)</f>
        <v>0</v>
      </c>
      <c r="T69" s="125" t="n">
        <f aca="false">IF(T$5=$N$16,S64*$J$16*(1-$O$16),0)</f>
        <v>0</v>
      </c>
      <c r="U69" s="125" t="n">
        <f aca="false">IF(U$5=$N$16,T64*$J$16*(1-$O$16),0)</f>
        <v>0</v>
      </c>
      <c r="V69" s="125" t="n">
        <f aca="false">IF(V$5=$N$16,U64*$J$16*(1-$O$16),0)</f>
        <v>0</v>
      </c>
      <c r="W69" s="125" t="n">
        <f aca="false">IF(W$5=$N$16,V64*$J$16*(1-$O$16),0)</f>
        <v>0</v>
      </c>
      <c r="X69" s="125" t="n">
        <f aca="false">IF(X$5=$N$16,W64*$J$16*(1-$O$16),0)</f>
        <v>0</v>
      </c>
      <c r="Y69" s="125" t="n">
        <f aca="false">IF(Y$5=$N$16,X64*$J$16*(1-$O$16),0)</f>
        <v>0</v>
      </c>
      <c r="Z69" s="125" t="n">
        <f aca="false">IF(Z$5=$N$16,Y64*$J$16*(1-$O$16),0)</f>
        <v>0</v>
      </c>
      <c r="AA69" s="125" t="n">
        <f aca="false">IF(AA$5=$N$16,Z64*$J$16*(1-$O$16),0)</f>
        <v>0</v>
      </c>
      <c r="AB69" s="125" t="n">
        <f aca="false">IF(AB$5=$N$16,AA64*$J$16*(1-$O$16),0)</f>
        <v>0</v>
      </c>
      <c r="AC69" s="125" t="n">
        <f aca="false">IF(AC$5=$N$16,AB64*$J$16*(1-$O$16),0)</f>
        <v>0</v>
      </c>
      <c r="AD69" s="125" t="n">
        <f aca="false">IF(AD$5=$N$16,AC64*$J$16*(1-$O$16),0)</f>
        <v>0</v>
      </c>
      <c r="AE69" s="125" t="n">
        <f aca="false">IF(AE$5=$N$16,AD64*$J$16*(1-$O$16),0)</f>
        <v>0</v>
      </c>
      <c r="AF69" s="125" t="n">
        <f aca="false">IF(AF$5=$N$16,AE64*$J$16*(1-$O$16),0)</f>
        <v>0</v>
      </c>
      <c r="AG69" s="125" t="n">
        <f aca="false">IF(AG$5=$N$16,AF64*$J$16*(1-$O$16),0)</f>
        <v>0</v>
      </c>
      <c r="AI69" s="125" t="n">
        <f aca="false">SUMIF($F$7:$AG$7,AI$7,$F69:$AG69)</f>
        <v>0</v>
      </c>
      <c r="AJ69" s="125" t="n">
        <f aca="false">SUMIF($F$7:$AG$7,AJ$7,$F69:$AG69)</f>
        <v>0</v>
      </c>
      <c r="AK69" s="125" t="n">
        <f aca="false">SUMIF($F$7:$AG$7,AK$7,$F69:$AG69)</f>
        <v>0</v>
      </c>
      <c r="AL69" s="125" t="n">
        <f aca="false">SUMIF($F$7:$AG$7,AL$7,$F69:$AG69)</f>
        <v>0</v>
      </c>
      <c r="AM69" s="125" t="n">
        <f aca="false">SUMIF($F$7:$AG$7,AM$7,$F69:$AG69)</f>
        <v>0</v>
      </c>
      <c r="AN69" s="125" t="n">
        <f aca="false">SUMIF($F$7:$AG$7,AN$7,$F69:$AG69)</f>
        <v>0</v>
      </c>
      <c r="AO69" s="125" t="n">
        <f aca="false">SUMIF($F$7:$AG$7,AO$7,$F69:$AG69)</f>
        <v>0</v>
      </c>
    </row>
    <row r="70" customFormat="false" ht="15" hidden="false" customHeight="false" outlineLevel="0" collapsed="false">
      <c r="A70" s="107" t="s">
        <v>2330</v>
      </c>
      <c r="B70" s="22" t="s">
        <v>635</v>
      </c>
      <c r="C70" s="22" t="s">
        <v>604</v>
      </c>
      <c r="D70" s="22"/>
      <c r="F70" s="140" t="n">
        <f aca="false">IF(F$5=$N$16,E64*$K$16/1000*$O$16,0)</f>
        <v>0</v>
      </c>
      <c r="G70" s="140" t="n">
        <f aca="false">IF(G$5=$N$16,F64*$K$16/1000*$O$16,0)</f>
        <v>0</v>
      </c>
      <c r="H70" s="140" t="n">
        <f aca="false">IF(H$5=$N$16,G64*$K$16/1000*$O$16,0)</f>
        <v>0</v>
      </c>
      <c r="I70" s="140" t="n">
        <f aca="false">IF(I$5=$N$16,H64*$K$16/1000*$O$16,0)</f>
        <v>0</v>
      </c>
      <c r="J70" s="140" t="n">
        <f aca="false">IF(J$5=$N$16,I64*$K$16/1000*$O$16,0)</f>
        <v>0</v>
      </c>
      <c r="K70" s="140" t="n">
        <f aca="false">IF(K$5=$N$16,J64*$K$16/1000*$O$16,0)</f>
        <v>0</v>
      </c>
      <c r="L70" s="140" t="n">
        <f aca="false">IF(L$5=$N$16,K64*$K$16/1000*$O$16,0)</f>
        <v>0</v>
      </c>
      <c r="M70" s="140" t="n">
        <f aca="false">IF(M$5=$N$16,L64*$K$16/1000*$O$16,0)</f>
        <v>0</v>
      </c>
      <c r="N70" s="140" t="n">
        <f aca="false">IF(N$5=$N$16,M64*$K$16/1000*$O$16,0)</f>
        <v>0</v>
      </c>
      <c r="O70" s="140" t="n">
        <f aca="false">IF(O$5=$N$16,N64*$K$16/1000*$O$16,0)</f>
        <v>0</v>
      </c>
      <c r="P70" s="47" t="n">
        <f aca="false">IF(P$5=$N$16,O64*$K$16/1000*$O$16,0)</f>
        <v>0</v>
      </c>
      <c r="Q70" s="47" t="n">
        <f aca="false">IF(Q$5=$N$16,P64*$K$16/1000*$O$16,0)</f>
        <v>0</v>
      </c>
      <c r="R70" s="47" t="n">
        <f aca="false">IF(R$5=$N$16,Q64*$K$16/1000*$O$16,0)</f>
        <v>0</v>
      </c>
      <c r="S70" s="47" t="n">
        <f aca="false">IF(S$5=$N$16,R64*$K$16/1000*$O$16,0)</f>
        <v>0</v>
      </c>
      <c r="T70" s="47" t="n">
        <f aca="false">IF(T$5=$N$16,S64*$K$16/1000*$O$16,0)</f>
        <v>0</v>
      </c>
      <c r="U70" s="47" t="n">
        <f aca="false">IF(U$5=$N$16,T64*$K$16/1000*$O$16,0)</f>
        <v>0</v>
      </c>
      <c r="V70" s="47" t="n">
        <f aca="false">IF(V$5=$N$16,U64*$K$16/1000*$O$16,0)</f>
        <v>0</v>
      </c>
      <c r="W70" s="47" t="n">
        <f aca="false">IF(W$5=$N$16,V64*$K$16/1000*$O$16,0)</f>
        <v>0</v>
      </c>
      <c r="X70" s="47" t="n">
        <f aca="false">IF(X$5=$N$16,W64*$K$16/1000*$O$16,0)</f>
        <v>0</v>
      </c>
      <c r="Y70" s="47" t="n">
        <f aca="false">IF(Y$5=$N$16,X64*$K$16/1000*$O$16,0)</f>
        <v>0</v>
      </c>
      <c r="Z70" s="47" t="n">
        <f aca="false">IF(Z$5=$N$16,Y64*$K$16/1000*$O$16,0)</f>
        <v>0</v>
      </c>
      <c r="AA70" s="47" t="n">
        <f aca="false">IF(AA$5=$N$16,Z64*$K$16/1000*$O$16,0)</f>
        <v>0</v>
      </c>
      <c r="AB70" s="47" t="n">
        <f aca="false">IF(AB$5=$N$16,AA64*$K$16/1000*$O$16,0)</f>
        <v>0</v>
      </c>
      <c r="AC70" s="47" t="n">
        <f aca="false">IF(AC$5=$N$16,AB64*$K$16/1000*$O$16,0)</f>
        <v>0</v>
      </c>
      <c r="AD70" s="47" t="n">
        <f aca="false">IF(AD$5=$N$16,AC64*$K$16/1000*$O$16,0)</f>
        <v>0</v>
      </c>
      <c r="AE70" s="47" t="n">
        <f aca="false">IF(AE$5=$N$16,AD64*$K$16/1000*$O$16,0)</f>
        <v>0</v>
      </c>
      <c r="AF70" s="47" t="n">
        <f aca="false">IF(AF$5=$N$16,AE64*$K$16/1000*$O$16,0)</f>
        <v>0</v>
      </c>
      <c r="AG70" s="47" t="n">
        <f aca="false">IF(AG$5=$N$16,AF64*$K$16/1000*$O$16,0)</f>
        <v>0</v>
      </c>
      <c r="AI70" s="47" t="n">
        <f aca="false">SUMIF($F$7:$AG$7,AI$7,$F70:$AG70)</f>
        <v>0</v>
      </c>
      <c r="AJ70" s="47" t="n">
        <f aca="false">SUMIF($F$7:$AG$7,AJ$7,$F70:$AG70)</f>
        <v>0</v>
      </c>
      <c r="AK70" s="47" t="n">
        <f aca="false">SUMIF($F$7:$AG$7,AK$7,$F70:$AG70)</f>
        <v>0</v>
      </c>
      <c r="AL70" s="47" t="n">
        <f aca="false">SUMIF($F$7:$AG$7,AL$7,$F70:$AG70)</f>
        <v>0</v>
      </c>
      <c r="AM70" s="47" t="n">
        <f aca="false">SUMIF($F$7:$AG$7,AM$7,$F70:$AG70)</f>
        <v>0</v>
      </c>
      <c r="AN70" s="47" t="n">
        <f aca="false">SUMIF($F$7:$AG$7,AN$7,$F70:$AG70)</f>
        <v>0</v>
      </c>
      <c r="AO70" s="47" t="n">
        <f aca="false">SUMIF($F$7:$AG$7,AO$7,$F70:$AG70)</f>
        <v>0</v>
      </c>
    </row>
    <row r="71" customFormat="false" ht="15" hidden="false" customHeight="false" outlineLevel="0" collapsed="false">
      <c r="A71" s="107" t="s">
        <v>2331</v>
      </c>
      <c r="B71" s="22" t="s">
        <v>635</v>
      </c>
      <c r="C71" s="22" t="s">
        <v>540</v>
      </c>
      <c r="D71" s="22"/>
      <c r="F71" s="140" t="n">
        <f aca="false">IF(DilMethod=3,MAX(0,F64*$K$16/1000*DilPx-F67)/DilPx,F64*$K$16/1000*$P$16)</f>
        <v>0</v>
      </c>
      <c r="G71" s="140" t="n">
        <f aca="false">IF(DilMethod=3,MAX(0,G64*$K$16/1000*DilPx-G67)/DilPx,G64*$K$16/1000*$P$16)</f>
        <v>0</v>
      </c>
      <c r="H71" s="140" t="n">
        <f aca="false">IF(DilMethod=3,MAX(0,H64*$K$16/1000*DilPx-H67)/DilPx,H64*$K$16/1000*$P$16)</f>
        <v>0</v>
      </c>
      <c r="I71" s="140" t="n">
        <f aca="false">IF(DilMethod=3,MAX(0,I64*$K$16/1000*DilPx-I67)/DilPx,I64*$K$16/1000*$P$16)</f>
        <v>0</v>
      </c>
      <c r="J71" s="140" t="n">
        <f aca="false">IF(DilMethod=3,MAX(0,J64*$K$16/1000*DilPx-J67)/DilPx,J64*$K$16/1000*$P$16)</f>
        <v>0</v>
      </c>
      <c r="K71" s="140" t="n">
        <f aca="false">IF(DilMethod=3,MAX(0,K64*$K$16/1000*DilPx-K67)/DilPx,K64*$K$16/1000*$P$16)</f>
        <v>0</v>
      </c>
      <c r="L71" s="140" t="n">
        <f aca="false">IF(DilMethod=3,MAX(0,L64*$K$16/1000*DilPx-L67)/DilPx,L64*$K$16/1000*$P$16)</f>
        <v>0</v>
      </c>
      <c r="M71" s="140" t="n">
        <f aca="false">IF(DilMethod=3,MAX(0,M64*$K$16/1000*DilPx-M67)/DilPx,M64*$K$16/1000*$P$16)</f>
        <v>0</v>
      </c>
      <c r="N71" s="140" t="n">
        <f aca="false">IF(DilMethod=3,MAX(0,N64*$K$16/1000*DilPx-N67)/DilPx,N64*$K$16/1000*$P$16)</f>
        <v>0</v>
      </c>
      <c r="O71" s="140" t="n">
        <f aca="false">IF(DilMethod=3,MAX(0,O64*$K$16/1000*DilPx-O67)/DilPx,O64*$K$16/1000*$P$16)</f>
        <v>0</v>
      </c>
      <c r="P71" s="47" t="n">
        <f aca="false">IF(DilMethod=3,MAX(0,P64*$K$16/1000*DilPx-P67)/DilPx,P64*$K$16/1000*$P$16)</f>
        <v>0</v>
      </c>
      <c r="Q71" s="47" t="n">
        <f aca="false">IF(DilMethod=3,MAX(0,Q64*$K$16/1000*DilPx-Q67)/DilPx,Q64*$K$16/1000*$P$16)</f>
        <v>0</v>
      </c>
      <c r="R71" s="47" t="n">
        <f aca="false">IF(DilMethod=3,MAX(0,R64*$K$16/1000*DilPx-R67)/DilPx,R64*$K$16/1000*$P$16)</f>
        <v>0</v>
      </c>
      <c r="S71" s="47" t="n">
        <f aca="false">IF(DilMethod=3,MAX(0,S64*$K$16/1000*DilPx-S67)/DilPx,S64*$K$16/1000*$P$16)</f>
        <v>0</v>
      </c>
      <c r="T71" s="47" t="n">
        <f aca="false">IF(DilMethod=3,MAX(0,T64*$K$16/1000*DilPx-T67)/DilPx,T64*$K$16/1000*$P$16)</f>
        <v>0</v>
      </c>
      <c r="U71" s="47" t="n">
        <f aca="false">IF(DilMethod=3,MAX(0,U64*$K$16/1000*DilPx-U67)/DilPx,U64*$K$16/1000*$P$16)</f>
        <v>0</v>
      </c>
      <c r="V71" s="47" t="n">
        <f aca="false">IF(DilMethod=3,MAX(0,V64*$K$16/1000*DilPx-V67)/DilPx,V64*$K$16/1000*$P$16)</f>
        <v>0</v>
      </c>
      <c r="W71" s="47" t="n">
        <f aca="false">IF(DilMethod=3,MAX(0,W64*$K$16/1000*DilPx-W67)/DilPx,W64*$K$16/1000*$P$16)</f>
        <v>0</v>
      </c>
      <c r="X71" s="47" t="n">
        <f aca="false">IF(DilMethod=3,MAX(0,X64*$K$16/1000*DilPx-X67)/DilPx,X64*$K$16/1000*$P$16)</f>
        <v>0</v>
      </c>
      <c r="Y71" s="47" t="n">
        <f aca="false">IF(DilMethod=3,MAX(0,Y64*$K$16/1000*DilPx-Y67)/DilPx,Y64*$K$16/1000*$P$16)</f>
        <v>0</v>
      </c>
      <c r="Z71" s="47" t="n">
        <f aca="false">IF(DilMethod=3,MAX(0,Z64*$K$16/1000*DilPx-Z67)/DilPx,Z64*$K$16/1000*$P$16)</f>
        <v>0</v>
      </c>
      <c r="AA71" s="47" t="n">
        <f aca="false">IF(DilMethod=3,MAX(0,AA64*$K$16/1000*DilPx-AA67)/DilPx,AA64*$K$16/1000*$P$16)</f>
        <v>0</v>
      </c>
      <c r="AB71" s="47" t="n">
        <f aca="false">IF(DilMethod=3,MAX(0,AB64*$K$16/1000*DilPx-AB67)/DilPx,AB64*$K$16/1000*$P$16)</f>
        <v>0</v>
      </c>
      <c r="AC71" s="47" t="n">
        <f aca="false">IF(DilMethod=3,MAX(0,AC64*$K$16/1000*DilPx-AC67)/DilPx,AC64*$K$16/1000*$P$16)</f>
        <v>0</v>
      </c>
      <c r="AD71" s="47" t="n">
        <f aca="false">IF(DilMethod=3,MAX(0,AD64*$K$16/1000*DilPx-AD67)/DilPx,AD64*$K$16/1000*$P$16)</f>
        <v>0</v>
      </c>
      <c r="AE71" s="47" t="n">
        <f aca="false">IF(DilMethod=3,MAX(0,AE64*$K$16/1000*DilPx-AE67)/DilPx,AE64*$K$16/1000*$P$16)</f>
        <v>0</v>
      </c>
      <c r="AF71" s="47" t="n">
        <f aca="false">IF(DilMethod=3,MAX(0,AF64*$K$16/1000*DilPx-AF67)/DilPx,AF64*$K$16/1000*$P$16)</f>
        <v>0</v>
      </c>
      <c r="AG71" s="47" t="n">
        <f aca="false">IF(DilMethod=3,MAX(0,AG64*$K$16/1000*DilPx-AG67)/DilPx,AG64*$K$16/1000*$P$16)</f>
        <v>0</v>
      </c>
      <c r="AI71" s="47" t="n">
        <f aca="false">INDEX($F71:$AG71,1,MATCH(AI$7,$F$7:$AG$7,1))</f>
        <v>0</v>
      </c>
      <c r="AJ71" s="47" t="n">
        <f aca="false">INDEX($F71:$AG71,1,MATCH(AJ$7,$F$7:$AG$7,1))</f>
        <v>0</v>
      </c>
      <c r="AK71" s="47" t="n">
        <f aca="false">INDEX($F71:$AG71,1,MATCH(AK$7,$F$7:$AG$7,1))</f>
        <v>0</v>
      </c>
      <c r="AL71" s="47" t="n">
        <f aca="false">INDEX($F71:$AG71,1,MATCH(AL$7,$F$7:$AG$7,1))</f>
        <v>0</v>
      </c>
      <c r="AM71" s="47" t="n">
        <f aca="false">INDEX($F71:$AG71,1,MATCH(AM$7,$F$7:$AG$7,1))</f>
        <v>0</v>
      </c>
      <c r="AN71" s="47" t="n">
        <f aca="false">INDEX($F71:$AG71,1,MATCH(AN$7,$F$7:$AG$7,1))</f>
        <v>0</v>
      </c>
      <c r="AO71" s="47" t="n">
        <f aca="false">INDEX($F71:$AG71,1,MATCH(AO$7,$F$7:$AG$7,1))</f>
        <v>0</v>
      </c>
    </row>
    <row r="72" customFormat="false" ht="15" hidden="false" customHeight="false" outlineLevel="0" collapsed="false">
      <c r="A72" s="107" t="s">
        <v>2332</v>
      </c>
      <c r="B72" s="22" t="s">
        <v>613</v>
      </c>
      <c r="C72" s="22" t="s">
        <v>540</v>
      </c>
      <c r="D72" s="22"/>
      <c r="F72" s="124" t="n">
        <f aca="false">F67*IF(DilMethod=3,1,1-$P$16)</f>
        <v>0</v>
      </c>
      <c r="G72" s="124" t="n">
        <f aca="false">G67*IF(DilMethod=3,1,1-$P$16)</f>
        <v>0</v>
      </c>
      <c r="H72" s="124" t="n">
        <f aca="false">H67*IF(DilMethod=3,1,1-$P$16)</f>
        <v>0</v>
      </c>
      <c r="I72" s="124" t="n">
        <f aca="false">I67*IF(DilMethod=3,1,1-$P$16)</f>
        <v>0</v>
      </c>
      <c r="J72" s="124" t="n">
        <f aca="false">J67*IF(DilMethod=3,1,1-$P$16)</f>
        <v>0</v>
      </c>
      <c r="K72" s="124" t="n">
        <f aca="false">K67*IF(DilMethod=3,1,1-$P$16)</f>
        <v>0</v>
      </c>
      <c r="L72" s="124" t="n">
        <f aca="false">L67*IF(DilMethod=3,1,1-$P$16)</f>
        <v>0</v>
      </c>
      <c r="M72" s="124" t="n">
        <f aca="false">M67*IF(DilMethod=3,1,1-$P$16)</f>
        <v>0</v>
      </c>
      <c r="N72" s="124" t="n">
        <f aca="false">N67*IF(DilMethod=3,1,1-$P$16)</f>
        <v>2590.62602965404</v>
      </c>
      <c r="O72" s="124" t="n">
        <f aca="false">O67*IF(DilMethod=3,1,1-$P$16)</f>
        <v>2616.48682042834</v>
      </c>
      <c r="P72" s="125" t="n">
        <f aca="false">P67*IF(DilMethod=3,1,1-$P$16)</f>
        <v>2642.63179571664</v>
      </c>
      <c r="Q72" s="125" t="n">
        <f aca="false">Q67*IF(DilMethod=3,1,1-$P$16)</f>
        <v>2668.77677100494</v>
      </c>
      <c r="R72" s="125" t="n">
        <f aca="false">R67*IF(DilMethod=3,1,1-$P$16)</f>
        <v>2694.35337726524</v>
      </c>
      <c r="S72" s="125" t="n">
        <f aca="false">S67*IF(DilMethod=3,1,1-$P$16)</f>
        <v>2720.21416803954</v>
      </c>
      <c r="T72" s="125" t="n">
        <f aca="false">T67*IF(DilMethod=3,1,1-$P$16)</f>
        <v>2746.35914332784</v>
      </c>
      <c r="U72" s="125" t="n">
        <f aca="false">U67*IF(DilMethod=3,1,1-$P$16)</f>
        <v>2772.50411861614</v>
      </c>
      <c r="V72" s="125" t="n">
        <f aca="false">V67*IF(DilMethod=3,1,1-$P$16)</f>
        <v>2798.36490939044</v>
      </c>
      <c r="W72" s="125" t="n">
        <f aca="false">W67*IF(DilMethod=3,1,1-$P$16)</f>
        <v>2824.22570016474</v>
      </c>
      <c r="X72" s="125" t="n">
        <f aca="false">X67*IF(DilMethod=3,1,1-$P$16)</f>
        <v>2850.37067545305</v>
      </c>
      <c r="Y72" s="125" t="n">
        <f aca="false">Y67*IF(DilMethod=3,1,1-$P$16)</f>
        <v>2876.51565074135</v>
      </c>
      <c r="Z72" s="125" t="n">
        <f aca="false">Z67*IF(DilMethod=3,1,1-$P$16)</f>
        <v>2902.09225700165</v>
      </c>
      <c r="AA72" s="125" t="n">
        <f aca="false">AA67*IF(DilMethod=3,1,1-$P$16)</f>
        <v>2927.95304777595</v>
      </c>
      <c r="AB72" s="125" t="n">
        <f aca="false">AB67*IF(DilMethod=3,1,1-$P$16)</f>
        <v>2954.09802306425</v>
      </c>
      <c r="AC72" s="125" t="n">
        <f aca="false">AC67*IF(DilMethod=3,1,1-$P$16)</f>
        <v>2980.24299835255</v>
      </c>
      <c r="AD72" s="125" t="n">
        <f aca="false">AD67*IF(DilMethod=3,1,1-$P$16)</f>
        <v>3005.81960461285</v>
      </c>
      <c r="AE72" s="125" t="n">
        <f aca="false">AE67*IF(DilMethod=3,1,1-$P$16)</f>
        <v>3031.68039538715</v>
      </c>
      <c r="AF72" s="125" t="n">
        <f aca="false">AF67*IF(DilMethod=3,1,1-$P$16)</f>
        <v>3057.82537067545</v>
      </c>
      <c r="AG72" s="125" t="n">
        <f aca="false">AG67*IF(DilMethod=3,1,1-$P$16)</f>
        <v>3083.97034596376</v>
      </c>
      <c r="AI72" s="125" t="n">
        <f aca="false">INDEX($F72:$AG72,1,MATCH(AI$7,$F$7:$AG$7,1))</f>
        <v>0</v>
      </c>
      <c r="AJ72" s="125" t="n">
        <f aca="false">INDEX($F72:$AG72,1,MATCH(AJ$7,$F$7:$AG$7,1))</f>
        <v>0</v>
      </c>
      <c r="AK72" s="125" t="n">
        <f aca="false">INDEX($F72:$AG72,1,MATCH(AK$7,$F$7:$AG$7,1))</f>
        <v>2668.77677100494</v>
      </c>
      <c r="AL72" s="125" t="n">
        <f aca="false">INDEX($F72:$AG72,1,MATCH(AL$7,$F$7:$AG$7,1))</f>
        <v>2772.50411861614</v>
      </c>
      <c r="AM72" s="125" t="n">
        <f aca="false">INDEX($F72:$AG72,1,MATCH(AM$7,$F$7:$AG$7,1))</f>
        <v>2876.51565074135</v>
      </c>
      <c r="AN72" s="125" t="n">
        <f aca="false">INDEX($F72:$AG72,1,MATCH(AN$7,$F$7:$AG$7,1))</f>
        <v>2980.24299835255</v>
      </c>
      <c r="AO72" s="125" t="n">
        <f aca="false">INDEX($F72:$AG72,1,MATCH(AO$7,$F$7:$AG$7,1))</f>
        <v>3083.97034596376</v>
      </c>
    </row>
    <row r="73" customFormat="false" ht="15" hidden="false" customHeight="false" outlineLevel="0" collapsed="false">
      <c r="A73" s="107" t="s">
        <v>2333</v>
      </c>
      <c r="B73" s="22" t="s">
        <v>613</v>
      </c>
      <c r="C73" s="22" t="s">
        <v>604</v>
      </c>
      <c r="D73" s="22"/>
      <c r="F73" s="124" t="n">
        <f aca="false">IF(AND(F$5&gt;=$M$17,F$5&lt;$N$17),$E$17-$F$17-IF(F$5&gt;=$H$17,$G$17,0),0)*($H$17&lt;&gt;0)+IF(AND(F$5&gt;=$M$17,F$5&lt;$N$17),$E$17-$F$17,0)*($H$17=0)</f>
        <v>0</v>
      </c>
      <c r="G73" s="124" t="n">
        <f aca="false">IF(AND(G$5&gt;=$M$17,G$5&lt;$N$17),$E$17-$F$17-IF(G$5&gt;=$H$17,$G$17,0),0)*($H$17&lt;&gt;0)+IF(AND(G$5&gt;=$M$17,G$5&lt;$N$17),$E$17-$F$17,0)*($H$17=0)</f>
        <v>0</v>
      </c>
      <c r="H73" s="124" t="n">
        <f aca="false">IF(AND(H$5&gt;=$M$17,H$5&lt;$N$17),$E$17-$F$17-IF(H$5&gt;=$H$17,$G$17,0),0)*($H$17&lt;&gt;0)+IF(AND(H$5&gt;=$M$17,H$5&lt;$N$17),$E$17-$F$17,0)*($H$17=0)</f>
        <v>0</v>
      </c>
      <c r="I73" s="124" t="n">
        <f aca="false">IF(AND(I$5&gt;=$M$17,I$5&lt;$N$17),$E$17-$F$17-IF(I$5&gt;=$H$17,$G$17,0),0)*($H$17&lt;&gt;0)+IF(AND(I$5&gt;=$M$17,I$5&lt;$N$17),$E$17-$F$17,0)*($H$17=0)</f>
        <v>0</v>
      </c>
      <c r="J73" s="124" t="n">
        <f aca="false">IF(AND(J$5&gt;=$M$17,J$5&lt;$N$17),$E$17-$F$17-IF(J$5&gt;=$H$17,$G$17,0),0)*($H$17&lt;&gt;0)+IF(AND(J$5&gt;=$M$17,J$5&lt;$N$17),$E$17-$F$17,0)*($H$17=0)</f>
        <v>0</v>
      </c>
      <c r="K73" s="124" t="n">
        <f aca="false">IF(AND(K$5&gt;=$M$17,K$5&lt;$N$17),$E$17-$F$17-IF(K$5&gt;=$H$17,$G$17,0),0)*($H$17&lt;&gt;0)+IF(AND(K$5&gt;=$M$17,K$5&lt;$N$17),$E$17-$F$17,0)*($H$17=0)</f>
        <v>0</v>
      </c>
      <c r="L73" s="124" t="n">
        <f aca="false">IF(AND(L$5&gt;=$M$17,L$5&lt;$N$17),$E$17-$F$17-IF(L$5&gt;=$H$17,$G$17,0),0)*($H$17&lt;&gt;0)+IF(AND(L$5&gt;=$M$17,L$5&lt;$N$17),$E$17-$F$17,0)*($H$17=0)</f>
        <v>0</v>
      </c>
      <c r="M73" s="124" t="n">
        <f aca="false">IF(AND(M$5&gt;=$M$17,M$5&lt;$N$17),$E$17-$F$17-IF(M$5&gt;=$H$17,$G$17,0),0)*($H$17&lt;&gt;0)+IF(AND(M$5&gt;=$M$17,M$5&lt;$N$17),$E$17-$F$17,0)*($H$17=0)</f>
        <v>0</v>
      </c>
      <c r="N73" s="124" t="n">
        <f aca="false">IF(AND(N$5&gt;=$M$17,N$5&lt;$N$17),$E$17-$F$17-IF(N$5&gt;=$H$17,$G$17,0),0)*($H$17&lt;&gt;0)+IF(AND(N$5&gt;=$M$17,N$5&lt;$N$17),$E$17-$F$17,0)*($H$17=0)</f>
        <v>1750</v>
      </c>
      <c r="O73" s="124" t="n">
        <f aca="false">IF(AND(O$5&gt;=$M$17,O$5&lt;$N$17),$E$17-$F$17-IF(O$5&gt;=$H$17,$G$17,0),0)*($H$17&lt;&gt;0)+IF(AND(O$5&gt;=$M$17,O$5&lt;$N$17),$E$17-$F$17,0)*($H$17=0)</f>
        <v>1750</v>
      </c>
      <c r="P73" s="125" t="n">
        <f aca="false">IF(AND(P$5&gt;=$M$17,P$5&lt;$N$17),$E$17-$F$17-IF(P$5&gt;=$H$17,$G$17,0),0)*($H$17&lt;&gt;0)+IF(AND(P$5&gt;=$M$17,P$5&lt;$N$17),$E$17-$F$17,0)*($H$17=0)</f>
        <v>1750</v>
      </c>
      <c r="Q73" s="125" t="n">
        <f aca="false">IF(AND(Q$5&gt;=$M$17,Q$5&lt;$N$17),$E$17-$F$17-IF(Q$5&gt;=$H$17,$G$17,0),0)*($H$17&lt;&gt;0)+IF(AND(Q$5&gt;=$M$17,Q$5&lt;$N$17),$E$17-$F$17,0)*($H$17=0)</f>
        <v>1750</v>
      </c>
      <c r="R73" s="125" t="n">
        <f aca="false">IF(AND(R$5&gt;=$M$17,R$5&lt;$N$17),$E$17-$F$17-IF(R$5&gt;=$H$17,$G$17,0),0)*($H$17&lt;&gt;0)+IF(AND(R$5&gt;=$M$17,R$5&lt;$N$17),$E$17-$F$17,0)*($H$17=0)</f>
        <v>1750</v>
      </c>
      <c r="S73" s="125" t="n">
        <f aca="false">IF(AND(S$5&gt;=$M$17,S$5&lt;$N$17),$E$17-$F$17-IF(S$5&gt;=$H$17,$G$17,0),0)*($H$17&lt;&gt;0)+IF(AND(S$5&gt;=$M$17,S$5&lt;$N$17),$E$17-$F$17,0)*($H$17=0)</f>
        <v>1750</v>
      </c>
      <c r="T73" s="125" t="n">
        <f aca="false">IF(AND(T$5&gt;=$M$17,T$5&lt;$N$17),$E$17-$F$17-IF(T$5&gt;=$H$17,$G$17,0),0)*($H$17&lt;&gt;0)+IF(AND(T$5&gt;=$M$17,T$5&lt;$N$17),$E$17-$F$17,0)*($H$17=0)</f>
        <v>1750</v>
      </c>
      <c r="U73" s="125" t="n">
        <f aca="false">IF(AND(U$5&gt;=$M$17,U$5&lt;$N$17),$E$17-$F$17-IF(U$5&gt;=$H$17,$G$17,0),0)*($H$17&lt;&gt;0)+IF(AND(U$5&gt;=$M$17,U$5&lt;$N$17),$E$17-$F$17,0)*($H$17=0)</f>
        <v>1750</v>
      </c>
      <c r="V73" s="125" t="n">
        <f aca="false">IF(AND(V$5&gt;=$M$17,V$5&lt;$N$17),$E$17-$F$17-IF(V$5&gt;=$H$17,$G$17,0),0)*($H$17&lt;&gt;0)+IF(AND(V$5&gt;=$M$17,V$5&lt;$N$17),$E$17-$F$17,0)*($H$17=0)</f>
        <v>1750</v>
      </c>
      <c r="W73" s="125" t="n">
        <f aca="false">IF(AND(W$5&gt;=$M$17,W$5&lt;$N$17),$E$17-$F$17-IF(W$5&gt;=$H$17,$G$17,0),0)*($H$17&lt;&gt;0)+IF(AND(W$5&gt;=$M$17,W$5&lt;$N$17),$E$17-$F$17,0)*($H$17=0)</f>
        <v>1750</v>
      </c>
      <c r="X73" s="125" t="n">
        <f aca="false">IF(AND(X$5&gt;=$M$17,X$5&lt;$N$17),$E$17-$F$17-IF(X$5&gt;=$H$17,$G$17,0),0)*($H$17&lt;&gt;0)+IF(AND(X$5&gt;=$M$17,X$5&lt;$N$17),$E$17-$F$17,0)*($H$17=0)</f>
        <v>1750</v>
      </c>
      <c r="Y73" s="125" t="n">
        <f aca="false">IF(AND(Y$5&gt;=$M$17,Y$5&lt;$N$17),$E$17-$F$17-IF(Y$5&gt;=$H$17,$G$17,0),0)*($H$17&lt;&gt;0)+IF(AND(Y$5&gt;=$M$17,Y$5&lt;$N$17),$E$17-$F$17,0)*($H$17=0)</f>
        <v>1750</v>
      </c>
      <c r="Z73" s="125" t="n">
        <f aca="false">IF(AND(Z$5&gt;=$M$17,Z$5&lt;$N$17),$E$17-$F$17-IF(Z$5&gt;=$H$17,$G$17,0),0)*($H$17&lt;&gt;0)+IF(AND(Z$5&gt;=$M$17,Z$5&lt;$N$17),$E$17-$F$17,0)*($H$17=0)</f>
        <v>1750</v>
      </c>
      <c r="AA73" s="125" t="n">
        <f aca="false">IF(AND(AA$5&gt;=$M$17,AA$5&lt;$N$17),$E$17-$F$17-IF(AA$5&gt;=$H$17,$G$17,0),0)*($H$17&lt;&gt;0)+IF(AND(AA$5&gt;=$M$17,AA$5&lt;$N$17),$E$17-$F$17,0)*($H$17=0)</f>
        <v>1750</v>
      </c>
      <c r="AB73" s="125" t="n">
        <f aca="false">IF(AND(AB$5&gt;=$M$17,AB$5&lt;$N$17),$E$17-$F$17-IF(AB$5&gt;=$H$17,$G$17,0),0)*($H$17&lt;&gt;0)+IF(AND(AB$5&gt;=$M$17,AB$5&lt;$N$17),$E$17-$F$17,0)*($H$17=0)</f>
        <v>1750</v>
      </c>
      <c r="AC73" s="125" t="n">
        <f aca="false">IF(AND(AC$5&gt;=$M$17,AC$5&lt;$N$17),$E$17-$F$17-IF(AC$5&gt;=$H$17,$G$17,0),0)*($H$17&lt;&gt;0)+IF(AND(AC$5&gt;=$M$17,AC$5&lt;$N$17),$E$17-$F$17,0)*($H$17=0)</f>
        <v>1750</v>
      </c>
      <c r="AD73" s="125" t="n">
        <f aca="false">IF(AND(AD$5&gt;=$M$17,AD$5&lt;$N$17),$E$17-$F$17-IF(AD$5&gt;=$H$17,$G$17,0),0)*($H$17&lt;&gt;0)+IF(AND(AD$5&gt;=$M$17,AD$5&lt;$N$17),$E$17-$F$17,0)*($H$17=0)</f>
        <v>1750</v>
      </c>
      <c r="AE73" s="125" t="n">
        <f aca="false">IF(AND(AE$5&gt;=$M$17,AE$5&lt;$N$17),$E$17-$F$17-IF(AE$5&gt;=$H$17,$G$17,0),0)*($H$17&lt;&gt;0)+IF(AND(AE$5&gt;=$M$17,AE$5&lt;$N$17),$E$17-$F$17,0)*($H$17=0)</f>
        <v>1750</v>
      </c>
      <c r="AF73" s="125" t="n">
        <f aca="false">IF(AND(AF$5&gt;=$M$17,AF$5&lt;$N$17),$E$17-$F$17-IF(AF$5&gt;=$H$17,$G$17,0),0)*($H$17&lt;&gt;0)+IF(AND(AF$5&gt;=$M$17,AF$5&lt;$N$17),$E$17-$F$17,0)*($H$17=0)</f>
        <v>1750</v>
      </c>
      <c r="AG73" s="125" t="n">
        <f aca="false">IF(AND(AG$5&gt;=$M$17,AG$5&lt;$N$17),$E$17-$F$17-IF(AG$5&gt;=$H$17,$G$17,0),0)*($H$17&lt;&gt;0)+IF(AND(AG$5&gt;=$M$17,AG$5&lt;$N$17),$E$17-$F$17,0)*($H$17=0)</f>
        <v>1750</v>
      </c>
      <c r="AI73" s="125" t="n">
        <f aca="false">INDEX($F73:$AG73,1,MATCH(AI$7,$F$7:$AG$7,1))</f>
        <v>0</v>
      </c>
      <c r="AJ73" s="125" t="n">
        <f aca="false">INDEX($F73:$AG73,1,MATCH(AJ$7,$F$7:$AG$7,1))</f>
        <v>0</v>
      </c>
      <c r="AK73" s="125" t="n">
        <f aca="false">INDEX($F73:$AG73,1,MATCH(AK$7,$F$7:$AG$7,1))</f>
        <v>1750</v>
      </c>
      <c r="AL73" s="125" t="n">
        <f aca="false">INDEX($F73:$AG73,1,MATCH(AL$7,$F$7:$AG$7,1))</f>
        <v>1750</v>
      </c>
      <c r="AM73" s="125" t="n">
        <f aca="false">INDEX($F73:$AG73,1,MATCH(AM$7,$F$7:$AG$7,1))</f>
        <v>1750</v>
      </c>
      <c r="AN73" s="125" t="n">
        <f aca="false">INDEX($F73:$AG73,1,MATCH(AN$7,$F$7:$AG$7,1))</f>
        <v>1750</v>
      </c>
      <c r="AO73" s="125" t="n">
        <f aca="false">INDEX($F73:$AG73,1,MATCH(AO$7,$F$7:$AG$7,1))</f>
        <v>1750</v>
      </c>
    </row>
    <row r="74" customFormat="false" ht="15" hidden="false" customHeight="false" outlineLevel="0" collapsed="false">
      <c r="A74" s="107" t="s">
        <v>2334</v>
      </c>
      <c r="B74" s="22" t="s">
        <v>613</v>
      </c>
      <c r="C74" s="22" t="s">
        <v>604</v>
      </c>
      <c r="D74" s="22"/>
      <c r="F74" s="124" t="n">
        <f aca="false">F73*$C$17/4</f>
        <v>0</v>
      </c>
      <c r="G74" s="124" t="n">
        <f aca="false">G73*$C$17/4</f>
        <v>0</v>
      </c>
      <c r="H74" s="124" t="n">
        <f aca="false">H73*$C$17/4</f>
        <v>0</v>
      </c>
      <c r="I74" s="124" t="n">
        <f aca="false">I73*$C$17/4</f>
        <v>0</v>
      </c>
      <c r="J74" s="124" t="n">
        <f aca="false">J73*$C$17/4</f>
        <v>0</v>
      </c>
      <c r="K74" s="124" t="n">
        <f aca="false">K73*$C$17/4</f>
        <v>0</v>
      </c>
      <c r="L74" s="124" t="n">
        <f aca="false">L73*$C$17/4</f>
        <v>0</v>
      </c>
      <c r="M74" s="124" t="n">
        <f aca="false">M73*$C$17/4</f>
        <v>0</v>
      </c>
      <c r="N74" s="124" t="n">
        <f aca="false">N73*$C$17/4</f>
        <v>11.484375</v>
      </c>
      <c r="O74" s="124" t="n">
        <f aca="false">O73*$C$17/4</f>
        <v>11.484375</v>
      </c>
      <c r="P74" s="125" t="n">
        <f aca="false">P73*$C$17/4</f>
        <v>11.484375</v>
      </c>
      <c r="Q74" s="125" t="n">
        <f aca="false">Q73*$C$17/4</f>
        <v>11.484375</v>
      </c>
      <c r="R74" s="125" t="n">
        <f aca="false">R73*$C$17/4</f>
        <v>11.484375</v>
      </c>
      <c r="S74" s="125" t="n">
        <f aca="false">S73*$C$17/4</f>
        <v>11.484375</v>
      </c>
      <c r="T74" s="125" t="n">
        <f aca="false">T73*$C$17/4</f>
        <v>11.484375</v>
      </c>
      <c r="U74" s="125" t="n">
        <f aca="false">U73*$C$17/4</f>
        <v>11.484375</v>
      </c>
      <c r="V74" s="125" t="n">
        <f aca="false">V73*$C$17/4</f>
        <v>11.484375</v>
      </c>
      <c r="W74" s="125" t="n">
        <f aca="false">W73*$C$17/4</f>
        <v>11.484375</v>
      </c>
      <c r="X74" s="125" t="n">
        <f aca="false">X73*$C$17/4</f>
        <v>11.484375</v>
      </c>
      <c r="Y74" s="125" t="n">
        <f aca="false">Y73*$C$17/4</f>
        <v>11.484375</v>
      </c>
      <c r="Z74" s="125" t="n">
        <f aca="false">Z73*$C$17/4</f>
        <v>11.484375</v>
      </c>
      <c r="AA74" s="125" t="n">
        <f aca="false">AA73*$C$17/4</f>
        <v>11.484375</v>
      </c>
      <c r="AB74" s="125" t="n">
        <f aca="false">AB73*$C$17/4</f>
        <v>11.484375</v>
      </c>
      <c r="AC74" s="125" t="n">
        <f aca="false">AC73*$C$17/4</f>
        <v>11.484375</v>
      </c>
      <c r="AD74" s="125" t="n">
        <f aca="false">AD73*$C$17/4</f>
        <v>11.484375</v>
      </c>
      <c r="AE74" s="125" t="n">
        <f aca="false">AE73*$C$17/4</f>
        <v>11.484375</v>
      </c>
      <c r="AF74" s="125" t="n">
        <f aca="false">AF73*$C$17/4</f>
        <v>11.484375</v>
      </c>
      <c r="AG74" s="125" t="n">
        <f aca="false">AG73*$C$17/4</f>
        <v>11.484375</v>
      </c>
      <c r="AI74" s="125" t="n">
        <f aca="false">SUMIF($F$7:$AG$7,AI$7,$F74:$AG74)</f>
        <v>0</v>
      </c>
      <c r="AJ74" s="125" t="n">
        <f aca="false">SUMIF($F$7:$AG$7,AJ$7,$F74:$AG74)</f>
        <v>0</v>
      </c>
      <c r="AK74" s="125" t="n">
        <f aca="false">SUMIF($F$7:$AG$7,AK$7,$F74:$AG74)</f>
        <v>45.9375</v>
      </c>
      <c r="AL74" s="125" t="n">
        <f aca="false">SUMIF($F$7:$AG$7,AL$7,$F74:$AG74)</f>
        <v>45.9375</v>
      </c>
      <c r="AM74" s="125" t="n">
        <f aca="false">SUMIF($F$7:$AG$7,AM$7,$F74:$AG74)</f>
        <v>45.9375</v>
      </c>
      <c r="AN74" s="125" t="n">
        <f aca="false">SUMIF($F$7:$AG$7,AN$7,$F74:$AG74)</f>
        <v>45.9375</v>
      </c>
      <c r="AO74" s="125" t="n">
        <f aca="false">SUMIF($F$7:$AG$7,AO$7,$F74:$AG74)</f>
        <v>45.9375</v>
      </c>
    </row>
    <row r="75" customFormat="false" ht="15" hidden="false" customHeight="false" outlineLevel="0" collapsed="false">
      <c r="A75" s="107" t="s">
        <v>2335</v>
      </c>
      <c r="B75" s="22" t="s">
        <v>613</v>
      </c>
      <c r="C75" s="22" t="s">
        <v>604</v>
      </c>
      <c r="D75" s="22"/>
      <c r="F75" s="124" t="n">
        <f aca="false">F73*($J$17-1)/(($D$17-$B$17)/91.3125)</f>
        <v>0</v>
      </c>
      <c r="G75" s="124" t="n">
        <f aca="false">G73*($J$17-1)/(($D$17-$B$17)/91.3125)</f>
        <v>0</v>
      </c>
      <c r="H75" s="124" t="n">
        <f aca="false">H73*($J$17-1)/(($D$17-$B$17)/91.3125)</f>
        <v>0</v>
      </c>
      <c r="I75" s="124" t="n">
        <f aca="false">I73*($J$17-1)/(($D$17-$B$17)/91.3125)</f>
        <v>0</v>
      </c>
      <c r="J75" s="124" t="n">
        <f aca="false">J73*($J$17-1)/(($D$17-$B$17)/91.3125)</f>
        <v>0</v>
      </c>
      <c r="K75" s="124" t="n">
        <f aca="false">K73*($J$17-1)/(($D$17-$B$17)/91.3125)</f>
        <v>0</v>
      </c>
      <c r="L75" s="124" t="n">
        <f aca="false">L73*($J$17-1)/(($D$17-$B$17)/91.3125)</f>
        <v>0</v>
      </c>
      <c r="M75" s="124" t="n">
        <f aca="false">M73*($J$17-1)/(($D$17-$B$17)/91.3125)</f>
        <v>0</v>
      </c>
      <c r="N75" s="124" t="n">
        <f aca="false">N73*($J$17-1)/(($D$17-$B$17)/91.3125)</f>
        <v>12.5232660658307</v>
      </c>
      <c r="O75" s="124" t="n">
        <f aca="false">O73*($J$17-1)/(($D$17-$B$17)/91.3125)</f>
        <v>12.5232660658307</v>
      </c>
      <c r="P75" s="125" t="n">
        <f aca="false">P73*($J$17-1)/(($D$17-$B$17)/91.3125)</f>
        <v>12.5232660658307</v>
      </c>
      <c r="Q75" s="125" t="n">
        <f aca="false">Q73*($J$17-1)/(($D$17-$B$17)/91.3125)</f>
        <v>12.5232660658307</v>
      </c>
      <c r="R75" s="125" t="n">
        <f aca="false">R73*($J$17-1)/(($D$17-$B$17)/91.3125)</f>
        <v>12.5232660658307</v>
      </c>
      <c r="S75" s="125" t="n">
        <f aca="false">S73*($J$17-1)/(($D$17-$B$17)/91.3125)</f>
        <v>12.5232660658307</v>
      </c>
      <c r="T75" s="125" t="n">
        <f aca="false">T73*($J$17-1)/(($D$17-$B$17)/91.3125)</f>
        <v>12.5232660658307</v>
      </c>
      <c r="U75" s="125" t="n">
        <f aca="false">U73*($J$17-1)/(($D$17-$B$17)/91.3125)</f>
        <v>12.5232660658307</v>
      </c>
      <c r="V75" s="125" t="n">
        <f aca="false">V73*($J$17-1)/(($D$17-$B$17)/91.3125)</f>
        <v>12.5232660658307</v>
      </c>
      <c r="W75" s="125" t="n">
        <f aca="false">W73*($J$17-1)/(($D$17-$B$17)/91.3125)</f>
        <v>12.5232660658307</v>
      </c>
      <c r="X75" s="125" t="n">
        <f aca="false">X73*($J$17-1)/(($D$17-$B$17)/91.3125)</f>
        <v>12.5232660658307</v>
      </c>
      <c r="Y75" s="125" t="n">
        <f aca="false">Y73*($J$17-1)/(($D$17-$B$17)/91.3125)</f>
        <v>12.5232660658307</v>
      </c>
      <c r="Z75" s="125" t="n">
        <f aca="false">Z73*($J$17-1)/(($D$17-$B$17)/91.3125)</f>
        <v>12.5232660658307</v>
      </c>
      <c r="AA75" s="125" t="n">
        <f aca="false">AA73*($J$17-1)/(($D$17-$B$17)/91.3125)</f>
        <v>12.5232660658307</v>
      </c>
      <c r="AB75" s="125" t="n">
        <f aca="false">AB73*($J$17-1)/(($D$17-$B$17)/91.3125)</f>
        <v>12.5232660658307</v>
      </c>
      <c r="AC75" s="125" t="n">
        <f aca="false">AC73*($J$17-1)/(($D$17-$B$17)/91.3125)</f>
        <v>12.5232660658307</v>
      </c>
      <c r="AD75" s="125" t="n">
        <f aca="false">AD73*($J$17-1)/(($D$17-$B$17)/91.3125)</f>
        <v>12.5232660658307</v>
      </c>
      <c r="AE75" s="125" t="n">
        <f aca="false">AE73*($J$17-1)/(($D$17-$B$17)/91.3125)</f>
        <v>12.5232660658307</v>
      </c>
      <c r="AF75" s="125" t="n">
        <f aca="false">AF73*($J$17-1)/(($D$17-$B$17)/91.3125)</f>
        <v>12.5232660658307</v>
      </c>
      <c r="AG75" s="125" t="n">
        <f aca="false">AG73*($J$17-1)/(($D$17-$B$17)/91.3125)</f>
        <v>12.5232660658307</v>
      </c>
      <c r="AI75" s="125" t="n">
        <f aca="false">SUMIF($F$7:$AG$7,AI$7,$F75:$AG75)</f>
        <v>0</v>
      </c>
      <c r="AJ75" s="125" t="n">
        <f aca="false">SUMIF($F$7:$AG$7,AJ$7,$F75:$AG75)</f>
        <v>0</v>
      </c>
      <c r="AK75" s="125" t="n">
        <f aca="false">SUMIF($F$7:$AG$7,AK$7,$F75:$AG75)</f>
        <v>50.0930642633229</v>
      </c>
      <c r="AL75" s="125" t="n">
        <f aca="false">SUMIF($F$7:$AG$7,AL$7,$F75:$AG75)</f>
        <v>50.0930642633229</v>
      </c>
      <c r="AM75" s="125" t="n">
        <f aca="false">SUMIF($F$7:$AG$7,AM$7,$F75:$AG75)</f>
        <v>50.0930642633229</v>
      </c>
      <c r="AN75" s="125" t="n">
        <f aca="false">SUMIF($F$7:$AG$7,AN$7,$F75:$AG75)</f>
        <v>50.0930642633229</v>
      </c>
      <c r="AO75" s="125" t="n">
        <f aca="false">SUMIF($F$7:$AG$7,AO$7,$F75:$AG75)</f>
        <v>50.0930642633229</v>
      </c>
    </row>
    <row r="76" customFormat="false" ht="15" hidden="false" customHeight="false" outlineLevel="0" collapsed="false">
      <c r="A76" s="107" t="s">
        <v>2336</v>
      </c>
      <c r="B76" s="22" t="s">
        <v>613</v>
      </c>
      <c r="C76" s="22" t="s">
        <v>604</v>
      </c>
      <c r="D76" s="22"/>
      <c r="F76" s="124" t="n">
        <f aca="false">F73*(1+($J$17-1)*MIN(1,MAX(0,(F$4-$B$17)/($D$17-$B$17))))</f>
        <v>0</v>
      </c>
      <c r="G76" s="124" t="n">
        <f aca="false">G73*(1+($J$17-1)*MIN(1,MAX(0,(G$4-$B$17)/($D$17-$B$17))))</f>
        <v>0</v>
      </c>
      <c r="H76" s="124" t="n">
        <f aca="false">H73*(1+($J$17-1)*MIN(1,MAX(0,(H$4-$B$17)/($D$17-$B$17))))</f>
        <v>0</v>
      </c>
      <c r="I76" s="124" t="n">
        <f aca="false">I73*(1+($J$17-1)*MIN(1,MAX(0,(I$4-$B$17)/($D$17-$B$17))))</f>
        <v>0</v>
      </c>
      <c r="J76" s="124" t="n">
        <f aca="false">J73*(1+($J$17-1)*MIN(1,MAX(0,(J$4-$B$17)/($D$17-$B$17))))</f>
        <v>0</v>
      </c>
      <c r="K76" s="124" t="n">
        <f aca="false">K73*(1+($J$17-1)*MIN(1,MAX(0,(K$4-$B$17)/($D$17-$B$17))))</f>
        <v>0</v>
      </c>
      <c r="L76" s="124" t="n">
        <f aca="false">L73*(1+($J$17-1)*MIN(1,MAX(0,(L$4-$B$17)/($D$17-$B$17))))</f>
        <v>0</v>
      </c>
      <c r="M76" s="124" t="n">
        <f aca="false">M73*(1+($J$17-1)*MIN(1,MAX(0,(M$4-$B$17)/($D$17-$B$17))))</f>
        <v>0</v>
      </c>
      <c r="N76" s="124" t="n">
        <f aca="false">N73*(1+($J$17-1)*MIN(1,MAX(0,(N$4-$B$17)/($D$17-$B$17))))</f>
        <v>1751.50862068966</v>
      </c>
      <c r="O76" s="124" t="n">
        <f aca="false">O73*(1+($J$17-1)*MIN(1,MAX(0,(O$4-$B$17)/($D$17-$B$17))))</f>
        <v>1763.98902821317</v>
      </c>
      <c r="P76" s="125" t="n">
        <f aca="false">P73*(1+($J$17-1)*MIN(1,MAX(0,(P$4-$B$17)/($D$17-$B$17))))</f>
        <v>1776.6065830721</v>
      </c>
      <c r="Q76" s="125" t="n">
        <f aca="false">Q73*(1+($J$17-1)*MIN(1,MAX(0,(Q$4-$B$17)/($D$17-$B$17))))</f>
        <v>1789.22413793103</v>
      </c>
      <c r="R76" s="125" t="n">
        <f aca="false">R73*(1+($J$17-1)*MIN(1,MAX(0,(R$4-$B$17)/($D$17-$B$17))))</f>
        <v>1801.56739811912</v>
      </c>
      <c r="S76" s="125" t="n">
        <f aca="false">S73*(1+($J$17-1)*MIN(1,MAX(0,(S$4-$B$17)/($D$17-$B$17))))</f>
        <v>1814.04780564263</v>
      </c>
      <c r="T76" s="125" t="n">
        <f aca="false">T73*(1+($J$17-1)*MIN(1,MAX(0,(T$4-$B$17)/($D$17-$B$17))))</f>
        <v>1826.66536050157</v>
      </c>
      <c r="U76" s="125" t="n">
        <f aca="false">U73*(1+($J$17-1)*MIN(1,MAX(0,(U$4-$B$17)/($D$17-$B$17))))</f>
        <v>1839.2829153605</v>
      </c>
      <c r="V76" s="125" t="n">
        <f aca="false">V73*(1+($J$17-1)*MIN(1,MAX(0,(V$4-$B$17)/($D$17-$B$17))))</f>
        <v>1851.76332288401</v>
      </c>
      <c r="W76" s="125" t="n">
        <f aca="false">W73*(1+($J$17-1)*MIN(1,MAX(0,(W$4-$B$17)/($D$17-$B$17))))</f>
        <v>1864.24373040752</v>
      </c>
      <c r="X76" s="125" t="n">
        <f aca="false">X73*(1+($J$17-1)*MIN(1,MAX(0,(X$4-$B$17)/($D$17-$B$17))))</f>
        <v>1876.86128526646</v>
      </c>
      <c r="Y76" s="125" t="n">
        <f aca="false">Y73*(1+($J$17-1)*MIN(1,MAX(0,(Y$4-$B$17)/($D$17-$B$17))))</f>
        <v>1889.47884012539</v>
      </c>
      <c r="Z76" s="125" t="n">
        <f aca="false">Z73*(1+($J$17-1)*MIN(1,MAX(0,(Z$4-$B$17)/($D$17-$B$17))))</f>
        <v>1901.82210031348</v>
      </c>
      <c r="AA76" s="125" t="n">
        <f aca="false">AA73*(1+($J$17-1)*MIN(1,MAX(0,(AA$4-$B$17)/($D$17-$B$17))))</f>
        <v>1914.30250783699</v>
      </c>
      <c r="AB76" s="125" t="n">
        <f aca="false">AB73*(1+($J$17-1)*MIN(1,MAX(0,(AB$4-$B$17)/($D$17-$B$17))))</f>
        <v>1926.92006269592</v>
      </c>
      <c r="AC76" s="125" t="n">
        <f aca="false">AC73*(1+($J$17-1)*MIN(1,MAX(0,(AC$4-$B$17)/($D$17-$B$17))))</f>
        <v>1939.53761755486</v>
      </c>
      <c r="AD76" s="125" t="n">
        <f aca="false">AD73*(1+($J$17-1)*MIN(1,MAX(0,(AD$4-$B$17)/($D$17-$B$17))))</f>
        <v>1951.88087774295</v>
      </c>
      <c r="AE76" s="125" t="n">
        <f aca="false">AE73*(1+($J$17-1)*MIN(1,MAX(0,(AE$4-$B$17)/($D$17-$B$17))))</f>
        <v>1964.36128526646</v>
      </c>
      <c r="AF76" s="125" t="n">
        <f aca="false">AF73*(1+($J$17-1)*MIN(1,MAX(0,(AF$4-$B$17)/($D$17-$B$17))))</f>
        <v>1976.97884012539</v>
      </c>
      <c r="AG76" s="125" t="n">
        <f aca="false">AG73*(1+($J$17-1)*MIN(1,MAX(0,(AG$4-$B$17)/($D$17-$B$17))))</f>
        <v>1989.59639498433</v>
      </c>
      <c r="AI76" s="125" t="n">
        <f aca="false">INDEX($F76:$AG76,1,MATCH(AI$7,$F$7:$AG$7,1))</f>
        <v>0</v>
      </c>
      <c r="AJ76" s="125" t="n">
        <f aca="false">INDEX($F76:$AG76,1,MATCH(AJ$7,$F$7:$AG$7,1))</f>
        <v>0</v>
      </c>
      <c r="AK76" s="125" t="n">
        <f aca="false">INDEX($F76:$AG76,1,MATCH(AK$7,$F$7:$AG$7,1))</f>
        <v>1789.22413793103</v>
      </c>
      <c r="AL76" s="125" t="n">
        <f aca="false">INDEX($F76:$AG76,1,MATCH(AL$7,$F$7:$AG$7,1))</f>
        <v>1839.2829153605</v>
      </c>
      <c r="AM76" s="125" t="n">
        <f aca="false">INDEX($F76:$AG76,1,MATCH(AM$7,$F$7:$AG$7,1))</f>
        <v>1889.47884012539</v>
      </c>
      <c r="AN76" s="125" t="n">
        <f aca="false">INDEX($F76:$AG76,1,MATCH(AN$7,$F$7:$AG$7,1))</f>
        <v>1939.53761755486</v>
      </c>
      <c r="AO76" s="125" t="n">
        <f aca="false">INDEX($F76:$AG76,1,MATCH(AO$7,$F$7:$AG$7,1))</f>
        <v>1989.59639498433</v>
      </c>
    </row>
    <row r="77" customFormat="false" ht="15" hidden="false" customHeight="false" outlineLevel="0" collapsed="false">
      <c r="A77" s="107" t="s">
        <v>2337</v>
      </c>
      <c r="B77" s="22" t="s">
        <v>613</v>
      </c>
      <c r="C77" s="22" t="s">
        <v>604</v>
      </c>
      <c r="D77" s="22"/>
      <c r="F77" s="124" t="n">
        <f aca="false">F73*($S$17+($J$17-$S$17)*MIN(1,MAX(0,(F$4-$T$17)/($D$17-$T$17))))</f>
        <v>0</v>
      </c>
      <c r="G77" s="124" t="n">
        <f aca="false">G73*($S$17+($J$17-$S$17)*MIN(1,MAX(0,(G$4-$T$17)/($D$17-$T$17))))</f>
        <v>0</v>
      </c>
      <c r="H77" s="124" t="n">
        <f aca="false">H73*($S$17+($J$17-$S$17)*MIN(1,MAX(0,(H$4-$T$17)/($D$17-$T$17))))</f>
        <v>0</v>
      </c>
      <c r="I77" s="124" t="n">
        <f aca="false">I73*($S$17+($J$17-$S$17)*MIN(1,MAX(0,(I$4-$T$17)/($D$17-$T$17))))</f>
        <v>0</v>
      </c>
      <c r="J77" s="124" t="n">
        <f aca="false">J73*($S$17+($J$17-$S$17)*MIN(1,MAX(0,(J$4-$T$17)/($D$17-$T$17))))</f>
        <v>0</v>
      </c>
      <c r="K77" s="124" t="n">
        <f aca="false">K73*($S$17+($J$17-$S$17)*MIN(1,MAX(0,(K$4-$T$17)/($D$17-$T$17))))</f>
        <v>0</v>
      </c>
      <c r="L77" s="124" t="n">
        <f aca="false">L73*($S$17+($J$17-$S$17)*MIN(1,MAX(0,(L$4-$T$17)/($D$17-$T$17))))</f>
        <v>0</v>
      </c>
      <c r="M77" s="124" t="n">
        <f aca="false">M73*($S$17+($J$17-$S$17)*MIN(1,MAX(0,(M$4-$T$17)/($D$17-$T$17))))</f>
        <v>0</v>
      </c>
      <c r="N77" s="124" t="n">
        <f aca="false">N73*($S$17+($J$17-$S$17)*MIN(1,MAX(0,(N$4-$T$17)/($D$17-$T$17))))</f>
        <v>1744.69925</v>
      </c>
      <c r="O77" s="124" t="n">
        <f aca="false">O73*($S$17+($J$17-$S$17)*MIN(1,MAX(0,(O$4-$T$17)/($D$17-$T$17))))</f>
        <v>1744.69925</v>
      </c>
      <c r="P77" s="125" t="n">
        <f aca="false">P73*($S$17+($J$17-$S$17)*MIN(1,MAX(0,(P$4-$T$17)/($D$17-$T$17))))</f>
        <v>1758.04115571429</v>
      </c>
      <c r="Q77" s="125" t="n">
        <f aca="false">Q73*($S$17+($J$17-$S$17)*MIN(1,MAX(0,(Q$4-$T$17)/($D$17-$T$17))))</f>
        <v>1771.38306142857</v>
      </c>
      <c r="R77" s="125" t="n">
        <f aca="false">R73*($S$17+($J$17-$S$17)*MIN(1,MAX(0,(R$4-$T$17)/($D$17-$T$17))))</f>
        <v>1784.43492571429</v>
      </c>
      <c r="S77" s="125" t="n">
        <f aca="false">S73*($S$17+($J$17-$S$17)*MIN(1,MAX(0,(S$4-$T$17)/($D$17-$T$17))))</f>
        <v>1797.63181071429</v>
      </c>
      <c r="T77" s="125" t="n">
        <f aca="false">T73*($S$17+($J$17-$S$17)*MIN(1,MAX(0,(T$4-$T$17)/($D$17-$T$17))))</f>
        <v>1810.97371642857</v>
      </c>
      <c r="U77" s="125" t="n">
        <f aca="false">U73*($S$17+($J$17-$S$17)*MIN(1,MAX(0,(U$4-$T$17)/($D$17-$T$17))))</f>
        <v>1824.31562214286</v>
      </c>
      <c r="V77" s="125" t="n">
        <f aca="false">V73*($S$17+($J$17-$S$17)*MIN(1,MAX(0,(V$4-$T$17)/($D$17-$T$17))))</f>
        <v>1837.51250714286</v>
      </c>
      <c r="W77" s="125" t="n">
        <f aca="false">W73*($S$17+($J$17-$S$17)*MIN(1,MAX(0,(W$4-$T$17)/($D$17-$T$17))))</f>
        <v>1850.70939214286</v>
      </c>
      <c r="X77" s="125" t="n">
        <f aca="false">X73*($S$17+($J$17-$S$17)*MIN(1,MAX(0,(X$4-$T$17)/($D$17-$T$17))))</f>
        <v>1864.05129785714</v>
      </c>
      <c r="Y77" s="125" t="n">
        <f aca="false">Y73*($S$17+($J$17-$S$17)*MIN(1,MAX(0,(Y$4-$T$17)/($D$17-$T$17))))</f>
        <v>1877.39320357143</v>
      </c>
      <c r="Z77" s="125" t="n">
        <f aca="false">Z73*($S$17+($J$17-$S$17)*MIN(1,MAX(0,(Z$4-$T$17)/($D$17-$T$17))))</f>
        <v>1890.44506785714</v>
      </c>
      <c r="AA77" s="125" t="n">
        <f aca="false">AA73*($S$17+($J$17-$S$17)*MIN(1,MAX(0,(AA$4-$T$17)/($D$17-$T$17))))</f>
        <v>1903.64195285714</v>
      </c>
      <c r="AB77" s="125" t="n">
        <f aca="false">AB73*($S$17+($J$17-$S$17)*MIN(1,MAX(0,(AB$4-$T$17)/($D$17-$T$17))))</f>
        <v>1916.98385857143</v>
      </c>
      <c r="AC77" s="125" t="n">
        <f aca="false">AC73*($S$17+($J$17-$S$17)*MIN(1,MAX(0,(AC$4-$T$17)/($D$17-$T$17))))</f>
        <v>1930.32576428571</v>
      </c>
      <c r="AD77" s="125" t="n">
        <f aca="false">AD73*($S$17+($J$17-$S$17)*MIN(1,MAX(0,(AD$4-$T$17)/($D$17-$T$17))))</f>
        <v>1943.37762857143</v>
      </c>
      <c r="AE77" s="125" t="n">
        <f aca="false">AE73*($S$17+($J$17-$S$17)*MIN(1,MAX(0,(AE$4-$T$17)/($D$17-$T$17))))</f>
        <v>1956.57451357143</v>
      </c>
      <c r="AF77" s="125" t="n">
        <f aca="false">AF73*($S$17+($J$17-$S$17)*MIN(1,MAX(0,(AF$4-$T$17)/($D$17-$T$17))))</f>
        <v>1969.91641928571</v>
      </c>
      <c r="AG77" s="125" t="n">
        <f aca="false">AG73*($S$17+($J$17-$S$17)*MIN(1,MAX(0,(AG$4-$T$17)/($D$17-$T$17))))</f>
        <v>1983.258325</v>
      </c>
      <c r="AI77" s="125" t="n">
        <f aca="false">INDEX($F77:$AG77,1,MATCH(AI$7,$F$7:$AG$7,1))</f>
        <v>0</v>
      </c>
      <c r="AJ77" s="125" t="n">
        <f aca="false">INDEX($F77:$AG77,1,MATCH(AJ$7,$F$7:$AG$7,1))</f>
        <v>0</v>
      </c>
      <c r="AK77" s="125" t="n">
        <f aca="false">INDEX($F77:$AG77,1,MATCH(AK$7,$F$7:$AG$7,1))</f>
        <v>1771.38306142857</v>
      </c>
      <c r="AL77" s="125" t="n">
        <f aca="false">INDEX($F77:$AG77,1,MATCH(AL$7,$F$7:$AG$7,1))</f>
        <v>1824.31562214286</v>
      </c>
      <c r="AM77" s="125" t="n">
        <f aca="false">INDEX($F77:$AG77,1,MATCH(AM$7,$F$7:$AG$7,1))</f>
        <v>1877.39320357143</v>
      </c>
      <c r="AN77" s="125" t="n">
        <f aca="false">INDEX($F77:$AG77,1,MATCH(AN$7,$F$7:$AG$7,1))</f>
        <v>1930.32576428571</v>
      </c>
      <c r="AO77" s="125" t="n">
        <f aca="false">INDEX($F77:$AG77,1,MATCH(AO$7,$F$7:$AG$7,1))</f>
        <v>1983.258325</v>
      </c>
    </row>
    <row r="78" customFormat="false" ht="15" hidden="false" customHeight="false" outlineLevel="0" collapsed="false">
      <c r="A78" s="107" t="s">
        <v>2338</v>
      </c>
      <c r="B78" s="22" t="s">
        <v>613</v>
      </c>
      <c r="C78" s="22" t="s">
        <v>604</v>
      </c>
      <c r="D78" s="22"/>
      <c r="F78" s="124" t="n">
        <f aca="false">IF(F$5=$N$17,E73*$J$17*(1-$O$17),0)</f>
        <v>0</v>
      </c>
      <c r="G78" s="124" t="n">
        <f aca="false">IF(G$5=$N$17,F73*$J$17*(1-$O$17),0)</f>
        <v>0</v>
      </c>
      <c r="H78" s="124" t="n">
        <f aca="false">IF(H$5=$N$17,G73*$J$17*(1-$O$17),0)</f>
        <v>0</v>
      </c>
      <c r="I78" s="124" t="n">
        <f aca="false">IF(I$5=$N$17,H73*$J$17*(1-$O$17),0)</f>
        <v>0</v>
      </c>
      <c r="J78" s="124" t="n">
        <f aca="false">IF(J$5=$N$17,I73*$J$17*(1-$O$17),0)</f>
        <v>0</v>
      </c>
      <c r="K78" s="124" t="n">
        <f aca="false">IF(K$5=$N$17,J73*$J$17*(1-$O$17),0)</f>
        <v>0</v>
      </c>
      <c r="L78" s="124" t="n">
        <f aca="false">IF(L$5=$N$17,K73*$J$17*(1-$O$17),0)</f>
        <v>0</v>
      </c>
      <c r="M78" s="124" t="n">
        <f aca="false">IF(M$5=$N$17,L73*$J$17*(1-$O$17),0)</f>
        <v>0</v>
      </c>
      <c r="N78" s="124" t="n">
        <f aca="false">IF(N$5=$N$17,M73*$J$17*(1-$O$17),0)</f>
        <v>0</v>
      </c>
      <c r="O78" s="124" t="n">
        <f aca="false">IF(O$5=$N$17,N73*$J$17*(1-$O$17),0)</f>
        <v>0</v>
      </c>
      <c r="P78" s="125" t="n">
        <f aca="false">IF(P$5=$N$17,O73*$J$17*(1-$O$17),0)</f>
        <v>0</v>
      </c>
      <c r="Q78" s="125" t="n">
        <f aca="false">IF(Q$5=$N$17,P73*$J$17*(1-$O$17),0)</f>
        <v>0</v>
      </c>
      <c r="R78" s="125" t="n">
        <f aca="false">IF(R$5=$N$17,Q73*$J$17*(1-$O$17),0)</f>
        <v>0</v>
      </c>
      <c r="S78" s="125" t="n">
        <f aca="false">IF(S$5=$N$17,R73*$J$17*(1-$O$17),0)</f>
        <v>0</v>
      </c>
      <c r="T78" s="125" t="n">
        <f aca="false">IF(T$5=$N$17,S73*$J$17*(1-$O$17),0)</f>
        <v>0</v>
      </c>
      <c r="U78" s="125" t="n">
        <f aca="false">IF(U$5=$N$17,T73*$J$17*(1-$O$17),0)</f>
        <v>0</v>
      </c>
      <c r="V78" s="125" t="n">
        <f aca="false">IF(V$5=$N$17,U73*$J$17*(1-$O$17),0)</f>
        <v>0</v>
      </c>
      <c r="W78" s="125" t="n">
        <f aca="false">IF(W$5=$N$17,V73*$J$17*(1-$O$17),0)</f>
        <v>0</v>
      </c>
      <c r="X78" s="125" t="n">
        <f aca="false">IF(X$5=$N$17,W73*$J$17*(1-$O$17),0)</f>
        <v>0</v>
      </c>
      <c r="Y78" s="125" t="n">
        <f aca="false">IF(Y$5=$N$17,X73*$J$17*(1-$O$17),0)</f>
        <v>0</v>
      </c>
      <c r="Z78" s="125" t="n">
        <f aca="false">IF(Z$5=$N$17,Y73*$J$17*(1-$O$17),0)</f>
        <v>0</v>
      </c>
      <c r="AA78" s="125" t="n">
        <f aca="false">IF(AA$5=$N$17,Z73*$J$17*(1-$O$17),0)</f>
        <v>0</v>
      </c>
      <c r="AB78" s="125" t="n">
        <f aca="false">IF(AB$5=$N$17,AA73*$J$17*(1-$O$17),0)</f>
        <v>0</v>
      </c>
      <c r="AC78" s="125" t="n">
        <f aca="false">IF(AC$5=$N$17,AB73*$J$17*(1-$O$17),0)</f>
        <v>0</v>
      </c>
      <c r="AD78" s="125" t="n">
        <f aca="false">IF(AD$5=$N$17,AC73*$J$17*(1-$O$17),0)</f>
        <v>0</v>
      </c>
      <c r="AE78" s="125" t="n">
        <f aca="false">IF(AE$5=$N$17,AD73*$J$17*(1-$O$17),0)</f>
        <v>0</v>
      </c>
      <c r="AF78" s="125" t="n">
        <f aca="false">IF(AF$5=$N$17,AE73*$J$17*(1-$O$17),0)</f>
        <v>0</v>
      </c>
      <c r="AG78" s="125" t="n">
        <f aca="false">IF(AG$5=$N$17,AF73*$J$17*(1-$O$17),0)</f>
        <v>0</v>
      </c>
      <c r="AI78" s="125" t="n">
        <f aca="false">SUMIF($F$7:$AG$7,AI$7,$F78:$AG78)</f>
        <v>0</v>
      </c>
      <c r="AJ78" s="125" t="n">
        <f aca="false">SUMIF($F$7:$AG$7,AJ$7,$F78:$AG78)</f>
        <v>0</v>
      </c>
      <c r="AK78" s="125" t="n">
        <f aca="false">SUMIF($F$7:$AG$7,AK$7,$F78:$AG78)</f>
        <v>0</v>
      </c>
      <c r="AL78" s="125" t="n">
        <f aca="false">SUMIF($F$7:$AG$7,AL$7,$F78:$AG78)</f>
        <v>0</v>
      </c>
      <c r="AM78" s="125" t="n">
        <f aca="false">SUMIF($F$7:$AG$7,AM$7,$F78:$AG78)</f>
        <v>0</v>
      </c>
      <c r="AN78" s="125" t="n">
        <f aca="false">SUMIF($F$7:$AG$7,AN$7,$F78:$AG78)</f>
        <v>0</v>
      </c>
      <c r="AO78" s="125" t="n">
        <f aca="false">SUMIF($F$7:$AG$7,AO$7,$F78:$AG78)</f>
        <v>0</v>
      </c>
    </row>
    <row r="79" customFormat="false" ht="15" hidden="false" customHeight="false" outlineLevel="0" collapsed="false">
      <c r="A79" s="107" t="s">
        <v>2339</v>
      </c>
      <c r="B79" s="22" t="s">
        <v>635</v>
      </c>
      <c r="C79" s="22" t="s">
        <v>604</v>
      </c>
      <c r="D79" s="22"/>
      <c r="F79" s="140" t="n">
        <f aca="false">IF(F$5=$N$17,E73*$K$17/1000*$O$17,0)</f>
        <v>0</v>
      </c>
      <c r="G79" s="140" t="n">
        <f aca="false">IF(G$5=$N$17,F73*$K$17/1000*$O$17,0)</f>
        <v>0</v>
      </c>
      <c r="H79" s="140" t="n">
        <f aca="false">IF(H$5=$N$17,G73*$K$17/1000*$O$17,0)</f>
        <v>0</v>
      </c>
      <c r="I79" s="140" t="n">
        <f aca="false">IF(I$5=$N$17,H73*$K$17/1000*$O$17,0)</f>
        <v>0</v>
      </c>
      <c r="J79" s="140" t="n">
        <f aca="false">IF(J$5=$N$17,I73*$K$17/1000*$O$17,0)</f>
        <v>0</v>
      </c>
      <c r="K79" s="140" t="n">
        <f aca="false">IF(K$5=$N$17,J73*$K$17/1000*$O$17,0)</f>
        <v>0</v>
      </c>
      <c r="L79" s="140" t="n">
        <f aca="false">IF(L$5=$N$17,K73*$K$17/1000*$O$17,0)</f>
        <v>0</v>
      </c>
      <c r="M79" s="140" t="n">
        <f aca="false">IF(M$5=$N$17,L73*$K$17/1000*$O$17,0)</f>
        <v>0</v>
      </c>
      <c r="N79" s="140" t="n">
        <f aca="false">IF(N$5=$N$17,M73*$K$17/1000*$O$17,0)</f>
        <v>0</v>
      </c>
      <c r="O79" s="140" t="n">
        <f aca="false">IF(O$5=$N$17,N73*$K$17/1000*$O$17,0)</f>
        <v>0</v>
      </c>
      <c r="P79" s="47" t="n">
        <f aca="false">IF(P$5=$N$17,O73*$K$17/1000*$O$17,0)</f>
        <v>0</v>
      </c>
      <c r="Q79" s="47" t="n">
        <f aca="false">IF(Q$5=$N$17,P73*$K$17/1000*$O$17,0)</f>
        <v>0</v>
      </c>
      <c r="R79" s="47" t="n">
        <f aca="false">IF(R$5=$N$17,Q73*$K$17/1000*$O$17,0)</f>
        <v>0</v>
      </c>
      <c r="S79" s="47" t="n">
        <f aca="false">IF(S$5=$N$17,R73*$K$17/1000*$O$17,0)</f>
        <v>0</v>
      </c>
      <c r="T79" s="47" t="n">
        <f aca="false">IF(T$5=$N$17,S73*$K$17/1000*$O$17,0)</f>
        <v>0</v>
      </c>
      <c r="U79" s="47" t="n">
        <f aca="false">IF(U$5=$N$17,T73*$K$17/1000*$O$17,0)</f>
        <v>0</v>
      </c>
      <c r="V79" s="47" t="n">
        <f aca="false">IF(V$5=$N$17,U73*$K$17/1000*$O$17,0)</f>
        <v>0</v>
      </c>
      <c r="W79" s="47" t="n">
        <f aca="false">IF(W$5=$N$17,V73*$K$17/1000*$O$17,0)</f>
        <v>0</v>
      </c>
      <c r="X79" s="47" t="n">
        <f aca="false">IF(X$5=$N$17,W73*$K$17/1000*$O$17,0)</f>
        <v>0</v>
      </c>
      <c r="Y79" s="47" t="n">
        <f aca="false">IF(Y$5=$N$17,X73*$K$17/1000*$O$17,0)</f>
        <v>0</v>
      </c>
      <c r="Z79" s="47" t="n">
        <f aca="false">IF(Z$5=$N$17,Y73*$K$17/1000*$O$17,0)</f>
        <v>0</v>
      </c>
      <c r="AA79" s="47" t="n">
        <f aca="false">IF(AA$5=$N$17,Z73*$K$17/1000*$O$17,0)</f>
        <v>0</v>
      </c>
      <c r="AB79" s="47" t="n">
        <f aca="false">IF(AB$5=$N$17,AA73*$K$17/1000*$O$17,0)</f>
        <v>0</v>
      </c>
      <c r="AC79" s="47" t="n">
        <f aca="false">IF(AC$5=$N$17,AB73*$K$17/1000*$O$17,0)</f>
        <v>0</v>
      </c>
      <c r="AD79" s="47" t="n">
        <f aca="false">IF(AD$5=$N$17,AC73*$K$17/1000*$O$17,0)</f>
        <v>0</v>
      </c>
      <c r="AE79" s="47" t="n">
        <f aca="false">IF(AE$5=$N$17,AD73*$K$17/1000*$O$17,0)</f>
        <v>0</v>
      </c>
      <c r="AF79" s="47" t="n">
        <f aca="false">IF(AF$5=$N$17,AE73*$K$17/1000*$O$17,0)</f>
        <v>0</v>
      </c>
      <c r="AG79" s="47" t="n">
        <f aca="false">IF(AG$5=$N$17,AF73*$K$17/1000*$O$17,0)</f>
        <v>0</v>
      </c>
      <c r="AI79" s="47" t="n">
        <f aca="false">SUMIF($F$7:$AG$7,AI$7,$F79:$AG79)</f>
        <v>0</v>
      </c>
      <c r="AJ79" s="47" t="n">
        <f aca="false">SUMIF($F$7:$AG$7,AJ$7,$F79:$AG79)</f>
        <v>0</v>
      </c>
      <c r="AK79" s="47" t="n">
        <f aca="false">SUMIF($F$7:$AG$7,AK$7,$F79:$AG79)</f>
        <v>0</v>
      </c>
      <c r="AL79" s="47" t="n">
        <f aca="false">SUMIF($F$7:$AG$7,AL$7,$F79:$AG79)</f>
        <v>0</v>
      </c>
      <c r="AM79" s="47" t="n">
        <f aca="false">SUMIF($F$7:$AG$7,AM$7,$F79:$AG79)</f>
        <v>0</v>
      </c>
      <c r="AN79" s="47" t="n">
        <f aca="false">SUMIF($F$7:$AG$7,AN$7,$F79:$AG79)</f>
        <v>0</v>
      </c>
      <c r="AO79" s="47" t="n">
        <f aca="false">SUMIF($F$7:$AG$7,AO$7,$F79:$AG79)</f>
        <v>0</v>
      </c>
    </row>
    <row r="80" customFormat="false" ht="15" hidden="false" customHeight="false" outlineLevel="0" collapsed="false">
      <c r="A80" s="107" t="s">
        <v>2340</v>
      </c>
      <c r="B80" s="22" t="s">
        <v>635</v>
      </c>
      <c r="C80" s="22" t="s">
        <v>540</v>
      </c>
      <c r="D80" s="22"/>
      <c r="F80" s="140" t="n">
        <f aca="false">IF(DilMethod=3,MAX(0,F73*$K$17/1000*DilPx-F76)/DilPx,F73*$K$17/1000*$P$17)</f>
        <v>0</v>
      </c>
      <c r="G80" s="140" t="n">
        <f aca="false">IF(DilMethod=3,MAX(0,G73*$K$17/1000*DilPx-G76)/DilPx,G73*$K$17/1000*$P$17)</f>
        <v>0</v>
      </c>
      <c r="H80" s="140" t="n">
        <f aca="false">IF(DilMethod=3,MAX(0,H73*$K$17/1000*DilPx-H76)/DilPx,H73*$K$17/1000*$P$17)</f>
        <v>0</v>
      </c>
      <c r="I80" s="140" t="n">
        <f aca="false">IF(DilMethod=3,MAX(0,I73*$K$17/1000*DilPx-I76)/DilPx,I73*$K$17/1000*$P$17)</f>
        <v>0</v>
      </c>
      <c r="J80" s="140" t="n">
        <f aca="false">IF(DilMethod=3,MAX(0,J73*$K$17/1000*DilPx-J76)/DilPx,J73*$K$17/1000*$P$17)</f>
        <v>0</v>
      </c>
      <c r="K80" s="140" t="n">
        <f aca="false">IF(DilMethod=3,MAX(0,K73*$K$17/1000*DilPx-K76)/DilPx,K73*$K$17/1000*$P$17)</f>
        <v>0</v>
      </c>
      <c r="L80" s="140" t="n">
        <f aca="false">IF(DilMethod=3,MAX(0,L73*$K$17/1000*DilPx-L76)/DilPx,L73*$K$17/1000*$P$17)</f>
        <v>0</v>
      </c>
      <c r="M80" s="140" t="n">
        <f aca="false">IF(DilMethod=3,MAX(0,M73*$K$17/1000*DilPx-M76)/DilPx,M73*$K$17/1000*$P$17)</f>
        <v>0</v>
      </c>
      <c r="N80" s="140" t="n">
        <f aca="false">IF(DilMethod=3,MAX(0,N73*$K$17/1000*DilPx-N76)/DilPx,N73*$K$17/1000*$P$17)</f>
        <v>0</v>
      </c>
      <c r="O80" s="140" t="n">
        <f aca="false">IF(DilMethod=3,MAX(0,O73*$K$17/1000*DilPx-O76)/DilPx,O73*$K$17/1000*$P$17)</f>
        <v>0</v>
      </c>
      <c r="P80" s="47" t="n">
        <f aca="false">IF(DilMethod=3,MAX(0,P73*$K$17/1000*DilPx-P76)/DilPx,P73*$K$17/1000*$P$17)</f>
        <v>0</v>
      </c>
      <c r="Q80" s="47" t="n">
        <f aca="false">IF(DilMethod=3,MAX(0,Q73*$K$17/1000*DilPx-Q76)/DilPx,Q73*$K$17/1000*$P$17)</f>
        <v>0</v>
      </c>
      <c r="R80" s="47" t="n">
        <f aca="false">IF(DilMethod=3,MAX(0,R73*$K$17/1000*DilPx-R76)/DilPx,R73*$K$17/1000*$P$17)</f>
        <v>0</v>
      </c>
      <c r="S80" s="47" t="n">
        <f aca="false">IF(DilMethod=3,MAX(0,S73*$K$17/1000*DilPx-S76)/DilPx,S73*$K$17/1000*$P$17)</f>
        <v>0</v>
      </c>
      <c r="T80" s="47" t="n">
        <f aca="false">IF(DilMethod=3,MAX(0,T73*$K$17/1000*DilPx-T76)/DilPx,T73*$K$17/1000*$P$17)</f>
        <v>0</v>
      </c>
      <c r="U80" s="47" t="n">
        <f aca="false">IF(DilMethod=3,MAX(0,U73*$K$17/1000*DilPx-U76)/DilPx,U73*$K$17/1000*$P$17)</f>
        <v>0</v>
      </c>
      <c r="V80" s="47" t="n">
        <f aca="false">IF(DilMethod=3,MAX(0,V73*$K$17/1000*DilPx-V76)/DilPx,V73*$K$17/1000*$P$17)</f>
        <v>0</v>
      </c>
      <c r="W80" s="47" t="n">
        <f aca="false">IF(DilMethod=3,MAX(0,W73*$K$17/1000*DilPx-W76)/DilPx,W73*$K$17/1000*$P$17)</f>
        <v>0</v>
      </c>
      <c r="X80" s="47" t="n">
        <f aca="false">IF(DilMethod=3,MAX(0,X73*$K$17/1000*DilPx-X76)/DilPx,X73*$K$17/1000*$P$17)</f>
        <v>0</v>
      </c>
      <c r="Y80" s="47" t="n">
        <f aca="false">IF(DilMethod=3,MAX(0,Y73*$K$17/1000*DilPx-Y76)/DilPx,Y73*$K$17/1000*$P$17)</f>
        <v>0</v>
      </c>
      <c r="Z80" s="47" t="n">
        <f aca="false">IF(DilMethod=3,MAX(0,Z73*$K$17/1000*DilPx-Z76)/DilPx,Z73*$K$17/1000*$P$17)</f>
        <v>0</v>
      </c>
      <c r="AA80" s="47" t="n">
        <f aca="false">IF(DilMethod=3,MAX(0,AA73*$K$17/1000*DilPx-AA76)/DilPx,AA73*$K$17/1000*$P$17)</f>
        <v>0</v>
      </c>
      <c r="AB80" s="47" t="n">
        <f aca="false">IF(DilMethod=3,MAX(0,AB73*$K$17/1000*DilPx-AB76)/DilPx,AB73*$K$17/1000*$P$17)</f>
        <v>0</v>
      </c>
      <c r="AC80" s="47" t="n">
        <f aca="false">IF(DilMethod=3,MAX(0,AC73*$K$17/1000*DilPx-AC76)/DilPx,AC73*$K$17/1000*$P$17)</f>
        <v>0</v>
      </c>
      <c r="AD80" s="47" t="n">
        <f aca="false">IF(DilMethod=3,MAX(0,AD73*$K$17/1000*DilPx-AD76)/DilPx,AD73*$K$17/1000*$P$17)</f>
        <v>0</v>
      </c>
      <c r="AE80" s="47" t="n">
        <f aca="false">IF(DilMethod=3,MAX(0,AE73*$K$17/1000*DilPx-AE76)/DilPx,AE73*$K$17/1000*$P$17)</f>
        <v>0</v>
      </c>
      <c r="AF80" s="47" t="n">
        <f aca="false">IF(DilMethod=3,MAX(0,AF73*$K$17/1000*DilPx-AF76)/DilPx,AF73*$K$17/1000*$P$17)</f>
        <v>0</v>
      </c>
      <c r="AG80" s="47" t="n">
        <f aca="false">IF(DilMethod=3,MAX(0,AG73*$K$17/1000*DilPx-AG76)/DilPx,AG73*$K$17/1000*$P$17)</f>
        <v>0</v>
      </c>
      <c r="AI80" s="47" t="n">
        <f aca="false">INDEX($F80:$AG80,1,MATCH(AI$7,$F$7:$AG$7,1))</f>
        <v>0</v>
      </c>
      <c r="AJ80" s="47" t="n">
        <f aca="false">INDEX($F80:$AG80,1,MATCH(AJ$7,$F$7:$AG$7,1))</f>
        <v>0</v>
      </c>
      <c r="AK80" s="47" t="n">
        <f aca="false">INDEX($F80:$AG80,1,MATCH(AK$7,$F$7:$AG$7,1))</f>
        <v>0</v>
      </c>
      <c r="AL80" s="47" t="n">
        <f aca="false">INDEX($F80:$AG80,1,MATCH(AL$7,$F$7:$AG$7,1))</f>
        <v>0</v>
      </c>
      <c r="AM80" s="47" t="n">
        <f aca="false">INDEX($F80:$AG80,1,MATCH(AM$7,$F$7:$AG$7,1))</f>
        <v>0</v>
      </c>
      <c r="AN80" s="47" t="n">
        <f aca="false">INDEX($F80:$AG80,1,MATCH(AN$7,$F$7:$AG$7,1))</f>
        <v>0</v>
      </c>
      <c r="AO80" s="47" t="n">
        <f aca="false">INDEX($F80:$AG80,1,MATCH(AO$7,$F$7:$AG$7,1))</f>
        <v>0</v>
      </c>
    </row>
    <row r="81" customFormat="false" ht="15" hidden="false" customHeight="false" outlineLevel="0" collapsed="false">
      <c r="A81" s="107" t="s">
        <v>2341</v>
      </c>
      <c r="B81" s="22" t="s">
        <v>613</v>
      </c>
      <c r="C81" s="22" t="s">
        <v>540</v>
      </c>
      <c r="D81" s="22"/>
      <c r="F81" s="124" t="n">
        <f aca="false">F76*IF(DilMethod=3,1,1-$P$17)</f>
        <v>0</v>
      </c>
      <c r="G81" s="124" t="n">
        <f aca="false">G76*IF(DilMethod=3,1,1-$P$17)</f>
        <v>0</v>
      </c>
      <c r="H81" s="124" t="n">
        <f aca="false">H76*IF(DilMethod=3,1,1-$P$17)</f>
        <v>0</v>
      </c>
      <c r="I81" s="124" t="n">
        <f aca="false">I76*IF(DilMethod=3,1,1-$P$17)</f>
        <v>0</v>
      </c>
      <c r="J81" s="124" t="n">
        <f aca="false">J76*IF(DilMethod=3,1,1-$P$17)</f>
        <v>0</v>
      </c>
      <c r="K81" s="124" t="n">
        <f aca="false">K76*IF(DilMethod=3,1,1-$P$17)</f>
        <v>0</v>
      </c>
      <c r="L81" s="124" t="n">
        <f aca="false">L76*IF(DilMethod=3,1,1-$P$17)</f>
        <v>0</v>
      </c>
      <c r="M81" s="124" t="n">
        <f aca="false">M76*IF(DilMethod=3,1,1-$P$17)</f>
        <v>0</v>
      </c>
      <c r="N81" s="124" t="n">
        <f aca="false">N76*IF(DilMethod=3,1,1-$P$17)</f>
        <v>1751.50862068966</v>
      </c>
      <c r="O81" s="124" t="n">
        <f aca="false">O76*IF(DilMethod=3,1,1-$P$17)</f>
        <v>1763.98902821317</v>
      </c>
      <c r="P81" s="125" t="n">
        <f aca="false">P76*IF(DilMethod=3,1,1-$P$17)</f>
        <v>1776.6065830721</v>
      </c>
      <c r="Q81" s="125" t="n">
        <f aca="false">Q76*IF(DilMethod=3,1,1-$P$17)</f>
        <v>1789.22413793103</v>
      </c>
      <c r="R81" s="125" t="n">
        <f aca="false">R76*IF(DilMethod=3,1,1-$P$17)</f>
        <v>1801.56739811912</v>
      </c>
      <c r="S81" s="125" t="n">
        <f aca="false">S76*IF(DilMethod=3,1,1-$P$17)</f>
        <v>1814.04780564263</v>
      </c>
      <c r="T81" s="125" t="n">
        <f aca="false">T76*IF(DilMethod=3,1,1-$P$17)</f>
        <v>1826.66536050157</v>
      </c>
      <c r="U81" s="125" t="n">
        <f aca="false">U76*IF(DilMethod=3,1,1-$P$17)</f>
        <v>1839.2829153605</v>
      </c>
      <c r="V81" s="125" t="n">
        <f aca="false">V76*IF(DilMethod=3,1,1-$P$17)</f>
        <v>1851.76332288401</v>
      </c>
      <c r="W81" s="125" t="n">
        <f aca="false">W76*IF(DilMethod=3,1,1-$P$17)</f>
        <v>1864.24373040752</v>
      </c>
      <c r="X81" s="125" t="n">
        <f aca="false">X76*IF(DilMethod=3,1,1-$P$17)</f>
        <v>1876.86128526646</v>
      </c>
      <c r="Y81" s="125" t="n">
        <f aca="false">Y76*IF(DilMethod=3,1,1-$P$17)</f>
        <v>1889.47884012539</v>
      </c>
      <c r="Z81" s="125" t="n">
        <f aca="false">Z76*IF(DilMethod=3,1,1-$P$17)</f>
        <v>1901.82210031348</v>
      </c>
      <c r="AA81" s="125" t="n">
        <f aca="false">AA76*IF(DilMethod=3,1,1-$P$17)</f>
        <v>1914.30250783699</v>
      </c>
      <c r="AB81" s="125" t="n">
        <f aca="false">AB76*IF(DilMethod=3,1,1-$P$17)</f>
        <v>1926.92006269592</v>
      </c>
      <c r="AC81" s="125" t="n">
        <f aca="false">AC76*IF(DilMethod=3,1,1-$P$17)</f>
        <v>1939.53761755486</v>
      </c>
      <c r="AD81" s="125" t="n">
        <f aca="false">AD76*IF(DilMethod=3,1,1-$P$17)</f>
        <v>1951.88087774295</v>
      </c>
      <c r="AE81" s="125" t="n">
        <f aca="false">AE76*IF(DilMethod=3,1,1-$P$17)</f>
        <v>1964.36128526646</v>
      </c>
      <c r="AF81" s="125" t="n">
        <f aca="false">AF76*IF(DilMethod=3,1,1-$P$17)</f>
        <v>1976.97884012539</v>
      </c>
      <c r="AG81" s="125" t="n">
        <f aca="false">AG76*IF(DilMethod=3,1,1-$P$17)</f>
        <v>1989.59639498433</v>
      </c>
      <c r="AI81" s="125" t="n">
        <f aca="false">INDEX($F81:$AG81,1,MATCH(AI$7,$F$7:$AG$7,1))</f>
        <v>0</v>
      </c>
      <c r="AJ81" s="125" t="n">
        <f aca="false">INDEX($F81:$AG81,1,MATCH(AJ$7,$F$7:$AG$7,1))</f>
        <v>0</v>
      </c>
      <c r="AK81" s="125" t="n">
        <f aca="false">INDEX($F81:$AG81,1,MATCH(AK$7,$F$7:$AG$7,1))</f>
        <v>1789.22413793103</v>
      </c>
      <c r="AL81" s="125" t="n">
        <f aca="false">INDEX($F81:$AG81,1,MATCH(AL$7,$F$7:$AG$7,1))</f>
        <v>1839.2829153605</v>
      </c>
      <c r="AM81" s="125" t="n">
        <f aca="false">INDEX($F81:$AG81,1,MATCH(AM$7,$F$7:$AG$7,1))</f>
        <v>1889.47884012539</v>
      </c>
      <c r="AN81" s="125" t="n">
        <f aca="false">INDEX($F81:$AG81,1,MATCH(AN$7,$F$7:$AG$7,1))</f>
        <v>1939.53761755486</v>
      </c>
      <c r="AO81" s="125" t="n">
        <f aca="false">INDEX($F81:$AG81,1,MATCH(AO$7,$F$7:$AG$7,1))</f>
        <v>1989.59639498433</v>
      </c>
    </row>
    <row r="82" customFormat="false" ht="15" hidden="false" customHeight="false" outlineLevel="0" collapsed="false">
      <c r="A82" s="107" t="s">
        <v>2342</v>
      </c>
      <c r="B82" s="22" t="s">
        <v>613</v>
      </c>
      <c r="C82" s="22" t="s">
        <v>604</v>
      </c>
      <c r="D82" s="22"/>
      <c r="F82" s="124" t="n">
        <f aca="false">IF(AND(F$5&gt;=$M$18,F$5&lt;$N$18),$E$18-$F$18-IF(F$5&gt;=$H$18,$G$18,0),0)*($H$18&lt;&gt;0)+IF(AND(F$5&gt;=$M$18,F$5&lt;$N$18),$E$18-$F$18,0)*($H$18=0)</f>
        <v>0</v>
      </c>
      <c r="G82" s="124" t="n">
        <f aca="false">IF(AND(G$5&gt;=$M$18,G$5&lt;$N$18),$E$18-$F$18-IF(G$5&gt;=$H$18,$G$18,0),0)*($H$18&lt;&gt;0)+IF(AND(G$5&gt;=$M$18,G$5&lt;$N$18),$E$18-$F$18,0)*($H$18=0)</f>
        <v>0</v>
      </c>
      <c r="H82" s="124" t="n">
        <f aca="false">IF(AND(H$5&gt;=$M$18,H$5&lt;$N$18),$E$18-$F$18-IF(H$5&gt;=$H$18,$G$18,0),0)*($H$18&lt;&gt;0)+IF(AND(H$5&gt;=$M$18,H$5&lt;$N$18),$E$18-$F$18,0)*($H$18=0)</f>
        <v>0</v>
      </c>
      <c r="I82" s="124" t="n">
        <f aca="false">IF(AND(I$5&gt;=$M$18,I$5&lt;$N$18),$E$18-$F$18-IF(I$5&gt;=$H$18,$G$18,0),0)*($H$18&lt;&gt;0)+IF(AND(I$5&gt;=$M$18,I$5&lt;$N$18),$E$18-$F$18,0)*($H$18=0)</f>
        <v>0</v>
      </c>
      <c r="J82" s="124" t="n">
        <f aca="false">IF(AND(J$5&gt;=$M$18,J$5&lt;$N$18),$E$18-$F$18-IF(J$5&gt;=$H$18,$G$18,0),0)*($H$18&lt;&gt;0)+IF(AND(J$5&gt;=$M$18,J$5&lt;$N$18),$E$18-$F$18,0)*($H$18=0)</f>
        <v>0</v>
      </c>
      <c r="K82" s="124" t="n">
        <f aca="false">IF(AND(K$5&gt;=$M$18,K$5&lt;$N$18),$E$18-$F$18-IF(K$5&gt;=$H$18,$G$18,0),0)*($H$18&lt;&gt;0)+IF(AND(K$5&gt;=$M$18,K$5&lt;$N$18),$E$18-$F$18,0)*($H$18=0)</f>
        <v>0</v>
      </c>
      <c r="L82" s="124" t="n">
        <f aca="false">IF(AND(L$5&gt;=$M$18,L$5&lt;$N$18),$E$18-$F$18-IF(L$5&gt;=$H$18,$G$18,0),0)*($H$18&lt;&gt;0)+IF(AND(L$5&gt;=$M$18,L$5&lt;$N$18),$E$18-$F$18,0)*($H$18=0)</f>
        <v>0</v>
      </c>
      <c r="M82" s="124" t="n">
        <f aca="false">IF(AND(M$5&gt;=$M$18,M$5&lt;$N$18),$E$18-$F$18-IF(M$5&gt;=$H$18,$G$18,0),0)*($H$18&lt;&gt;0)+IF(AND(M$5&gt;=$M$18,M$5&lt;$N$18),$E$18-$F$18,0)*($H$18=0)</f>
        <v>0</v>
      </c>
      <c r="N82" s="124" t="n">
        <f aca="false">IF(AND(N$5&gt;=$M$18,N$5&lt;$N$18),$E$18-$F$18-IF(N$5&gt;=$H$18,$G$18,0),0)*($H$18&lt;&gt;0)+IF(AND(N$5&gt;=$M$18,N$5&lt;$N$18),$E$18-$F$18,0)*($H$18=0)</f>
        <v>0</v>
      </c>
      <c r="O82" s="124" t="n">
        <f aca="false">IF(AND(O$5&gt;=$M$18,O$5&lt;$N$18),$E$18-$F$18-IF(O$5&gt;=$H$18,$G$18,0),0)*($H$18&lt;&gt;0)+IF(AND(O$5&gt;=$M$18,O$5&lt;$N$18),$E$18-$F$18,0)*($H$18=0)</f>
        <v>0</v>
      </c>
      <c r="P82" s="125" t="n">
        <f aca="false">IF(AND(P$5&gt;=$M$18,P$5&lt;$N$18),$E$18-$F$18-IF(P$5&gt;=$H$18,$G$18,0),0)*($H$18&lt;&gt;0)+IF(AND(P$5&gt;=$M$18,P$5&lt;$N$18),$E$18-$F$18,0)*($H$18=0)</f>
        <v>3450</v>
      </c>
      <c r="Q82" s="125" t="n">
        <f aca="false">IF(AND(Q$5&gt;=$M$18,Q$5&lt;$N$18),$E$18-$F$18-IF(Q$5&gt;=$H$18,$G$18,0),0)*($H$18&lt;&gt;0)+IF(AND(Q$5&gt;=$M$18,Q$5&lt;$N$18),$E$18-$F$18,0)*($H$18=0)</f>
        <v>3450</v>
      </c>
      <c r="R82" s="125" t="n">
        <f aca="false">IF(AND(R$5&gt;=$M$18,R$5&lt;$N$18),$E$18-$F$18-IF(R$5&gt;=$H$18,$G$18,0),0)*($H$18&lt;&gt;0)+IF(AND(R$5&gt;=$M$18,R$5&lt;$N$18),$E$18-$F$18,0)*($H$18=0)</f>
        <v>3450</v>
      </c>
      <c r="S82" s="125" t="n">
        <f aca="false">IF(AND(S$5&gt;=$M$18,S$5&lt;$N$18),$E$18-$F$18-IF(S$5&gt;=$H$18,$G$18,0),0)*($H$18&lt;&gt;0)+IF(AND(S$5&gt;=$M$18,S$5&lt;$N$18),$E$18-$F$18,0)*($H$18=0)</f>
        <v>3450</v>
      </c>
      <c r="T82" s="125" t="n">
        <f aca="false">IF(AND(T$5&gt;=$M$18,T$5&lt;$N$18),$E$18-$F$18-IF(T$5&gt;=$H$18,$G$18,0),0)*($H$18&lt;&gt;0)+IF(AND(T$5&gt;=$M$18,T$5&lt;$N$18),$E$18-$F$18,0)*($H$18=0)</f>
        <v>3450</v>
      </c>
      <c r="U82" s="125" t="n">
        <f aca="false">IF(AND(U$5&gt;=$M$18,U$5&lt;$N$18),$E$18-$F$18-IF(U$5&gt;=$H$18,$G$18,0),0)*($H$18&lt;&gt;0)+IF(AND(U$5&gt;=$M$18,U$5&lt;$N$18),$E$18-$F$18,0)*($H$18=0)</f>
        <v>3450</v>
      </c>
      <c r="V82" s="125" t="n">
        <f aca="false">IF(AND(V$5&gt;=$M$18,V$5&lt;$N$18),$E$18-$F$18-IF(V$5&gt;=$H$18,$G$18,0),0)*($H$18&lt;&gt;0)+IF(AND(V$5&gt;=$M$18,V$5&lt;$N$18),$E$18-$F$18,0)*($H$18=0)</f>
        <v>3450</v>
      </c>
      <c r="W82" s="125" t="n">
        <f aca="false">IF(AND(W$5&gt;=$M$18,W$5&lt;$N$18),$E$18-$F$18-IF(W$5&gt;=$H$18,$G$18,0),0)*($H$18&lt;&gt;0)+IF(AND(W$5&gt;=$M$18,W$5&lt;$N$18),$E$18-$F$18,0)*($H$18=0)</f>
        <v>3450</v>
      </c>
      <c r="X82" s="125" t="n">
        <f aca="false">IF(AND(X$5&gt;=$M$18,X$5&lt;$N$18),$E$18-$F$18-IF(X$5&gt;=$H$18,$G$18,0),0)*($H$18&lt;&gt;0)+IF(AND(X$5&gt;=$M$18,X$5&lt;$N$18),$E$18-$F$18,0)*($H$18=0)</f>
        <v>3450</v>
      </c>
      <c r="Y82" s="125" t="n">
        <f aca="false">IF(AND(Y$5&gt;=$M$18,Y$5&lt;$N$18),$E$18-$F$18-IF(Y$5&gt;=$H$18,$G$18,0),0)*($H$18&lt;&gt;0)+IF(AND(Y$5&gt;=$M$18,Y$5&lt;$N$18),$E$18-$F$18,0)*($H$18=0)</f>
        <v>3450</v>
      </c>
      <c r="Z82" s="125" t="n">
        <f aca="false">IF(AND(Z$5&gt;=$M$18,Z$5&lt;$N$18),$E$18-$F$18-IF(Z$5&gt;=$H$18,$G$18,0),0)*($H$18&lt;&gt;0)+IF(AND(Z$5&gt;=$M$18,Z$5&lt;$N$18),$E$18-$F$18,0)*($H$18=0)</f>
        <v>3450</v>
      </c>
      <c r="AA82" s="125" t="n">
        <f aca="false">IF(AND(AA$5&gt;=$M$18,AA$5&lt;$N$18),$E$18-$F$18-IF(AA$5&gt;=$H$18,$G$18,0),0)*($H$18&lt;&gt;0)+IF(AND(AA$5&gt;=$M$18,AA$5&lt;$N$18),$E$18-$F$18,0)*($H$18=0)</f>
        <v>3450</v>
      </c>
      <c r="AB82" s="125" t="n">
        <f aca="false">IF(AND(AB$5&gt;=$M$18,AB$5&lt;$N$18),$E$18-$F$18-IF(AB$5&gt;=$H$18,$G$18,0),0)*($H$18&lt;&gt;0)+IF(AND(AB$5&gt;=$M$18,AB$5&lt;$N$18),$E$18-$F$18,0)*($H$18=0)</f>
        <v>3450</v>
      </c>
      <c r="AC82" s="125" t="n">
        <f aca="false">IF(AND(AC$5&gt;=$M$18,AC$5&lt;$N$18),$E$18-$F$18-IF(AC$5&gt;=$H$18,$G$18,0),0)*($H$18&lt;&gt;0)+IF(AND(AC$5&gt;=$M$18,AC$5&lt;$N$18),$E$18-$F$18,0)*($H$18=0)</f>
        <v>3450</v>
      </c>
      <c r="AD82" s="125" t="n">
        <f aca="false">IF(AND(AD$5&gt;=$M$18,AD$5&lt;$N$18),$E$18-$F$18-IF(AD$5&gt;=$H$18,$G$18,0),0)*($H$18&lt;&gt;0)+IF(AND(AD$5&gt;=$M$18,AD$5&lt;$N$18),$E$18-$F$18,0)*($H$18=0)</f>
        <v>0</v>
      </c>
      <c r="AE82" s="125" t="n">
        <f aca="false">IF(AND(AE$5&gt;=$M$18,AE$5&lt;$N$18),$E$18-$F$18-IF(AE$5&gt;=$H$18,$G$18,0),0)*($H$18&lt;&gt;0)+IF(AND(AE$5&gt;=$M$18,AE$5&lt;$N$18),$E$18-$F$18,0)*($H$18=0)</f>
        <v>0</v>
      </c>
      <c r="AF82" s="125" t="n">
        <f aca="false">IF(AND(AF$5&gt;=$M$18,AF$5&lt;$N$18),$E$18-$F$18-IF(AF$5&gt;=$H$18,$G$18,0),0)*($H$18&lt;&gt;0)+IF(AND(AF$5&gt;=$M$18,AF$5&lt;$N$18),$E$18-$F$18,0)*($H$18=0)</f>
        <v>0</v>
      </c>
      <c r="AG82" s="125" t="n">
        <f aca="false">IF(AND(AG$5&gt;=$M$18,AG$5&lt;$N$18),$E$18-$F$18-IF(AG$5&gt;=$H$18,$G$18,0),0)*($H$18&lt;&gt;0)+IF(AND(AG$5&gt;=$M$18,AG$5&lt;$N$18),$E$18-$F$18,0)*($H$18=0)</f>
        <v>0</v>
      </c>
      <c r="AI82" s="125" t="n">
        <f aca="false">INDEX($F82:$AG82,1,MATCH(AI$7,$F$7:$AG$7,1))</f>
        <v>0</v>
      </c>
      <c r="AJ82" s="125" t="n">
        <f aca="false">INDEX($F82:$AG82,1,MATCH(AJ$7,$F$7:$AG$7,1))</f>
        <v>0</v>
      </c>
      <c r="AK82" s="125" t="n">
        <f aca="false">INDEX($F82:$AG82,1,MATCH(AK$7,$F$7:$AG$7,1))</f>
        <v>3450</v>
      </c>
      <c r="AL82" s="125" t="n">
        <f aca="false">INDEX($F82:$AG82,1,MATCH(AL$7,$F$7:$AG$7,1))</f>
        <v>3450</v>
      </c>
      <c r="AM82" s="125" t="n">
        <f aca="false">INDEX($F82:$AG82,1,MATCH(AM$7,$F$7:$AG$7,1))</f>
        <v>3450</v>
      </c>
      <c r="AN82" s="125" t="n">
        <f aca="false">INDEX($F82:$AG82,1,MATCH(AN$7,$F$7:$AG$7,1))</f>
        <v>3450</v>
      </c>
      <c r="AO82" s="125" t="n">
        <f aca="false">INDEX($F82:$AG82,1,MATCH(AO$7,$F$7:$AG$7,1))</f>
        <v>0</v>
      </c>
    </row>
    <row r="83" customFormat="false" ht="15" hidden="false" customHeight="false" outlineLevel="0" collapsed="false">
      <c r="A83" s="107" t="s">
        <v>2343</v>
      </c>
      <c r="B83" s="22" t="s">
        <v>613</v>
      </c>
      <c r="C83" s="22" t="s">
        <v>604</v>
      </c>
      <c r="D83" s="22"/>
      <c r="F83" s="124" t="n">
        <f aca="false">F82*$C$18/4</f>
        <v>0</v>
      </c>
      <c r="G83" s="124" t="n">
        <f aca="false">G82*$C$18/4</f>
        <v>0</v>
      </c>
      <c r="H83" s="124" t="n">
        <f aca="false">H82*$C$18/4</f>
        <v>0</v>
      </c>
      <c r="I83" s="124" t="n">
        <f aca="false">I82*$C$18/4</f>
        <v>0</v>
      </c>
      <c r="J83" s="124" t="n">
        <f aca="false">J82*$C$18/4</f>
        <v>0</v>
      </c>
      <c r="K83" s="124" t="n">
        <f aca="false">K82*$C$18/4</f>
        <v>0</v>
      </c>
      <c r="L83" s="124" t="n">
        <f aca="false">L82*$C$18/4</f>
        <v>0</v>
      </c>
      <c r="M83" s="124" t="n">
        <f aca="false">M82*$C$18/4</f>
        <v>0</v>
      </c>
      <c r="N83" s="124" t="n">
        <f aca="false">N82*$C$18/4</f>
        <v>0</v>
      </c>
      <c r="O83" s="124" t="n">
        <f aca="false">O82*$C$18/4</f>
        <v>0</v>
      </c>
      <c r="P83" s="125" t="n">
        <f aca="false">P82*$C$18/4</f>
        <v>4.3125</v>
      </c>
      <c r="Q83" s="125" t="n">
        <f aca="false">Q82*$C$18/4</f>
        <v>4.3125</v>
      </c>
      <c r="R83" s="125" t="n">
        <f aca="false">R82*$C$18/4</f>
        <v>4.3125</v>
      </c>
      <c r="S83" s="125" t="n">
        <f aca="false">S82*$C$18/4</f>
        <v>4.3125</v>
      </c>
      <c r="T83" s="125" t="n">
        <f aca="false">T82*$C$18/4</f>
        <v>4.3125</v>
      </c>
      <c r="U83" s="125" t="n">
        <f aca="false">U82*$C$18/4</f>
        <v>4.3125</v>
      </c>
      <c r="V83" s="125" t="n">
        <f aca="false">V82*$C$18/4</f>
        <v>4.3125</v>
      </c>
      <c r="W83" s="125" t="n">
        <f aca="false">W82*$C$18/4</f>
        <v>4.3125</v>
      </c>
      <c r="X83" s="125" t="n">
        <f aca="false">X82*$C$18/4</f>
        <v>4.3125</v>
      </c>
      <c r="Y83" s="125" t="n">
        <f aca="false">Y82*$C$18/4</f>
        <v>4.3125</v>
      </c>
      <c r="Z83" s="125" t="n">
        <f aca="false">Z82*$C$18/4</f>
        <v>4.3125</v>
      </c>
      <c r="AA83" s="125" t="n">
        <f aca="false">AA82*$C$18/4</f>
        <v>4.3125</v>
      </c>
      <c r="AB83" s="125" t="n">
        <f aca="false">AB82*$C$18/4</f>
        <v>4.3125</v>
      </c>
      <c r="AC83" s="125" t="n">
        <f aca="false">AC82*$C$18/4</f>
        <v>4.3125</v>
      </c>
      <c r="AD83" s="125" t="n">
        <f aca="false">AD82*$C$18/4</f>
        <v>0</v>
      </c>
      <c r="AE83" s="125" t="n">
        <f aca="false">AE82*$C$18/4</f>
        <v>0</v>
      </c>
      <c r="AF83" s="125" t="n">
        <f aca="false">AF82*$C$18/4</f>
        <v>0</v>
      </c>
      <c r="AG83" s="125" t="n">
        <f aca="false">AG82*$C$18/4</f>
        <v>0</v>
      </c>
      <c r="AI83" s="125" t="n">
        <f aca="false">SUMIF($F$7:$AG$7,AI$7,$F83:$AG83)</f>
        <v>0</v>
      </c>
      <c r="AJ83" s="125" t="n">
        <f aca="false">SUMIF($F$7:$AG$7,AJ$7,$F83:$AG83)</f>
        <v>0</v>
      </c>
      <c r="AK83" s="125" t="n">
        <f aca="false">SUMIF($F$7:$AG$7,AK$7,$F83:$AG83)</f>
        <v>8.625</v>
      </c>
      <c r="AL83" s="125" t="n">
        <f aca="false">SUMIF($F$7:$AG$7,AL$7,$F83:$AG83)</f>
        <v>17.25</v>
      </c>
      <c r="AM83" s="125" t="n">
        <f aca="false">SUMIF($F$7:$AG$7,AM$7,$F83:$AG83)</f>
        <v>17.25</v>
      </c>
      <c r="AN83" s="125" t="n">
        <f aca="false">SUMIF($F$7:$AG$7,AN$7,$F83:$AG83)</f>
        <v>17.25</v>
      </c>
      <c r="AO83" s="125" t="n">
        <f aca="false">SUMIF($F$7:$AG$7,AO$7,$F83:$AG83)</f>
        <v>0</v>
      </c>
    </row>
    <row r="84" customFormat="false" ht="15" hidden="false" customHeight="false" outlineLevel="0" collapsed="false">
      <c r="A84" s="107" t="s">
        <v>2344</v>
      </c>
      <c r="B84" s="22" t="s">
        <v>613</v>
      </c>
      <c r="C84" s="22" t="s">
        <v>604</v>
      </c>
      <c r="D84" s="22"/>
      <c r="F84" s="124" t="n">
        <f aca="false">F82*($J$18-1)/(($D$18-$B$18)/91.3125)</f>
        <v>0</v>
      </c>
      <c r="G84" s="124" t="n">
        <f aca="false">G82*($J$18-1)/(($D$18-$B$18)/91.3125)</f>
        <v>0</v>
      </c>
      <c r="H84" s="124" t="n">
        <f aca="false">H82*($J$18-1)/(($D$18-$B$18)/91.3125)</f>
        <v>0</v>
      </c>
      <c r="I84" s="124" t="n">
        <f aca="false">I82*($J$18-1)/(($D$18-$B$18)/91.3125)</f>
        <v>0</v>
      </c>
      <c r="J84" s="124" t="n">
        <f aca="false">J82*($J$18-1)/(($D$18-$B$18)/91.3125)</f>
        <v>0</v>
      </c>
      <c r="K84" s="124" t="n">
        <f aca="false">K82*($J$18-1)/(($D$18-$B$18)/91.3125)</f>
        <v>0</v>
      </c>
      <c r="L84" s="124" t="n">
        <f aca="false">L82*($J$18-1)/(($D$18-$B$18)/91.3125)</f>
        <v>0</v>
      </c>
      <c r="M84" s="124" t="n">
        <f aca="false">M82*($J$18-1)/(($D$18-$B$18)/91.3125)</f>
        <v>0</v>
      </c>
      <c r="N84" s="124" t="n">
        <f aca="false">N82*($J$18-1)/(($D$18-$B$18)/91.3125)</f>
        <v>0</v>
      </c>
      <c r="O84" s="124" t="n">
        <f aca="false">O82*($J$18-1)/(($D$18-$B$18)/91.3125)</f>
        <v>0</v>
      </c>
      <c r="P84" s="125" t="n">
        <f aca="false">P82*($J$18-1)/(($D$18-$B$18)/91.3125)</f>
        <v>24.7858477576711</v>
      </c>
      <c r="Q84" s="125" t="n">
        <f aca="false">Q82*($J$18-1)/(($D$18-$B$18)/91.3125)</f>
        <v>24.7858477576711</v>
      </c>
      <c r="R84" s="125" t="n">
        <f aca="false">R82*($J$18-1)/(($D$18-$B$18)/91.3125)</f>
        <v>24.7858477576711</v>
      </c>
      <c r="S84" s="125" t="n">
        <f aca="false">S82*($J$18-1)/(($D$18-$B$18)/91.3125)</f>
        <v>24.7858477576711</v>
      </c>
      <c r="T84" s="125" t="n">
        <f aca="false">T82*($J$18-1)/(($D$18-$B$18)/91.3125)</f>
        <v>24.7858477576711</v>
      </c>
      <c r="U84" s="125" t="n">
        <f aca="false">U82*($J$18-1)/(($D$18-$B$18)/91.3125)</f>
        <v>24.7858477576711</v>
      </c>
      <c r="V84" s="125" t="n">
        <f aca="false">V82*($J$18-1)/(($D$18-$B$18)/91.3125)</f>
        <v>24.7858477576711</v>
      </c>
      <c r="W84" s="125" t="n">
        <f aca="false">W82*($J$18-1)/(($D$18-$B$18)/91.3125)</f>
        <v>24.7858477576711</v>
      </c>
      <c r="X84" s="125" t="n">
        <f aca="false">X82*($J$18-1)/(($D$18-$B$18)/91.3125)</f>
        <v>24.7858477576711</v>
      </c>
      <c r="Y84" s="125" t="n">
        <f aca="false">Y82*($J$18-1)/(($D$18-$B$18)/91.3125)</f>
        <v>24.7858477576711</v>
      </c>
      <c r="Z84" s="125" t="n">
        <f aca="false">Z82*($J$18-1)/(($D$18-$B$18)/91.3125)</f>
        <v>24.7858477576711</v>
      </c>
      <c r="AA84" s="125" t="n">
        <f aca="false">AA82*($J$18-1)/(($D$18-$B$18)/91.3125)</f>
        <v>24.7858477576711</v>
      </c>
      <c r="AB84" s="125" t="n">
        <f aca="false">AB82*($J$18-1)/(($D$18-$B$18)/91.3125)</f>
        <v>24.7858477576711</v>
      </c>
      <c r="AC84" s="125" t="n">
        <f aca="false">AC82*($J$18-1)/(($D$18-$B$18)/91.3125)</f>
        <v>24.7858477576711</v>
      </c>
      <c r="AD84" s="125" t="n">
        <f aca="false">AD82*($J$18-1)/(($D$18-$B$18)/91.3125)</f>
        <v>0</v>
      </c>
      <c r="AE84" s="125" t="n">
        <f aca="false">AE82*($J$18-1)/(($D$18-$B$18)/91.3125)</f>
        <v>0</v>
      </c>
      <c r="AF84" s="125" t="n">
        <f aca="false">AF82*($J$18-1)/(($D$18-$B$18)/91.3125)</f>
        <v>0</v>
      </c>
      <c r="AG84" s="125" t="n">
        <f aca="false">AG82*($J$18-1)/(($D$18-$B$18)/91.3125)</f>
        <v>0</v>
      </c>
      <c r="AI84" s="125" t="n">
        <f aca="false">SUMIF($F$7:$AG$7,AI$7,$F84:$AG84)</f>
        <v>0</v>
      </c>
      <c r="AJ84" s="125" t="n">
        <f aca="false">SUMIF($F$7:$AG$7,AJ$7,$F84:$AG84)</f>
        <v>0</v>
      </c>
      <c r="AK84" s="125" t="n">
        <f aca="false">SUMIF($F$7:$AG$7,AK$7,$F84:$AG84)</f>
        <v>49.5716955153423</v>
      </c>
      <c r="AL84" s="125" t="n">
        <f aca="false">SUMIF($F$7:$AG$7,AL$7,$F84:$AG84)</f>
        <v>99.1433910306846</v>
      </c>
      <c r="AM84" s="125" t="n">
        <f aca="false">SUMIF($F$7:$AG$7,AM$7,$F84:$AG84)</f>
        <v>99.1433910306846</v>
      </c>
      <c r="AN84" s="125" t="n">
        <f aca="false">SUMIF($F$7:$AG$7,AN$7,$F84:$AG84)</f>
        <v>99.1433910306846</v>
      </c>
      <c r="AO84" s="125" t="n">
        <f aca="false">SUMIF($F$7:$AG$7,AO$7,$F84:$AG84)</f>
        <v>0</v>
      </c>
    </row>
    <row r="85" customFormat="false" ht="15" hidden="false" customHeight="false" outlineLevel="0" collapsed="false">
      <c r="A85" s="107" t="s">
        <v>2345</v>
      </c>
      <c r="B85" s="22" t="s">
        <v>613</v>
      </c>
      <c r="C85" s="22" t="s">
        <v>604</v>
      </c>
      <c r="D85" s="22"/>
      <c r="F85" s="124" t="n">
        <f aca="false">F82*(1+($J$18-1)*MIN(1,MAX(0,(F$4-$B$18)/($D$18-$B$18))))</f>
        <v>0</v>
      </c>
      <c r="G85" s="124" t="n">
        <f aca="false">G82*(1+($J$18-1)*MIN(1,MAX(0,(G$4-$B$18)/($D$18-$B$18))))</f>
        <v>0</v>
      </c>
      <c r="H85" s="124" t="n">
        <f aca="false">H82*(1+($J$18-1)*MIN(1,MAX(0,(H$4-$B$18)/($D$18-$B$18))))</f>
        <v>0</v>
      </c>
      <c r="I85" s="124" t="n">
        <f aca="false">I82*(1+($J$18-1)*MIN(1,MAX(0,(I$4-$B$18)/($D$18-$B$18))))</f>
        <v>0</v>
      </c>
      <c r="J85" s="124" t="n">
        <f aca="false">J82*(1+($J$18-1)*MIN(1,MAX(0,(J$4-$B$18)/($D$18-$B$18))))</f>
        <v>0</v>
      </c>
      <c r="K85" s="124" t="n">
        <f aca="false">K82*(1+($J$18-1)*MIN(1,MAX(0,(K$4-$B$18)/($D$18-$B$18))))</f>
        <v>0</v>
      </c>
      <c r="L85" s="124" t="n">
        <f aca="false">L82*(1+($J$18-1)*MIN(1,MAX(0,(L$4-$B$18)/($D$18-$B$18))))</f>
        <v>0</v>
      </c>
      <c r="M85" s="124" t="n">
        <f aca="false">M82*(1+($J$18-1)*MIN(1,MAX(0,(M$4-$B$18)/($D$18-$B$18))))</f>
        <v>0</v>
      </c>
      <c r="N85" s="124" t="n">
        <f aca="false">N82*(1+($J$18-1)*MIN(1,MAX(0,(N$4-$B$18)/($D$18-$B$18))))</f>
        <v>0</v>
      </c>
      <c r="O85" s="124" t="n">
        <f aca="false">O82*(1+($J$18-1)*MIN(1,MAX(0,(O$4-$B$18)/($D$18-$B$18))))</f>
        <v>0</v>
      </c>
      <c r="P85" s="125" t="n">
        <f aca="false">P82*(1+($J$18-1)*MIN(1,MAX(0,(P$4-$B$18)/($D$18-$B$18))))</f>
        <v>3460.04327301338</v>
      </c>
      <c r="Q85" s="125" t="n">
        <f aca="false">Q82*(1+($J$18-1)*MIN(1,MAX(0,(Q$4-$B$18)/($D$18-$B$18))))</f>
        <v>3485.01573564123</v>
      </c>
      <c r="R85" s="125" t="n">
        <f aca="false">R82*(1+($J$18-1)*MIN(1,MAX(0,(R$4-$B$18)/($D$18-$B$18))))</f>
        <v>3509.44531864674</v>
      </c>
      <c r="S85" s="125" t="n">
        <f aca="false">S82*(1+($J$18-1)*MIN(1,MAX(0,(S$4-$B$18)/($D$18-$B$18))))</f>
        <v>3534.14634146341</v>
      </c>
      <c r="T85" s="125" t="n">
        <f aca="false">T82*(1+($J$18-1)*MIN(1,MAX(0,(T$4-$B$18)/($D$18-$B$18))))</f>
        <v>3559.11880409127</v>
      </c>
      <c r="U85" s="125" t="n">
        <f aca="false">U82*(1+($J$18-1)*MIN(1,MAX(0,(U$4-$B$18)/($D$18-$B$18))))</f>
        <v>3584.09126671912</v>
      </c>
      <c r="V85" s="125" t="n">
        <f aca="false">V82*(1+($J$18-1)*MIN(1,MAX(0,(V$4-$B$18)/($D$18-$B$18))))</f>
        <v>3608.7922895358</v>
      </c>
      <c r="W85" s="125" t="n">
        <f aca="false">W82*(1+($J$18-1)*MIN(1,MAX(0,(W$4-$B$18)/($D$18-$B$18))))</f>
        <v>3633.49331235248</v>
      </c>
      <c r="X85" s="125" t="n">
        <f aca="false">X82*(1+($J$18-1)*MIN(1,MAX(0,(X$4-$B$18)/($D$18-$B$18))))</f>
        <v>3658.46577498033</v>
      </c>
      <c r="Y85" s="125" t="n">
        <f aca="false">Y82*(1+($J$18-1)*MIN(1,MAX(0,(Y$4-$B$18)/($D$18-$B$18))))</f>
        <v>3683.43823760818</v>
      </c>
      <c r="Z85" s="125" t="n">
        <f aca="false">Z82*(1+($J$18-1)*MIN(1,MAX(0,(Z$4-$B$18)/($D$18-$B$18))))</f>
        <v>3707.86782061369</v>
      </c>
      <c r="AA85" s="125" t="n">
        <f aca="false">AA82*(1+($J$18-1)*MIN(1,MAX(0,(AA$4-$B$18)/($D$18-$B$18))))</f>
        <v>3732.56884343037</v>
      </c>
      <c r="AB85" s="125" t="n">
        <f aca="false">AB82*(1+($J$18-1)*MIN(1,MAX(0,(AB$4-$B$18)/($D$18-$B$18))))</f>
        <v>3757.54130605822</v>
      </c>
      <c r="AC85" s="125" t="n">
        <f aca="false">AC82*(1+($J$18-1)*MIN(1,MAX(0,(AC$4-$B$18)/($D$18-$B$18))))</f>
        <v>3782.51376868607</v>
      </c>
      <c r="AD85" s="125" t="n">
        <f aca="false">AD82*(1+($J$18-1)*MIN(1,MAX(0,(AD$4-$B$18)/($D$18-$B$18))))</f>
        <v>0</v>
      </c>
      <c r="AE85" s="125" t="n">
        <f aca="false">AE82*(1+($J$18-1)*MIN(1,MAX(0,(AE$4-$B$18)/($D$18-$B$18))))</f>
        <v>0</v>
      </c>
      <c r="AF85" s="125" t="n">
        <f aca="false">AF82*(1+($J$18-1)*MIN(1,MAX(0,(AF$4-$B$18)/($D$18-$B$18))))</f>
        <v>0</v>
      </c>
      <c r="AG85" s="125" t="n">
        <f aca="false">AG82*(1+($J$18-1)*MIN(1,MAX(0,(AG$4-$B$18)/($D$18-$B$18))))</f>
        <v>0</v>
      </c>
      <c r="AI85" s="125" t="n">
        <f aca="false">INDEX($F85:$AG85,1,MATCH(AI$7,$F$7:$AG$7,1))</f>
        <v>0</v>
      </c>
      <c r="AJ85" s="125" t="n">
        <f aca="false">INDEX($F85:$AG85,1,MATCH(AJ$7,$F$7:$AG$7,1))</f>
        <v>0</v>
      </c>
      <c r="AK85" s="125" t="n">
        <f aca="false">INDEX($F85:$AG85,1,MATCH(AK$7,$F$7:$AG$7,1))</f>
        <v>3485.01573564123</v>
      </c>
      <c r="AL85" s="125" t="n">
        <f aca="false">INDEX($F85:$AG85,1,MATCH(AL$7,$F$7:$AG$7,1))</f>
        <v>3584.09126671912</v>
      </c>
      <c r="AM85" s="125" t="n">
        <f aca="false">INDEX($F85:$AG85,1,MATCH(AM$7,$F$7:$AG$7,1))</f>
        <v>3683.43823760818</v>
      </c>
      <c r="AN85" s="125" t="n">
        <f aca="false">INDEX($F85:$AG85,1,MATCH(AN$7,$F$7:$AG$7,1))</f>
        <v>3782.51376868607</v>
      </c>
      <c r="AO85" s="125" t="n">
        <f aca="false">INDEX($F85:$AG85,1,MATCH(AO$7,$F$7:$AG$7,1))</f>
        <v>0</v>
      </c>
    </row>
    <row r="86" customFormat="false" ht="15" hidden="false" customHeight="false" outlineLevel="0" collapsed="false">
      <c r="A86" s="107" t="s">
        <v>2346</v>
      </c>
      <c r="B86" s="22" t="s">
        <v>613</v>
      </c>
      <c r="C86" s="22" t="s">
        <v>604</v>
      </c>
      <c r="D86" s="22"/>
      <c r="F86" s="124" t="n">
        <f aca="false">F82*($S$18+($J$18-$S$18)*MIN(1,MAX(0,(F$4-$T$18)/($D$18-$T$18))))</f>
        <v>0</v>
      </c>
      <c r="G86" s="124" t="n">
        <f aca="false">G82*($S$18+($J$18-$S$18)*MIN(1,MAX(0,(G$4-$T$18)/($D$18-$T$18))))</f>
        <v>0</v>
      </c>
      <c r="H86" s="124" t="n">
        <f aca="false">H82*($S$18+($J$18-$S$18)*MIN(1,MAX(0,(H$4-$T$18)/($D$18-$T$18))))</f>
        <v>0</v>
      </c>
      <c r="I86" s="124" t="n">
        <f aca="false">I82*($S$18+($J$18-$S$18)*MIN(1,MAX(0,(I$4-$T$18)/($D$18-$T$18))))</f>
        <v>0</v>
      </c>
      <c r="J86" s="124" t="n">
        <f aca="false">J82*($S$18+($J$18-$S$18)*MIN(1,MAX(0,(J$4-$T$18)/($D$18-$T$18))))</f>
        <v>0</v>
      </c>
      <c r="K86" s="124" t="n">
        <f aca="false">K82*($S$18+($J$18-$S$18)*MIN(1,MAX(0,(K$4-$T$18)/($D$18-$T$18))))</f>
        <v>0</v>
      </c>
      <c r="L86" s="124" t="n">
        <f aca="false">L82*($S$18+($J$18-$S$18)*MIN(1,MAX(0,(L$4-$T$18)/($D$18-$T$18))))</f>
        <v>0</v>
      </c>
      <c r="M86" s="124" t="n">
        <f aca="false">M82*($S$18+($J$18-$S$18)*MIN(1,MAX(0,(M$4-$T$18)/($D$18-$T$18))))</f>
        <v>0</v>
      </c>
      <c r="N86" s="124" t="n">
        <f aca="false">N82*($S$18+($J$18-$S$18)*MIN(1,MAX(0,(N$4-$T$18)/($D$18-$T$18))))</f>
        <v>0</v>
      </c>
      <c r="O86" s="124" t="n">
        <f aca="false">O82*($S$18+($J$18-$S$18)*MIN(1,MAX(0,(O$4-$T$18)/($D$18-$T$18))))</f>
        <v>0</v>
      </c>
      <c r="P86" s="125" t="n">
        <f aca="false">P82*($S$18+($J$18-$S$18)*MIN(1,MAX(0,(P$4-$T$18)/($D$18-$T$18))))</f>
        <v>3460.04327301338</v>
      </c>
      <c r="Q86" s="125" t="n">
        <f aca="false">Q82*($S$18+($J$18-$S$18)*MIN(1,MAX(0,(Q$4-$T$18)/($D$18-$T$18))))</f>
        <v>3485.01573564123</v>
      </c>
      <c r="R86" s="125" t="n">
        <f aca="false">R82*($S$18+($J$18-$S$18)*MIN(1,MAX(0,(R$4-$T$18)/($D$18-$T$18))))</f>
        <v>3509.44531864674</v>
      </c>
      <c r="S86" s="125" t="n">
        <f aca="false">S82*($S$18+($J$18-$S$18)*MIN(1,MAX(0,(S$4-$T$18)/($D$18-$T$18))))</f>
        <v>3534.14634146341</v>
      </c>
      <c r="T86" s="125" t="n">
        <f aca="false">T82*($S$18+($J$18-$S$18)*MIN(1,MAX(0,(T$4-$T$18)/($D$18-$T$18))))</f>
        <v>3559.11880409127</v>
      </c>
      <c r="U86" s="125" t="n">
        <f aca="false">U82*($S$18+($J$18-$S$18)*MIN(1,MAX(0,(U$4-$T$18)/($D$18-$T$18))))</f>
        <v>3584.09126671912</v>
      </c>
      <c r="V86" s="125" t="n">
        <f aca="false">V82*($S$18+($J$18-$S$18)*MIN(1,MAX(0,(V$4-$T$18)/($D$18-$T$18))))</f>
        <v>3608.7922895358</v>
      </c>
      <c r="W86" s="125" t="n">
        <f aca="false">W82*($S$18+($J$18-$S$18)*MIN(1,MAX(0,(W$4-$T$18)/($D$18-$T$18))))</f>
        <v>3633.49331235248</v>
      </c>
      <c r="X86" s="125" t="n">
        <f aca="false">X82*($S$18+($J$18-$S$18)*MIN(1,MAX(0,(X$4-$T$18)/($D$18-$T$18))))</f>
        <v>3658.46577498033</v>
      </c>
      <c r="Y86" s="125" t="n">
        <f aca="false">Y82*($S$18+($J$18-$S$18)*MIN(1,MAX(0,(Y$4-$T$18)/($D$18-$T$18))))</f>
        <v>3683.43823760818</v>
      </c>
      <c r="Z86" s="125" t="n">
        <f aca="false">Z82*($S$18+($J$18-$S$18)*MIN(1,MAX(0,(Z$4-$T$18)/($D$18-$T$18))))</f>
        <v>3707.86782061369</v>
      </c>
      <c r="AA86" s="125" t="n">
        <f aca="false">AA82*($S$18+($J$18-$S$18)*MIN(1,MAX(0,(AA$4-$T$18)/($D$18-$T$18))))</f>
        <v>3732.56884343037</v>
      </c>
      <c r="AB86" s="125" t="n">
        <f aca="false">AB82*($S$18+($J$18-$S$18)*MIN(1,MAX(0,(AB$4-$T$18)/($D$18-$T$18))))</f>
        <v>3757.54130605822</v>
      </c>
      <c r="AC86" s="125" t="n">
        <f aca="false">AC82*($S$18+($J$18-$S$18)*MIN(1,MAX(0,(AC$4-$T$18)/($D$18-$T$18))))</f>
        <v>3782.51376868607</v>
      </c>
      <c r="AD86" s="125" t="n">
        <f aca="false">AD82*($S$18+($J$18-$S$18)*MIN(1,MAX(0,(AD$4-$T$18)/($D$18-$T$18))))</f>
        <v>0</v>
      </c>
      <c r="AE86" s="125" t="n">
        <f aca="false">AE82*($S$18+($J$18-$S$18)*MIN(1,MAX(0,(AE$4-$T$18)/($D$18-$T$18))))</f>
        <v>0</v>
      </c>
      <c r="AF86" s="125" t="n">
        <f aca="false">AF82*($S$18+($J$18-$S$18)*MIN(1,MAX(0,(AF$4-$T$18)/($D$18-$T$18))))</f>
        <v>0</v>
      </c>
      <c r="AG86" s="125" t="n">
        <f aca="false">AG82*($S$18+($J$18-$S$18)*MIN(1,MAX(0,(AG$4-$T$18)/($D$18-$T$18))))</f>
        <v>0</v>
      </c>
      <c r="AI86" s="125" t="n">
        <f aca="false">INDEX($F86:$AG86,1,MATCH(AI$7,$F$7:$AG$7,1))</f>
        <v>0</v>
      </c>
      <c r="AJ86" s="125" t="n">
        <f aca="false">INDEX($F86:$AG86,1,MATCH(AJ$7,$F$7:$AG$7,1))</f>
        <v>0</v>
      </c>
      <c r="AK86" s="125" t="n">
        <f aca="false">INDEX($F86:$AG86,1,MATCH(AK$7,$F$7:$AG$7,1))</f>
        <v>3485.01573564123</v>
      </c>
      <c r="AL86" s="125" t="n">
        <f aca="false">INDEX($F86:$AG86,1,MATCH(AL$7,$F$7:$AG$7,1))</f>
        <v>3584.09126671912</v>
      </c>
      <c r="AM86" s="125" t="n">
        <f aca="false">INDEX($F86:$AG86,1,MATCH(AM$7,$F$7:$AG$7,1))</f>
        <v>3683.43823760818</v>
      </c>
      <c r="AN86" s="125" t="n">
        <f aca="false">INDEX($F86:$AG86,1,MATCH(AN$7,$F$7:$AG$7,1))</f>
        <v>3782.51376868607</v>
      </c>
      <c r="AO86" s="125" t="n">
        <f aca="false">INDEX($F86:$AG86,1,MATCH(AO$7,$F$7:$AG$7,1))</f>
        <v>0</v>
      </c>
    </row>
    <row r="87" customFormat="false" ht="15" hidden="false" customHeight="false" outlineLevel="0" collapsed="false">
      <c r="A87" s="107" t="s">
        <v>2347</v>
      </c>
      <c r="B87" s="22" t="s">
        <v>613</v>
      </c>
      <c r="C87" s="22" t="s">
        <v>604</v>
      </c>
      <c r="D87" s="22"/>
      <c r="F87" s="124" t="n">
        <f aca="false">IF(F$5=$N$18,E82*$J$18*(1-$O$18),0)</f>
        <v>0</v>
      </c>
      <c r="G87" s="124" t="n">
        <f aca="false">IF(G$5=$N$18,F82*$J$18*(1-$O$18),0)</f>
        <v>0</v>
      </c>
      <c r="H87" s="124" t="n">
        <f aca="false">IF(H$5=$N$18,G82*$J$18*(1-$O$18),0)</f>
        <v>0</v>
      </c>
      <c r="I87" s="124" t="n">
        <f aca="false">IF(I$5=$N$18,H82*$J$18*(1-$O$18),0)</f>
        <v>0</v>
      </c>
      <c r="J87" s="124" t="n">
        <f aca="false">IF(J$5=$N$18,I82*$J$18*(1-$O$18),0)</f>
        <v>0</v>
      </c>
      <c r="K87" s="124" t="n">
        <f aca="false">IF(K$5=$N$18,J82*$J$18*(1-$O$18),0)</f>
        <v>0</v>
      </c>
      <c r="L87" s="124" t="n">
        <f aca="false">IF(L$5=$N$18,K82*$J$18*(1-$O$18),0)</f>
        <v>0</v>
      </c>
      <c r="M87" s="124" t="n">
        <f aca="false">IF(M$5=$N$18,L82*$J$18*(1-$O$18),0)</f>
        <v>0</v>
      </c>
      <c r="N87" s="124" t="n">
        <f aca="false">IF(N$5=$N$18,M82*$J$18*(1-$O$18),0)</f>
        <v>0</v>
      </c>
      <c r="O87" s="124" t="n">
        <f aca="false">IF(O$5=$N$18,N82*$J$18*(1-$O$18),0)</f>
        <v>0</v>
      </c>
      <c r="P87" s="125" t="n">
        <f aca="false">IF(P$5=$N$18,O82*$J$18*(1-$O$18),0)</f>
        <v>0</v>
      </c>
      <c r="Q87" s="125" t="n">
        <f aca="false">IF(Q$5=$N$18,P82*$J$18*(1-$O$18),0)</f>
        <v>0</v>
      </c>
      <c r="R87" s="125" t="n">
        <f aca="false">IF(R$5=$N$18,Q82*$J$18*(1-$O$18),0)</f>
        <v>0</v>
      </c>
      <c r="S87" s="125" t="n">
        <f aca="false">IF(S$5=$N$18,R82*$J$18*(1-$O$18),0)</f>
        <v>0</v>
      </c>
      <c r="T87" s="125" t="n">
        <f aca="false">IF(T$5=$N$18,S82*$J$18*(1-$O$18),0)</f>
        <v>0</v>
      </c>
      <c r="U87" s="125" t="n">
        <f aca="false">IF(U$5=$N$18,T82*$J$18*(1-$O$18),0)</f>
        <v>0</v>
      </c>
      <c r="V87" s="125" t="n">
        <f aca="false">IF(V$5=$N$18,U82*$J$18*(1-$O$18),0)</f>
        <v>0</v>
      </c>
      <c r="W87" s="125" t="n">
        <f aca="false">IF(W$5=$N$18,V82*$J$18*(1-$O$18),0)</f>
        <v>0</v>
      </c>
      <c r="X87" s="125" t="n">
        <f aca="false">IF(X$5=$N$18,W82*$J$18*(1-$O$18),0)</f>
        <v>0</v>
      </c>
      <c r="Y87" s="125" t="n">
        <f aca="false">IF(Y$5=$N$18,X82*$J$18*(1-$O$18),0)</f>
        <v>0</v>
      </c>
      <c r="Z87" s="125" t="n">
        <f aca="false">IF(Z$5=$N$18,Y82*$J$18*(1-$O$18),0)</f>
        <v>0</v>
      </c>
      <c r="AA87" s="125" t="n">
        <f aca="false">IF(AA$5=$N$18,Z82*$J$18*(1-$O$18),0)</f>
        <v>0</v>
      </c>
      <c r="AB87" s="125" t="n">
        <f aca="false">IF(AB$5=$N$18,AA82*$J$18*(1-$O$18),0)</f>
        <v>0</v>
      </c>
      <c r="AC87" s="125" t="n">
        <f aca="false">IF(AC$5=$N$18,AB82*$J$18*(1-$O$18),0)</f>
        <v>0</v>
      </c>
      <c r="AD87" s="125" t="n">
        <f aca="false">IF(AD$5=$N$18,AC82*$J$18*(1-$O$18),0)</f>
        <v>3795</v>
      </c>
      <c r="AE87" s="125" t="n">
        <f aca="false">IF(AE$5=$N$18,AD82*$J$18*(1-$O$18),0)</f>
        <v>0</v>
      </c>
      <c r="AF87" s="125" t="n">
        <f aca="false">IF(AF$5=$N$18,AE82*$J$18*(1-$O$18),0)</f>
        <v>0</v>
      </c>
      <c r="AG87" s="125" t="n">
        <f aca="false">IF(AG$5=$N$18,AF82*$J$18*(1-$O$18),0)</f>
        <v>0</v>
      </c>
      <c r="AI87" s="125" t="n">
        <f aca="false">SUMIF($F$7:$AG$7,AI$7,$F87:$AG87)</f>
        <v>0</v>
      </c>
      <c r="AJ87" s="125" t="n">
        <f aca="false">SUMIF($F$7:$AG$7,AJ$7,$F87:$AG87)</f>
        <v>0</v>
      </c>
      <c r="AK87" s="125" t="n">
        <f aca="false">SUMIF($F$7:$AG$7,AK$7,$F87:$AG87)</f>
        <v>0</v>
      </c>
      <c r="AL87" s="125" t="n">
        <f aca="false">SUMIF($F$7:$AG$7,AL$7,$F87:$AG87)</f>
        <v>0</v>
      </c>
      <c r="AM87" s="125" t="n">
        <f aca="false">SUMIF($F$7:$AG$7,AM$7,$F87:$AG87)</f>
        <v>0</v>
      </c>
      <c r="AN87" s="125" t="n">
        <f aca="false">SUMIF($F$7:$AG$7,AN$7,$F87:$AG87)</f>
        <v>0</v>
      </c>
      <c r="AO87" s="125" t="n">
        <f aca="false">SUMIF($F$7:$AG$7,AO$7,$F87:$AG87)</f>
        <v>3795</v>
      </c>
    </row>
    <row r="88" customFormat="false" ht="15" hidden="false" customHeight="false" outlineLevel="0" collapsed="false">
      <c r="A88" s="107" t="s">
        <v>2348</v>
      </c>
      <c r="B88" s="22" t="s">
        <v>635</v>
      </c>
      <c r="C88" s="22" t="s">
        <v>604</v>
      </c>
      <c r="D88" s="22"/>
      <c r="F88" s="140" t="n">
        <f aca="false">IF(F$5=$N$18,E82*$K$18/1000*$O$18,0)</f>
        <v>0</v>
      </c>
      <c r="G88" s="140" t="n">
        <f aca="false">IF(G$5=$N$18,F82*$K$18/1000*$O$18,0)</f>
        <v>0</v>
      </c>
      <c r="H88" s="140" t="n">
        <f aca="false">IF(H$5=$N$18,G82*$K$18/1000*$O$18,0)</f>
        <v>0</v>
      </c>
      <c r="I88" s="140" t="n">
        <f aca="false">IF(I$5=$N$18,H82*$K$18/1000*$O$18,0)</f>
        <v>0</v>
      </c>
      <c r="J88" s="140" t="n">
        <f aca="false">IF(J$5=$N$18,I82*$K$18/1000*$O$18,0)</f>
        <v>0</v>
      </c>
      <c r="K88" s="140" t="n">
        <f aca="false">IF(K$5=$N$18,J82*$K$18/1000*$O$18,0)</f>
        <v>0</v>
      </c>
      <c r="L88" s="140" t="n">
        <f aca="false">IF(L$5=$N$18,K82*$K$18/1000*$O$18,0)</f>
        <v>0</v>
      </c>
      <c r="M88" s="140" t="n">
        <f aca="false">IF(M$5=$N$18,L82*$K$18/1000*$O$18,0)</f>
        <v>0</v>
      </c>
      <c r="N88" s="140" t="n">
        <f aca="false">IF(N$5=$N$18,M82*$K$18/1000*$O$18,0)</f>
        <v>0</v>
      </c>
      <c r="O88" s="140" t="n">
        <f aca="false">IF(O$5=$N$18,N82*$K$18/1000*$O$18,0)</f>
        <v>0</v>
      </c>
      <c r="P88" s="47" t="n">
        <f aca="false">IF(P$5=$N$18,O82*$K$18/1000*$O$18,0)</f>
        <v>0</v>
      </c>
      <c r="Q88" s="47" t="n">
        <f aca="false">IF(Q$5=$N$18,P82*$K$18/1000*$O$18,0)</f>
        <v>0</v>
      </c>
      <c r="R88" s="47" t="n">
        <f aca="false">IF(R$5=$N$18,Q82*$K$18/1000*$O$18,0)</f>
        <v>0</v>
      </c>
      <c r="S88" s="47" t="n">
        <f aca="false">IF(S$5=$N$18,R82*$K$18/1000*$O$18,0)</f>
        <v>0</v>
      </c>
      <c r="T88" s="47" t="n">
        <f aca="false">IF(T$5=$N$18,S82*$K$18/1000*$O$18,0)</f>
        <v>0</v>
      </c>
      <c r="U88" s="47" t="n">
        <f aca="false">IF(U$5=$N$18,T82*$K$18/1000*$O$18,0)</f>
        <v>0</v>
      </c>
      <c r="V88" s="47" t="n">
        <f aca="false">IF(V$5=$N$18,U82*$K$18/1000*$O$18,0)</f>
        <v>0</v>
      </c>
      <c r="W88" s="47" t="n">
        <f aca="false">IF(W$5=$N$18,V82*$K$18/1000*$O$18,0)</f>
        <v>0</v>
      </c>
      <c r="X88" s="47" t="n">
        <f aca="false">IF(X$5=$N$18,W82*$K$18/1000*$O$18,0)</f>
        <v>0</v>
      </c>
      <c r="Y88" s="47" t="n">
        <f aca="false">IF(Y$5=$N$18,X82*$K$18/1000*$O$18,0)</f>
        <v>0</v>
      </c>
      <c r="Z88" s="47" t="n">
        <f aca="false">IF(Z$5=$N$18,Y82*$K$18/1000*$O$18,0)</f>
        <v>0</v>
      </c>
      <c r="AA88" s="47" t="n">
        <f aca="false">IF(AA$5=$N$18,Z82*$K$18/1000*$O$18,0)</f>
        <v>0</v>
      </c>
      <c r="AB88" s="47" t="n">
        <f aca="false">IF(AB$5=$N$18,AA82*$K$18/1000*$O$18,0)</f>
        <v>0</v>
      </c>
      <c r="AC88" s="47" t="n">
        <f aca="false">IF(AC$5=$N$18,AB82*$K$18/1000*$O$18,0)</f>
        <v>0</v>
      </c>
      <c r="AD88" s="47" t="n">
        <f aca="false">IF(AD$5=$N$18,AC82*$K$18/1000*$O$18,0)</f>
        <v>0</v>
      </c>
      <c r="AE88" s="47" t="n">
        <f aca="false">IF(AE$5=$N$18,AD82*$K$18/1000*$O$18,0)</f>
        <v>0</v>
      </c>
      <c r="AF88" s="47" t="n">
        <f aca="false">IF(AF$5=$N$18,AE82*$K$18/1000*$O$18,0)</f>
        <v>0</v>
      </c>
      <c r="AG88" s="47" t="n">
        <f aca="false">IF(AG$5=$N$18,AF82*$K$18/1000*$O$18,0)</f>
        <v>0</v>
      </c>
      <c r="AI88" s="47" t="n">
        <f aca="false">SUMIF($F$7:$AG$7,AI$7,$F88:$AG88)</f>
        <v>0</v>
      </c>
      <c r="AJ88" s="47" t="n">
        <f aca="false">SUMIF($F$7:$AG$7,AJ$7,$F88:$AG88)</f>
        <v>0</v>
      </c>
      <c r="AK88" s="47" t="n">
        <f aca="false">SUMIF($F$7:$AG$7,AK$7,$F88:$AG88)</f>
        <v>0</v>
      </c>
      <c r="AL88" s="47" t="n">
        <f aca="false">SUMIF($F$7:$AG$7,AL$7,$F88:$AG88)</f>
        <v>0</v>
      </c>
      <c r="AM88" s="47" t="n">
        <f aca="false">SUMIF($F$7:$AG$7,AM$7,$F88:$AG88)</f>
        <v>0</v>
      </c>
      <c r="AN88" s="47" t="n">
        <f aca="false">SUMIF($F$7:$AG$7,AN$7,$F88:$AG88)</f>
        <v>0</v>
      </c>
      <c r="AO88" s="47" t="n">
        <f aca="false">SUMIF($F$7:$AG$7,AO$7,$F88:$AG88)</f>
        <v>0</v>
      </c>
    </row>
    <row r="89" customFormat="false" ht="15" hidden="false" customHeight="false" outlineLevel="0" collapsed="false">
      <c r="A89" s="107" t="s">
        <v>2349</v>
      </c>
      <c r="B89" s="22" t="s">
        <v>635</v>
      </c>
      <c r="C89" s="22" t="s">
        <v>540</v>
      </c>
      <c r="D89" s="22"/>
      <c r="F89" s="140" t="n">
        <f aca="false">IF(DilMethod=3,MAX(0,F82*$K$18/1000*DilPx-F85)/DilPx,F82*$K$18/1000*$P$18)</f>
        <v>0</v>
      </c>
      <c r="G89" s="140" t="n">
        <f aca="false">IF(DilMethod=3,MAX(0,G82*$K$18/1000*DilPx-G85)/DilPx,G82*$K$18/1000*$P$18)</f>
        <v>0</v>
      </c>
      <c r="H89" s="140" t="n">
        <f aca="false">IF(DilMethod=3,MAX(0,H82*$K$18/1000*DilPx-H85)/DilPx,H82*$K$18/1000*$P$18)</f>
        <v>0</v>
      </c>
      <c r="I89" s="140" t="n">
        <f aca="false">IF(DilMethod=3,MAX(0,I82*$K$18/1000*DilPx-I85)/DilPx,I82*$K$18/1000*$P$18)</f>
        <v>0</v>
      </c>
      <c r="J89" s="140" t="n">
        <f aca="false">IF(DilMethod=3,MAX(0,J82*$K$18/1000*DilPx-J85)/DilPx,J82*$K$18/1000*$P$18)</f>
        <v>0</v>
      </c>
      <c r="K89" s="140" t="n">
        <f aca="false">IF(DilMethod=3,MAX(0,K82*$K$18/1000*DilPx-K85)/DilPx,K82*$K$18/1000*$P$18)</f>
        <v>0</v>
      </c>
      <c r="L89" s="140" t="n">
        <f aca="false">IF(DilMethod=3,MAX(0,L82*$K$18/1000*DilPx-L85)/DilPx,L82*$K$18/1000*$P$18)</f>
        <v>0</v>
      </c>
      <c r="M89" s="140" t="n">
        <f aca="false">IF(DilMethod=3,MAX(0,M82*$K$18/1000*DilPx-M85)/DilPx,M82*$K$18/1000*$P$18)</f>
        <v>0</v>
      </c>
      <c r="N89" s="140" t="n">
        <f aca="false">IF(DilMethod=3,MAX(0,N82*$K$18/1000*DilPx-N85)/DilPx,N82*$K$18/1000*$P$18)</f>
        <v>0</v>
      </c>
      <c r="O89" s="140" t="n">
        <f aca="false">IF(DilMethod=3,MAX(0,O82*$K$18/1000*DilPx-O85)/DilPx,O82*$K$18/1000*$P$18)</f>
        <v>0</v>
      </c>
      <c r="P89" s="47" t="n">
        <f aca="false">IF(DilMethod=3,MAX(0,P82*$K$18/1000*DilPx-P85)/DilPx,P82*$K$18/1000*$P$18)</f>
        <v>0</v>
      </c>
      <c r="Q89" s="47" t="n">
        <f aca="false">IF(DilMethod=3,MAX(0,Q82*$K$18/1000*DilPx-Q85)/DilPx,Q82*$K$18/1000*$P$18)</f>
        <v>0</v>
      </c>
      <c r="R89" s="47" t="n">
        <f aca="false">IF(DilMethod=3,MAX(0,R82*$K$18/1000*DilPx-R85)/DilPx,R82*$K$18/1000*$P$18)</f>
        <v>0</v>
      </c>
      <c r="S89" s="47" t="n">
        <f aca="false">IF(DilMethod=3,MAX(0,S82*$K$18/1000*DilPx-S85)/DilPx,S82*$K$18/1000*$P$18)</f>
        <v>0</v>
      </c>
      <c r="T89" s="47" t="n">
        <f aca="false">IF(DilMethod=3,MAX(0,T82*$K$18/1000*DilPx-T85)/DilPx,T82*$K$18/1000*$P$18)</f>
        <v>0</v>
      </c>
      <c r="U89" s="47" t="n">
        <f aca="false">IF(DilMethod=3,MAX(0,U82*$K$18/1000*DilPx-U85)/DilPx,U82*$K$18/1000*$P$18)</f>
        <v>0</v>
      </c>
      <c r="V89" s="47" t="n">
        <f aca="false">IF(DilMethod=3,MAX(0,V82*$K$18/1000*DilPx-V85)/DilPx,V82*$K$18/1000*$P$18)</f>
        <v>0</v>
      </c>
      <c r="W89" s="47" t="n">
        <f aca="false">IF(DilMethod=3,MAX(0,W82*$K$18/1000*DilPx-W85)/DilPx,W82*$K$18/1000*$P$18)</f>
        <v>0</v>
      </c>
      <c r="X89" s="47" t="n">
        <f aca="false">IF(DilMethod=3,MAX(0,X82*$K$18/1000*DilPx-X85)/DilPx,X82*$K$18/1000*$P$18)</f>
        <v>0</v>
      </c>
      <c r="Y89" s="47" t="n">
        <f aca="false">IF(DilMethod=3,MAX(0,Y82*$K$18/1000*DilPx-Y85)/DilPx,Y82*$K$18/1000*$P$18)</f>
        <v>0</v>
      </c>
      <c r="Z89" s="47" t="n">
        <f aca="false">IF(DilMethod=3,MAX(0,Z82*$K$18/1000*DilPx-Z85)/DilPx,Z82*$K$18/1000*$P$18)</f>
        <v>0</v>
      </c>
      <c r="AA89" s="47" t="n">
        <f aca="false">IF(DilMethod=3,MAX(0,AA82*$K$18/1000*DilPx-AA85)/DilPx,AA82*$K$18/1000*$P$18)</f>
        <v>0</v>
      </c>
      <c r="AB89" s="47" t="n">
        <f aca="false">IF(DilMethod=3,MAX(0,AB82*$K$18/1000*DilPx-AB85)/DilPx,AB82*$K$18/1000*$P$18)</f>
        <v>0</v>
      </c>
      <c r="AC89" s="47" t="n">
        <f aca="false">IF(DilMethod=3,MAX(0,AC82*$K$18/1000*DilPx-AC85)/DilPx,AC82*$K$18/1000*$P$18)</f>
        <v>0</v>
      </c>
      <c r="AD89" s="47" t="n">
        <f aca="false">IF(DilMethod=3,MAX(0,AD82*$K$18/1000*DilPx-AD85)/DilPx,AD82*$K$18/1000*$P$18)</f>
        <v>0</v>
      </c>
      <c r="AE89" s="47" t="n">
        <f aca="false">IF(DilMethod=3,MAX(0,AE82*$K$18/1000*DilPx-AE85)/DilPx,AE82*$K$18/1000*$P$18)</f>
        <v>0</v>
      </c>
      <c r="AF89" s="47" t="n">
        <f aca="false">IF(DilMethod=3,MAX(0,AF82*$K$18/1000*DilPx-AF85)/DilPx,AF82*$K$18/1000*$P$18)</f>
        <v>0</v>
      </c>
      <c r="AG89" s="47" t="n">
        <f aca="false">IF(DilMethod=3,MAX(0,AG82*$K$18/1000*DilPx-AG85)/DilPx,AG82*$K$18/1000*$P$18)</f>
        <v>0</v>
      </c>
      <c r="AI89" s="47" t="n">
        <f aca="false">INDEX($F89:$AG89,1,MATCH(AI$7,$F$7:$AG$7,1))</f>
        <v>0</v>
      </c>
      <c r="AJ89" s="47" t="n">
        <f aca="false">INDEX($F89:$AG89,1,MATCH(AJ$7,$F$7:$AG$7,1))</f>
        <v>0</v>
      </c>
      <c r="AK89" s="47" t="n">
        <f aca="false">INDEX($F89:$AG89,1,MATCH(AK$7,$F$7:$AG$7,1))</f>
        <v>0</v>
      </c>
      <c r="AL89" s="47" t="n">
        <f aca="false">INDEX($F89:$AG89,1,MATCH(AL$7,$F$7:$AG$7,1))</f>
        <v>0</v>
      </c>
      <c r="AM89" s="47" t="n">
        <f aca="false">INDEX($F89:$AG89,1,MATCH(AM$7,$F$7:$AG$7,1))</f>
        <v>0</v>
      </c>
      <c r="AN89" s="47" t="n">
        <f aca="false">INDEX($F89:$AG89,1,MATCH(AN$7,$F$7:$AG$7,1))</f>
        <v>0</v>
      </c>
      <c r="AO89" s="47" t="n">
        <f aca="false">INDEX($F89:$AG89,1,MATCH(AO$7,$F$7:$AG$7,1))</f>
        <v>0</v>
      </c>
    </row>
    <row r="90" customFormat="false" ht="15" hidden="false" customHeight="false" outlineLevel="0" collapsed="false">
      <c r="A90" s="107" t="s">
        <v>2350</v>
      </c>
      <c r="B90" s="22" t="s">
        <v>613</v>
      </c>
      <c r="C90" s="22" t="s">
        <v>540</v>
      </c>
      <c r="D90" s="22"/>
      <c r="F90" s="124" t="n">
        <f aca="false">F85*IF(DilMethod=3,1,1-$P$18)</f>
        <v>0</v>
      </c>
      <c r="G90" s="124" t="n">
        <f aca="false">G85*IF(DilMethod=3,1,1-$P$18)</f>
        <v>0</v>
      </c>
      <c r="H90" s="124" t="n">
        <f aca="false">H85*IF(DilMethod=3,1,1-$P$18)</f>
        <v>0</v>
      </c>
      <c r="I90" s="124" t="n">
        <f aca="false">I85*IF(DilMethod=3,1,1-$P$18)</f>
        <v>0</v>
      </c>
      <c r="J90" s="124" t="n">
        <f aca="false">J85*IF(DilMethod=3,1,1-$P$18)</f>
        <v>0</v>
      </c>
      <c r="K90" s="124" t="n">
        <f aca="false">K85*IF(DilMethod=3,1,1-$P$18)</f>
        <v>0</v>
      </c>
      <c r="L90" s="124" t="n">
        <f aca="false">L85*IF(DilMethod=3,1,1-$P$18)</f>
        <v>0</v>
      </c>
      <c r="M90" s="124" t="n">
        <f aca="false">M85*IF(DilMethod=3,1,1-$P$18)</f>
        <v>0</v>
      </c>
      <c r="N90" s="124" t="n">
        <f aca="false">N85*IF(DilMethod=3,1,1-$P$18)</f>
        <v>0</v>
      </c>
      <c r="O90" s="124" t="n">
        <f aca="false">O85*IF(DilMethod=3,1,1-$P$18)</f>
        <v>0</v>
      </c>
      <c r="P90" s="125" t="n">
        <f aca="false">P85*IF(DilMethod=3,1,1-$P$18)</f>
        <v>3460.04327301338</v>
      </c>
      <c r="Q90" s="125" t="n">
        <f aca="false">Q85*IF(DilMethod=3,1,1-$P$18)</f>
        <v>3485.01573564123</v>
      </c>
      <c r="R90" s="125" t="n">
        <f aca="false">R85*IF(DilMethod=3,1,1-$P$18)</f>
        <v>3509.44531864674</v>
      </c>
      <c r="S90" s="125" t="n">
        <f aca="false">S85*IF(DilMethod=3,1,1-$P$18)</f>
        <v>3534.14634146341</v>
      </c>
      <c r="T90" s="125" t="n">
        <f aca="false">T85*IF(DilMethod=3,1,1-$P$18)</f>
        <v>3559.11880409127</v>
      </c>
      <c r="U90" s="125" t="n">
        <f aca="false">U85*IF(DilMethod=3,1,1-$P$18)</f>
        <v>3584.09126671912</v>
      </c>
      <c r="V90" s="125" t="n">
        <f aca="false">V85*IF(DilMethod=3,1,1-$P$18)</f>
        <v>3608.7922895358</v>
      </c>
      <c r="W90" s="125" t="n">
        <f aca="false">W85*IF(DilMethod=3,1,1-$P$18)</f>
        <v>3633.49331235248</v>
      </c>
      <c r="X90" s="125" t="n">
        <f aca="false">X85*IF(DilMethod=3,1,1-$P$18)</f>
        <v>3658.46577498033</v>
      </c>
      <c r="Y90" s="125" t="n">
        <f aca="false">Y85*IF(DilMethod=3,1,1-$P$18)</f>
        <v>3683.43823760818</v>
      </c>
      <c r="Z90" s="125" t="n">
        <f aca="false">Z85*IF(DilMethod=3,1,1-$P$18)</f>
        <v>3707.86782061369</v>
      </c>
      <c r="AA90" s="125" t="n">
        <f aca="false">AA85*IF(DilMethod=3,1,1-$P$18)</f>
        <v>3732.56884343037</v>
      </c>
      <c r="AB90" s="125" t="n">
        <f aca="false">AB85*IF(DilMethod=3,1,1-$P$18)</f>
        <v>3757.54130605822</v>
      </c>
      <c r="AC90" s="125" t="n">
        <f aca="false">AC85*IF(DilMethod=3,1,1-$P$18)</f>
        <v>3782.51376868607</v>
      </c>
      <c r="AD90" s="125" t="n">
        <f aca="false">AD85*IF(DilMethod=3,1,1-$P$18)</f>
        <v>0</v>
      </c>
      <c r="AE90" s="125" t="n">
        <f aca="false">AE85*IF(DilMethod=3,1,1-$P$18)</f>
        <v>0</v>
      </c>
      <c r="AF90" s="125" t="n">
        <f aca="false">AF85*IF(DilMethod=3,1,1-$P$18)</f>
        <v>0</v>
      </c>
      <c r="AG90" s="125" t="n">
        <f aca="false">AG85*IF(DilMethod=3,1,1-$P$18)</f>
        <v>0</v>
      </c>
      <c r="AI90" s="125" t="n">
        <f aca="false">INDEX($F90:$AG90,1,MATCH(AI$7,$F$7:$AG$7,1))</f>
        <v>0</v>
      </c>
      <c r="AJ90" s="125" t="n">
        <f aca="false">INDEX($F90:$AG90,1,MATCH(AJ$7,$F$7:$AG$7,1))</f>
        <v>0</v>
      </c>
      <c r="AK90" s="125" t="n">
        <f aca="false">INDEX($F90:$AG90,1,MATCH(AK$7,$F$7:$AG$7,1))</f>
        <v>3485.01573564123</v>
      </c>
      <c r="AL90" s="125" t="n">
        <f aca="false">INDEX($F90:$AG90,1,MATCH(AL$7,$F$7:$AG$7,1))</f>
        <v>3584.09126671912</v>
      </c>
      <c r="AM90" s="125" t="n">
        <f aca="false">INDEX($F90:$AG90,1,MATCH(AM$7,$F$7:$AG$7,1))</f>
        <v>3683.43823760818</v>
      </c>
      <c r="AN90" s="125" t="n">
        <f aca="false">INDEX($F90:$AG90,1,MATCH(AN$7,$F$7:$AG$7,1))</f>
        <v>3782.51376868607</v>
      </c>
      <c r="AO90" s="125" t="n">
        <f aca="false">INDEX($F90:$AG90,1,MATCH(AO$7,$F$7:$AG$7,1))</f>
        <v>0</v>
      </c>
    </row>
    <row r="91" customFormat="false" ht="15" hidden="false" customHeight="false" outlineLevel="0" collapsed="false">
      <c r="A91" s="107" t="s">
        <v>2351</v>
      </c>
      <c r="B91" s="22" t="s">
        <v>613</v>
      </c>
      <c r="C91" s="22" t="s">
        <v>604</v>
      </c>
      <c r="D91" s="22"/>
      <c r="F91" s="124" t="n">
        <f aca="false">IF(AND(F$5&gt;=$M$19,F$5&lt;$N$19),$E$19-$F$19-IF(F$5&gt;=$H$19,$G$19,0),0)*($H$19&lt;&gt;0)+IF(AND(F$5&gt;=$M$19,F$5&lt;$N$19),$E$19-$F$19,0)*($H$19=0)</f>
        <v>0</v>
      </c>
      <c r="G91" s="124" t="n">
        <f aca="false">IF(AND(G$5&gt;=$M$19,G$5&lt;$N$19),$E$19-$F$19-IF(G$5&gt;=$H$19,$G$19,0),0)*($H$19&lt;&gt;0)+IF(AND(G$5&gt;=$M$19,G$5&lt;$N$19),$E$19-$F$19,0)*($H$19=0)</f>
        <v>0</v>
      </c>
      <c r="H91" s="124" t="n">
        <f aca="false">IF(AND(H$5&gt;=$M$19,H$5&lt;$N$19),$E$19-$F$19-IF(H$5&gt;=$H$19,$G$19,0),0)*($H$19&lt;&gt;0)+IF(AND(H$5&gt;=$M$19,H$5&lt;$N$19),$E$19-$F$19,0)*($H$19=0)</f>
        <v>0</v>
      </c>
      <c r="I91" s="124" t="n">
        <f aca="false">IF(AND(I$5&gt;=$M$19,I$5&lt;$N$19),$E$19-$F$19-IF(I$5&gt;=$H$19,$G$19,0),0)*($H$19&lt;&gt;0)+IF(AND(I$5&gt;=$M$19,I$5&lt;$N$19),$E$19-$F$19,0)*($H$19=0)</f>
        <v>0</v>
      </c>
      <c r="J91" s="124" t="n">
        <f aca="false">IF(AND(J$5&gt;=$M$19,J$5&lt;$N$19),$E$19-$F$19-IF(J$5&gt;=$H$19,$G$19,0),0)*($H$19&lt;&gt;0)+IF(AND(J$5&gt;=$M$19,J$5&lt;$N$19),$E$19-$F$19,0)*($H$19=0)</f>
        <v>0</v>
      </c>
      <c r="K91" s="124" t="n">
        <f aca="false">IF(AND(K$5&gt;=$M$19,K$5&lt;$N$19),$E$19-$F$19-IF(K$5&gt;=$H$19,$G$19,0),0)*($H$19&lt;&gt;0)+IF(AND(K$5&gt;=$M$19,K$5&lt;$N$19),$E$19-$F$19,0)*($H$19=0)</f>
        <v>0</v>
      </c>
      <c r="L91" s="124" t="n">
        <f aca="false">IF(AND(L$5&gt;=$M$19,L$5&lt;$N$19),$E$19-$F$19-IF(L$5&gt;=$H$19,$G$19,0),0)*($H$19&lt;&gt;0)+IF(AND(L$5&gt;=$M$19,L$5&lt;$N$19),$E$19-$F$19,0)*($H$19=0)</f>
        <v>0</v>
      </c>
      <c r="M91" s="124" t="n">
        <f aca="false">IF(AND(M$5&gt;=$M$19,M$5&lt;$N$19),$E$19-$F$19-IF(M$5&gt;=$H$19,$G$19,0),0)*($H$19&lt;&gt;0)+IF(AND(M$5&gt;=$M$19,M$5&lt;$N$19),$E$19-$F$19,0)*($H$19=0)</f>
        <v>0</v>
      </c>
      <c r="N91" s="124" t="n">
        <f aca="false">IF(AND(N$5&gt;=$M$19,N$5&lt;$N$19),$E$19-$F$19-IF(N$5&gt;=$H$19,$G$19,0),0)*($H$19&lt;&gt;0)+IF(AND(N$5&gt;=$M$19,N$5&lt;$N$19),$E$19-$F$19,0)*($H$19=0)</f>
        <v>0</v>
      </c>
      <c r="O91" s="124" t="n">
        <f aca="false">IF(AND(O$5&gt;=$M$19,O$5&lt;$N$19),$E$19-$F$19-IF(O$5&gt;=$H$19,$G$19,0),0)*($H$19&lt;&gt;0)+IF(AND(O$5&gt;=$M$19,O$5&lt;$N$19),$E$19-$F$19,0)*($H$19=0)</f>
        <v>0</v>
      </c>
      <c r="P91" s="125" t="n">
        <f aca="false">IF(AND(P$5&gt;=$M$19,P$5&lt;$N$19),$E$19-$F$19-IF(P$5&gt;=$H$19,$G$19,0),0)*($H$19&lt;&gt;0)+IF(AND(P$5&gt;=$M$19,P$5&lt;$N$19),$E$19-$F$19,0)*($H$19=0)</f>
        <v>2300</v>
      </c>
      <c r="Q91" s="125" t="n">
        <f aca="false">IF(AND(Q$5&gt;=$M$19,Q$5&lt;$N$19),$E$19-$F$19-IF(Q$5&gt;=$H$19,$G$19,0),0)*($H$19&lt;&gt;0)+IF(AND(Q$5&gt;=$M$19,Q$5&lt;$N$19),$E$19-$F$19,0)*($H$19=0)</f>
        <v>2300</v>
      </c>
      <c r="R91" s="125" t="n">
        <f aca="false">IF(AND(R$5&gt;=$M$19,R$5&lt;$N$19),$E$19-$F$19-IF(R$5&gt;=$H$19,$G$19,0),0)*($H$19&lt;&gt;0)+IF(AND(R$5&gt;=$M$19,R$5&lt;$N$19),$E$19-$F$19,0)*($H$19=0)</f>
        <v>2300</v>
      </c>
      <c r="S91" s="125" t="n">
        <f aca="false">IF(AND(S$5&gt;=$M$19,S$5&lt;$N$19),$E$19-$F$19-IF(S$5&gt;=$H$19,$G$19,0),0)*($H$19&lt;&gt;0)+IF(AND(S$5&gt;=$M$19,S$5&lt;$N$19),$E$19-$F$19,0)*($H$19=0)</f>
        <v>2300</v>
      </c>
      <c r="T91" s="125" t="n">
        <f aca="false">IF(AND(T$5&gt;=$M$19,T$5&lt;$N$19),$E$19-$F$19-IF(T$5&gt;=$H$19,$G$19,0),0)*($H$19&lt;&gt;0)+IF(AND(T$5&gt;=$M$19,T$5&lt;$N$19),$E$19-$F$19,0)*($H$19=0)</f>
        <v>2300</v>
      </c>
      <c r="U91" s="125" t="n">
        <f aca="false">IF(AND(U$5&gt;=$M$19,U$5&lt;$N$19),$E$19-$F$19-IF(U$5&gt;=$H$19,$G$19,0),0)*($H$19&lt;&gt;0)+IF(AND(U$5&gt;=$M$19,U$5&lt;$N$19),$E$19-$F$19,0)*($H$19=0)</f>
        <v>2300</v>
      </c>
      <c r="V91" s="125" t="n">
        <f aca="false">IF(AND(V$5&gt;=$M$19,V$5&lt;$N$19),$E$19-$F$19-IF(V$5&gt;=$H$19,$G$19,0),0)*($H$19&lt;&gt;0)+IF(AND(V$5&gt;=$M$19,V$5&lt;$N$19),$E$19-$F$19,0)*($H$19=0)</f>
        <v>2300</v>
      </c>
      <c r="W91" s="125" t="n">
        <f aca="false">IF(AND(W$5&gt;=$M$19,W$5&lt;$N$19),$E$19-$F$19-IF(W$5&gt;=$H$19,$G$19,0),0)*($H$19&lt;&gt;0)+IF(AND(W$5&gt;=$M$19,W$5&lt;$N$19),$E$19-$F$19,0)*($H$19=0)</f>
        <v>2300</v>
      </c>
      <c r="X91" s="125" t="n">
        <f aca="false">IF(AND(X$5&gt;=$M$19,X$5&lt;$N$19),$E$19-$F$19-IF(X$5&gt;=$H$19,$G$19,0),0)*($H$19&lt;&gt;0)+IF(AND(X$5&gt;=$M$19,X$5&lt;$N$19),$E$19-$F$19,0)*($H$19=0)</f>
        <v>2300</v>
      </c>
      <c r="Y91" s="125" t="n">
        <f aca="false">IF(AND(Y$5&gt;=$M$19,Y$5&lt;$N$19),$E$19-$F$19-IF(Y$5&gt;=$H$19,$G$19,0),0)*($H$19&lt;&gt;0)+IF(AND(Y$5&gt;=$M$19,Y$5&lt;$N$19),$E$19-$F$19,0)*($H$19=0)</f>
        <v>2300</v>
      </c>
      <c r="Z91" s="125" t="n">
        <f aca="false">IF(AND(Z$5&gt;=$M$19,Z$5&lt;$N$19),$E$19-$F$19-IF(Z$5&gt;=$H$19,$G$19,0),0)*($H$19&lt;&gt;0)+IF(AND(Z$5&gt;=$M$19,Z$5&lt;$N$19),$E$19-$F$19,0)*($H$19=0)</f>
        <v>2300</v>
      </c>
      <c r="AA91" s="125" t="n">
        <f aca="false">IF(AND(AA$5&gt;=$M$19,AA$5&lt;$N$19),$E$19-$F$19-IF(AA$5&gt;=$H$19,$G$19,0),0)*($H$19&lt;&gt;0)+IF(AND(AA$5&gt;=$M$19,AA$5&lt;$N$19),$E$19-$F$19,0)*($H$19=0)</f>
        <v>2300</v>
      </c>
      <c r="AB91" s="125" t="n">
        <f aca="false">IF(AND(AB$5&gt;=$M$19,AB$5&lt;$N$19),$E$19-$F$19-IF(AB$5&gt;=$H$19,$G$19,0),0)*($H$19&lt;&gt;0)+IF(AND(AB$5&gt;=$M$19,AB$5&lt;$N$19),$E$19-$F$19,0)*($H$19=0)</f>
        <v>2300</v>
      </c>
      <c r="AC91" s="125" t="n">
        <f aca="false">IF(AND(AC$5&gt;=$M$19,AC$5&lt;$N$19),$E$19-$F$19-IF(AC$5&gt;=$H$19,$G$19,0),0)*($H$19&lt;&gt;0)+IF(AND(AC$5&gt;=$M$19,AC$5&lt;$N$19),$E$19-$F$19,0)*($H$19=0)</f>
        <v>2300</v>
      </c>
      <c r="AD91" s="125" t="n">
        <f aca="false">IF(AND(AD$5&gt;=$M$19,AD$5&lt;$N$19),$E$19-$F$19-IF(AD$5&gt;=$H$19,$G$19,0),0)*($H$19&lt;&gt;0)+IF(AND(AD$5&gt;=$M$19,AD$5&lt;$N$19),$E$19-$F$19,0)*($H$19=0)</f>
        <v>2300</v>
      </c>
      <c r="AE91" s="125" t="n">
        <f aca="false">IF(AND(AE$5&gt;=$M$19,AE$5&lt;$N$19),$E$19-$F$19-IF(AE$5&gt;=$H$19,$G$19,0),0)*($H$19&lt;&gt;0)+IF(AND(AE$5&gt;=$M$19,AE$5&lt;$N$19),$E$19-$F$19,0)*($H$19=0)</f>
        <v>2300</v>
      </c>
      <c r="AF91" s="125" t="n">
        <f aca="false">IF(AND(AF$5&gt;=$M$19,AF$5&lt;$N$19),$E$19-$F$19-IF(AF$5&gt;=$H$19,$G$19,0),0)*($H$19&lt;&gt;0)+IF(AND(AF$5&gt;=$M$19,AF$5&lt;$N$19),$E$19-$F$19,0)*($H$19=0)</f>
        <v>2300</v>
      </c>
      <c r="AG91" s="125" t="n">
        <f aca="false">IF(AND(AG$5&gt;=$M$19,AG$5&lt;$N$19),$E$19-$F$19-IF(AG$5&gt;=$H$19,$G$19,0),0)*($H$19&lt;&gt;0)+IF(AND(AG$5&gt;=$M$19,AG$5&lt;$N$19),$E$19-$F$19,0)*($H$19=0)</f>
        <v>2300</v>
      </c>
      <c r="AI91" s="125" t="n">
        <f aca="false">INDEX($F91:$AG91,1,MATCH(AI$7,$F$7:$AG$7,1))</f>
        <v>0</v>
      </c>
      <c r="AJ91" s="125" t="n">
        <f aca="false">INDEX($F91:$AG91,1,MATCH(AJ$7,$F$7:$AG$7,1))</f>
        <v>0</v>
      </c>
      <c r="AK91" s="125" t="n">
        <f aca="false">INDEX($F91:$AG91,1,MATCH(AK$7,$F$7:$AG$7,1))</f>
        <v>2300</v>
      </c>
      <c r="AL91" s="125" t="n">
        <f aca="false">INDEX($F91:$AG91,1,MATCH(AL$7,$F$7:$AG$7,1))</f>
        <v>2300</v>
      </c>
      <c r="AM91" s="125" t="n">
        <f aca="false">INDEX($F91:$AG91,1,MATCH(AM$7,$F$7:$AG$7,1))</f>
        <v>2300</v>
      </c>
      <c r="AN91" s="125" t="n">
        <f aca="false">INDEX($F91:$AG91,1,MATCH(AN$7,$F$7:$AG$7,1))</f>
        <v>2300</v>
      </c>
      <c r="AO91" s="125" t="n">
        <f aca="false">INDEX($F91:$AG91,1,MATCH(AO$7,$F$7:$AG$7,1))</f>
        <v>2300</v>
      </c>
    </row>
    <row r="92" customFormat="false" ht="15" hidden="false" customHeight="false" outlineLevel="0" collapsed="false">
      <c r="A92" s="107" t="s">
        <v>2352</v>
      </c>
      <c r="B92" s="22" t="s">
        <v>613</v>
      </c>
      <c r="C92" s="22" t="s">
        <v>604</v>
      </c>
      <c r="D92" s="22"/>
      <c r="F92" s="124" t="n">
        <f aca="false">F91*$C$19/4</f>
        <v>0</v>
      </c>
      <c r="G92" s="124" t="n">
        <f aca="false">G91*$C$19/4</f>
        <v>0</v>
      </c>
      <c r="H92" s="124" t="n">
        <f aca="false">H91*$C$19/4</f>
        <v>0</v>
      </c>
      <c r="I92" s="124" t="n">
        <f aca="false">I91*$C$19/4</f>
        <v>0</v>
      </c>
      <c r="J92" s="124" t="n">
        <f aca="false">J91*$C$19/4</f>
        <v>0</v>
      </c>
      <c r="K92" s="124" t="n">
        <f aca="false">K91*$C$19/4</f>
        <v>0</v>
      </c>
      <c r="L92" s="124" t="n">
        <f aca="false">L91*$C$19/4</f>
        <v>0</v>
      </c>
      <c r="M92" s="124" t="n">
        <f aca="false">M91*$C$19/4</f>
        <v>0</v>
      </c>
      <c r="N92" s="124" t="n">
        <f aca="false">N91*$C$19/4</f>
        <v>0</v>
      </c>
      <c r="O92" s="124" t="n">
        <f aca="false">O91*$C$19/4</f>
        <v>0</v>
      </c>
      <c r="P92" s="125" t="n">
        <f aca="false">P91*$C$19/4</f>
        <v>25.875</v>
      </c>
      <c r="Q92" s="125" t="n">
        <f aca="false">Q91*$C$19/4</f>
        <v>25.875</v>
      </c>
      <c r="R92" s="125" t="n">
        <f aca="false">R91*$C$19/4</f>
        <v>25.875</v>
      </c>
      <c r="S92" s="125" t="n">
        <f aca="false">S91*$C$19/4</f>
        <v>25.875</v>
      </c>
      <c r="T92" s="125" t="n">
        <f aca="false">T91*$C$19/4</f>
        <v>25.875</v>
      </c>
      <c r="U92" s="125" t="n">
        <f aca="false">U91*$C$19/4</f>
        <v>25.875</v>
      </c>
      <c r="V92" s="125" t="n">
        <f aca="false">V91*$C$19/4</f>
        <v>25.875</v>
      </c>
      <c r="W92" s="125" t="n">
        <f aca="false">W91*$C$19/4</f>
        <v>25.875</v>
      </c>
      <c r="X92" s="125" t="n">
        <f aca="false">X91*$C$19/4</f>
        <v>25.875</v>
      </c>
      <c r="Y92" s="125" t="n">
        <f aca="false">Y91*$C$19/4</f>
        <v>25.875</v>
      </c>
      <c r="Z92" s="125" t="n">
        <f aca="false">Z91*$C$19/4</f>
        <v>25.875</v>
      </c>
      <c r="AA92" s="125" t="n">
        <f aca="false">AA91*$C$19/4</f>
        <v>25.875</v>
      </c>
      <c r="AB92" s="125" t="n">
        <f aca="false">AB91*$C$19/4</f>
        <v>25.875</v>
      </c>
      <c r="AC92" s="125" t="n">
        <f aca="false">AC91*$C$19/4</f>
        <v>25.875</v>
      </c>
      <c r="AD92" s="125" t="n">
        <f aca="false">AD91*$C$19/4</f>
        <v>25.875</v>
      </c>
      <c r="AE92" s="125" t="n">
        <f aca="false">AE91*$C$19/4</f>
        <v>25.875</v>
      </c>
      <c r="AF92" s="125" t="n">
        <f aca="false">AF91*$C$19/4</f>
        <v>25.875</v>
      </c>
      <c r="AG92" s="125" t="n">
        <f aca="false">AG91*$C$19/4</f>
        <v>25.875</v>
      </c>
      <c r="AI92" s="125" t="n">
        <f aca="false">SUMIF($F$7:$AG$7,AI$7,$F92:$AG92)</f>
        <v>0</v>
      </c>
      <c r="AJ92" s="125" t="n">
        <f aca="false">SUMIF($F$7:$AG$7,AJ$7,$F92:$AG92)</f>
        <v>0</v>
      </c>
      <c r="AK92" s="125" t="n">
        <f aca="false">SUMIF($F$7:$AG$7,AK$7,$F92:$AG92)</f>
        <v>51.75</v>
      </c>
      <c r="AL92" s="125" t="n">
        <f aca="false">SUMIF($F$7:$AG$7,AL$7,$F92:$AG92)</f>
        <v>103.5</v>
      </c>
      <c r="AM92" s="125" t="n">
        <f aca="false">SUMIF($F$7:$AG$7,AM$7,$F92:$AG92)</f>
        <v>103.5</v>
      </c>
      <c r="AN92" s="125" t="n">
        <f aca="false">SUMIF($F$7:$AG$7,AN$7,$F92:$AG92)</f>
        <v>103.5</v>
      </c>
      <c r="AO92" s="125" t="n">
        <f aca="false">SUMIF($F$7:$AG$7,AO$7,$F92:$AG92)</f>
        <v>103.5</v>
      </c>
    </row>
    <row r="93" customFormat="false" ht="15" hidden="false" customHeight="false" outlineLevel="0" collapsed="false">
      <c r="A93" s="107" t="s">
        <v>2353</v>
      </c>
      <c r="B93" s="22" t="s">
        <v>613</v>
      </c>
      <c r="C93" s="22" t="s">
        <v>604</v>
      </c>
      <c r="D93" s="22"/>
      <c r="F93" s="124" t="n">
        <f aca="false">F91*($J$19-1)/(($D$19-$B$19)/91.3125)</f>
        <v>0</v>
      </c>
      <c r="G93" s="124" t="n">
        <f aca="false">G91*($J$19-1)/(($D$19-$B$19)/91.3125)</f>
        <v>0</v>
      </c>
      <c r="H93" s="124" t="n">
        <f aca="false">H91*($J$19-1)/(($D$19-$B$19)/91.3125)</f>
        <v>0</v>
      </c>
      <c r="I93" s="124" t="n">
        <f aca="false">I91*($J$19-1)/(($D$19-$B$19)/91.3125)</f>
        <v>0</v>
      </c>
      <c r="J93" s="124" t="n">
        <f aca="false">J91*($J$19-1)/(($D$19-$B$19)/91.3125)</f>
        <v>0</v>
      </c>
      <c r="K93" s="124" t="n">
        <f aca="false">K91*($J$19-1)/(($D$19-$B$19)/91.3125)</f>
        <v>0</v>
      </c>
      <c r="L93" s="124" t="n">
        <f aca="false">L91*($J$19-1)/(($D$19-$B$19)/91.3125)</f>
        <v>0</v>
      </c>
      <c r="M93" s="124" t="n">
        <f aca="false">M91*($J$19-1)/(($D$19-$B$19)/91.3125)</f>
        <v>0</v>
      </c>
      <c r="N93" s="124" t="n">
        <f aca="false">N91*($J$19-1)/(($D$19-$B$19)/91.3125)</f>
        <v>0</v>
      </c>
      <c r="O93" s="124" t="n">
        <f aca="false">O91*($J$19-1)/(($D$19-$B$19)/91.3125)</f>
        <v>0</v>
      </c>
      <c r="P93" s="125" t="n">
        <f aca="false">P91*($J$19-1)/(($D$19-$B$19)/91.3125)</f>
        <v>19.2184068448023</v>
      </c>
      <c r="Q93" s="125" t="n">
        <f aca="false">Q91*($J$19-1)/(($D$19-$B$19)/91.3125)</f>
        <v>19.2184068448023</v>
      </c>
      <c r="R93" s="125" t="n">
        <f aca="false">R91*($J$19-1)/(($D$19-$B$19)/91.3125)</f>
        <v>19.2184068448023</v>
      </c>
      <c r="S93" s="125" t="n">
        <f aca="false">S91*($J$19-1)/(($D$19-$B$19)/91.3125)</f>
        <v>19.2184068448023</v>
      </c>
      <c r="T93" s="125" t="n">
        <f aca="false">T91*($J$19-1)/(($D$19-$B$19)/91.3125)</f>
        <v>19.2184068448023</v>
      </c>
      <c r="U93" s="125" t="n">
        <f aca="false">U91*($J$19-1)/(($D$19-$B$19)/91.3125)</f>
        <v>19.2184068448023</v>
      </c>
      <c r="V93" s="125" t="n">
        <f aca="false">V91*($J$19-1)/(($D$19-$B$19)/91.3125)</f>
        <v>19.2184068448023</v>
      </c>
      <c r="W93" s="125" t="n">
        <f aca="false">W91*($J$19-1)/(($D$19-$B$19)/91.3125)</f>
        <v>19.2184068448023</v>
      </c>
      <c r="X93" s="125" t="n">
        <f aca="false">X91*($J$19-1)/(($D$19-$B$19)/91.3125)</f>
        <v>19.2184068448023</v>
      </c>
      <c r="Y93" s="125" t="n">
        <f aca="false">Y91*($J$19-1)/(($D$19-$B$19)/91.3125)</f>
        <v>19.2184068448023</v>
      </c>
      <c r="Z93" s="125" t="n">
        <f aca="false">Z91*($J$19-1)/(($D$19-$B$19)/91.3125)</f>
        <v>19.2184068448023</v>
      </c>
      <c r="AA93" s="125" t="n">
        <f aca="false">AA91*($J$19-1)/(($D$19-$B$19)/91.3125)</f>
        <v>19.2184068448023</v>
      </c>
      <c r="AB93" s="125" t="n">
        <f aca="false">AB91*($J$19-1)/(($D$19-$B$19)/91.3125)</f>
        <v>19.2184068448023</v>
      </c>
      <c r="AC93" s="125" t="n">
        <f aca="false">AC91*($J$19-1)/(($D$19-$B$19)/91.3125)</f>
        <v>19.2184068448023</v>
      </c>
      <c r="AD93" s="125" t="n">
        <f aca="false">AD91*($J$19-1)/(($D$19-$B$19)/91.3125)</f>
        <v>19.2184068448023</v>
      </c>
      <c r="AE93" s="125" t="n">
        <f aca="false">AE91*($J$19-1)/(($D$19-$B$19)/91.3125)</f>
        <v>19.2184068448023</v>
      </c>
      <c r="AF93" s="125" t="n">
        <f aca="false">AF91*($J$19-1)/(($D$19-$B$19)/91.3125)</f>
        <v>19.2184068448023</v>
      </c>
      <c r="AG93" s="125" t="n">
        <f aca="false">AG91*($J$19-1)/(($D$19-$B$19)/91.3125)</f>
        <v>19.2184068448023</v>
      </c>
      <c r="AI93" s="125" t="n">
        <f aca="false">SUMIF($F$7:$AG$7,AI$7,$F93:$AG93)</f>
        <v>0</v>
      </c>
      <c r="AJ93" s="125" t="n">
        <f aca="false">SUMIF($F$7:$AG$7,AJ$7,$F93:$AG93)</f>
        <v>0</v>
      </c>
      <c r="AK93" s="125" t="n">
        <f aca="false">SUMIF($F$7:$AG$7,AK$7,$F93:$AG93)</f>
        <v>38.4368136896047</v>
      </c>
      <c r="AL93" s="125" t="n">
        <f aca="false">SUMIF($F$7:$AG$7,AL$7,$F93:$AG93)</f>
        <v>76.8736273792094</v>
      </c>
      <c r="AM93" s="125" t="n">
        <f aca="false">SUMIF($F$7:$AG$7,AM$7,$F93:$AG93)</f>
        <v>76.8736273792094</v>
      </c>
      <c r="AN93" s="125" t="n">
        <f aca="false">SUMIF($F$7:$AG$7,AN$7,$F93:$AG93)</f>
        <v>76.8736273792094</v>
      </c>
      <c r="AO93" s="125" t="n">
        <f aca="false">SUMIF($F$7:$AG$7,AO$7,$F93:$AG93)</f>
        <v>76.8736273792094</v>
      </c>
    </row>
    <row r="94" customFormat="false" ht="15" hidden="false" customHeight="false" outlineLevel="0" collapsed="false">
      <c r="A94" s="107" t="s">
        <v>2354</v>
      </c>
      <c r="B94" s="22" t="s">
        <v>613</v>
      </c>
      <c r="C94" s="22" t="s">
        <v>604</v>
      </c>
      <c r="D94" s="22"/>
      <c r="F94" s="124" t="n">
        <f aca="false">F91*(1+($J$19-1)*MIN(1,MAX(0,(F$4-$B$19)/($D$19-$B$19))))</f>
        <v>0</v>
      </c>
      <c r="G94" s="124" t="n">
        <f aca="false">G91*(1+($J$19-1)*MIN(1,MAX(0,(G$4-$B$19)/($D$19-$B$19))))</f>
        <v>0</v>
      </c>
      <c r="H94" s="124" t="n">
        <f aca="false">H91*(1+($J$19-1)*MIN(1,MAX(0,(H$4-$B$19)/($D$19-$B$19))))</f>
        <v>0</v>
      </c>
      <c r="I94" s="124" t="n">
        <f aca="false">I91*(1+($J$19-1)*MIN(1,MAX(0,(I$4-$B$19)/($D$19-$B$19))))</f>
        <v>0</v>
      </c>
      <c r="J94" s="124" t="n">
        <f aca="false">J91*(1+($J$19-1)*MIN(1,MAX(0,(J$4-$B$19)/($D$19-$B$19))))</f>
        <v>0</v>
      </c>
      <c r="K94" s="124" t="n">
        <f aca="false">K91*(1+($J$19-1)*MIN(1,MAX(0,(K$4-$B$19)/($D$19-$B$19))))</f>
        <v>0</v>
      </c>
      <c r="L94" s="124" t="n">
        <f aca="false">L91*(1+($J$19-1)*MIN(1,MAX(0,(L$4-$B$19)/($D$19-$B$19))))</f>
        <v>0</v>
      </c>
      <c r="M94" s="124" t="n">
        <f aca="false">M91*(1+($J$19-1)*MIN(1,MAX(0,(M$4-$B$19)/($D$19-$B$19))))</f>
        <v>0</v>
      </c>
      <c r="N94" s="124" t="n">
        <f aca="false">N91*(1+($J$19-1)*MIN(1,MAX(0,(N$4-$B$19)/($D$19-$B$19))))</f>
        <v>0</v>
      </c>
      <c r="O94" s="124" t="n">
        <f aca="false">O91*(1+($J$19-1)*MIN(1,MAX(0,(O$4-$B$19)/($D$19-$B$19))))</f>
        <v>0</v>
      </c>
      <c r="P94" s="125" t="n">
        <f aca="false">P91*(1+($J$19-1)*MIN(1,MAX(0,(P$4-$B$19)/($D$19-$B$19))))</f>
        <v>2307.78733528551</v>
      </c>
      <c r="Q94" s="125" t="n">
        <f aca="false">Q91*(1+($J$19-1)*MIN(1,MAX(0,(Q$4-$B$19)/($D$19-$B$19))))</f>
        <v>2327.15043923865</v>
      </c>
      <c r="R94" s="125" t="n">
        <f aca="false">R91*(1+($J$19-1)*MIN(1,MAX(0,(R$4-$B$19)/($D$19-$B$19))))</f>
        <v>2346.09260614934</v>
      </c>
      <c r="S94" s="125" t="n">
        <f aca="false">S91*(1+($J$19-1)*MIN(1,MAX(0,(S$4-$B$19)/($D$19-$B$19))))</f>
        <v>2365.24524158126</v>
      </c>
      <c r="T94" s="125" t="n">
        <f aca="false">T91*(1+($J$19-1)*MIN(1,MAX(0,(T$4-$B$19)/($D$19-$B$19))))</f>
        <v>2384.60834553441</v>
      </c>
      <c r="U94" s="125" t="n">
        <f aca="false">U91*(1+($J$19-1)*MIN(1,MAX(0,(U$4-$B$19)/($D$19-$B$19))))</f>
        <v>2403.97144948756</v>
      </c>
      <c r="V94" s="125" t="n">
        <f aca="false">V91*(1+($J$19-1)*MIN(1,MAX(0,(V$4-$B$19)/($D$19-$B$19))))</f>
        <v>2423.12408491947</v>
      </c>
      <c r="W94" s="125" t="n">
        <f aca="false">W91*(1+($J$19-1)*MIN(1,MAX(0,(W$4-$B$19)/($D$19-$B$19))))</f>
        <v>2442.27672035139</v>
      </c>
      <c r="X94" s="125" t="n">
        <f aca="false">X91*(1+($J$19-1)*MIN(1,MAX(0,(X$4-$B$19)/($D$19-$B$19))))</f>
        <v>2461.63982430454</v>
      </c>
      <c r="Y94" s="125" t="n">
        <f aca="false">Y91*(1+($J$19-1)*MIN(1,MAX(0,(Y$4-$B$19)/($D$19-$B$19))))</f>
        <v>2481.00292825769</v>
      </c>
      <c r="Z94" s="125" t="n">
        <f aca="false">Z91*(1+($J$19-1)*MIN(1,MAX(0,(Z$4-$B$19)/($D$19-$B$19))))</f>
        <v>2499.94509516838</v>
      </c>
      <c r="AA94" s="125" t="n">
        <f aca="false">AA91*(1+($J$19-1)*MIN(1,MAX(0,(AA$4-$B$19)/($D$19-$B$19))))</f>
        <v>2519.09773060029</v>
      </c>
      <c r="AB94" s="125" t="n">
        <f aca="false">AB91*(1+($J$19-1)*MIN(1,MAX(0,(AB$4-$B$19)/($D$19-$B$19))))</f>
        <v>2538.46083455344</v>
      </c>
      <c r="AC94" s="125" t="n">
        <f aca="false">AC91*(1+($J$19-1)*MIN(1,MAX(0,(AC$4-$B$19)/($D$19-$B$19))))</f>
        <v>2557.82393850659</v>
      </c>
      <c r="AD94" s="125" t="n">
        <f aca="false">AD91*(1+($J$19-1)*MIN(1,MAX(0,(AD$4-$B$19)/($D$19-$B$19))))</f>
        <v>2576.76610541728</v>
      </c>
      <c r="AE94" s="125" t="n">
        <f aca="false">AE91*(1+($J$19-1)*MIN(1,MAX(0,(AE$4-$B$19)/($D$19-$B$19))))</f>
        <v>2595.9187408492</v>
      </c>
      <c r="AF94" s="125" t="n">
        <f aca="false">AF91*(1+($J$19-1)*MIN(1,MAX(0,(AF$4-$B$19)/($D$19-$B$19))))</f>
        <v>2615.28184480234</v>
      </c>
      <c r="AG94" s="125" t="n">
        <f aca="false">AG91*(1+($J$19-1)*MIN(1,MAX(0,(AG$4-$B$19)/($D$19-$B$19))))</f>
        <v>2634.64494875549</v>
      </c>
      <c r="AI94" s="125" t="n">
        <f aca="false">INDEX($F94:$AG94,1,MATCH(AI$7,$F$7:$AG$7,1))</f>
        <v>0</v>
      </c>
      <c r="AJ94" s="125" t="n">
        <f aca="false">INDEX($F94:$AG94,1,MATCH(AJ$7,$F$7:$AG$7,1))</f>
        <v>0</v>
      </c>
      <c r="AK94" s="125" t="n">
        <f aca="false">INDEX($F94:$AG94,1,MATCH(AK$7,$F$7:$AG$7,1))</f>
        <v>2327.15043923865</v>
      </c>
      <c r="AL94" s="125" t="n">
        <f aca="false">INDEX($F94:$AG94,1,MATCH(AL$7,$F$7:$AG$7,1))</f>
        <v>2403.97144948756</v>
      </c>
      <c r="AM94" s="125" t="n">
        <f aca="false">INDEX($F94:$AG94,1,MATCH(AM$7,$F$7:$AG$7,1))</f>
        <v>2481.00292825769</v>
      </c>
      <c r="AN94" s="125" t="n">
        <f aca="false">INDEX($F94:$AG94,1,MATCH(AN$7,$F$7:$AG$7,1))</f>
        <v>2557.82393850659</v>
      </c>
      <c r="AO94" s="125" t="n">
        <f aca="false">INDEX($F94:$AG94,1,MATCH(AO$7,$F$7:$AG$7,1))</f>
        <v>2634.64494875549</v>
      </c>
    </row>
    <row r="95" customFormat="false" ht="15" hidden="false" customHeight="false" outlineLevel="0" collapsed="false">
      <c r="A95" s="107" t="s">
        <v>2355</v>
      </c>
      <c r="B95" s="22" t="s">
        <v>613</v>
      </c>
      <c r="C95" s="22" t="s">
        <v>604</v>
      </c>
      <c r="D95" s="22"/>
      <c r="F95" s="124" t="n">
        <f aca="false">F91*($S$19+($J$19-$S$19)*MIN(1,MAX(0,(F$4-$T$19)/($D$19-$T$19))))</f>
        <v>0</v>
      </c>
      <c r="G95" s="124" t="n">
        <f aca="false">G91*($S$19+($J$19-$S$19)*MIN(1,MAX(0,(G$4-$T$19)/($D$19-$T$19))))</f>
        <v>0</v>
      </c>
      <c r="H95" s="124" t="n">
        <f aca="false">H91*($S$19+($J$19-$S$19)*MIN(1,MAX(0,(H$4-$T$19)/($D$19-$T$19))))</f>
        <v>0</v>
      </c>
      <c r="I95" s="124" t="n">
        <f aca="false">I91*($S$19+($J$19-$S$19)*MIN(1,MAX(0,(I$4-$T$19)/($D$19-$T$19))))</f>
        <v>0</v>
      </c>
      <c r="J95" s="124" t="n">
        <f aca="false">J91*($S$19+($J$19-$S$19)*MIN(1,MAX(0,(J$4-$T$19)/($D$19-$T$19))))</f>
        <v>0</v>
      </c>
      <c r="K95" s="124" t="n">
        <f aca="false">K91*($S$19+($J$19-$S$19)*MIN(1,MAX(0,(K$4-$T$19)/($D$19-$T$19))))</f>
        <v>0</v>
      </c>
      <c r="L95" s="124" t="n">
        <f aca="false">L91*($S$19+($J$19-$S$19)*MIN(1,MAX(0,(L$4-$T$19)/($D$19-$T$19))))</f>
        <v>0</v>
      </c>
      <c r="M95" s="124" t="n">
        <f aca="false">M91*($S$19+($J$19-$S$19)*MIN(1,MAX(0,(M$4-$T$19)/($D$19-$T$19))))</f>
        <v>0</v>
      </c>
      <c r="N95" s="124" t="n">
        <f aca="false">N91*($S$19+($J$19-$S$19)*MIN(1,MAX(0,(N$4-$T$19)/($D$19-$T$19))))</f>
        <v>0</v>
      </c>
      <c r="O95" s="124" t="n">
        <f aca="false">O91*($S$19+($J$19-$S$19)*MIN(1,MAX(0,(O$4-$T$19)/($D$19-$T$19))))</f>
        <v>0</v>
      </c>
      <c r="P95" s="125" t="n">
        <f aca="false">P91*($S$19+($J$19-$S$19)*MIN(1,MAX(0,(P$4-$T$19)/($D$19-$T$19))))</f>
        <v>2307.78733528551</v>
      </c>
      <c r="Q95" s="125" t="n">
        <f aca="false">Q91*($S$19+($J$19-$S$19)*MIN(1,MAX(0,(Q$4-$T$19)/($D$19-$T$19))))</f>
        <v>2327.15043923865</v>
      </c>
      <c r="R95" s="125" t="n">
        <f aca="false">R91*($S$19+($J$19-$S$19)*MIN(1,MAX(0,(R$4-$T$19)/($D$19-$T$19))))</f>
        <v>2346.09260614934</v>
      </c>
      <c r="S95" s="125" t="n">
        <f aca="false">S91*($S$19+($J$19-$S$19)*MIN(1,MAX(0,(S$4-$T$19)/($D$19-$T$19))))</f>
        <v>2365.24524158126</v>
      </c>
      <c r="T95" s="125" t="n">
        <f aca="false">T91*($S$19+($J$19-$S$19)*MIN(1,MAX(0,(T$4-$T$19)/($D$19-$T$19))))</f>
        <v>2384.60834553441</v>
      </c>
      <c r="U95" s="125" t="n">
        <f aca="false">U91*($S$19+($J$19-$S$19)*MIN(1,MAX(0,(U$4-$T$19)/($D$19-$T$19))))</f>
        <v>2403.97144948756</v>
      </c>
      <c r="V95" s="125" t="n">
        <f aca="false">V91*($S$19+($J$19-$S$19)*MIN(1,MAX(0,(V$4-$T$19)/($D$19-$T$19))))</f>
        <v>2423.12408491947</v>
      </c>
      <c r="W95" s="125" t="n">
        <f aca="false">W91*($S$19+($J$19-$S$19)*MIN(1,MAX(0,(W$4-$T$19)/($D$19-$T$19))))</f>
        <v>2442.27672035139</v>
      </c>
      <c r="X95" s="125" t="n">
        <f aca="false">X91*($S$19+($J$19-$S$19)*MIN(1,MAX(0,(X$4-$T$19)/($D$19-$T$19))))</f>
        <v>2461.63982430454</v>
      </c>
      <c r="Y95" s="125" t="n">
        <f aca="false">Y91*($S$19+($J$19-$S$19)*MIN(1,MAX(0,(Y$4-$T$19)/($D$19-$T$19))))</f>
        <v>2481.00292825769</v>
      </c>
      <c r="Z95" s="125" t="n">
        <f aca="false">Z91*($S$19+($J$19-$S$19)*MIN(1,MAX(0,(Z$4-$T$19)/($D$19-$T$19))))</f>
        <v>2499.94509516838</v>
      </c>
      <c r="AA95" s="125" t="n">
        <f aca="false">AA91*($S$19+($J$19-$S$19)*MIN(1,MAX(0,(AA$4-$T$19)/($D$19-$T$19))))</f>
        <v>2519.09773060029</v>
      </c>
      <c r="AB95" s="125" t="n">
        <f aca="false">AB91*($S$19+($J$19-$S$19)*MIN(1,MAX(0,(AB$4-$T$19)/($D$19-$T$19))))</f>
        <v>2538.46083455344</v>
      </c>
      <c r="AC95" s="125" t="n">
        <f aca="false">AC91*($S$19+($J$19-$S$19)*MIN(1,MAX(0,(AC$4-$T$19)/($D$19-$T$19))))</f>
        <v>2557.82393850659</v>
      </c>
      <c r="AD95" s="125" t="n">
        <f aca="false">AD91*($S$19+($J$19-$S$19)*MIN(1,MAX(0,(AD$4-$T$19)/($D$19-$T$19))))</f>
        <v>2576.76610541728</v>
      </c>
      <c r="AE95" s="125" t="n">
        <f aca="false">AE91*($S$19+($J$19-$S$19)*MIN(1,MAX(0,(AE$4-$T$19)/($D$19-$T$19))))</f>
        <v>2595.9187408492</v>
      </c>
      <c r="AF95" s="125" t="n">
        <f aca="false">AF91*($S$19+($J$19-$S$19)*MIN(1,MAX(0,(AF$4-$T$19)/($D$19-$T$19))))</f>
        <v>2615.28184480234</v>
      </c>
      <c r="AG95" s="125" t="n">
        <f aca="false">AG91*($S$19+($J$19-$S$19)*MIN(1,MAX(0,(AG$4-$T$19)/($D$19-$T$19))))</f>
        <v>2634.64494875549</v>
      </c>
      <c r="AI95" s="125" t="n">
        <f aca="false">INDEX($F95:$AG95,1,MATCH(AI$7,$F$7:$AG$7,1))</f>
        <v>0</v>
      </c>
      <c r="AJ95" s="125" t="n">
        <f aca="false">INDEX($F95:$AG95,1,MATCH(AJ$7,$F$7:$AG$7,1))</f>
        <v>0</v>
      </c>
      <c r="AK95" s="125" t="n">
        <f aca="false">INDEX($F95:$AG95,1,MATCH(AK$7,$F$7:$AG$7,1))</f>
        <v>2327.15043923865</v>
      </c>
      <c r="AL95" s="125" t="n">
        <f aca="false">INDEX($F95:$AG95,1,MATCH(AL$7,$F$7:$AG$7,1))</f>
        <v>2403.97144948756</v>
      </c>
      <c r="AM95" s="125" t="n">
        <f aca="false">INDEX($F95:$AG95,1,MATCH(AM$7,$F$7:$AG$7,1))</f>
        <v>2481.00292825769</v>
      </c>
      <c r="AN95" s="125" t="n">
        <f aca="false">INDEX($F95:$AG95,1,MATCH(AN$7,$F$7:$AG$7,1))</f>
        <v>2557.82393850659</v>
      </c>
      <c r="AO95" s="125" t="n">
        <f aca="false">INDEX($F95:$AG95,1,MATCH(AO$7,$F$7:$AG$7,1))</f>
        <v>2634.64494875549</v>
      </c>
    </row>
    <row r="96" customFormat="false" ht="15" hidden="false" customHeight="false" outlineLevel="0" collapsed="false">
      <c r="A96" s="107" t="s">
        <v>2356</v>
      </c>
      <c r="B96" s="22" t="s">
        <v>613</v>
      </c>
      <c r="C96" s="22" t="s">
        <v>604</v>
      </c>
      <c r="D96" s="22"/>
      <c r="F96" s="124" t="n">
        <f aca="false">IF(F$5=$N$19,E91*$J$19*(1-$O$19),0)</f>
        <v>0</v>
      </c>
      <c r="G96" s="124" t="n">
        <f aca="false">IF(G$5=$N$19,F91*$J$19*(1-$O$19),0)</f>
        <v>0</v>
      </c>
      <c r="H96" s="124" t="n">
        <f aca="false">IF(H$5=$N$19,G91*$J$19*(1-$O$19),0)</f>
        <v>0</v>
      </c>
      <c r="I96" s="124" t="n">
        <f aca="false">IF(I$5=$N$19,H91*$J$19*(1-$O$19),0)</f>
        <v>0</v>
      </c>
      <c r="J96" s="124" t="n">
        <f aca="false">IF(J$5=$N$19,I91*$J$19*(1-$O$19),0)</f>
        <v>0</v>
      </c>
      <c r="K96" s="124" t="n">
        <f aca="false">IF(K$5=$N$19,J91*$J$19*(1-$O$19),0)</f>
        <v>0</v>
      </c>
      <c r="L96" s="124" t="n">
        <f aca="false">IF(L$5=$N$19,K91*$J$19*(1-$O$19),0)</f>
        <v>0</v>
      </c>
      <c r="M96" s="124" t="n">
        <f aca="false">IF(M$5=$N$19,L91*$J$19*(1-$O$19),0)</f>
        <v>0</v>
      </c>
      <c r="N96" s="124" t="n">
        <f aca="false">IF(N$5=$N$19,M91*$J$19*(1-$O$19),0)</f>
        <v>0</v>
      </c>
      <c r="O96" s="124" t="n">
        <f aca="false">IF(O$5=$N$19,N91*$J$19*(1-$O$19),0)</f>
        <v>0</v>
      </c>
      <c r="P96" s="125" t="n">
        <f aca="false">IF(P$5=$N$19,O91*$J$19*(1-$O$19),0)</f>
        <v>0</v>
      </c>
      <c r="Q96" s="125" t="n">
        <f aca="false">IF(Q$5=$N$19,P91*$J$19*(1-$O$19),0)</f>
        <v>0</v>
      </c>
      <c r="R96" s="125" t="n">
        <f aca="false">IF(R$5=$N$19,Q91*$J$19*(1-$O$19),0)</f>
        <v>0</v>
      </c>
      <c r="S96" s="125" t="n">
        <f aca="false">IF(S$5=$N$19,R91*$J$19*(1-$O$19),0)</f>
        <v>0</v>
      </c>
      <c r="T96" s="125" t="n">
        <f aca="false">IF(T$5=$N$19,S91*$J$19*(1-$O$19),0)</f>
        <v>0</v>
      </c>
      <c r="U96" s="125" t="n">
        <f aca="false">IF(U$5=$N$19,T91*$J$19*(1-$O$19),0)</f>
        <v>0</v>
      </c>
      <c r="V96" s="125" t="n">
        <f aca="false">IF(V$5=$N$19,U91*$J$19*(1-$O$19),0)</f>
        <v>0</v>
      </c>
      <c r="W96" s="125" t="n">
        <f aca="false">IF(W$5=$N$19,V91*$J$19*(1-$O$19),0)</f>
        <v>0</v>
      </c>
      <c r="X96" s="125" t="n">
        <f aca="false">IF(X$5=$N$19,W91*$J$19*(1-$O$19),0)</f>
        <v>0</v>
      </c>
      <c r="Y96" s="125" t="n">
        <f aca="false">IF(Y$5=$N$19,X91*$J$19*(1-$O$19),0)</f>
        <v>0</v>
      </c>
      <c r="Z96" s="125" t="n">
        <f aca="false">IF(Z$5=$N$19,Y91*$J$19*(1-$O$19),0)</f>
        <v>0</v>
      </c>
      <c r="AA96" s="125" t="n">
        <f aca="false">IF(AA$5=$N$19,Z91*$J$19*(1-$O$19),0)</f>
        <v>0</v>
      </c>
      <c r="AB96" s="125" t="n">
        <f aca="false">IF(AB$5=$N$19,AA91*$J$19*(1-$O$19),0)</f>
        <v>0</v>
      </c>
      <c r="AC96" s="125" t="n">
        <f aca="false">IF(AC$5=$N$19,AB91*$J$19*(1-$O$19),0)</f>
        <v>0</v>
      </c>
      <c r="AD96" s="125" t="n">
        <f aca="false">IF(AD$5=$N$19,AC91*$J$19*(1-$O$19),0)</f>
        <v>0</v>
      </c>
      <c r="AE96" s="125" t="n">
        <f aca="false">IF(AE$5=$N$19,AD91*$J$19*(1-$O$19),0)</f>
        <v>0</v>
      </c>
      <c r="AF96" s="125" t="n">
        <f aca="false">IF(AF$5=$N$19,AE91*$J$19*(1-$O$19),0)</f>
        <v>0</v>
      </c>
      <c r="AG96" s="125" t="n">
        <f aca="false">IF(AG$5=$N$19,AF91*$J$19*(1-$O$19),0)</f>
        <v>0</v>
      </c>
      <c r="AI96" s="125" t="n">
        <f aca="false">SUMIF($F$7:$AG$7,AI$7,$F96:$AG96)</f>
        <v>0</v>
      </c>
      <c r="AJ96" s="125" t="n">
        <f aca="false">SUMIF($F$7:$AG$7,AJ$7,$F96:$AG96)</f>
        <v>0</v>
      </c>
      <c r="AK96" s="125" t="n">
        <f aca="false">SUMIF($F$7:$AG$7,AK$7,$F96:$AG96)</f>
        <v>0</v>
      </c>
      <c r="AL96" s="125" t="n">
        <f aca="false">SUMIF($F$7:$AG$7,AL$7,$F96:$AG96)</f>
        <v>0</v>
      </c>
      <c r="AM96" s="125" t="n">
        <f aca="false">SUMIF($F$7:$AG$7,AM$7,$F96:$AG96)</f>
        <v>0</v>
      </c>
      <c r="AN96" s="125" t="n">
        <f aca="false">SUMIF($F$7:$AG$7,AN$7,$F96:$AG96)</f>
        <v>0</v>
      </c>
      <c r="AO96" s="125" t="n">
        <f aca="false">SUMIF($F$7:$AG$7,AO$7,$F96:$AG96)</f>
        <v>0</v>
      </c>
    </row>
    <row r="97" customFormat="false" ht="15" hidden="false" customHeight="false" outlineLevel="0" collapsed="false">
      <c r="A97" s="107" t="s">
        <v>2357</v>
      </c>
      <c r="B97" s="22" t="s">
        <v>635</v>
      </c>
      <c r="C97" s="22" t="s">
        <v>604</v>
      </c>
      <c r="D97" s="22"/>
      <c r="F97" s="140" t="n">
        <f aca="false">IF(F$5=$N$19,E91*$K$19/1000*$O$19,0)</f>
        <v>0</v>
      </c>
      <c r="G97" s="140" t="n">
        <f aca="false">IF(G$5=$N$19,F91*$K$19/1000*$O$19,0)</f>
        <v>0</v>
      </c>
      <c r="H97" s="140" t="n">
        <f aca="false">IF(H$5=$N$19,G91*$K$19/1000*$O$19,0)</f>
        <v>0</v>
      </c>
      <c r="I97" s="140" t="n">
        <f aca="false">IF(I$5=$N$19,H91*$K$19/1000*$O$19,0)</f>
        <v>0</v>
      </c>
      <c r="J97" s="140" t="n">
        <f aca="false">IF(J$5=$N$19,I91*$K$19/1000*$O$19,0)</f>
        <v>0</v>
      </c>
      <c r="K97" s="140" t="n">
        <f aca="false">IF(K$5=$N$19,J91*$K$19/1000*$O$19,0)</f>
        <v>0</v>
      </c>
      <c r="L97" s="140" t="n">
        <f aca="false">IF(L$5=$N$19,K91*$K$19/1000*$O$19,0)</f>
        <v>0</v>
      </c>
      <c r="M97" s="140" t="n">
        <f aca="false">IF(M$5=$N$19,L91*$K$19/1000*$O$19,0)</f>
        <v>0</v>
      </c>
      <c r="N97" s="140" t="n">
        <f aca="false">IF(N$5=$N$19,M91*$K$19/1000*$O$19,0)</f>
        <v>0</v>
      </c>
      <c r="O97" s="140" t="n">
        <f aca="false">IF(O$5=$N$19,N91*$K$19/1000*$O$19,0)</f>
        <v>0</v>
      </c>
      <c r="P97" s="47" t="n">
        <f aca="false">IF(P$5=$N$19,O91*$K$19/1000*$O$19,0)</f>
        <v>0</v>
      </c>
      <c r="Q97" s="47" t="n">
        <f aca="false">IF(Q$5=$N$19,P91*$K$19/1000*$O$19,0)</f>
        <v>0</v>
      </c>
      <c r="R97" s="47" t="n">
        <f aca="false">IF(R$5=$N$19,Q91*$K$19/1000*$O$19,0)</f>
        <v>0</v>
      </c>
      <c r="S97" s="47" t="n">
        <f aca="false">IF(S$5=$N$19,R91*$K$19/1000*$O$19,0)</f>
        <v>0</v>
      </c>
      <c r="T97" s="47" t="n">
        <f aca="false">IF(T$5=$N$19,S91*$K$19/1000*$O$19,0)</f>
        <v>0</v>
      </c>
      <c r="U97" s="47" t="n">
        <f aca="false">IF(U$5=$N$19,T91*$K$19/1000*$O$19,0)</f>
        <v>0</v>
      </c>
      <c r="V97" s="47" t="n">
        <f aca="false">IF(V$5=$N$19,U91*$K$19/1000*$O$19,0)</f>
        <v>0</v>
      </c>
      <c r="W97" s="47" t="n">
        <f aca="false">IF(W$5=$N$19,V91*$K$19/1000*$O$19,0)</f>
        <v>0</v>
      </c>
      <c r="X97" s="47" t="n">
        <f aca="false">IF(X$5=$N$19,W91*$K$19/1000*$O$19,0)</f>
        <v>0</v>
      </c>
      <c r="Y97" s="47" t="n">
        <f aca="false">IF(Y$5=$N$19,X91*$K$19/1000*$O$19,0)</f>
        <v>0</v>
      </c>
      <c r="Z97" s="47" t="n">
        <f aca="false">IF(Z$5=$N$19,Y91*$K$19/1000*$O$19,0)</f>
        <v>0</v>
      </c>
      <c r="AA97" s="47" t="n">
        <f aca="false">IF(AA$5=$N$19,Z91*$K$19/1000*$O$19,0)</f>
        <v>0</v>
      </c>
      <c r="AB97" s="47" t="n">
        <f aca="false">IF(AB$5=$N$19,AA91*$K$19/1000*$O$19,0)</f>
        <v>0</v>
      </c>
      <c r="AC97" s="47" t="n">
        <f aca="false">IF(AC$5=$N$19,AB91*$K$19/1000*$O$19,0)</f>
        <v>0</v>
      </c>
      <c r="AD97" s="47" t="n">
        <f aca="false">IF(AD$5=$N$19,AC91*$K$19/1000*$O$19,0)</f>
        <v>0</v>
      </c>
      <c r="AE97" s="47" t="n">
        <f aca="false">IF(AE$5=$N$19,AD91*$K$19/1000*$O$19,0)</f>
        <v>0</v>
      </c>
      <c r="AF97" s="47" t="n">
        <f aca="false">IF(AF$5=$N$19,AE91*$K$19/1000*$O$19,0)</f>
        <v>0</v>
      </c>
      <c r="AG97" s="47" t="n">
        <f aca="false">IF(AG$5=$N$19,AF91*$K$19/1000*$O$19,0)</f>
        <v>0</v>
      </c>
      <c r="AI97" s="47" t="n">
        <f aca="false">SUMIF($F$7:$AG$7,AI$7,$F97:$AG97)</f>
        <v>0</v>
      </c>
      <c r="AJ97" s="47" t="n">
        <f aca="false">SUMIF($F$7:$AG$7,AJ$7,$F97:$AG97)</f>
        <v>0</v>
      </c>
      <c r="AK97" s="47" t="n">
        <f aca="false">SUMIF($F$7:$AG$7,AK$7,$F97:$AG97)</f>
        <v>0</v>
      </c>
      <c r="AL97" s="47" t="n">
        <f aca="false">SUMIF($F$7:$AG$7,AL$7,$F97:$AG97)</f>
        <v>0</v>
      </c>
      <c r="AM97" s="47" t="n">
        <f aca="false">SUMIF($F$7:$AG$7,AM$7,$F97:$AG97)</f>
        <v>0</v>
      </c>
      <c r="AN97" s="47" t="n">
        <f aca="false">SUMIF($F$7:$AG$7,AN$7,$F97:$AG97)</f>
        <v>0</v>
      </c>
      <c r="AO97" s="47" t="n">
        <f aca="false">SUMIF($F$7:$AG$7,AO$7,$F97:$AG97)</f>
        <v>0</v>
      </c>
    </row>
    <row r="98" customFormat="false" ht="15" hidden="false" customHeight="false" outlineLevel="0" collapsed="false">
      <c r="A98" s="107" t="s">
        <v>2358</v>
      </c>
      <c r="B98" s="22" t="s">
        <v>635</v>
      </c>
      <c r="C98" s="22" t="s">
        <v>540</v>
      </c>
      <c r="D98" s="22"/>
      <c r="F98" s="140" t="n">
        <f aca="false">IF(DilMethod=3,MAX(0,F91*$K$19/1000*DilPx-F94)/DilPx,F91*$K$19/1000*$P$19)</f>
        <v>0</v>
      </c>
      <c r="G98" s="140" t="n">
        <f aca="false">IF(DilMethod=3,MAX(0,G91*$K$19/1000*DilPx-G94)/DilPx,G91*$K$19/1000*$P$19)</f>
        <v>0</v>
      </c>
      <c r="H98" s="140" t="n">
        <f aca="false">IF(DilMethod=3,MAX(0,H91*$K$19/1000*DilPx-H94)/DilPx,H91*$K$19/1000*$P$19)</f>
        <v>0</v>
      </c>
      <c r="I98" s="140" t="n">
        <f aca="false">IF(DilMethod=3,MAX(0,I91*$K$19/1000*DilPx-I94)/DilPx,I91*$K$19/1000*$P$19)</f>
        <v>0</v>
      </c>
      <c r="J98" s="140" t="n">
        <f aca="false">IF(DilMethod=3,MAX(0,J91*$K$19/1000*DilPx-J94)/DilPx,J91*$K$19/1000*$P$19)</f>
        <v>0</v>
      </c>
      <c r="K98" s="140" t="n">
        <f aca="false">IF(DilMethod=3,MAX(0,K91*$K$19/1000*DilPx-K94)/DilPx,K91*$K$19/1000*$P$19)</f>
        <v>0</v>
      </c>
      <c r="L98" s="140" t="n">
        <f aca="false">IF(DilMethod=3,MAX(0,L91*$K$19/1000*DilPx-L94)/DilPx,L91*$K$19/1000*$P$19)</f>
        <v>0</v>
      </c>
      <c r="M98" s="140" t="n">
        <f aca="false">IF(DilMethod=3,MAX(0,M91*$K$19/1000*DilPx-M94)/DilPx,M91*$K$19/1000*$P$19)</f>
        <v>0</v>
      </c>
      <c r="N98" s="140" t="n">
        <f aca="false">IF(DilMethod=3,MAX(0,N91*$K$19/1000*DilPx-N94)/DilPx,N91*$K$19/1000*$P$19)</f>
        <v>0</v>
      </c>
      <c r="O98" s="140" t="n">
        <f aca="false">IF(DilMethod=3,MAX(0,O91*$K$19/1000*DilPx-O94)/DilPx,O91*$K$19/1000*$P$19)</f>
        <v>0</v>
      </c>
      <c r="P98" s="47" t="n">
        <f aca="false">IF(DilMethod=3,MAX(0,P91*$K$19/1000*DilPx-P94)/DilPx,P91*$K$19/1000*$P$19)</f>
        <v>0</v>
      </c>
      <c r="Q98" s="47" t="n">
        <f aca="false">IF(DilMethod=3,MAX(0,Q91*$K$19/1000*DilPx-Q94)/DilPx,Q91*$K$19/1000*$P$19)</f>
        <v>0</v>
      </c>
      <c r="R98" s="47" t="n">
        <f aca="false">IF(DilMethod=3,MAX(0,R91*$K$19/1000*DilPx-R94)/DilPx,R91*$K$19/1000*$P$19)</f>
        <v>0</v>
      </c>
      <c r="S98" s="47" t="n">
        <f aca="false">IF(DilMethod=3,MAX(0,S91*$K$19/1000*DilPx-S94)/DilPx,S91*$K$19/1000*$P$19)</f>
        <v>0</v>
      </c>
      <c r="T98" s="47" t="n">
        <f aca="false">IF(DilMethod=3,MAX(0,T91*$K$19/1000*DilPx-T94)/DilPx,T91*$K$19/1000*$P$19)</f>
        <v>0</v>
      </c>
      <c r="U98" s="47" t="n">
        <f aca="false">IF(DilMethod=3,MAX(0,U91*$K$19/1000*DilPx-U94)/DilPx,U91*$K$19/1000*$P$19)</f>
        <v>0</v>
      </c>
      <c r="V98" s="47" t="n">
        <f aca="false">IF(DilMethod=3,MAX(0,V91*$K$19/1000*DilPx-V94)/DilPx,V91*$K$19/1000*$P$19)</f>
        <v>0</v>
      </c>
      <c r="W98" s="47" t="n">
        <f aca="false">IF(DilMethod=3,MAX(0,W91*$K$19/1000*DilPx-W94)/DilPx,W91*$K$19/1000*$P$19)</f>
        <v>0</v>
      </c>
      <c r="X98" s="47" t="n">
        <f aca="false">IF(DilMethod=3,MAX(0,X91*$K$19/1000*DilPx-X94)/DilPx,X91*$K$19/1000*$P$19)</f>
        <v>0</v>
      </c>
      <c r="Y98" s="47" t="n">
        <f aca="false">IF(DilMethod=3,MAX(0,Y91*$K$19/1000*DilPx-Y94)/DilPx,Y91*$K$19/1000*$P$19)</f>
        <v>0</v>
      </c>
      <c r="Z98" s="47" t="n">
        <f aca="false">IF(DilMethod=3,MAX(0,Z91*$K$19/1000*DilPx-Z94)/DilPx,Z91*$K$19/1000*$P$19)</f>
        <v>0</v>
      </c>
      <c r="AA98" s="47" t="n">
        <f aca="false">IF(DilMethod=3,MAX(0,AA91*$K$19/1000*DilPx-AA94)/DilPx,AA91*$K$19/1000*$P$19)</f>
        <v>0</v>
      </c>
      <c r="AB98" s="47" t="n">
        <f aca="false">IF(DilMethod=3,MAX(0,AB91*$K$19/1000*DilPx-AB94)/DilPx,AB91*$K$19/1000*$P$19)</f>
        <v>0</v>
      </c>
      <c r="AC98" s="47" t="n">
        <f aca="false">IF(DilMethod=3,MAX(0,AC91*$K$19/1000*DilPx-AC94)/DilPx,AC91*$K$19/1000*$P$19)</f>
        <v>0</v>
      </c>
      <c r="AD98" s="47" t="n">
        <f aca="false">IF(DilMethod=3,MAX(0,AD91*$K$19/1000*DilPx-AD94)/DilPx,AD91*$K$19/1000*$P$19)</f>
        <v>0</v>
      </c>
      <c r="AE98" s="47" t="n">
        <f aca="false">IF(DilMethod=3,MAX(0,AE91*$K$19/1000*DilPx-AE94)/DilPx,AE91*$K$19/1000*$P$19)</f>
        <v>0</v>
      </c>
      <c r="AF98" s="47" t="n">
        <f aca="false">IF(DilMethod=3,MAX(0,AF91*$K$19/1000*DilPx-AF94)/DilPx,AF91*$K$19/1000*$P$19)</f>
        <v>0</v>
      </c>
      <c r="AG98" s="47" t="n">
        <f aca="false">IF(DilMethod=3,MAX(0,AG91*$K$19/1000*DilPx-AG94)/DilPx,AG91*$K$19/1000*$P$19)</f>
        <v>0</v>
      </c>
      <c r="AI98" s="47" t="n">
        <f aca="false">INDEX($F98:$AG98,1,MATCH(AI$7,$F$7:$AG$7,1))</f>
        <v>0</v>
      </c>
      <c r="AJ98" s="47" t="n">
        <f aca="false">INDEX($F98:$AG98,1,MATCH(AJ$7,$F$7:$AG$7,1))</f>
        <v>0</v>
      </c>
      <c r="AK98" s="47" t="n">
        <f aca="false">INDEX($F98:$AG98,1,MATCH(AK$7,$F$7:$AG$7,1))</f>
        <v>0</v>
      </c>
      <c r="AL98" s="47" t="n">
        <f aca="false">INDEX($F98:$AG98,1,MATCH(AL$7,$F$7:$AG$7,1))</f>
        <v>0</v>
      </c>
      <c r="AM98" s="47" t="n">
        <f aca="false">INDEX($F98:$AG98,1,MATCH(AM$7,$F$7:$AG$7,1))</f>
        <v>0</v>
      </c>
      <c r="AN98" s="47" t="n">
        <f aca="false">INDEX($F98:$AG98,1,MATCH(AN$7,$F$7:$AG$7,1))</f>
        <v>0</v>
      </c>
      <c r="AO98" s="47" t="n">
        <f aca="false">INDEX($F98:$AG98,1,MATCH(AO$7,$F$7:$AG$7,1))</f>
        <v>0</v>
      </c>
    </row>
    <row r="99" customFormat="false" ht="15" hidden="false" customHeight="false" outlineLevel="0" collapsed="false">
      <c r="A99" s="107" t="s">
        <v>2359</v>
      </c>
      <c r="B99" s="22" t="s">
        <v>613</v>
      </c>
      <c r="C99" s="22" t="s">
        <v>540</v>
      </c>
      <c r="D99" s="22"/>
      <c r="F99" s="124" t="n">
        <f aca="false">F94*IF(DilMethod=3,1,1-$P$19)</f>
        <v>0</v>
      </c>
      <c r="G99" s="124" t="n">
        <f aca="false">G94*IF(DilMethod=3,1,1-$P$19)</f>
        <v>0</v>
      </c>
      <c r="H99" s="124" t="n">
        <f aca="false">H94*IF(DilMethod=3,1,1-$P$19)</f>
        <v>0</v>
      </c>
      <c r="I99" s="124" t="n">
        <f aca="false">I94*IF(DilMethod=3,1,1-$P$19)</f>
        <v>0</v>
      </c>
      <c r="J99" s="124" t="n">
        <f aca="false">J94*IF(DilMethod=3,1,1-$P$19)</f>
        <v>0</v>
      </c>
      <c r="K99" s="124" t="n">
        <f aca="false">K94*IF(DilMethod=3,1,1-$P$19)</f>
        <v>0</v>
      </c>
      <c r="L99" s="124" t="n">
        <f aca="false">L94*IF(DilMethod=3,1,1-$P$19)</f>
        <v>0</v>
      </c>
      <c r="M99" s="124" t="n">
        <f aca="false">M94*IF(DilMethod=3,1,1-$P$19)</f>
        <v>0</v>
      </c>
      <c r="N99" s="124" t="n">
        <f aca="false">N94*IF(DilMethod=3,1,1-$P$19)</f>
        <v>0</v>
      </c>
      <c r="O99" s="124" t="n">
        <f aca="false">O94*IF(DilMethod=3,1,1-$P$19)</f>
        <v>0</v>
      </c>
      <c r="P99" s="125" t="n">
        <f aca="false">P94*IF(DilMethod=3,1,1-$P$19)</f>
        <v>2307.78733528551</v>
      </c>
      <c r="Q99" s="125" t="n">
        <f aca="false">Q94*IF(DilMethod=3,1,1-$P$19)</f>
        <v>2327.15043923865</v>
      </c>
      <c r="R99" s="125" t="n">
        <f aca="false">R94*IF(DilMethod=3,1,1-$P$19)</f>
        <v>2346.09260614934</v>
      </c>
      <c r="S99" s="125" t="n">
        <f aca="false">S94*IF(DilMethod=3,1,1-$P$19)</f>
        <v>2365.24524158126</v>
      </c>
      <c r="T99" s="125" t="n">
        <f aca="false">T94*IF(DilMethod=3,1,1-$P$19)</f>
        <v>2384.60834553441</v>
      </c>
      <c r="U99" s="125" t="n">
        <f aca="false">U94*IF(DilMethod=3,1,1-$P$19)</f>
        <v>2403.97144948756</v>
      </c>
      <c r="V99" s="125" t="n">
        <f aca="false">V94*IF(DilMethod=3,1,1-$P$19)</f>
        <v>2423.12408491947</v>
      </c>
      <c r="W99" s="125" t="n">
        <f aca="false">W94*IF(DilMethod=3,1,1-$P$19)</f>
        <v>2442.27672035139</v>
      </c>
      <c r="X99" s="125" t="n">
        <f aca="false">X94*IF(DilMethod=3,1,1-$P$19)</f>
        <v>2461.63982430454</v>
      </c>
      <c r="Y99" s="125" t="n">
        <f aca="false">Y94*IF(DilMethod=3,1,1-$P$19)</f>
        <v>2481.00292825769</v>
      </c>
      <c r="Z99" s="125" t="n">
        <f aca="false">Z94*IF(DilMethod=3,1,1-$P$19)</f>
        <v>2499.94509516838</v>
      </c>
      <c r="AA99" s="125" t="n">
        <f aca="false">AA94*IF(DilMethod=3,1,1-$P$19)</f>
        <v>2519.09773060029</v>
      </c>
      <c r="AB99" s="125" t="n">
        <f aca="false">AB94*IF(DilMethod=3,1,1-$P$19)</f>
        <v>2538.46083455344</v>
      </c>
      <c r="AC99" s="125" t="n">
        <f aca="false">AC94*IF(DilMethod=3,1,1-$P$19)</f>
        <v>2557.82393850659</v>
      </c>
      <c r="AD99" s="125" t="n">
        <f aca="false">AD94*IF(DilMethod=3,1,1-$P$19)</f>
        <v>2576.76610541728</v>
      </c>
      <c r="AE99" s="125" t="n">
        <f aca="false">AE94*IF(DilMethod=3,1,1-$P$19)</f>
        <v>2595.9187408492</v>
      </c>
      <c r="AF99" s="125" t="n">
        <f aca="false">AF94*IF(DilMethod=3,1,1-$P$19)</f>
        <v>2615.28184480234</v>
      </c>
      <c r="AG99" s="125" t="n">
        <f aca="false">AG94*IF(DilMethod=3,1,1-$P$19)</f>
        <v>2634.64494875549</v>
      </c>
      <c r="AI99" s="125" t="n">
        <f aca="false">INDEX($F99:$AG99,1,MATCH(AI$7,$F$7:$AG$7,1))</f>
        <v>0</v>
      </c>
      <c r="AJ99" s="125" t="n">
        <f aca="false">INDEX($F99:$AG99,1,MATCH(AJ$7,$F$7:$AG$7,1))</f>
        <v>0</v>
      </c>
      <c r="AK99" s="125" t="n">
        <f aca="false">INDEX($F99:$AG99,1,MATCH(AK$7,$F$7:$AG$7,1))</f>
        <v>2327.15043923865</v>
      </c>
      <c r="AL99" s="125" t="n">
        <f aca="false">INDEX($F99:$AG99,1,MATCH(AL$7,$F$7:$AG$7,1))</f>
        <v>2403.97144948756</v>
      </c>
      <c r="AM99" s="125" t="n">
        <f aca="false">INDEX($F99:$AG99,1,MATCH(AM$7,$F$7:$AG$7,1))</f>
        <v>2481.00292825769</v>
      </c>
      <c r="AN99" s="125" t="n">
        <f aca="false">INDEX($F99:$AG99,1,MATCH(AN$7,$F$7:$AG$7,1))</f>
        <v>2557.82393850659</v>
      </c>
      <c r="AO99" s="125" t="n">
        <f aca="false">INDEX($F99:$AG99,1,MATCH(AO$7,$F$7:$AG$7,1))</f>
        <v>2634.64494875549</v>
      </c>
    </row>
    <row r="100" customFormat="false" ht="15" hidden="false" customHeight="false" outlineLevel="0" collapsed="false">
      <c r="A100" s="107" t="s">
        <v>2360</v>
      </c>
      <c r="B100" s="22" t="s">
        <v>613</v>
      </c>
      <c r="C100" s="22" t="s">
        <v>604</v>
      </c>
      <c r="D100" s="22"/>
      <c r="F100" s="124" t="n">
        <f aca="false">IF(AND(F$5&gt;=$M$20,F$5&lt;$N$20),$E$20-$F$20-IF(F$5&gt;=$H$20,$G$20,0),0)*($H$20&lt;&gt;0)+IF(AND(F$5&gt;=$M$20,F$5&lt;$N$20),$E$20-$F$20,0)*($H$20=0)</f>
        <v>0</v>
      </c>
      <c r="G100" s="124" t="n">
        <f aca="false">IF(AND(G$5&gt;=$M$20,G$5&lt;$N$20),$E$20-$F$20-IF(G$5&gt;=$H$20,$G$20,0),0)*($H$20&lt;&gt;0)+IF(AND(G$5&gt;=$M$20,G$5&lt;$N$20),$E$20-$F$20,0)*($H$20=0)</f>
        <v>0</v>
      </c>
      <c r="H100" s="124" t="n">
        <f aca="false">IF(AND(H$5&gt;=$M$20,H$5&lt;$N$20),$E$20-$F$20-IF(H$5&gt;=$H$20,$G$20,0),0)*($H$20&lt;&gt;0)+IF(AND(H$5&gt;=$M$20,H$5&lt;$N$20),$E$20-$F$20,0)*($H$20=0)</f>
        <v>0</v>
      </c>
      <c r="I100" s="124" t="n">
        <f aca="false">IF(AND(I$5&gt;=$M$20,I$5&lt;$N$20),$E$20-$F$20-IF(I$5&gt;=$H$20,$G$20,0),0)*($H$20&lt;&gt;0)+IF(AND(I$5&gt;=$M$20,I$5&lt;$N$20),$E$20-$F$20,0)*($H$20=0)</f>
        <v>0</v>
      </c>
      <c r="J100" s="124" t="n">
        <f aca="false">IF(AND(J$5&gt;=$M$20,J$5&lt;$N$20),$E$20-$F$20-IF(J$5&gt;=$H$20,$G$20,0),0)*($H$20&lt;&gt;0)+IF(AND(J$5&gt;=$M$20,J$5&lt;$N$20),$E$20-$F$20,0)*($H$20=0)</f>
        <v>0</v>
      </c>
      <c r="K100" s="124" t="n">
        <f aca="false">IF(AND(K$5&gt;=$M$20,K$5&lt;$N$20),$E$20-$F$20-IF(K$5&gt;=$H$20,$G$20,0),0)*($H$20&lt;&gt;0)+IF(AND(K$5&gt;=$M$20,K$5&lt;$N$20),$E$20-$F$20,0)*($H$20=0)</f>
        <v>0</v>
      </c>
      <c r="L100" s="124" t="n">
        <f aca="false">IF(AND(L$5&gt;=$M$20,L$5&lt;$N$20),$E$20-$F$20-IF(L$5&gt;=$H$20,$G$20,0),0)*($H$20&lt;&gt;0)+IF(AND(L$5&gt;=$M$20,L$5&lt;$N$20),$E$20-$F$20,0)*($H$20=0)</f>
        <v>0</v>
      </c>
      <c r="M100" s="124" t="n">
        <f aca="false">IF(AND(M$5&gt;=$M$20,M$5&lt;$N$20),$E$20-$F$20-IF(M$5&gt;=$H$20,$G$20,0),0)*($H$20&lt;&gt;0)+IF(AND(M$5&gt;=$M$20,M$5&lt;$N$20),$E$20-$F$20,0)*($H$20=0)</f>
        <v>0</v>
      </c>
      <c r="N100" s="124" t="n">
        <f aca="false">IF(AND(N$5&gt;=$M$20,N$5&lt;$N$20),$E$20-$F$20-IF(N$5&gt;=$H$20,$G$20,0),0)*($H$20&lt;&gt;0)+IF(AND(N$5&gt;=$M$20,N$5&lt;$N$20),$E$20-$F$20,0)*($H$20=0)</f>
        <v>0</v>
      </c>
      <c r="O100" s="124" t="n">
        <f aca="false">IF(AND(O$5&gt;=$M$20,O$5&lt;$N$20),$E$20-$F$20-IF(O$5&gt;=$H$20,$G$20,0),0)*($H$20&lt;&gt;0)+IF(AND(O$5&gt;=$M$20,O$5&lt;$N$20),$E$20-$F$20,0)*($H$20=0)</f>
        <v>0</v>
      </c>
      <c r="P100" s="125" t="n">
        <f aca="false">IF(AND(P$5&gt;=$M$20,P$5&lt;$N$20),$E$20-$F$20-IF(P$5&gt;=$H$20,$G$20,0),0)*($H$20&lt;&gt;0)+IF(AND(P$5&gt;=$M$20,P$5&lt;$N$20),$E$20-$F$20,0)*($H$20=0)</f>
        <v>0</v>
      </c>
      <c r="Q100" s="125" t="n">
        <f aca="false">IF(AND(Q$5&gt;=$M$20,Q$5&lt;$N$20),$E$20-$F$20-IF(Q$5&gt;=$H$20,$G$20,0),0)*($H$20&lt;&gt;0)+IF(AND(Q$5&gt;=$M$20,Q$5&lt;$N$20),$E$20-$F$20,0)*($H$20=0)</f>
        <v>0</v>
      </c>
      <c r="R100" s="125" t="n">
        <f aca="false">IF(AND(R$5&gt;=$M$20,R$5&lt;$N$20),$E$20-$F$20-IF(R$5&gt;=$H$20,$G$20,0),0)*($H$20&lt;&gt;0)+IF(AND(R$5&gt;=$M$20,R$5&lt;$N$20),$E$20-$F$20,0)*($H$20=0)</f>
        <v>3840</v>
      </c>
      <c r="S100" s="125" t="n">
        <f aca="false">IF(AND(S$5&gt;=$M$20,S$5&lt;$N$20),$E$20-$F$20-IF(S$5&gt;=$H$20,$G$20,0),0)*($H$20&lt;&gt;0)+IF(AND(S$5&gt;=$M$20,S$5&lt;$N$20),$E$20-$F$20,0)*($H$20=0)</f>
        <v>3840</v>
      </c>
      <c r="T100" s="125" t="n">
        <f aca="false">IF(AND(T$5&gt;=$M$20,T$5&lt;$N$20),$E$20-$F$20-IF(T$5&gt;=$H$20,$G$20,0),0)*($H$20&lt;&gt;0)+IF(AND(T$5&gt;=$M$20,T$5&lt;$N$20),$E$20-$F$20,0)*($H$20=0)</f>
        <v>3840</v>
      </c>
      <c r="U100" s="125" t="n">
        <f aca="false">IF(AND(U$5&gt;=$M$20,U$5&lt;$N$20),$E$20-$F$20-IF(U$5&gt;=$H$20,$G$20,0),0)*($H$20&lt;&gt;0)+IF(AND(U$5&gt;=$M$20,U$5&lt;$N$20),$E$20-$F$20,0)*($H$20=0)</f>
        <v>3840</v>
      </c>
      <c r="V100" s="125" t="n">
        <f aca="false">IF(AND(V$5&gt;=$M$20,V$5&lt;$N$20),$E$20-$F$20-IF(V$5&gt;=$H$20,$G$20,0),0)*($H$20&lt;&gt;0)+IF(AND(V$5&gt;=$M$20,V$5&lt;$N$20),$E$20-$F$20,0)*($H$20=0)</f>
        <v>3840</v>
      </c>
      <c r="W100" s="125" t="n">
        <f aca="false">IF(AND(W$5&gt;=$M$20,W$5&lt;$N$20),$E$20-$F$20-IF(W$5&gt;=$H$20,$G$20,0),0)*($H$20&lt;&gt;0)+IF(AND(W$5&gt;=$M$20,W$5&lt;$N$20),$E$20-$F$20,0)*($H$20=0)</f>
        <v>3840</v>
      </c>
      <c r="X100" s="125" t="n">
        <f aca="false">IF(AND(X$5&gt;=$M$20,X$5&lt;$N$20),$E$20-$F$20-IF(X$5&gt;=$H$20,$G$20,0),0)*($H$20&lt;&gt;0)+IF(AND(X$5&gt;=$M$20,X$5&lt;$N$20),$E$20-$F$20,0)*($H$20=0)</f>
        <v>3840</v>
      </c>
      <c r="Y100" s="125" t="n">
        <f aca="false">IF(AND(Y$5&gt;=$M$20,Y$5&lt;$N$20),$E$20-$F$20-IF(Y$5&gt;=$H$20,$G$20,0),0)*($H$20&lt;&gt;0)+IF(AND(Y$5&gt;=$M$20,Y$5&lt;$N$20),$E$20-$F$20,0)*($H$20=0)</f>
        <v>3840</v>
      </c>
      <c r="Z100" s="125" t="n">
        <f aca="false">IF(AND(Z$5&gt;=$M$20,Z$5&lt;$N$20),$E$20-$F$20-IF(Z$5&gt;=$H$20,$G$20,0),0)*($H$20&lt;&gt;0)+IF(AND(Z$5&gt;=$M$20,Z$5&lt;$N$20),$E$20-$F$20,0)*($H$20=0)</f>
        <v>3840</v>
      </c>
      <c r="AA100" s="125" t="n">
        <f aca="false">IF(AND(AA$5&gt;=$M$20,AA$5&lt;$N$20),$E$20-$F$20-IF(AA$5&gt;=$H$20,$G$20,0),0)*($H$20&lt;&gt;0)+IF(AND(AA$5&gt;=$M$20,AA$5&lt;$N$20),$E$20-$F$20,0)*($H$20=0)</f>
        <v>3840</v>
      </c>
      <c r="AB100" s="125" t="n">
        <f aca="false">IF(AND(AB$5&gt;=$M$20,AB$5&lt;$N$20),$E$20-$F$20-IF(AB$5&gt;=$H$20,$G$20,0),0)*($H$20&lt;&gt;0)+IF(AND(AB$5&gt;=$M$20,AB$5&lt;$N$20),$E$20-$F$20,0)*($H$20=0)</f>
        <v>3840</v>
      </c>
      <c r="AC100" s="125" t="n">
        <f aca="false">IF(AND(AC$5&gt;=$M$20,AC$5&lt;$N$20),$E$20-$F$20-IF(AC$5&gt;=$H$20,$G$20,0),0)*($H$20&lt;&gt;0)+IF(AND(AC$5&gt;=$M$20,AC$5&lt;$N$20),$E$20-$F$20,0)*($H$20=0)</f>
        <v>3840</v>
      </c>
      <c r="AD100" s="125" t="n">
        <f aca="false">IF(AND(AD$5&gt;=$M$20,AD$5&lt;$N$20),$E$20-$F$20-IF(AD$5&gt;=$H$20,$G$20,0),0)*($H$20&lt;&gt;0)+IF(AND(AD$5&gt;=$M$20,AD$5&lt;$N$20),$E$20-$F$20,0)*($H$20=0)</f>
        <v>3840</v>
      </c>
      <c r="AE100" s="125" t="n">
        <f aca="false">IF(AND(AE$5&gt;=$M$20,AE$5&lt;$N$20),$E$20-$F$20-IF(AE$5&gt;=$H$20,$G$20,0),0)*($H$20&lt;&gt;0)+IF(AND(AE$5&gt;=$M$20,AE$5&lt;$N$20),$E$20-$F$20,0)*($H$20=0)</f>
        <v>3840</v>
      </c>
      <c r="AF100" s="125" t="n">
        <f aca="false">IF(AND(AF$5&gt;=$M$20,AF$5&lt;$N$20),$E$20-$F$20-IF(AF$5&gt;=$H$20,$G$20,0),0)*($H$20&lt;&gt;0)+IF(AND(AF$5&gt;=$M$20,AF$5&lt;$N$20),$E$20-$F$20,0)*($H$20=0)</f>
        <v>0</v>
      </c>
      <c r="AG100" s="125" t="n">
        <f aca="false">IF(AND(AG$5&gt;=$M$20,AG$5&lt;$N$20),$E$20-$F$20-IF(AG$5&gt;=$H$20,$G$20,0),0)*($H$20&lt;&gt;0)+IF(AND(AG$5&gt;=$M$20,AG$5&lt;$N$20),$E$20-$F$20,0)*($H$20=0)</f>
        <v>0</v>
      </c>
      <c r="AI100" s="125" t="n">
        <f aca="false">INDEX($F100:$AG100,1,MATCH(AI$7,$F$7:$AG$7,1))</f>
        <v>0</v>
      </c>
      <c r="AJ100" s="125" t="n">
        <f aca="false">INDEX($F100:$AG100,1,MATCH(AJ$7,$F$7:$AG$7,1))</f>
        <v>0</v>
      </c>
      <c r="AK100" s="125" t="n">
        <f aca="false">INDEX($F100:$AG100,1,MATCH(AK$7,$F$7:$AG$7,1))</f>
        <v>0</v>
      </c>
      <c r="AL100" s="125" t="n">
        <f aca="false">INDEX($F100:$AG100,1,MATCH(AL$7,$F$7:$AG$7,1))</f>
        <v>3840</v>
      </c>
      <c r="AM100" s="125" t="n">
        <f aca="false">INDEX($F100:$AG100,1,MATCH(AM$7,$F$7:$AG$7,1))</f>
        <v>3840</v>
      </c>
      <c r="AN100" s="125" t="n">
        <f aca="false">INDEX($F100:$AG100,1,MATCH(AN$7,$F$7:$AG$7,1))</f>
        <v>3840</v>
      </c>
      <c r="AO100" s="125" t="n">
        <f aca="false">INDEX($F100:$AG100,1,MATCH(AO$7,$F$7:$AG$7,1))</f>
        <v>0</v>
      </c>
    </row>
    <row r="101" customFormat="false" ht="15" hidden="false" customHeight="false" outlineLevel="0" collapsed="false">
      <c r="A101" s="107" t="s">
        <v>2361</v>
      </c>
      <c r="B101" s="22" t="s">
        <v>613</v>
      </c>
      <c r="C101" s="22" t="s">
        <v>604</v>
      </c>
      <c r="D101" s="22"/>
      <c r="F101" s="124" t="n">
        <f aca="false">F100*$C$20/4</f>
        <v>0</v>
      </c>
      <c r="G101" s="124" t="n">
        <f aca="false">G100*$C$20/4</f>
        <v>0</v>
      </c>
      <c r="H101" s="124" t="n">
        <f aca="false">H100*$C$20/4</f>
        <v>0</v>
      </c>
      <c r="I101" s="124" t="n">
        <f aca="false">I100*$C$20/4</f>
        <v>0</v>
      </c>
      <c r="J101" s="124" t="n">
        <f aca="false">J100*$C$20/4</f>
        <v>0</v>
      </c>
      <c r="K101" s="124" t="n">
        <f aca="false">K100*$C$20/4</f>
        <v>0</v>
      </c>
      <c r="L101" s="124" t="n">
        <f aca="false">L100*$C$20/4</f>
        <v>0</v>
      </c>
      <c r="M101" s="124" t="n">
        <f aca="false">M100*$C$20/4</f>
        <v>0</v>
      </c>
      <c r="N101" s="124" t="n">
        <f aca="false">N100*$C$20/4</f>
        <v>0</v>
      </c>
      <c r="O101" s="124" t="n">
        <f aca="false">O100*$C$20/4</f>
        <v>0</v>
      </c>
      <c r="P101" s="125" t="n">
        <f aca="false">P100*$C$20/4</f>
        <v>0</v>
      </c>
      <c r="Q101" s="125" t="n">
        <f aca="false">Q100*$C$20/4</f>
        <v>0</v>
      </c>
      <c r="R101" s="125" t="n">
        <f aca="false">R100*$C$20/4</f>
        <v>4.8</v>
      </c>
      <c r="S101" s="125" t="n">
        <f aca="false">S100*$C$20/4</f>
        <v>4.8</v>
      </c>
      <c r="T101" s="125" t="n">
        <f aca="false">T100*$C$20/4</f>
        <v>4.8</v>
      </c>
      <c r="U101" s="125" t="n">
        <f aca="false">U100*$C$20/4</f>
        <v>4.8</v>
      </c>
      <c r="V101" s="125" t="n">
        <f aca="false">V100*$C$20/4</f>
        <v>4.8</v>
      </c>
      <c r="W101" s="125" t="n">
        <f aca="false">W100*$C$20/4</f>
        <v>4.8</v>
      </c>
      <c r="X101" s="125" t="n">
        <f aca="false">X100*$C$20/4</f>
        <v>4.8</v>
      </c>
      <c r="Y101" s="125" t="n">
        <f aca="false">Y100*$C$20/4</f>
        <v>4.8</v>
      </c>
      <c r="Z101" s="125" t="n">
        <f aca="false">Z100*$C$20/4</f>
        <v>4.8</v>
      </c>
      <c r="AA101" s="125" t="n">
        <f aca="false">AA100*$C$20/4</f>
        <v>4.8</v>
      </c>
      <c r="AB101" s="125" t="n">
        <f aca="false">AB100*$C$20/4</f>
        <v>4.8</v>
      </c>
      <c r="AC101" s="125" t="n">
        <f aca="false">AC100*$C$20/4</f>
        <v>4.8</v>
      </c>
      <c r="AD101" s="125" t="n">
        <f aca="false">AD100*$C$20/4</f>
        <v>4.8</v>
      </c>
      <c r="AE101" s="125" t="n">
        <f aca="false">AE100*$C$20/4</f>
        <v>4.8</v>
      </c>
      <c r="AF101" s="125" t="n">
        <f aca="false">AF100*$C$20/4</f>
        <v>0</v>
      </c>
      <c r="AG101" s="125" t="n">
        <f aca="false">AG100*$C$20/4</f>
        <v>0</v>
      </c>
      <c r="AI101" s="125" t="n">
        <f aca="false">SUMIF($F$7:$AG$7,AI$7,$F101:$AG101)</f>
        <v>0</v>
      </c>
      <c r="AJ101" s="125" t="n">
        <f aca="false">SUMIF($F$7:$AG$7,AJ$7,$F101:$AG101)</f>
        <v>0</v>
      </c>
      <c r="AK101" s="125" t="n">
        <f aca="false">SUMIF($F$7:$AG$7,AK$7,$F101:$AG101)</f>
        <v>0</v>
      </c>
      <c r="AL101" s="125" t="n">
        <f aca="false">SUMIF($F$7:$AG$7,AL$7,$F101:$AG101)</f>
        <v>19.2</v>
      </c>
      <c r="AM101" s="125" t="n">
        <f aca="false">SUMIF($F$7:$AG$7,AM$7,$F101:$AG101)</f>
        <v>19.2</v>
      </c>
      <c r="AN101" s="125" t="n">
        <f aca="false">SUMIF($F$7:$AG$7,AN$7,$F101:$AG101)</f>
        <v>19.2</v>
      </c>
      <c r="AO101" s="125" t="n">
        <f aca="false">SUMIF($F$7:$AG$7,AO$7,$F101:$AG101)</f>
        <v>9.6</v>
      </c>
    </row>
    <row r="102" customFormat="false" ht="15" hidden="false" customHeight="false" outlineLevel="0" collapsed="false">
      <c r="A102" s="107" t="s">
        <v>2362</v>
      </c>
      <c r="B102" s="22" t="s">
        <v>613</v>
      </c>
      <c r="C102" s="22" t="s">
        <v>604</v>
      </c>
      <c r="D102" s="22"/>
      <c r="F102" s="124" t="n">
        <f aca="false">F100*($J$20-1)/(($D$20-$B$20)/91.3125)</f>
        <v>0</v>
      </c>
      <c r="G102" s="124" t="n">
        <f aca="false">G100*($J$20-1)/(($D$20-$B$20)/91.3125)</f>
        <v>0</v>
      </c>
      <c r="H102" s="124" t="n">
        <f aca="false">H100*($J$20-1)/(($D$20-$B$20)/91.3125)</f>
        <v>0</v>
      </c>
      <c r="I102" s="124" t="n">
        <f aca="false">I100*($J$20-1)/(($D$20-$B$20)/91.3125)</f>
        <v>0</v>
      </c>
      <c r="J102" s="124" t="n">
        <f aca="false">J100*($J$20-1)/(($D$20-$B$20)/91.3125)</f>
        <v>0</v>
      </c>
      <c r="K102" s="124" t="n">
        <f aca="false">K100*($J$20-1)/(($D$20-$B$20)/91.3125)</f>
        <v>0</v>
      </c>
      <c r="L102" s="124" t="n">
        <f aca="false">L100*($J$20-1)/(($D$20-$B$20)/91.3125)</f>
        <v>0</v>
      </c>
      <c r="M102" s="124" t="n">
        <f aca="false">M100*($J$20-1)/(($D$20-$B$20)/91.3125)</f>
        <v>0</v>
      </c>
      <c r="N102" s="124" t="n">
        <f aca="false">N100*($J$20-1)/(($D$20-$B$20)/91.3125)</f>
        <v>0</v>
      </c>
      <c r="O102" s="124" t="n">
        <f aca="false">O100*($J$20-1)/(($D$20-$B$20)/91.3125)</f>
        <v>0</v>
      </c>
      <c r="P102" s="125" t="n">
        <f aca="false">P100*($J$20-1)/(($D$20-$B$20)/91.3125)</f>
        <v>0</v>
      </c>
      <c r="Q102" s="125" t="n">
        <f aca="false">Q100*($J$20-1)/(($D$20-$B$20)/91.3125)</f>
        <v>0</v>
      </c>
      <c r="R102" s="125" t="n">
        <f aca="false">R100*($J$20-1)/(($D$20-$B$20)/91.3125)</f>
        <v>27.4581049334378</v>
      </c>
      <c r="S102" s="125" t="n">
        <f aca="false">S100*($J$20-1)/(($D$20-$B$20)/91.3125)</f>
        <v>27.4581049334378</v>
      </c>
      <c r="T102" s="125" t="n">
        <f aca="false">T100*($J$20-1)/(($D$20-$B$20)/91.3125)</f>
        <v>27.4581049334378</v>
      </c>
      <c r="U102" s="125" t="n">
        <f aca="false">U100*($J$20-1)/(($D$20-$B$20)/91.3125)</f>
        <v>27.4581049334378</v>
      </c>
      <c r="V102" s="125" t="n">
        <f aca="false">V100*($J$20-1)/(($D$20-$B$20)/91.3125)</f>
        <v>27.4581049334378</v>
      </c>
      <c r="W102" s="125" t="n">
        <f aca="false">W100*($J$20-1)/(($D$20-$B$20)/91.3125)</f>
        <v>27.4581049334378</v>
      </c>
      <c r="X102" s="125" t="n">
        <f aca="false">X100*($J$20-1)/(($D$20-$B$20)/91.3125)</f>
        <v>27.4581049334378</v>
      </c>
      <c r="Y102" s="125" t="n">
        <f aca="false">Y100*($J$20-1)/(($D$20-$B$20)/91.3125)</f>
        <v>27.4581049334378</v>
      </c>
      <c r="Z102" s="125" t="n">
        <f aca="false">Z100*($J$20-1)/(($D$20-$B$20)/91.3125)</f>
        <v>27.4581049334378</v>
      </c>
      <c r="AA102" s="125" t="n">
        <f aca="false">AA100*($J$20-1)/(($D$20-$B$20)/91.3125)</f>
        <v>27.4581049334378</v>
      </c>
      <c r="AB102" s="125" t="n">
        <f aca="false">AB100*($J$20-1)/(($D$20-$B$20)/91.3125)</f>
        <v>27.4581049334378</v>
      </c>
      <c r="AC102" s="125" t="n">
        <f aca="false">AC100*($J$20-1)/(($D$20-$B$20)/91.3125)</f>
        <v>27.4581049334378</v>
      </c>
      <c r="AD102" s="125" t="n">
        <f aca="false">AD100*($J$20-1)/(($D$20-$B$20)/91.3125)</f>
        <v>27.4581049334378</v>
      </c>
      <c r="AE102" s="125" t="n">
        <f aca="false">AE100*($J$20-1)/(($D$20-$B$20)/91.3125)</f>
        <v>27.4581049334378</v>
      </c>
      <c r="AF102" s="125" t="n">
        <f aca="false">AF100*($J$20-1)/(($D$20-$B$20)/91.3125)</f>
        <v>0</v>
      </c>
      <c r="AG102" s="125" t="n">
        <f aca="false">AG100*($J$20-1)/(($D$20-$B$20)/91.3125)</f>
        <v>0</v>
      </c>
      <c r="AI102" s="125" t="n">
        <f aca="false">SUMIF($F$7:$AG$7,AI$7,$F102:$AG102)</f>
        <v>0</v>
      </c>
      <c r="AJ102" s="125" t="n">
        <f aca="false">SUMIF($F$7:$AG$7,AJ$7,$F102:$AG102)</f>
        <v>0</v>
      </c>
      <c r="AK102" s="125" t="n">
        <f aca="false">SUMIF($F$7:$AG$7,AK$7,$F102:$AG102)</f>
        <v>0</v>
      </c>
      <c r="AL102" s="125" t="n">
        <f aca="false">SUMIF($F$7:$AG$7,AL$7,$F102:$AG102)</f>
        <v>109.832419733751</v>
      </c>
      <c r="AM102" s="125" t="n">
        <f aca="false">SUMIF($F$7:$AG$7,AM$7,$F102:$AG102)</f>
        <v>109.832419733751</v>
      </c>
      <c r="AN102" s="125" t="n">
        <f aca="false">SUMIF($F$7:$AG$7,AN$7,$F102:$AG102)</f>
        <v>109.832419733751</v>
      </c>
      <c r="AO102" s="125" t="n">
        <f aca="false">SUMIF($F$7:$AG$7,AO$7,$F102:$AG102)</f>
        <v>54.9162098668755</v>
      </c>
    </row>
    <row r="103" customFormat="false" ht="15" hidden="false" customHeight="false" outlineLevel="0" collapsed="false">
      <c r="A103" s="107" t="s">
        <v>2363</v>
      </c>
      <c r="B103" s="22" t="s">
        <v>613</v>
      </c>
      <c r="C103" s="22" t="s">
        <v>604</v>
      </c>
      <c r="D103" s="22"/>
      <c r="F103" s="124" t="n">
        <f aca="false">F100*(1+($J$20-1)*MIN(1,MAX(0,(F$4-$B$20)/($D$20-$B$20))))</f>
        <v>0</v>
      </c>
      <c r="G103" s="124" t="n">
        <f aca="false">G100*(1+($J$20-1)*MIN(1,MAX(0,(G$4-$B$20)/($D$20-$B$20))))</f>
        <v>0</v>
      </c>
      <c r="H103" s="124" t="n">
        <f aca="false">H100*(1+($J$20-1)*MIN(1,MAX(0,(H$4-$B$20)/($D$20-$B$20))))</f>
        <v>0</v>
      </c>
      <c r="I103" s="124" t="n">
        <f aca="false">I100*(1+($J$20-1)*MIN(1,MAX(0,(I$4-$B$20)/($D$20-$B$20))))</f>
        <v>0</v>
      </c>
      <c r="J103" s="124" t="n">
        <f aca="false">J100*(1+($J$20-1)*MIN(1,MAX(0,(J$4-$B$20)/($D$20-$B$20))))</f>
        <v>0</v>
      </c>
      <c r="K103" s="124" t="n">
        <f aca="false">K100*(1+($J$20-1)*MIN(1,MAX(0,(K$4-$B$20)/($D$20-$B$20))))</f>
        <v>0</v>
      </c>
      <c r="L103" s="124" t="n">
        <f aca="false">L100*(1+($J$20-1)*MIN(1,MAX(0,(L$4-$B$20)/($D$20-$B$20))))</f>
        <v>0</v>
      </c>
      <c r="M103" s="124" t="n">
        <f aca="false">M100*(1+($J$20-1)*MIN(1,MAX(0,(M$4-$B$20)/($D$20-$B$20))))</f>
        <v>0</v>
      </c>
      <c r="N103" s="124" t="n">
        <f aca="false">N100*(1+($J$20-1)*MIN(1,MAX(0,(N$4-$B$20)/($D$20-$B$20))))</f>
        <v>0</v>
      </c>
      <c r="O103" s="124" t="n">
        <f aca="false">O100*(1+($J$20-1)*MIN(1,MAX(0,(O$4-$B$20)/($D$20-$B$20))))</f>
        <v>0</v>
      </c>
      <c r="P103" s="125" t="n">
        <f aca="false">P100*(1+($J$20-1)*MIN(1,MAX(0,(P$4-$B$20)/($D$20-$B$20))))</f>
        <v>0</v>
      </c>
      <c r="Q103" s="125" t="n">
        <f aca="false">Q100*(1+($J$20-1)*MIN(1,MAX(0,(Q$4-$B$20)/($D$20-$B$20))))</f>
        <v>0</v>
      </c>
      <c r="R103" s="125" t="n">
        <f aca="false">R100*(1+($J$20-1)*MIN(1,MAX(0,(R$4-$B$20)/($D$20-$B$20))))</f>
        <v>3853.53171495693</v>
      </c>
      <c r="S103" s="125" t="n">
        <f aca="false">S100*(1+($J$20-1)*MIN(1,MAX(0,(S$4-$B$20)/($D$20-$B$20))))</f>
        <v>3880.89584964761</v>
      </c>
      <c r="T103" s="125" t="n">
        <f aca="false">T100*(1+($J$20-1)*MIN(1,MAX(0,(T$4-$B$20)/($D$20-$B$20))))</f>
        <v>3908.56068911511</v>
      </c>
      <c r="U103" s="125" t="n">
        <f aca="false">U100*(1+($J$20-1)*MIN(1,MAX(0,(U$4-$B$20)/($D$20-$B$20))))</f>
        <v>3936.22552858262</v>
      </c>
      <c r="V103" s="125" t="n">
        <f aca="false">V100*(1+($J$20-1)*MIN(1,MAX(0,(V$4-$B$20)/($D$20-$B$20))))</f>
        <v>3963.5896632733</v>
      </c>
      <c r="W103" s="125" t="n">
        <f aca="false">W100*(1+($J$20-1)*MIN(1,MAX(0,(W$4-$B$20)/($D$20-$B$20))))</f>
        <v>3990.95379796398</v>
      </c>
      <c r="X103" s="125" t="n">
        <f aca="false">X100*(1+($J$20-1)*MIN(1,MAX(0,(X$4-$B$20)/($D$20-$B$20))))</f>
        <v>4018.61863743148</v>
      </c>
      <c r="Y103" s="125" t="n">
        <f aca="false">Y100*(1+($J$20-1)*MIN(1,MAX(0,(Y$4-$B$20)/($D$20-$B$20))))</f>
        <v>4046.28347689898</v>
      </c>
      <c r="Z103" s="125" t="n">
        <f aca="false">Z100*(1+($J$20-1)*MIN(1,MAX(0,(Z$4-$B$20)/($D$20-$B$20))))</f>
        <v>4073.34690681284</v>
      </c>
      <c r="AA103" s="125" t="n">
        <f aca="false">AA100*(1+($J$20-1)*MIN(1,MAX(0,(AA$4-$B$20)/($D$20-$B$20))))</f>
        <v>4100.71104150352</v>
      </c>
      <c r="AB103" s="125" t="n">
        <f aca="false">AB100*(1+($J$20-1)*MIN(1,MAX(0,(AB$4-$B$20)/($D$20-$B$20))))</f>
        <v>4128.37588097103</v>
      </c>
      <c r="AC103" s="125" t="n">
        <f aca="false">AC100*(1+($J$20-1)*MIN(1,MAX(0,(AC$4-$B$20)/($D$20-$B$20))))</f>
        <v>4156.04072043853</v>
      </c>
      <c r="AD103" s="125" t="n">
        <f aca="false">AD100*(1+($J$20-1)*MIN(1,MAX(0,(AD$4-$B$20)/($D$20-$B$20))))</f>
        <v>4183.10415035239</v>
      </c>
      <c r="AE103" s="125" t="n">
        <f aca="false">AE100*(1+($J$20-1)*MIN(1,MAX(0,(AE$4-$B$20)/($D$20-$B$20))))</f>
        <v>4210.46828504307</v>
      </c>
      <c r="AF103" s="125" t="n">
        <f aca="false">AF100*(1+($J$20-1)*MIN(1,MAX(0,(AF$4-$B$20)/($D$20-$B$20))))</f>
        <v>0</v>
      </c>
      <c r="AG103" s="125" t="n">
        <f aca="false">AG100*(1+($J$20-1)*MIN(1,MAX(0,(AG$4-$B$20)/($D$20-$B$20))))</f>
        <v>0</v>
      </c>
      <c r="AI103" s="125" t="n">
        <f aca="false">INDEX($F103:$AG103,1,MATCH(AI$7,$F$7:$AG$7,1))</f>
        <v>0</v>
      </c>
      <c r="AJ103" s="125" t="n">
        <f aca="false">INDEX($F103:$AG103,1,MATCH(AJ$7,$F$7:$AG$7,1))</f>
        <v>0</v>
      </c>
      <c r="AK103" s="125" t="n">
        <f aca="false">INDEX($F103:$AG103,1,MATCH(AK$7,$F$7:$AG$7,1))</f>
        <v>0</v>
      </c>
      <c r="AL103" s="125" t="n">
        <f aca="false">INDEX($F103:$AG103,1,MATCH(AL$7,$F$7:$AG$7,1))</f>
        <v>3936.22552858262</v>
      </c>
      <c r="AM103" s="125" t="n">
        <f aca="false">INDEX($F103:$AG103,1,MATCH(AM$7,$F$7:$AG$7,1))</f>
        <v>4046.28347689898</v>
      </c>
      <c r="AN103" s="125" t="n">
        <f aca="false">INDEX($F103:$AG103,1,MATCH(AN$7,$F$7:$AG$7,1))</f>
        <v>4156.04072043853</v>
      </c>
      <c r="AO103" s="125" t="n">
        <f aca="false">INDEX($F103:$AG103,1,MATCH(AO$7,$F$7:$AG$7,1))</f>
        <v>0</v>
      </c>
    </row>
    <row r="104" customFormat="false" ht="15" hidden="false" customHeight="false" outlineLevel="0" collapsed="false">
      <c r="A104" s="107" t="s">
        <v>2364</v>
      </c>
      <c r="B104" s="22" t="s">
        <v>613</v>
      </c>
      <c r="C104" s="22" t="s">
        <v>604</v>
      </c>
      <c r="D104" s="22"/>
      <c r="F104" s="124" t="n">
        <f aca="false">F100*($S$20+($J$20-$S$20)*MIN(1,MAX(0,(F$4-$T$20)/($D$20-$T$20))))</f>
        <v>0</v>
      </c>
      <c r="G104" s="124" t="n">
        <f aca="false">G100*($S$20+($J$20-$S$20)*MIN(1,MAX(0,(G$4-$T$20)/($D$20-$T$20))))</f>
        <v>0</v>
      </c>
      <c r="H104" s="124" t="n">
        <f aca="false">H100*($S$20+($J$20-$S$20)*MIN(1,MAX(0,(H$4-$T$20)/($D$20-$T$20))))</f>
        <v>0</v>
      </c>
      <c r="I104" s="124" t="n">
        <f aca="false">I100*($S$20+($J$20-$S$20)*MIN(1,MAX(0,(I$4-$T$20)/($D$20-$T$20))))</f>
        <v>0</v>
      </c>
      <c r="J104" s="124" t="n">
        <f aca="false">J100*($S$20+($J$20-$S$20)*MIN(1,MAX(0,(J$4-$T$20)/($D$20-$T$20))))</f>
        <v>0</v>
      </c>
      <c r="K104" s="124" t="n">
        <f aca="false">K100*($S$20+($J$20-$S$20)*MIN(1,MAX(0,(K$4-$T$20)/($D$20-$T$20))))</f>
        <v>0</v>
      </c>
      <c r="L104" s="124" t="n">
        <f aca="false">L100*($S$20+($J$20-$S$20)*MIN(1,MAX(0,(L$4-$T$20)/($D$20-$T$20))))</f>
        <v>0</v>
      </c>
      <c r="M104" s="124" t="n">
        <f aca="false">M100*($S$20+($J$20-$S$20)*MIN(1,MAX(0,(M$4-$T$20)/($D$20-$T$20))))</f>
        <v>0</v>
      </c>
      <c r="N104" s="124" t="n">
        <f aca="false">N100*($S$20+($J$20-$S$20)*MIN(1,MAX(0,(N$4-$T$20)/($D$20-$T$20))))</f>
        <v>0</v>
      </c>
      <c r="O104" s="124" t="n">
        <f aca="false">O100*($S$20+($J$20-$S$20)*MIN(1,MAX(0,(O$4-$T$20)/($D$20-$T$20))))</f>
        <v>0</v>
      </c>
      <c r="P104" s="125" t="n">
        <f aca="false">P100*($S$20+($J$20-$S$20)*MIN(1,MAX(0,(P$4-$T$20)/($D$20-$T$20))))</f>
        <v>0</v>
      </c>
      <c r="Q104" s="125" t="n">
        <f aca="false">Q100*($S$20+($J$20-$S$20)*MIN(1,MAX(0,(Q$4-$T$20)/($D$20-$T$20))))</f>
        <v>0</v>
      </c>
      <c r="R104" s="125" t="n">
        <f aca="false">R100*($S$20+($J$20-$S$20)*MIN(1,MAX(0,(R$4-$T$20)/($D$20-$T$20))))</f>
        <v>3853.53171495693</v>
      </c>
      <c r="S104" s="125" t="n">
        <f aca="false">S100*($S$20+($J$20-$S$20)*MIN(1,MAX(0,(S$4-$T$20)/($D$20-$T$20))))</f>
        <v>3880.89584964761</v>
      </c>
      <c r="T104" s="125" t="n">
        <f aca="false">T100*($S$20+($J$20-$S$20)*MIN(1,MAX(0,(T$4-$T$20)/($D$20-$T$20))))</f>
        <v>3908.56068911511</v>
      </c>
      <c r="U104" s="125" t="n">
        <f aca="false">U100*($S$20+($J$20-$S$20)*MIN(1,MAX(0,(U$4-$T$20)/($D$20-$T$20))))</f>
        <v>3936.22552858262</v>
      </c>
      <c r="V104" s="125" t="n">
        <f aca="false">V100*($S$20+($J$20-$S$20)*MIN(1,MAX(0,(V$4-$T$20)/($D$20-$T$20))))</f>
        <v>3963.5896632733</v>
      </c>
      <c r="W104" s="125" t="n">
        <f aca="false">W100*($S$20+($J$20-$S$20)*MIN(1,MAX(0,(W$4-$T$20)/($D$20-$T$20))))</f>
        <v>3990.95379796398</v>
      </c>
      <c r="X104" s="125" t="n">
        <f aca="false">X100*($S$20+($J$20-$S$20)*MIN(1,MAX(0,(X$4-$T$20)/($D$20-$T$20))))</f>
        <v>4018.61863743148</v>
      </c>
      <c r="Y104" s="125" t="n">
        <f aca="false">Y100*($S$20+($J$20-$S$20)*MIN(1,MAX(0,(Y$4-$T$20)/($D$20-$T$20))))</f>
        <v>4046.28347689898</v>
      </c>
      <c r="Z104" s="125" t="n">
        <f aca="false">Z100*($S$20+($J$20-$S$20)*MIN(1,MAX(0,(Z$4-$T$20)/($D$20-$T$20))))</f>
        <v>4073.34690681284</v>
      </c>
      <c r="AA104" s="125" t="n">
        <f aca="false">AA100*($S$20+($J$20-$S$20)*MIN(1,MAX(0,(AA$4-$T$20)/($D$20-$T$20))))</f>
        <v>4100.71104150352</v>
      </c>
      <c r="AB104" s="125" t="n">
        <f aca="false">AB100*($S$20+($J$20-$S$20)*MIN(1,MAX(0,(AB$4-$T$20)/($D$20-$T$20))))</f>
        <v>4128.37588097103</v>
      </c>
      <c r="AC104" s="125" t="n">
        <f aca="false">AC100*($S$20+($J$20-$S$20)*MIN(1,MAX(0,(AC$4-$T$20)/($D$20-$T$20))))</f>
        <v>4156.04072043853</v>
      </c>
      <c r="AD104" s="125" t="n">
        <f aca="false">AD100*($S$20+($J$20-$S$20)*MIN(1,MAX(0,(AD$4-$T$20)/($D$20-$T$20))))</f>
        <v>4183.10415035239</v>
      </c>
      <c r="AE104" s="125" t="n">
        <f aca="false">AE100*($S$20+($J$20-$S$20)*MIN(1,MAX(0,(AE$4-$T$20)/($D$20-$T$20))))</f>
        <v>4210.46828504307</v>
      </c>
      <c r="AF104" s="125" t="n">
        <f aca="false">AF100*($S$20+($J$20-$S$20)*MIN(1,MAX(0,(AF$4-$T$20)/($D$20-$T$20))))</f>
        <v>0</v>
      </c>
      <c r="AG104" s="125" t="n">
        <f aca="false">AG100*($S$20+($J$20-$S$20)*MIN(1,MAX(0,(AG$4-$T$20)/($D$20-$T$20))))</f>
        <v>0</v>
      </c>
      <c r="AI104" s="125" t="n">
        <f aca="false">INDEX($F104:$AG104,1,MATCH(AI$7,$F$7:$AG$7,1))</f>
        <v>0</v>
      </c>
      <c r="AJ104" s="125" t="n">
        <f aca="false">INDEX($F104:$AG104,1,MATCH(AJ$7,$F$7:$AG$7,1))</f>
        <v>0</v>
      </c>
      <c r="AK104" s="125" t="n">
        <f aca="false">INDEX($F104:$AG104,1,MATCH(AK$7,$F$7:$AG$7,1))</f>
        <v>0</v>
      </c>
      <c r="AL104" s="125" t="n">
        <f aca="false">INDEX($F104:$AG104,1,MATCH(AL$7,$F$7:$AG$7,1))</f>
        <v>3936.22552858262</v>
      </c>
      <c r="AM104" s="125" t="n">
        <f aca="false">INDEX($F104:$AG104,1,MATCH(AM$7,$F$7:$AG$7,1))</f>
        <v>4046.28347689898</v>
      </c>
      <c r="AN104" s="125" t="n">
        <f aca="false">INDEX($F104:$AG104,1,MATCH(AN$7,$F$7:$AG$7,1))</f>
        <v>4156.04072043853</v>
      </c>
      <c r="AO104" s="125" t="n">
        <f aca="false">INDEX($F104:$AG104,1,MATCH(AO$7,$F$7:$AG$7,1))</f>
        <v>0</v>
      </c>
    </row>
    <row r="105" customFormat="false" ht="15" hidden="false" customHeight="false" outlineLevel="0" collapsed="false">
      <c r="A105" s="107" t="s">
        <v>2365</v>
      </c>
      <c r="B105" s="22" t="s">
        <v>613</v>
      </c>
      <c r="C105" s="22" t="s">
        <v>604</v>
      </c>
      <c r="D105" s="22"/>
      <c r="F105" s="124" t="n">
        <f aca="false">IF(F$5=$N$20,E100*$J$20*(1-$O$20),0)</f>
        <v>0</v>
      </c>
      <c r="G105" s="124" t="n">
        <f aca="false">IF(G$5=$N$20,F100*$J$20*(1-$O$20),0)</f>
        <v>0</v>
      </c>
      <c r="H105" s="124" t="n">
        <f aca="false">IF(H$5=$N$20,G100*$J$20*(1-$O$20),0)</f>
        <v>0</v>
      </c>
      <c r="I105" s="124" t="n">
        <f aca="false">IF(I$5=$N$20,H100*$J$20*(1-$O$20),0)</f>
        <v>0</v>
      </c>
      <c r="J105" s="124" t="n">
        <f aca="false">IF(J$5=$N$20,I100*$J$20*(1-$O$20),0)</f>
        <v>0</v>
      </c>
      <c r="K105" s="124" t="n">
        <f aca="false">IF(K$5=$N$20,J100*$J$20*(1-$O$20),0)</f>
        <v>0</v>
      </c>
      <c r="L105" s="124" t="n">
        <f aca="false">IF(L$5=$N$20,K100*$J$20*(1-$O$20),0)</f>
        <v>0</v>
      </c>
      <c r="M105" s="124" t="n">
        <f aca="false">IF(M$5=$N$20,L100*$J$20*(1-$O$20),0)</f>
        <v>0</v>
      </c>
      <c r="N105" s="124" t="n">
        <f aca="false">IF(N$5=$N$20,M100*$J$20*(1-$O$20),0)</f>
        <v>0</v>
      </c>
      <c r="O105" s="124" t="n">
        <f aca="false">IF(O$5=$N$20,N100*$J$20*(1-$O$20),0)</f>
        <v>0</v>
      </c>
      <c r="P105" s="125" t="n">
        <f aca="false">IF(P$5=$N$20,O100*$J$20*(1-$O$20),0)</f>
        <v>0</v>
      </c>
      <c r="Q105" s="125" t="n">
        <f aca="false">IF(Q$5=$N$20,P100*$J$20*(1-$O$20),0)</f>
        <v>0</v>
      </c>
      <c r="R105" s="125" t="n">
        <f aca="false">IF(R$5=$N$20,Q100*$J$20*(1-$O$20),0)</f>
        <v>0</v>
      </c>
      <c r="S105" s="125" t="n">
        <f aca="false">IF(S$5=$N$20,R100*$J$20*(1-$O$20),0)</f>
        <v>0</v>
      </c>
      <c r="T105" s="125" t="n">
        <f aca="false">IF(T$5=$N$20,S100*$J$20*(1-$O$20),0)</f>
        <v>0</v>
      </c>
      <c r="U105" s="125" t="n">
        <f aca="false">IF(U$5=$N$20,T100*$J$20*(1-$O$20),0)</f>
        <v>0</v>
      </c>
      <c r="V105" s="125" t="n">
        <f aca="false">IF(V$5=$N$20,U100*$J$20*(1-$O$20),0)</f>
        <v>0</v>
      </c>
      <c r="W105" s="125" t="n">
        <f aca="false">IF(W$5=$N$20,V100*$J$20*(1-$O$20),0)</f>
        <v>0</v>
      </c>
      <c r="X105" s="125" t="n">
        <f aca="false">IF(X$5=$N$20,W100*$J$20*(1-$O$20),0)</f>
        <v>0</v>
      </c>
      <c r="Y105" s="125" t="n">
        <f aca="false">IF(Y$5=$N$20,X100*$J$20*(1-$O$20),0)</f>
        <v>0</v>
      </c>
      <c r="Z105" s="125" t="n">
        <f aca="false">IF(Z$5=$N$20,Y100*$J$20*(1-$O$20),0)</f>
        <v>0</v>
      </c>
      <c r="AA105" s="125" t="n">
        <f aca="false">IF(AA$5=$N$20,Z100*$J$20*(1-$O$20),0)</f>
        <v>0</v>
      </c>
      <c r="AB105" s="125" t="n">
        <f aca="false">IF(AB$5=$N$20,AA100*$J$20*(1-$O$20),0)</f>
        <v>0</v>
      </c>
      <c r="AC105" s="125" t="n">
        <f aca="false">IF(AC$5=$N$20,AB100*$J$20*(1-$O$20),0)</f>
        <v>0</v>
      </c>
      <c r="AD105" s="125" t="n">
        <f aca="false">IF(AD$5=$N$20,AC100*$J$20*(1-$O$20),0)</f>
        <v>0</v>
      </c>
      <c r="AE105" s="125" t="n">
        <f aca="false">IF(AE$5=$N$20,AD100*$J$20*(1-$O$20),0)</f>
        <v>0</v>
      </c>
      <c r="AF105" s="125" t="n">
        <f aca="false">IF(AF$5=$N$20,AE100*$J$20*(1-$O$20),0)</f>
        <v>4224</v>
      </c>
      <c r="AG105" s="125" t="n">
        <f aca="false">IF(AG$5=$N$20,AF100*$J$20*(1-$O$20),0)</f>
        <v>0</v>
      </c>
      <c r="AI105" s="125" t="n">
        <f aca="false">SUMIF($F$7:$AG$7,AI$7,$F105:$AG105)</f>
        <v>0</v>
      </c>
      <c r="AJ105" s="125" t="n">
        <f aca="false">SUMIF($F$7:$AG$7,AJ$7,$F105:$AG105)</f>
        <v>0</v>
      </c>
      <c r="AK105" s="125" t="n">
        <f aca="false">SUMIF($F$7:$AG$7,AK$7,$F105:$AG105)</f>
        <v>0</v>
      </c>
      <c r="AL105" s="125" t="n">
        <f aca="false">SUMIF($F$7:$AG$7,AL$7,$F105:$AG105)</f>
        <v>0</v>
      </c>
      <c r="AM105" s="125" t="n">
        <f aca="false">SUMIF($F$7:$AG$7,AM$7,$F105:$AG105)</f>
        <v>0</v>
      </c>
      <c r="AN105" s="125" t="n">
        <f aca="false">SUMIF($F$7:$AG$7,AN$7,$F105:$AG105)</f>
        <v>0</v>
      </c>
      <c r="AO105" s="125" t="n">
        <f aca="false">SUMIF($F$7:$AG$7,AO$7,$F105:$AG105)</f>
        <v>4224</v>
      </c>
    </row>
    <row r="106" customFormat="false" ht="15" hidden="false" customHeight="false" outlineLevel="0" collapsed="false">
      <c r="A106" s="107" t="s">
        <v>2366</v>
      </c>
      <c r="B106" s="22" t="s">
        <v>635</v>
      </c>
      <c r="C106" s="22" t="s">
        <v>604</v>
      </c>
      <c r="D106" s="22"/>
      <c r="F106" s="140" t="n">
        <f aca="false">IF(F$5=$N$20,E100*$K$20/1000*$O$20,0)</f>
        <v>0</v>
      </c>
      <c r="G106" s="140" t="n">
        <f aca="false">IF(G$5=$N$20,F100*$K$20/1000*$O$20,0)</f>
        <v>0</v>
      </c>
      <c r="H106" s="140" t="n">
        <f aca="false">IF(H$5=$N$20,G100*$K$20/1000*$O$20,0)</f>
        <v>0</v>
      </c>
      <c r="I106" s="140" t="n">
        <f aca="false">IF(I$5=$N$20,H100*$K$20/1000*$O$20,0)</f>
        <v>0</v>
      </c>
      <c r="J106" s="140" t="n">
        <f aca="false">IF(J$5=$N$20,I100*$K$20/1000*$O$20,0)</f>
        <v>0</v>
      </c>
      <c r="K106" s="140" t="n">
        <f aca="false">IF(K$5=$N$20,J100*$K$20/1000*$O$20,0)</f>
        <v>0</v>
      </c>
      <c r="L106" s="140" t="n">
        <f aca="false">IF(L$5=$N$20,K100*$K$20/1000*$O$20,0)</f>
        <v>0</v>
      </c>
      <c r="M106" s="140" t="n">
        <f aca="false">IF(M$5=$N$20,L100*$K$20/1000*$O$20,0)</f>
        <v>0</v>
      </c>
      <c r="N106" s="140" t="n">
        <f aca="false">IF(N$5=$N$20,M100*$K$20/1000*$O$20,0)</f>
        <v>0</v>
      </c>
      <c r="O106" s="140" t="n">
        <f aca="false">IF(O$5=$N$20,N100*$K$20/1000*$O$20,0)</f>
        <v>0</v>
      </c>
      <c r="P106" s="47" t="n">
        <f aca="false">IF(P$5=$N$20,O100*$K$20/1000*$O$20,0)</f>
        <v>0</v>
      </c>
      <c r="Q106" s="47" t="n">
        <f aca="false">IF(Q$5=$N$20,P100*$K$20/1000*$O$20,0)</f>
        <v>0</v>
      </c>
      <c r="R106" s="47" t="n">
        <f aca="false">IF(R$5=$N$20,Q100*$K$20/1000*$O$20,0)</f>
        <v>0</v>
      </c>
      <c r="S106" s="47" t="n">
        <f aca="false">IF(S$5=$N$20,R100*$K$20/1000*$O$20,0)</f>
        <v>0</v>
      </c>
      <c r="T106" s="47" t="n">
        <f aca="false">IF(T$5=$N$20,S100*$K$20/1000*$O$20,0)</f>
        <v>0</v>
      </c>
      <c r="U106" s="47" t="n">
        <f aca="false">IF(U$5=$N$20,T100*$K$20/1000*$O$20,0)</f>
        <v>0</v>
      </c>
      <c r="V106" s="47" t="n">
        <f aca="false">IF(V$5=$N$20,U100*$K$20/1000*$O$20,0)</f>
        <v>0</v>
      </c>
      <c r="W106" s="47" t="n">
        <f aca="false">IF(W$5=$N$20,V100*$K$20/1000*$O$20,0)</f>
        <v>0</v>
      </c>
      <c r="X106" s="47" t="n">
        <f aca="false">IF(X$5=$N$20,W100*$K$20/1000*$O$20,0)</f>
        <v>0</v>
      </c>
      <c r="Y106" s="47" t="n">
        <f aca="false">IF(Y$5=$N$20,X100*$K$20/1000*$O$20,0)</f>
        <v>0</v>
      </c>
      <c r="Z106" s="47" t="n">
        <f aca="false">IF(Z$5=$N$20,Y100*$K$20/1000*$O$20,0)</f>
        <v>0</v>
      </c>
      <c r="AA106" s="47" t="n">
        <f aca="false">IF(AA$5=$N$20,Z100*$K$20/1000*$O$20,0)</f>
        <v>0</v>
      </c>
      <c r="AB106" s="47" t="n">
        <f aca="false">IF(AB$5=$N$20,AA100*$K$20/1000*$O$20,0)</f>
        <v>0</v>
      </c>
      <c r="AC106" s="47" t="n">
        <f aca="false">IF(AC$5=$N$20,AB100*$K$20/1000*$O$20,0)</f>
        <v>0</v>
      </c>
      <c r="AD106" s="47" t="n">
        <f aca="false">IF(AD$5=$N$20,AC100*$K$20/1000*$O$20,0)</f>
        <v>0</v>
      </c>
      <c r="AE106" s="47" t="n">
        <f aca="false">IF(AE$5=$N$20,AD100*$K$20/1000*$O$20,0)</f>
        <v>0</v>
      </c>
      <c r="AF106" s="47" t="n">
        <f aca="false">IF(AF$5=$N$20,AE100*$K$20/1000*$O$20,0)</f>
        <v>0</v>
      </c>
      <c r="AG106" s="47" t="n">
        <f aca="false">IF(AG$5=$N$20,AF100*$K$20/1000*$O$20,0)</f>
        <v>0</v>
      </c>
      <c r="AI106" s="47" t="n">
        <f aca="false">SUMIF($F$7:$AG$7,AI$7,$F106:$AG106)</f>
        <v>0</v>
      </c>
      <c r="AJ106" s="47" t="n">
        <f aca="false">SUMIF($F$7:$AG$7,AJ$7,$F106:$AG106)</f>
        <v>0</v>
      </c>
      <c r="AK106" s="47" t="n">
        <f aca="false">SUMIF($F$7:$AG$7,AK$7,$F106:$AG106)</f>
        <v>0</v>
      </c>
      <c r="AL106" s="47" t="n">
        <f aca="false">SUMIF($F$7:$AG$7,AL$7,$F106:$AG106)</f>
        <v>0</v>
      </c>
      <c r="AM106" s="47" t="n">
        <f aca="false">SUMIF($F$7:$AG$7,AM$7,$F106:$AG106)</f>
        <v>0</v>
      </c>
      <c r="AN106" s="47" t="n">
        <f aca="false">SUMIF($F$7:$AG$7,AN$7,$F106:$AG106)</f>
        <v>0</v>
      </c>
      <c r="AO106" s="47" t="n">
        <f aca="false">SUMIF($F$7:$AG$7,AO$7,$F106:$AG106)</f>
        <v>0</v>
      </c>
    </row>
    <row r="107" customFormat="false" ht="15" hidden="false" customHeight="false" outlineLevel="0" collapsed="false">
      <c r="A107" s="107" t="s">
        <v>2367</v>
      </c>
      <c r="B107" s="22" t="s">
        <v>635</v>
      </c>
      <c r="C107" s="22" t="s">
        <v>540</v>
      </c>
      <c r="D107" s="22"/>
      <c r="F107" s="140" t="n">
        <f aca="false">IF(DilMethod=3,MAX(0,F100*$K$20/1000*DilPx-F103)/DilPx,F100*$K$20/1000*$P$20)</f>
        <v>0</v>
      </c>
      <c r="G107" s="140" t="n">
        <f aca="false">IF(DilMethod=3,MAX(0,G100*$K$20/1000*DilPx-G103)/DilPx,G100*$K$20/1000*$P$20)</f>
        <v>0</v>
      </c>
      <c r="H107" s="140" t="n">
        <f aca="false">IF(DilMethod=3,MAX(0,H100*$K$20/1000*DilPx-H103)/DilPx,H100*$K$20/1000*$P$20)</f>
        <v>0</v>
      </c>
      <c r="I107" s="140" t="n">
        <f aca="false">IF(DilMethod=3,MAX(0,I100*$K$20/1000*DilPx-I103)/DilPx,I100*$K$20/1000*$P$20)</f>
        <v>0</v>
      </c>
      <c r="J107" s="140" t="n">
        <f aca="false">IF(DilMethod=3,MAX(0,J100*$K$20/1000*DilPx-J103)/DilPx,J100*$K$20/1000*$P$20)</f>
        <v>0</v>
      </c>
      <c r="K107" s="140" t="n">
        <f aca="false">IF(DilMethod=3,MAX(0,K100*$K$20/1000*DilPx-K103)/DilPx,K100*$K$20/1000*$P$20)</f>
        <v>0</v>
      </c>
      <c r="L107" s="140" t="n">
        <f aca="false">IF(DilMethod=3,MAX(0,L100*$K$20/1000*DilPx-L103)/DilPx,L100*$K$20/1000*$P$20)</f>
        <v>0</v>
      </c>
      <c r="M107" s="140" t="n">
        <f aca="false">IF(DilMethod=3,MAX(0,M100*$K$20/1000*DilPx-M103)/DilPx,M100*$K$20/1000*$P$20)</f>
        <v>0</v>
      </c>
      <c r="N107" s="140" t="n">
        <f aca="false">IF(DilMethod=3,MAX(0,N100*$K$20/1000*DilPx-N103)/DilPx,N100*$K$20/1000*$P$20)</f>
        <v>0</v>
      </c>
      <c r="O107" s="140" t="n">
        <f aca="false">IF(DilMethod=3,MAX(0,O100*$K$20/1000*DilPx-O103)/DilPx,O100*$K$20/1000*$P$20)</f>
        <v>0</v>
      </c>
      <c r="P107" s="47" t="n">
        <f aca="false">IF(DilMethod=3,MAX(0,P100*$K$20/1000*DilPx-P103)/DilPx,P100*$K$20/1000*$P$20)</f>
        <v>0</v>
      </c>
      <c r="Q107" s="47" t="n">
        <f aca="false">IF(DilMethod=3,MAX(0,Q100*$K$20/1000*DilPx-Q103)/DilPx,Q100*$K$20/1000*$P$20)</f>
        <v>0</v>
      </c>
      <c r="R107" s="47" t="n">
        <f aca="false">IF(DilMethod=3,MAX(0,R100*$K$20/1000*DilPx-R103)/DilPx,R100*$K$20/1000*$P$20)</f>
        <v>0</v>
      </c>
      <c r="S107" s="47" t="n">
        <f aca="false">IF(DilMethod=3,MAX(0,S100*$K$20/1000*DilPx-S103)/DilPx,S100*$K$20/1000*$P$20)</f>
        <v>0</v>
      </c>
      <c r="T107" s="47" t="n">
        <f aca="false">IF(DilMethod=3,MAX(0,T100*$K$20/1000*DilPx-T103)/DilPx,T100*$K$20/1000*$P$20)</f>
        <v>0</v>
      </c>
      <c r="U107" s="47" t="n">
        <f aca="false">IF(DilMethod=3,MAX(0,U100*$K$20/1000*DilPx-U103)/DilPx,U100*$K$20/1000*$P$20)</f>
        <v>0</v>
      </c>
      <c r="V107" s="47" t="n">
        <f aca="false">IF(DilMethod=3,MAX(0,V100*$K$20/1000*DilPx-V103)/DilPx,V100*$K$20/1000*$P$20)</f>
        <v>0</v>
      </c>
      <c r="W107" s="47" t="n">
        <f aca="false">IF(DilMethod=3,MAX(0,W100*$K$20/1000*DilPx-W103)/DilPx,W100*$K$20/1000*$P$20)</f>
        <v>0</v>
      </c>
      <c r="X107" s="47" t="n">
        <f aca="false">IF(DilMethod=3,MAX(0,X100*$K$20/1000*DilPx-X103)/DilPx,X100*$K$20/1000*$P$20)</f>
        <v>0</v>
      </c>
      <c r="Y107" s="47" t="n">
        <f aca="false">IF(DilMethod=3,MAX(0,Y100*$K$20/1000*DilPx-Y103)/DilPx,Y100*$K$20/1000*$P$20)</f>
        <v>0</v>
      </c>
      <c r="Z107" s="47" t="n">
        <f aca="false">IF(DilMethod=3,MAX(0,Z100*$K$20/1000*DilPx-Z103)/DilPx,Z100*$K$20/1000*$P$20)</f>
        <v>0</v>
      </c>
      <c r="AA107" s="47" t="n">
        <f aca="false">IF(DilMethod=3,MAX(0,AA100*$K$20/1000*DilPx-AA103)/DilPx,AA100*$K$20/1000*$P$20)</f>
        <v>0</v>
      </c>
      <c r="AB107" s="47" t="n">
        <f aca="false">IF(DilMethod=3,MAX(0,AB100*$K$20/1000*DilPx-AB103)/DilPx,AB100*$K$20/1000*$P$20)</f>
        <v>0</v>
      </c>
      <c r="AC107" s="47" t="n">
        <f aca="false">IF(DilMethod=3,MAX(0,AC100*$K$20/1000*DilPx-AC103)/DilPx,AC100*$K$20/1000*$P$20)</f>
        <v>0</v>
      </c>
      <c r="AD107" s="47" t="n">
        <f aca="false">IF(DilMethod=3,MAX(0,AD100*$K$20/1000*DilPx-AD103)/DilPx,AD100*$K$20/1000*$P$20)</f>
        <v>0</v>
      </c>
      <c r="AE107" s="47" t="n">
        <f aca="false">IF(DilMethod=3,MAX(0,AE100*$K$20/1000*DilPx-AE103)/DilPx,AE100*$K$20/1000*$P$20)</f>
        <v>0</v>
      </c>
      <c r="AF107" s="47" t="n">
        <f aca="false">IF(DilMethod=3,MAX(0,AF100*$K$20/1000*DilPx-AF103)/DilPx,AF100*$K$20/1000*$P$20)</f>
        <v>0</v>
      </c>
      <c r="AG107" s="47" t="n">
        <f aca="false">IF(DilMethod=3,MAX(0,AG100*$K$20/1000*DilPx-AG103)/DilPx,AG100*$K$20/1000*$P$20)</f>
        <v>0</v>
      </c>
      <c r="AI107" s="47" t="n">
        <f aca="false">INDEX($F107:$AG107,1,MATCH(AI$7,$F$7:$AG$7,1))</f>
        <v>0</v>
      </c>
      <c r="AJ107" s="47" t="n">
        <f aca="false">INDEX($F107:$AG107,1,MATCH(AJ$7,$F$7:$AG$7,1))</f>
        <v>0</v>
      </c>
      <c r="AK107" s="47" t="n">
        <f aca="false">INDEX($F107:$AG107,1,MATCH(AK$7,$F$7:$AG$7,1))</f>
        <v>0</v>
      </c>
      <c r="AL107" s="47" t="n">
        <f aca="false">INDEX($F107:$AG107,1,MATCH(AL$7,$F$7:$AG$7,1))</f>
        <v>0</v>
      </c>
      <c r="AM107" s="47" t="n">
        <f aca="false">INDEX($F107:$AG107,1,MATCH(AM$7,$F$7:$AG$7,1))</f>
        <v>0</v>
      </c>
      <c r="AN107" s="47" t="n">
        <f aca="false">INDEX($F107:$AG107,1,MATCH(AN$7,$F$7:$AG$7,1))</f>
        <v>0</v>
      </c>
      <c r="AO107" s="47" t="n">
        <f aca="false">INDEX($F107:$AG107,1,MATCH(AO$7,$F$7:$AG$7,1))</f>
        <v>0</v>
      </c>
    </row>
    <row r="108" customFormat="false" ht="15" hidden="false" customHeight="false" outlineLevel="0" collapsed="false">
      <c r="A108" s="107" t="s">
        <v>2368</v>
      </c>
      <c r="B108" s="22" t="s">
        <v>613</v>
      </c>
      <c r="C108" s="22" t="s">
        <v>540</v>
      </c>
      <c r="D108" s="22"/>
      <c r="F108" s="124" t="n">
        <f aca="false">F103*IF(DilMethod=3,1,1-$P$20)</f>
        <v>0</v>
      </c>
      <c r="G108" s="124" t="n">
        <f aca="false">G103*IF(DilMethod=3,1,1-$P$20)</f>
        <v>0</v>
      </c>
      <c r="H108" s="124" t="n">
        <f aca="false">H103*IF(DilMethod=3,1,1-$P$20)</f>
        <v>0</v>
      </c>
      <c r="I108" s="124" t="n">
        <f aca="false">I103*IF(DilMethod=3,1,1-$P$20)</f>
        <v>0</v>
      </c>
      <c r="J108" s="124" t="n">
        <f aca="false">J103*IF(DilMethod=3,1,1-$P$20)</f>
        <v>0</v>
      </c>
      <c r="K108" s="124" t="n">
        <f aca="false">K103*IF(DilMethod=3,1,1-$P$20)</f>
        <v>0</v>
      </c>
      <c r="L108" s="124" t="n">
        <f aca="false">L103*IF(DilMethod=3,1,1-$P$20)</f>
        <v>0</v>
      </c>
      <c r="M108" s="124" t="n">
        <f aca="false">M103*IF(DilMethod=3,1,1-$P$20)</f>
        <v>0</v>
      </c>
      <c r="N108" s="124" t="n">
        <f aca="false">N103*IF(DilMethod=3,1,1-$P$20)</f>
        <v>0</v>
      </c>
      <c r="O108" s="124" t="n">
        <f aca="false">O103*IF(DilMethod=3,1,1-$P$20)</f>
        <v>0</v>
      </c>
      <c r="P108" s="125" t="n">
        <f aca="false">P103*IF(DilMethod=3,1,1-$P$20)</f>
        <v>0</v>
      </c>
      <c r="Q108" s="125" t="n">
        <f aca="false">Q103*IF(DilMethod=3,1,1-$P$20)</f>
        <v>0</v>
      </c>
      <c r="R108" s="125" t="n">
        <f aca="false">R103*IF(DilMethod=3,1,1-$P$20)</f>
        <v>3853.53171495693</v>
      </c>
      <c r="S108" s="125" t="n">
        <f aca="false">S103*IF(DilMethod=3,1,1-$P$20)</f>
        <v>3880.89584964761</v>
      </c>
      <c r="T108" s="125" t="n">
        <f aca="false">T103*IF(DilMethod=3,1,1-$P$20)</f>
        <v>3908.56068911511</v>
      </c>
      <c r="U108" s="125" t="n">
        <f aca="false">U103*IF(DilMethod=3,1,1-$P$20)</f>
        <v>3936.22552858262</v>
      </c>
      <c r="V108" s="125" t="n">
        <f aca="false">V103*IF(DilMethod=3,1,1-$P$20)</f>
        <v>3963.5896632733</v>
      </c>
      <c r="W108" s="125" t="n">
        <f aca="false">W103*IF(DilMethod=3,1,1-$P$20)</f>
        <v>3990.95379796398</v>
      </c>
      <c r="X108" s="125" t="n">
        <f aca="false">X103*IF(DilMethod=3,1,1-$P$20)</f>
        <v>4018.61863743148</v>
      </c>
      <c r="Y108" s="125" t="n">
        <f aca="false">Y103*IF(DilMethod=3,1,1-$P$20)</f>
        <v>4046.28347689898</v>
      </c>
      <c r="Z108" s="125" t="n">
        <f aca="false">Z103*IF(DilMethod=3,1,1-$P$20)</f>
        <v>4073.34690681284</v>
      </c>
      <c r="AA108" s="125" t="n">
        <f aca="false">AA103*IF(DilMethod=3,1,1-$P$20)</f>
        <v>4100.71104150352</v>
      </c>
      <c r="AB108" s="125" t="n">
        <f aca="false">AB103*IF(DilMethod=3,1,1-$P$20)</f>
        <v>4128.37588097103</v>
      </c>
      <c r="AC108" s="125" t="n">
        <f aca="false">AC103*IF(DilMethod=3,1,1-$P$20)</f>
        <v>4156.04072043853</v>
      </c>
      <c r="AD108" s="125" t="n">
        <f aca="false">AD103*IF(DilMethod=3,1,1-$P$20)</f>
        <v>4183.10415035239</v>
      </c>
      <c r="AE108" s="125" t="n">
        <f aca="false">AE103*IF(DilMethod=3,1,1-$P$20)</f>
        <v>4210.46828504307</v>
      </c>
      <c r="AF108" s="125" t="n">
        <f aca="false">AF103*IF(DilMethod=3,1,1-$P$20)</f>
        <v>0</v>
      </c>
      <c r="AG108" s="125" t="n">
        <f aca="false">AG103*IF(DilMethod=3,1,1-$P$20)</f>
        <v>0</v>
      </c>
      <c r="AI108" s="125" t="n">
        <f aca="false">INDEX($F108:$AG108,1,MATCH(AI$7,$F$7:$AG$7,1))</f>
        <v>0</v>
      </c>
      <c r="AJ108" s="125" t="n">
        <f aca="false">INDEX($F108:$AG108,1,MATCH(AJ$7,$F$7:$AG$7,1))</f>
        <v>0</v>
      </c>
      <c r="AK108" s="125" t="n">
        <f aca="false">INDEX($F108:$AG108,1,MATCH(AK$7,$F$7:$AG$7,1))</f>
        <v>0</v>
      </c>
      <c r="AL108" s="125" t="n">
        <f aca="false">INDEX($F108:$AG108,1,MATCH(AL$7,$F$7:$AG$7,1))</f>
        <v>3936.22552858262</v>
      </c>
      <c r="AM108" s="125" t="n">
        <f aca="false">INDEX($F108:$AG108,1,MATCH(AM$7,$F$7:$AG$7,1))</f>
        <v>4046.28347689898</v>
      </c>
      <c r="AN108" s="125" t="n">
        <f aca="false">INDEX($F108:$AG108,1,MATCH(AN$7,$F$7:$AG$7,1))</f>
        <v>4156.04072043853</v>
      </c>
      <c r="AO108" s="125" t="n">
        <f aca="false">INDEX($F108:$AG108,1,MATCH(AO$7,$F$7:$AG$7,1))</f>
        <v>0</v>
      </c>
    </row>
    <row r="109" customFormat="false" ht="15" hidden="false" customHeight="false" outlineLevel="0" collapsed="false">
      <c r="A109" s="107" t="s">
        <v>2369</v>
      </c>
      <c r="B109" s="22" t="s">
        <v>613</v>
      </c>
      <c r="C109" s="22" t="s">
        <v>604</v>
      </c>
      <c r="D109" s="22"/>
      <c r="F109" s="124" t="n">
        <f aca="false">IF(AND(F$5&gt;=$M$21,F$5&lt;$N$21),$E$21-$F$21-IF(F$5&gt;=$H$21,$G$21,0),0)*($H$21&lt;&gt;0)+IF(AND(F$5&gt;=$M$21,F$5&lt;$N$21),$E$21-$F$21,0)*($H$21=0)</f>
        <v>0</v>
      </c>
      <c r="G109" s="124" t="n">
        <f aca="false">IF(AND(G$5&gt;=$M$21,G$5&lt;$N$21),$E$21-$F$21-IF(G$5&gt;=$H$21,$G$21,0),0)*($H$21&lt;&gt;0)+IF(AND(G$5&gt;=$M$21,G$5&lt;$N$21),$E$21-$F$21,0)*($H$21=0)</f>
        <v>0</v>
      </c>
      <c r="H109" s="124" t="n">
        <f aca="false">IF(AND(H$5&gt;=$M$21,H$5&lt;$N$21),$E$21-$F$21-IF(H$5&gt;=$H$21,$G$21,0),0)*($H$21&lt;&gt;0)+IF(AND(H$5&gt;=$M$21,H$5&lt;$N$21),$E$21-$F$21,0)*($H$21=0)</f>
        <v>0</v>
      </c>
      <c r="I109" s="124" t="n">
        <f aca="false">IF(AND(I$5&gt;=$M$21,I$5&lt;$N$21),$E$21-$F$21-IF(I$5&gt;=$H$21,$G$21,0),0)*($H$21&lt;&gt;0)+IF(AND(I$5&gt;=$M$21,I$5&lt;$N$21),$E$21-$F$21,0)*($H$21=0)</f>
        <v>0</v>
      </c>
      <c r="J109" s="124" t="n">
        <f aca="false">IF(AND(J$5&gt;=$M$21,J$5&lt;$N$21),$E$21-$F$21-IF(J$5&gt;=$H$21,$G$21,0),0)*($H$21&lt;&gt;0)+IF(AND(J$5&gt;=$M$21,J$5&lt;$N$21),$E$21-$F$21,0)*($H$21=0)</f>
        <v>0</v>
      </c>
      <c r="K109" s="124" t="n">
        <f aca="false">IF(AND(K$5&gt;=$M$21,K$5&lt;$N$21),$E$21-$F$21-IF(K$5&gt;=$H$21,$G$21,0),0)*($H$21&lt;&gt;0)+IF(AND(K$5&gt;=$M$21,K$5&lt;$N$21),$E$21-$F$21,0)*($H$21=0)</f>
        <v>0</v>
      </c>
      <c r="L109" s="124" t="n">
        <f aca="false">IF(AND(L$5&gt;=$M$21,L$5&lt;$N$21),$E$21-$F$21-IF(L$5&gt;=$H$21,$G$21,0),0)*($H$21&lt;&gt;0)+IF(AND(L$5&gt;=$M$21,L$5&lt;$N$21),$E$21-$F$21,0)*($H$21=0)</f>
        <v>0</v>
      </c>
      <c r="M109" s="124" t="n">
        <f aca="false">IF(AND(M$5&gt;=$M$21,M$5&lt;$N$21),$E$21-$F$21-IF(M$5&gt;=$H$21,$G$21,0),0)*($H$21&lt;&gt;0)+IF(AND(M$5&gt;=$M$21,M$5&lt;$N$21),$E$21-$F$21,0)*($H$21=0)</f>
        <v>0</v>
      </c>
      <c r="N109" s="124" t="n">
        <f aca="false">IF(AND(N$5&gt;=$M$21,N$5&lt;$N$21),$E$21-$F$21-IF(N$5&gt;=$H$21,$G$21,0),0)*($H$21&lt;&gt;0)+IF(AND(N$5&gt;=$M$21,N$5&lt;$N$21),$E$21-$F$21,0)*($H$21=0)</f>
        <v>0</v>
      </c>
      <c r="O109" s="124" t="n">
        <f aca="false">IF(AND(O$5&gt;=$M$21,O$5&lt;$N$21),$E$21-$F$21-IF(O$5&gt;=$H$21,$G$21,0),0)*($H$21&lt;&gt;0)+IF(AND(O$5&gt;=$M$21,O$5&lt;$N$21),$E$21-$F$21,0)*($H$21=0)</f>
        <v>0</v>
      </c>
      <c r="P109" s="125" t="n">
        <f aca="false">IF(AND(P$5&gt;=$M$21,P$5&lt;$N$21),$E$21-$F$21-IF(P$5&gt;=$H$21,$G$21,0),0)*($H$21&lt;&gt;0)+IF(AND(P$5&gt;=$M$21,P$5&lt;$N$21),$E$21-$F$21,0)*($H$21=0)</f>
        <v>0</v>
      </c>
      <c r="Q109" s="125" t="n">
        <f aca="false">IF(AND(Q$5&gt;=$M$21,Q$5&lt;$N$21),$E$21-$F$21-IF(Q$5&gt;=$H$21,$G$21,0),0)*($H$21&lt;&gt;0)+IF(AND(Q$5&gt;=$M$21,Q$5&lt;$N$21),$E$21-$F$21,0)*($H$21=0)</f>
        <v>0</v>
      </c>
      <c r="R109" s="125" t="n">
        <f aca="false">IF(AND(R$5&gt;=$M$21,R$5&lt;$N$21),$E$21-$F$21-IF(R$5&gt;=$H$21,$G$21,0),0)*($H$21&lt;&gt;0)+IF(AND(R$5&gt;=$M$21,R$5&lt;$N$21),$E$21-$F$21,0)*($H$21=0)</f>
        <v>2560</v>
      </c>
      <c r="S109" s="125" t="n">
        <f aca="false">IF(AND(S$5&gt;=$M$21,S$5&lt;$N$21),$E$21-$F$21-IF(S$5&gt;=$H$21,$G$21,0),0)*($H$21&lt;&gt;0)+IF(AND(S$5&gt;=$M$21,S$5&lt;$N$21),$E$21-$F$21,0)*($H$21=0)</f>
        <v>2560</v>
      </c>
      <c r="T109" s="125" t="n">
        <f aca="false">IF(AND(T$5&gt;=$M$21,T$5&lt;$N$21),$E$21-$F$21-IF(T$5&gt;=$H$21,$G$21,0),0)*($H$21&lt;&gt;0)+IF(AND(T$5&gt;=$M$21,T$5&lt;$N$21),$E$21-$F$21,0)*($H$21=0)</f>
        <v>2560</v>
      </c>
      <c r="U109" s="125" t="n">
        <f aca="false">IF(AND(U$5&gt;=$M$21,U$5&lt;$N$21),$E$21-$F$21-IF(U$5&gt;=$H$21,$G$21,0),0)*($H$21&lt;&gt;0)+IF(AND(U$5&gt;=$M$21,U$5&lt;$N$21),$E$21-$F$21,0)*($H$21=0)</f>
        <v>2560</v>
      </c>
      <c r="V109" s="125" t="n">
        <f aca="false">IF(AND(V$5&gt;=$M$21,V$5&lt;$N$21),$E$21-$F$21-IF(V$5&gt;=$H$21,$G$21,0),0)*($H$21&lt;&gt;0)+IF(AND(V$5&gt;=$M$21,V$5&lt;$N$21),$E$21-$F$21,0)*($H$21=0)</f>
        <v>2560</v>
      </c>
      <c r="W109" s="125" t="n">
        <f aca="false">IF(AND(W$5&gt;=$M$21,W$5&lt;$N$21),$E$21-$F$21-IF(W$5&gt;=$H$21,$G$21,0),0)*($H$21&lt;&gt;0)+IF(AND(W$5&gt;=$M$21,W$5&lt;$N$21),$E$21-$F$21,0)*($H$21=0)</f>
        <v>2560</v>
      </c>
      <c r="X109" s="125" t="n">
        <f aca="false">IF(AND(X$5&gt;=$M$21,X$5&lt;$N$21),$E$21-$F$21-IF(X$5&gt;=$H$21,$G$21,0),0)*($H$21&lt;&gt;0)+IF(AND(X$5&gt;=$M$21,X$5&lt;$N$21),$E$21-$F$21,0)*($H$21=0)</f>
        <v>2560</v>
      </c>
      <c r="Y109" s="125" t="n">
        <f aca="false">IF(AND(Y$5&gt;=$M$21,Y$5&lt;$N$21),$E$21-$F$21-IF(Y$5&gt;=$H$21,$G$21,0),0)*($H$21&lt;&gt;0)+IF(AND(Y$5&gt;=$M$21,Y$5&lt;$N$21),$E$21-$F$21,0)*($H$21=0)</f>
        <v>2560</v>
      </c>
      <c r="Z109" s="125" t="n">
        <f aca="false">IF(AND(Z$5&gt;=$M$21,Z$5&lt;$N$21),$E$21-$F$21-IF(Z$5&gt;=$H$21,$G$21,0),0)*($H$21&lt;&gt;0)+IF(AND(Z$5&gt;=$M$21,Z$5&lt;$N$21),$E$21-$F$21,0)*($H$21=0)</f>
        <v>2560</v>
      </c>
      <c r="AA109" s="125" t="n">
        <f aca="false">IF(AND(AA$5&gt;=$M$21,AA$5&lt;$N$21),$E$21-$F$21-IF(AA$5&gt;=$H$21,$G$21,0),0)*($H$21&lt;&gt;0)+IF(AND(AA$5&gt;=$M$21,AA$5&lt;$N$21),$E$21-$F$21,0)*($H$21=0)</f>
        <v>2560</v>
      </c>
      <c r="AB109" s="125" t="n">
        <f aca="false">IF(AND(AB$5&gt;=$M$21,AB$5&lt;$N$21),$E$21-$F$21-IF(AB$5&gt;=$H$21,$G$21,0),0)*($H$21&lt;&gt;0)+IF(AND(AB$5&gt;=$M$21,AB$5&lt;$N$21),$E$21-$F$21,0)*($H$21=0)</f>
        <v>2560</v>
      </c>
      <c r="AC109" s="125" t="n">
        <f aca="false">IF(AND(AC$5&gt;=$M$21,AC$5&lt;$N$21),$E$21-$F$21-IF(AC$5&gt;=$H$21,$G$21,0),0)*($H$21&lt;&gt;0)+IF(AND(AC$5&gt;=$M$21,AC$5&lt;$N$21),$E$21-$F$21,0)*($H$21=0)</f>
        <v>2560</v>
      </c>
      <c r="AD109" s="125" t="n">
        <f aca="false">IF(AND(AD$5&gt;=$M$21,AD$5&lt;$N$21),$E$21-$F$21-IF(AD$5&gt;=$H$21,$G$21,0),0)*($H$21&lt;&gt;0)+IF(AND(AD$5&gt;=$M$21,AD$5&lt;$N$21),$E$21-$F$21,0)*($H$21=0)</f>
        <v>2560</v>
      </c>
      <c r="AE109" s="125" t="n">
        <f aca="false">IF(AND(AE$5&gt;=$M$21,AE$5&lt;$N$21),$E$21-$F$21-IF(AE$5&gt;=$H$21,$G$21,0),0)*($H$21&lt;&gt;0)+IF(AND(AE$5&gt;=$M$21,AE$5&lt;$N$21),$E$21-$F$21,0)*($H$21=0)</f>
        <v>2560</v>
      </c>
      <c r="AF109" s="125" t="n">
        <f aca="false">IF(AND(AF$5&gt;=$M$21,AF$5&lt;$N$21),$E$21-$F$21-IF(AF$5&gt;=$H$21,$G$21,0),0)*($H$21&lt;&gt;0)+IF(AND(AF$5&gt;=$M$21,AF$5&lt;$N$21),$E$21-$F$21,0)*($H$21=0)</f>
        <v>2560</v>
      </c>
      <c r="AG109" s="125" t="n">
        <f aca="false">IF(AND(AG$5&gt;=$M$21,AG$5&lt;$N$21),$E$21-$F$21-IF(AG$5&gt;=$H$21,$G$21,0),0)*($H$21&lt;&gt;0)+IF(AND(AG$5&gt;=$M$21,AG$5&lt;$N$21),$E$21-$F$21,0)*($H$21=0)</f>
        <v>2560</v>
      </c>
      <c r="AI109" s="125" t="n">
        <f aca="false">INDEX($F109:$AG109,1,MATCH(AI$7,$F$7:$AG$7,1))</f>
        <v>0</v>
      </c>
      <c r="AJ109" s="125" t="n">
        <f aca="false">INDEX($F109:$AG109,1,MATCH(AJ$7,$F$7:$AG$7,1))</f>
        <v>0</v>
      </c>
      <c r="AK109" s="125" t="n">
        <f aca="false">INDEX($F109:$AG109,1,MATCH(AK$7,$F$7:$AG$7,1))</f>
        <v>0</v>
      </c>
      <c r="AL109" s="125" t="n">
        <f aca="false">INDEX($F109:$AG109,1,MATCH(AL$7,$F$7:$AG$7,1))</f>
        <v>2560</v>
      </c>
      <c r="AM109" s="125" t="n">
        <f aca="false">INDEX($F109:$AG109,1,MATCH(AM$7,$F$7:$AG$7,1))</f>
        <v>2560</v>
      </c>
      <c r="AN109" s="125" t="n">
        <f aca="false">INDEX($F109:$AG109,1,MATCH(AN$7,$F$7:$AG$7,1))</f>
        <v>2560</v>
      </c>
      <c r="AO109" s="125" t="n">
        <f aca="false">INDEX($F109:$AG109,1,MATCH(AO$7,$F$7:$AG$7,1))</f>
        <v>2560</v>
      </c>
    </row>
    <row r="110" customFormat="false" ht="15" hidden="false" customHeight="false" outlineLevel="0" collapsed="false">
      <c r="A110" s="107" t="s">
        <v>2370</v>
      </c>
      <c r="B110" s="22" t="s">
        <v>613</v>
      </c>
      <c r="C110" s="22" t="s">
        <v>604</v>
      </c>
      <c r="D110" s="22"/>
      <c r="F110" s="124" t="n">
        <f aca="false">F109*$C$21/4</f>
        <v>0</v>
      </c>
      <c r="G110" s="124" t="n">
        <f aca="false">G109*$C$21/4</f>
        <v>0</v>
      </c>
      <c r="H110" s="124" t="n">
        <f aca="false">H109*$C$21/4</f>
        <v>0</v>
      </c>
      <c r="I110" s="124" t="n">
        <f aca="false">I109*$C$21/4</f>
        <v>0</v>
      </c>
      <c r="J110" s="124" t="n">
        <f aca="false">J109*$C$21/4</f>
        <v>0</v>
      </c>
      <c r="K110" s="124" t="n">
        <f aca="false">K109*$C$21/4</f>
        <v>0</v>
      </c>
      <c r="L110" s="124" t="n">
        <f aca="false">L109*$C$21/4</f>
        <v>0</v>
      </c>
      <c r="M110" s="124" t="n">
        <f aca="false">M109*$C$21/4</f>
        <v>0</v>
      </c>
      <c r="N110" s="124" t="n">
        <f aca="false">N109*$C$21/4</f>
        <v>0</v>
      </c>
      <c r="O110" s="124" t="n">
        <f aca="false">O109*$C$21/4</f>
        <v>0</v>
      </c>
      <c r="P110" s="125" t="n">
        <f aca="false">P109*$C$21/4</f>
        <v>0</v>
      </c>
      <c r="Q110" s="125" t="n">
        <f aca="false">Q109*$C$21/4</f>
        <v>0</v>
      </c>
      <c r="R110" s="125" t="n">
        <f aca="false">R109*$C$21/4</f>
        <v>28.8</v>
      </c>
      <c r="S110" s="125" t="n">
        <f aca="false">S109*$C$21/4</f>
        <v>28.8</v>
      </c>
      <c r="T110" s="125" t="n">
        <f aca="false">T109*$C$21/4</f>
        <v>28.8</v>
      </c>
      <c r="U110" s="125" t="n">
        <f aca="false">U109*$C$21/4</f>
        <v>28.8</v>
      </c>
      <c r="V110" s="125" t="n">
        <f aca="false">V109*$C$21/4</f>
        <v>28.8</v>
      </c>
      <c r="W110" s="125" t="n">
        <f aca="false">W109*$C$21/4</f>
        <v>28.8</v>
      </c>
      <c r="X110" s="125" t="n">
        <f aca="false">X109*$C$21/4</f>
        <v>28.8</v>
      </c>
      <c r="Y110" s="125" t="n">
        <f aca="false">Y109*$C$21/4</f>
        <v>28.8</v>
      </c>
      <c r="Z110" s="125" t="n">
        <f aca="false">Z109*$C$21/4</f>
        <v>28.8</v>
      </c>
      <c r="AA110" s="125" t="n">
        <f aca="false">AA109*$C$21/4</f>
        <v>28.8</v>
      </c>
      <c r="AB110" s="125" t="n">
        <f aca="false">AB109*$C$21/4</f>
        <v>28.8</v>
      </c>
      <c r="AC110" s="125" t="n">
        <f aca="false">AC109*$C$21/4</f>
        <v>28.8</v>
      </c>
      <c r="AD110" s="125" t="n">
        <f aca="false">AD109*$C$21/4</f>
        <v>28.8</v>
      </c>
      <c r="AE110" s="125" t="n">
        <f aca="false">AE109*$C$21/4</f>
        <v>28.8</v>
      </c>
      <c r="AF110" s="125" t="n">
        <f aca="false">AF109*$C$21/4</f>
        <v>28.8</v>
      </c>
      <c r="AG110" s="125" t="n">
        <f aca="false">AG109*$C$21/4</f>
        <v>28.8</v>
      </c>
      <c r="AI110" s="125" t="n">
        <f aca="false">SUMIF($F$7:$AG$7,AI$7,$F110:$AG110)</f>
        <v>0</v>
      </c>
      <c r="AJ110" s="125" t="n">
        <f aca="false">SUMIF($F$7:$AG$7,AJ$7,$F110:$AG110)</f>
        <v>0</v>
      </c>
      <c r="AK110" s="125" t="n">
        <f aca="false">SUMIF($F$7:$AG$7,AK$7,$F110:$AG110)</f>
        <v>0</v>
      </c>
      <c r="AL110" s="125" t="n">
        <f aca="false">SUMIF($F$7:$AG$7,AL$7,$F110:$AG110)</f>
        <v>115.2</v>
      </c>
      <c r="AM110" s="125" t="n">
        <f aca="false">SUMIF($F$7:$AG$7,AM$7,$F110:$AG110)</f>
        <v>115.2</v>
      </c>
      <c r="AN110" s="125" t="n">
        <f aca="false">SUMIF($F$7:$AG$7,AN$7,$F110:$AG110)</f>
        <v>115.2</v>
      </c>
      <c r="AO110" s="125" t="n">
        <f aca="false">SUMIF($F$7:$AG$7,AO$7,$F110:$AG110)</f>
        <v>115.2</v>
      </c>
    </row>
    <row r="111" customFormat="false" ht="15" hidden="false" customHeight="false" outlineLevel="0" collapsed="false">
      <c r="A111" s="107" t="s">
        <v>2371</v>
      </c>
      <c r="B111" s="22" t="s">
        <v>613</v>
      </c>
      <c r="C111" s="22" t="s">
        <v>604</v>
      </c>
      <c r="D111" s="22"/>
      <c r="F111" s="124" t="n">
        <f aca="false">F109*($J$21-1)/(($D$21-$B$21)/91.3125)</f>
        <v>0</v>
      </c>
      <c r="G111" s="124" t="n">
        <f aca="false">G109*($J$21-1)/(($D$21-$B$21)/91.3125)</f>
        <v>0</v>
      </c>
      <c r="H111" s="124" t="n">
        <f aca="false">H109*($J$21-1)/(($D$21-$B$21)/91.3125)</f>
        <v>0</v>
      </c>
      <c r="I111" s="124" t="n">
        <f aca="false">I109*($J$21-1)/(($D$21-$B$21)/91.3125)</f>
        <v>0</v>
      </c>
      <c r="J111" s="124" t="n">
        <f aca="false">J109*($J$21-1)/(($D$21-$B$21)/91.3125)</f>
        <v>0</v>
      </c>
      <c r="K111" s="124" t="n">
        <f aca="false">K109*($J$21-1)/(($D$21-$B$21)/91.3125)</f>
        <v>0</v>
      </c>
      <c r="L111" s="124" t="n">
        <f aca="false">L109*($J$21-1)/(($D$21-$B$21)/91.3125)</f>
        <v>0</v>
      </c>
      <c r="M111" s="124" t="n">
        <f aca="false">M109*($J$21-1)/(($D$21-$B$21)/91.3125)</f>
        <v>0</v>
      </c>
      <c r="N111" s="124" t="n">
        <f aca="false">N109*($J$21-1)/(($D$21-$B$21)/91.3125)</f>
        <v>0</v>
      </c>
      <c r="O111" s="124" t="n">
        <f aca="false">O109*($J$21-1)/(($D$21-$B$21)/91.3125)</f>
        <v>0</v>
      </c>
      <c r="P111" s="125" t="n">
        <f aca="false">P109*($J$21-1)/(($D$21-$B$21)/91.3125)</f>
        <v>0</v>
      </c>
      <c r="Q111" s="125" t="n">
        <f aca="false">Q109*($J$21-1)/(($D$21-$B$21)/91.3125)</f>
        <v>0</v>
      </c>
      <c r="R111" s="125" t="n">
        <f aca="false">R109*($J$21-1)/(($D$21-$B$21)/91.3125)</f>
        <v>21.3440467494522</v>
      </c>
      <c r="S111" s="125" t="n">
        <f aca="false">S109*($J$21-1)/(($D$21-$B$21)/91.3125)</f>
        <v>21.3440467494522</v>
      </c>
      <c r="T111" s="125" t="n">
        <f aca="false">T109*($J$21-1)/(($D$21-$B$21)/91.3125)</f>
        <v>21.3440467494522</v>
      </c>
      <c r="U111" s="125" t="n">
        <f aca="false">U109*($J$21-1)/(($D$21-$B$21)/91.3125)</f>
        <v>21.3440467494522</v>
      </c>
      <c r="V111" s="125" t="n">
        <f aca="false">V109*($J$21-1)/(($D$21-$B$21)/91.3125)</f>
        <v>21.3440467494522</v>
      </c>
      <c r="W111" s="125" t="n">
        <f aca="false">W109*($J$21-1)/(($D$21-$B$21)/91.3125)</f>
        <v>21.3440467494522</v>
      </c>
      <c r="X111" s="125" t="n">
        <f aca="false">X109*($J$21-1)/(($D$21-$B$21)/91.3125)</f>
        <v>21.3440467494522</v>
      </c>
      <c r="Y111" s="125" t="n">
        <f aca="false">Y109*($J$21-1)/(($D$21-$B$21)/91.3125)</f>
        <v>21.3440467494522</v>
      </c>
      <c r="Z111" s="125" t="n">
        <f aca="false">Z109*($J$21-1)/(($D$21-$B$21)/91.3125)</f>
        <v>21.3440467494522</v>
      </c>
      <c r="AA111" s="125" t="n">
        <f aca="false">AA109*($J$21-1)/(($D$21-$B$21)/91.3125)</f>
        <v>21.3440467494522</v>
      </c>
      <c r="AB111" s="125" t="n">
        <f aca="false">AB109*($J$21-1)/(($D$21-$B$21)/91.3125)</f>
        <v>21.3440467494522</v>
      </c>
      <c r="AC111" s="125" t="n">
        <f aca="false">AC109*($J$21-1)/(($D$21-$B$21)/91.3125)</f>
        <v>21.3440467494522</v>
      </c>
      <c r="AD111" s="125" t="n">
        <f aca="false">AD109*($J$21-1)/(($D$21-$B$21)/91.3125)</f>
        <v>21.3440467494522</v>
      </c>
      <c r="AE111" s="125" t="n">
        <f aca="false">AE109*($J$21-1)/(($D$21-$B$21)/91.3125)</f>
        <v>21.3440467494522</v>
      </c>
      <c r="AF111" s="125" t="n">
        <f aca="false">AF109*($J$21-1)/(($D$21-$B$21)/91.3125)</f>
        <v>21.3440467494522</v>
      </c>
      <c r="AG111" s="125" t="n">
        <f aca="false">AG109*($J$21-1)/(($D$21-$B$21)/91.3125)</f>
        <v>21.3440467494522</v>
      </c>
      <c r="AI111" s="125" t="n">
        <f aca="false">SUMIF($F$7:$AG$7,AI$7,$F111:$AG111)</f>
        <v>0</v>
      </c>
      <c r="AJ111" s="125" t="n">
        <f aca="false">SUMIF($F$7:$AG$7,AJ$7,$F111:$AG111)</f>
        <v>0</v>
      </c>
      <c r="AK111" s="125" t="n">
        <f aca="false">SUMIF($F$7:$AG$7,AK$7,$F111:$AG111)</f>
        <v>0</v>
      </c>
      <c r="AL111" s="125" t="n">
        <f aca="false">SUMIF($F$7:$AG$7,AL$7,$F111:$AG111)</f>
        <v>85.3761869978086</v>
      </c>
      <c r="AM111" s="125" t="n">
        <f aca="false">SUMIF($F$7:$AG$7,AM$7,$F111:$AG111)</f>
        <v>85.3761869978086</v>
      </c>
      <c r="AN111" s="125" t="n">
        <f aca="false">SUMIF($F$7:$AG$7,AN$7,$F111:$AG111)</f>
        <v>85.3761869978086</v>
      </c>
      <c r="AO111" s="125" t="n">
        <f aca="false">SUMIF($F$7:$AG$7,AO$7,$F111:$AG111)</f>
        <v>85.3761869978086</v>
      </c>
    </row>
    <row r="112" customFormat="false" ht="15" hidden="false" customHeight="false" outlineLevel="0" collapsed="false">
      <c r="A112" s="107" t="s">
        <v>2372</v>
      </c>
      <c r="B112" s="22" t="s">
        <v>613</v>
      </c>
      <c r="C112" s="22" t="s">
        <v>604</v>
      </c>
      <c r="D112" s="22"/>
      <c r="F112" s="124" t="n">
        <f aca="false">F109*(1+($J$21-1)*MIN(1,MAX(0,(F$4-$B$21)/($D$21-$B$21))))</f>
        <v>0</v>
      </c>
      <c r="G112" s="124" t="n">
        <f aca="false">G109*(1+($J$21-1)*MIN(1,MAX(0,(G$4-$B$21)/($D$21-$B$21))))</f>
        <v>0</v>
      </c>
      <c r="H112" s="124" t="n">
        <f aca="false">H109*(1+($J$21-1)*MIN(1,MAX(0,(H$4-$B$21)/($D$21-$B$21))))</f>
        <v>0</v>
      </c>
      <c r="I112" s="124" t="n">
        <f aca="false">I109*(1+($J$21-1)*MIN(1,MAX(0,(I$4-$B$21)/($D$21-$B$21))))</f>
        <v>0</v>
      </c>
      <c r="J112" s="124" t="n">
        <f aca="false">J109*(1+($J$21-1)*MIN(1,MAX(0,(J$4-$B$21)/($D$21-$B$21))))</f>
        <v>0</v>
      </c>
      <c r="K112" s="124" t="n">
        <f aca="false">K109*(1+($J$21-1)*MIN(1,MAX(0,(K$4-$B$21)/($D$21-$B$21))))</f>
        <v>0</v>
      </c>
      <c r="L112" s="124" t="n">
        <f aca="false">L109*(1+($J$21-1)*MIN(1,MAX(0,(L$4-$B$21)/($D$21-$B$21))))</f>
        <v>0</v>
      </c>
      <c r="M112" s="124" t="n">
        <f aca="false">M109*(1+($J$21-1)*MIN(1,MAX(0,(M$4-$B$21)/($D$21-$B$21))))</f>
        <v>0</v>
      </c>
      <c r="N112" s="124" t="n">
        <f aca="false">N109*(1+($J$21-1)*MIN(1,MAX(0,(N$4-$B$21)/($D$21-$B$21))))</f>
        <v>0</v>
      </c>
      <c r="O112" s="124" t="n">
        <f aca="false">O109*(1+($J$21-1)*MIN(1,MAX(0,(O$4-$B$21)/($D$21-$B$21))))</f>
        <v>0</v>
      </c>
      <c r="P112" s="125" t="n">
        <f aca="false">P109*(1+($J$21-1)*MIN(1,MAX(0,(P$4-$B$21)/($D$21-$B$21))))</f>
        <v>0</v>
      </c>
      <c r="Q112" s="125" t="n">
        <f aca="false">Q109*(1+($J$21-1)*MIN(1,MAX(0,(Q$4-$B$21)/($D$21-$B$21))))</f>
        <v>0</v>
      </c>
      <c r="R112" s="125" t="n">
        <f aca="false">R109*(1+($J$21-1)*MIN(1,MAX(0,(R$4-$B$21)/($D$21-$B$21))))</f>
        <v>2570.51862673484</v>
      </c>
      <c r="S112" s="125" t="n">
        <f aca="false">S109*(1+($J$21-1)*MIN(1,MAX(0,(S$4-$B$21)/($D$21-$B$21))))</f>
        <v>2591.7896274653</v>
      </c>
      <c r="T112" s="125" t="n">
        <f aca="false">T109*(1+($J$21-1)*MIN(1,MAX(0,(T$4-$B$21)/($D$21-$B$21))))</f>
        <v>2613.29437545654</v>
      </c>
      <c r="U112" s="125" t="n">
        <f aca="false">U109*(1+($J$21-1)*MIN(1,MAX(0,(U$4-$B$21)/($D$21-$B$21))))</f>
        <v>2634.79912344777</v>
      </c>
      <c r="V112" s="125" t="n">
        <f aca="false">V109*(1+($J$21-1)*MIN(1,MAX(0,(V$4-$B$21)/($D$21-$B$21))))</f>
        <v>2656.07012417823</v>
      </c>
      <c r="W112" s="125" t="n">
        <f aca="false">W109*(1+($J$21-1)*MIN(1,MAX(0,(W$4-$B$21)/($D$21-$B$21))))</f>
        <v>2677.34112490869</v>
      </c>
      <c r="X112" s="125" t="n">
        <f aca="false">X109*(1+($J$21-1)*MIN(1,MAX(0,(X$4-$B$21)/($D$21-$B$21))))</f>
        <v>2698.84587289993</v>
      </c>
      <c r="Y112" s="125" t="n">
        <f aca="false">Y109*(1+($J$21-1)*MIN(1,MAX(0,(Y$4-$B$21)/($D$21-$B$21))))</f>
        <v>2720.35062089116</v>
      </c>
      <c r="Z112" s="125" t="n">
        <f aca="false">Z109*(1+($J$21-1)*MIN(1,MAX(0,(Z$4-$B$21)/($D$21-$B$21))))</f>
        <v>2741.38787436085</v>
      </c>
      <c r="AA112" s="125" t="n">
        <f aca="false">AA109*(1+($J$21-1)*MIN(1,MAX(0,(AA$4-$B$21)/($D$21-$B$21))))</f>
        <v>2762.65887509131</v>
      </c>
      <c r="AB112" s="125" t="n">
        <f aca="false">AB109*(1+($J$21-1)*MIN(1,MAX(0,(AB$4-$B$21)/($D$21-$B$21))))</f>
        <v>2784.16362308254</v>
      </c>
      <c r="AC112" s="125" t="n">
        <f aca="false">AC109*(1+($J$21-1)*MIN(1,MAX(0,(AC$4-$B$21)/($D$21-$B$21))))</f>
        <v>2805.66837107378</v>
      </c>
      <c r="AD112" s="125" t="n">
        <f aca="false">AD109*(1+($J$21-1)*MIN(1,MAX(0,(AD$4-$B$21)/($D$21-$B$21))))</f>
        <v>2826.70562454346</v>
      </c>
      <c r="AE112" s="125" t="n">
        <f aca="false">AE109*(1+($J$21-1)*MIN(1,MAX(0,(AE$4-$B$21)/($D$21-$B$21))))</f>
        <v>2847.97662527392</v>
      </c>
      <c r="AF112" s="125" t="n">
        <f aca="false">AF109*(1+($J$21-1)*MIN(1,MAX(0,(AF$4-$B$21)/($D$21-$B$21))))</f>
        <v>2869.48137326516</v>
      </c>
      <c r="AG112" s="125" t="n">
        <f aca="false">AG109*(1+($J$21-1)*MIN(1,MAX(0,(AG$4-$B$21)/($D$21-$B$21))))</f>
        <v>2890.98612125639</v>
      </c>
      <c r="AI112" s="125" t="n">
        <f aca="false">INDEX($F112:$AG112,1,MATCH(AI$7,$F$7:$AG$7,1))</f>
        <v>0</v>
      </c>
      <c r="AJ112" s="125" t="n">
        <f aca="false">INDEX($F112:$AG112,1,MATCH(AJ$7,$F$7:$AG$7,1))</f>
        <v>0</v>
      </c>
      <c r="AK112" s="125" t="n">
        <f aca="false">INDEX($F112:$AG112,1,MATCH(AK$7,$F$7:$AG$7,1))</f>
        <v>0</v>
      </c>
      <c r="AL112" s="125" t="n">
        <f aca="false">INDEX($F112:$AG112,1,MATCH(AL$7,$F$7:$AG$7,1))</f>
        <v>2634.79912344777</v>
      </c>
      <c r="AM112" s="125" t="n">
        <f aca="false">INDEX($F112:$AG112,1,MATCH(AM$7,$F$7:$AG$7,1))</f>
        <v>2720.35062089116</v>
      </c>
      <c r="AN112" s="125" t="n">
        <f aca="false">INDEX($F112:$AG112,1,MATCH(AN$7,$F$7:$AG$7,1))</f>
        <v>2805.66837107378</v>
      </c>
      <c r="AO112" s="125" t="n">
        <f aca="false">INDEX($F112:$AG112,1,MATCH(AO$7,$F$7:$AG$7,1))</f>
        <v>2890.98612125639</v>
      </c>
    </row>
    <row r="113" customFormat="false" ht="15" hidden="false" customHeight="false" outlineLevel="0" collapsed="false">
      <c r="A113" s="107" t="s">
        <v>2373</v>
      </c>
      <c r="B113" s="22" t="s">
        <v>613</v>
      </c>
      <c r="C113" s="22" t="s">
        <v>604</v>
      </c>
      <c r="D113" s="22"/>
      <c r="F113" s="124" t="n">
        <f aca="false">F109*($S$21+($J$21-$S$21)*MIN(1,MAX(0,(F$4-$T$21)/($D$21-$T$21))))</f>
        <v>0</v>
      </c>
      <c r="G113" s="124" t="n">
        <f aca="false">G109*($S$21+($J$21-$S$21)*MIN(1,MAX(0,(G$4-$T$21)/($D$21-$T$21))))</f>
        <v>0</v>
      </c>
      <c r="H113" s="124" t="n">
        <f aca="false">H109*($S$21+($J$21-$S$21)*MIN(1,MAX(0,(H$4-$T$21)/($D$21-$T$21))))</f>
        <v>0</v>
      </c>
      <c r="I113" s="124" t="n">
        <f aca="false">I109*($S$21+($J$21-$S$21)*MIN(1,MAX(0,(I$4-$T$21)/($D$21-$T$21))))</f>
        <v>0</v>
      </c>
      <c r="J113" s="124" t="n">
        <f aca="false">J109*($S$21+($J$21-$S$21)*MIN(1,MAX(0,(J$4-$T$21)/($D$21-$T$21))))</f>
        <v>0</v>
      </c>
      <c r="K113" s="124" t="n">
        <f aca="false">K109*($S$21+($J$21-$S$21)*MIN(1,MAX(0,(K$4-$T$21)/($D$21-$T$21))))</f>
        <v>0</v>
      </c>
      <c r="L113" s="124" t="n">
        <f aca="false">L109*($S$21+($J$21-$S$21)*MIN(1,MAX(0,(L$4-$T$21)/($D$21-$T$21))))</f>
        <v>0</v>
      </c>
      <c r="M113" s="124" t="n">
        <f aca="false">M109*($S$21+($J$21-$S$21)*MIN(1,MAX(0,(M$4-$T$21)/($D$21-$T$21))))</f>
        <v>0</v>
      </c>
      <c r="N113" s="124" t="n">
        <f aca="false">N109*($S$21+($J$21-$S$21)*MIN(1,MAX(0,(N$4-$T$21)/($D$21-$T$21))))</f>
        <v>0</v>
      </c>
      <c r="O113" s="124" t="n">
        <f aca="false">O109*($S$21+($J$21-$S$21)*MIN(1,MAX(0,(O$4-$T$21)/($D$21-$T$21))))</f>
        <v>0</v>
      </c>
      <c r="P113" s="125" t="n">
        <f aca="false">P109*($S$21+($J$21-$S$21)*MIN(1,MAX(0,(P$4-$T$21)/($D$21-$T$21))))</f>
        <v>0</v>
      </c>
      <c r="Q113" s="125" t="n">
        <f aca="false">Q109*($S$21+($J$21-$S$21)*MIN(1,MAX(0,(Q$4-$T$21)/($D$21-$T$21))))</f>
        <v>0</v>
      </c>
      <c r="R113" s="125" t="n">
        <f aca="false">R109*($S$21+($J$21-$S$21)*MIN(1,MAX(0,(R$4-$T$21)/($D$21-$T$21))))</f>
        <v>2570.51862673484</v>
      </c>
      <c r="S113" s="125" t="n">
        <f aca="false">S109*($S$21+($J$21-$S$21)*MIN(1,MAX(0,(S$4-$T$21)/($D$21-$T$21))))</f>
        <v>2591.7896274653</v>
      </c>
      <c r="T113" s="125" t="n">
        <f aca="false">T109*($S$21+($J$21-$S$21)*MIN(1,MAX(0,(T$4-$T$21)/($D$21-$T$21))))</f>
        <v>2613.29437545654</v>
      </c>
      <c r="U113" s="125" t="n">
        <f aca="false">U109*($S$21+($J$21-$S$21)*MIN(1,MAX(0,(U$4-$T$21)/($D$21-$T$21))))</f>
        <v>2634.79912344777</v>
      </c>
      <c r="V113" s="125" t="n">
        <f aca="false">V109*($S$21+($J$21-$S$21)*MIN(1,MAX(0,(V$4-$T$21)/($D$21-$T$21))))</f>
        <v>2656.07012417823</v>
      </c>
      <c r="W113" s="125" t="n">
        <f aca="false">W109*($S$21+($J$21-$S$21)*MIN(1,MAX(0,(W$4-$T$21)/($D$21-$T$21))))</f>
        <v>2677.34112490869</v>
      </c>
      <c r="X113" s="125" t="n">
        <f aca="false">X109*($S$21+($J$21-$S$21)*MIN(1,MAX(0,(X$4-$T$21)/($D$21-$T$21))))</f>
        <v>2698.84587289993</v>
      </c>
      <c r="Y113" s="125" t="n">
        <f aca="false">Y109*($S$21+($J$21-$S$21)*MIN(1,MAX(0,(Y$4-$T$21)/($D$21-$T$21))))</f>
        <v>2720.35062089116</v>
      </c>
      <c r="Z113" s="125" t="n">
        <f aca="false">Z109*($S$21+($J$21-$S$21)*MIN(1,MAX(0,(Z$4-$T$21)/($D$21-$T$21))))</f>
        <v>2741.38787436085</v>
      </c>
      <c r="AA113" s="125" t="n">
        <f aca="false">AA109*($S$21+($J$21-$S$21)*MIN(1,MAX(0,(AA$4-$T$21)/($D$21-$T$21))))</f>
        <v>2762.65887509131</v>
      </c>
      <c r="AB113" s="125" t="n">
        <f aca="false">AB109*($S$21+($J$21-$S$21)*MIN(1,MAX(0,(AB$4-$T$21)/($D$21-$T$21))))</f>
        <v>2784.16362308254</v>
      </c>
      <c r="AC113" s="125" t="n">
        <f aca="false">AC109*($S$21+($J$21-$S$21)*MIN(1,MAX(0,(AC$4-$T$21)/($D$21-$T$21))))</f>
        <v>2805.66837107378</v>
      </c>
      <c r="AD113" s="125" t="n">
        <f aca="false">AD109*($S$21+($J$21-$S$21)*MIN(1,MAX(0,(AD$4-$T$21)/($D$21-$T$21))))</f>
        <v>2826.70562454346</v>
      </c>
      <c r="AE113" s="125" t="n">
        <f aca="false">AE109*($S$21+($J$21-$S$21)*MIN(1,MAX(0,(AE$4-$T$21)/($D$21-$T$21))))</f>
        <v>2847.97662527392</v>
      </c>
      <c r="AF113" s="125" t="n">
        <f aca="false">AF109*($S$21+($J$21-$S$21)*MIN(1,MAX(0,(AF$4-$T$21)/($D$21-$T$21))))</f>
        <v>2869.48137326516</v>
      </c>
      <c r="AG113" s="125" t="n">
        <f aca="false">AG109*($S$21+($J$21-$S$21)*MIN(1,MAX(0,(AG$4-$T$21)/($D$21-$T$21))))</f>
        <v>2890.98612125639</v>
      </c>
      <c r="AI113" s="125" t="n">
        <f aca="false">INDEX($F113:$AG113,1,MATCH(AI$7,$F$7:$AG$7,1))</f>
        <v>0</v>
      </c>
      <c r="AJ113" s="125" t="n">
        <f aca="false">INDEX($F113:$AG113,1,MATCH(AJ$7,$F$7:$AG$7,1))</f>
        <v>0</v>
      </c>
      <c r="AK113" s="125" t="n">
        <f aca="false">INDEX($F113:$AG113,1,MATCH(AK$7,$F$7:$AG$7,1))</f>
        <v>0</v>
      </c>
      <c r="AL113" s="125" t="n">
        <f aca="false">INDEX($F113:$AG113,1,MATCH(AL$7,$F$7:$AG$7,1))</f>
        <v>2634.79912344777</v>
      </c>
      <c r="AM113" s="125" t="n">
        <f aca="false">INDEX($F113:$AG113,1,MATCH(AM$7,$F$7:$AG$7,1))</f>
        <v>2720.35062089116</v>
      </c>
      <c r="AN113" s="125" t="n">
        <f aca="false">INDEX($F113:$AG113,1,MATCH(AN$7,$F$7:$AG$7,1))</f>
        <v>2805.66837107378</v>
      </c>
      <c r="AO113" s="125" t="n">
        <f aca="false">INDEX($F113:$AG113,1,MATCH(AO$7,$F$7:$AG$7,1))</f>
        <v>2890.98612125639</v>
      </c>
    </row>
    <row r="114" customFormat="false" ht="15" hidden="false" customHeight="false" outlineLevel="0" collapsed="false">
      <c r="A114" s="107" t="s">
        <v>2374</v>
      </c>
      <c r="B114" s="22" t="s">
        <v>613</v>
      </c>
      <c r="C114" s="22" t="s">
        <v>604</v>
      </c>
      <c r="D114" s="22"/>
      <c r="F114" s="124" t="n">
        <f aca="false">IF(F$5=$N$21,E109*$J$21*(1-$O$21),0)</f>
        <v>0</v>
      </c>
      <c r="G114" s="124" t="n">
        <f aca="false">IF(G$5=$N$21,F109*$J$21*(1-$O$21),0)</f>
        <v>0</v>
      </c>
      <c r="H114" s="124" t="n">
        <f aca="false">IF(H$5=$N$21,G109*$J$21*(1-$O$21),0)</f>
        <v>0</v>
      </c>
      <c r="I114" s="124" t="n">
        <f aca="false">IF(I$5=$N$21,H109*$J$21*(1-$O$21),0)</f>
        <v>0</v>
      </c>
      <c r="J114" s="124" t="n">
        <f aca="false">IF(J$5=$N$21,I109*$J$21*(1-$O$21),0)</f>
        <v>0</v>
      </c>
      <c r="K114" s="124" t="n">
        <f aca="false">IF(K$5=$N$21,J109*$J$21*(1-$O$21),0)</f>
        <v>0</v>
      </c>
      <c r="L114" s="124" t="n">
        <f aca="false">IF(L$5=$N$21,K109*$J$21*(1-$O$21),0)</f>
        <v>0</v>
      </c>
      <c r="M114" s="124" t="n">
        <f aca="false">IF(M$5=$N$21,L109*$J$21*(1-$O$21),0)</f>
        <v>0</v>
      </c>
      <c r="N114" s="124" t="n">
        <f aca="false">IF(N$5=$N$21,M109*$J$21*(1-$O$21),0)</f>
        <v>0</v>
      </c>
      <c r="O114" s="124" t="n">
        <f aca="false">IF(O$5=$N$21,N109*$J$21*(1-$O$21),0)</f>
        <v>0</v>
      </c>
      <c r="P114" s="125" t="n">
        <f aca="false">IF(P$5=$N$21,O109*$J$21*(1-$O$21),0)</f>
        <v>0</v>
      </c>
      <c r="Q114" s="125" t="n">
        <f aca="false">IF(Q$5=$N$21,P109*$J$21*(1-$O$21),0)</f>
        <v>0</v>
      </c>
      <c r="R114" s="125" t="n">
        <f aca="false">IF(R$5=$N$21,Q109*$J$21*(1-$O$21),0)</f>
        <v>0</v>
      </c>
      <c r="S114" s="125" t="n">
        <f aca="false">IF(S$5=$N$21,R109*$J$21*(1-$O$21),0)</f>
        <v>0</v>
      </c>
      <c r="T114" s="125" t="n">
        <f aca="false">IF(T$5=$N$21,S109*$J$21*(1-$O$21),0)</f>
        <v>0</v>
      </c>
      <c r="U114" s="125" t="n">
        <f aca="false">IF(U$5=$N$21,T109*$J$21*(1-$O$21),0)</f>
        <v>0</v>
      </c>
      <c r="V114" s="125" t="n">
        <f aca="false">IF(V$5=$N$21,U109*$J$21*(1-$O$21),0)</f>
        <v>0</v>
      </c>
      <c r="W114" s="125" t="n">
        <f aca="false">IF(W$5=$N$21,V109*$J$21*(1-$O$21),0)</f>
        <v>0</v>
      </c>
      <c r="X114" s="125" t="n">
        <f aca="false">IF(X$5=$N$21,W109*$J$21*(1-$O$21),0)</f>
        <v>0</v>
      </c>
      <c r="Y114" s="125" t="n">
        <f aca="false">IF(Y$5=$N$21,X109*$J$21*(1-$O$21),0)</f>
        <v>0</v>
      </c>
      <c r="Z114" s="125" t="n">
        <f aca="false">IF(Z$5=$N$21,Y109*$J$21*(1-$O$21),0)</f>
        <v>0</v>
      </c>
      <c r="AA114" s="125" t="n">
        <f aca="false">IF(AA$5=$N$21,Z109*$J$21*(1-$O$21),0)</f>
        <v>0</v>
      </c>
      <c r="AB114" s="125" t="n">
        <f aca="false">IF(AB$5=$N$21,AA109*$J$21*(1-$O$21),0)</f>
        <v>0</v>
      </c>
      <c r="AC114" s="125" t="n">
        <f aca="false">IF(AC$5=$N$21,AB109*$J$21*(1-$O$21),0)</f>
        <v>0</v>
      </c>
      <c r="AD114" s="125" t="n">
        <f aca="false">IF(AD$5=$N$21,AC109*$J$21*(1-$O$21),0)</f>
        <v>0</v>
      </c>
      <c r="AE114" s="125" t="n">
        <f aca="false">IF(AE$5=$N$21,AD109*$J$21*(1-$O$21),0)</f>
        <v>0</v>
      </c>
      <c r="AF114" s="125" t="n">
        <f aca="false">IF(AF$5=$N$21,AE109*$J$21*(1-$O$21),0)</f>
        <v>0</v>
      </c>
      <c r="AG114" s="125" t="n">
        <f aca="false">IF(AG$5=$N$21,AF109*$J$21*(1-$O$21),0)</f>
        <v>0</v>
      </c>
      <c r="AI114" s="125" t="n">
        <f aca="false">SUMIF($F$7:$AG$7,AI$7,$F114:$AG114)</f>
        <v>0</v>
      </c>
      <c r="AJ114" s="125" t="n">
        <f aca="false">SUMIF($F$7:$AG$7,AJ$7,$F114:$AG114)</f>
        <v>0</v>
      </c>
      <c r="AK114" s="125" t="n">
        <f aca="false">SUMIF($F$7:$AG$7,AK$7,$F114:$AG114)</f>
        <v>0</v>
      </c>
      <c r="AL114" s="125" t="n">
        <f aca="false">SUMIF($F$7:$AG$7,AL$7,$F114:$AG114)</f>
        <v>0</v>
      </c>
      <c r="AM114" s="125" t="n">
        <f aca="false">SUMIF($F$7:$AG$7,AM$7,$F114:$AG114)</f>
        <v>0</v>
      </c>
      <c r="AN114" s="125" t="n">
        <f aca="false">SUMIF($F$7:$AG$7,AN$7,$F114:$AG114)</f>
        <v>0</v>
      </c>
      <c r="AO114" s="125" t="n">
        <f aca="false">SUMIF($F$7:$AG$7,AO$7,$F114:$AG114)</f>
        <v>0</v>
      </c>
    </row>
    <row r="115" customFormat="false" ht="15" hidden="false" customHeight="false" outlineLevel="0" collapsed="false">
      <c r="A115" s="107" t="s">
        <v>2375</v>
      </c>
      <c r="B115" s="22" t="s">
        <v>635</v>
      </c>
      <c r="C115" s="22" t="s">
        <v>604</v>
      </c>
      <c r="D115" s="22"/>
      <c r="F115" s="140" t="n">
        <f aca="false">IF(F$5=$N$21,E109*$K$21/1000*$O$21,0)</f>
        <v>0</v>
      </c>
      <c r="G115" s="140" t="n">
        <f aca="false">IF(G$5=$N$21,F109*$K$21/1000*$O$21,0)</f>
        <v>0</v>
      </c>
      <c r="H115" s="140" t="n">
        <f aca="false">IF(H$5=$N$21,G109*$K$21/1000*$O$21,0)</f>
        <v>0</v>
      </c>
      <c r="I115" s="140" t="n">
        <f aca="false">IF(I$5=$N$21,H109*$K$21/1000*$O$21,0)</f>
        <v>0</v>
      </c>
      <c r="J115" s="140" t="n">
        <f aca="false">IF(J$5=$N$21,I109*$K$21/1000*$O$21,0)</f>
        <v>0</v>
      </c>
      <c r="K115" s="140" t="n">
        <f aca="false">IF(K$5=$N$21,J109*$K$21/1000*$O$21,0)</f>
        <v>0</v>
      </c>
      <c r="L115" s="140" t="n">
        <f aca="false">IF(L$5=$N$21,K109*$K$21/1000*$O$21,0)</f>
        <v>0</v>
      </c>
      <c r="M115" s="140" t="n">
        <f aca="false">IF(M$5=$N$21,L109*$K$21/1000*$O$21,0)</f>
        <v>0</v>
      </c>
      <c r="N115" s="140" t="n">
        <f aca="false">IF(N$5=$N$21,M109*$K$21/1000*$O$21,0)</f>
        <v>0</v>
      </c>
      <c r="O115" s="140" t="n">
        <f aca="false">IF(O$5=$N$21,N109*$K$21/1000*$O$21,0)</f>
        <v>0</v>
      </c>
      <c r="P115" s="47" t="n">
        <f aca="false">IF(P$5=$N$21,O109*$K$21/1000*$O$21,0)</f>
        <v>0</v>
      </c>
      <c r="Q115" s="47" t="n">
        <f aca="false">IF(Q$5=$N$21,P109*$K$21/1000*$O$21,0)</f>
        <v>0</v>
      </c>
      <c r="R115" s="47" t="n">
        <f aca="false">IF(R$5=$N$21,Q109*$K$21/1000*$O$21,0)</f>
        <v>0</v>
      </c>
      <c r="S115" s="47" t="n">
        <f aca="false">IF(S$5=$N$21,R109*$K$21/1000*$O$21,0)</f>
        <v>0</v>
      </c>
      <c r="T115" s="47" t="n">
        <f aca="false">IF(T$5=$N$21,S109*$K$21/1000*$O$21,0)</f>
        <v>0</v>
      </c>
      <c r="U115" s="47" t="n">
        <f aca="false">IF(U$5=$N$21,T109*$K$21/1000*$O$21,0)</f>
        <v>0</v>
      </c>
      <c r="V115" s="47" t="n">
        <f aca="false">IF(V$5=$N$21,U109*$K$21/1000*$O$21,0)</f>
        <v>0</v>
      </c>
      <c r="W115" s="47" t="n">
        <f aca="false">IF(W$5=$N$21,V109*$K$21/1000*$O$21,0)</f>
        <v>0</v>
      </c>
      <c r="X115" s="47" t="n">
        <f aca="false">IF(X$5=$N$21,W109*$K$21/1000*$O$21,0)</f>
        <v>0</v>
      </c>
      <c r="Y115" s="47" t="n">
        <f aca="false">IF(Y$5=$N$21,X109*$K$21/1000*$O$21,0)</f>
        <v>0</v>
      </c>
      <c r="Z115" s="47" t="n">
        <f aca="false">IF(Z$5=$N$21,Y109*$K$21/1000*$O$21,0)</f>
        <v>0</v>
      </c>
      <c r="AA115" s="47" t="n">
        <f aca="false">IF(AA$5=$N$21,Z109*$K$21/1000*$O$21,0)</f>
        <v>0</v>
      </c>
      <c r="AB115" s="47" t="n">
        <f aca="false">IF(AB$5=$N$21,AA109*$K$21/1000*$O$21,0)</f>
        <v>0</v>
      </c>
      <c r="AC115" s="47" t="n">
        <f aca="false">IF(AC$5=$N$21,AB109*$K$21/1000*$O$21,0)</f>
        <v>0</v>
      </c>
      <c r="AD115" s="47" t="n">
        <f aca="false">IF(AD$5=$N$21,AC109*$K$21/1000*$O$21,0)</f>
        <v>0</v>
      </c>
      <c r="AE115" s="47" t="n">
        <f aca="false">IF(AE$5=$N$21,AD109*$K$21/1000*$O$21,0)</f>
        <v>0</v>
      </c>
      <c r="AF115" s="47" t="n">
        <f aca="false">IF(AF$5=$N$21,AE109*$K$21/1000*$O$21,0)</f>
        <v>0</v>
      </c>
      <c r="AG115" s="47" t="n">
        <f aca="false">IF(AG$5=$N$21,AF109*$K$21/1000*$O$21,0)</f>
        <v>0</v>
      </c>
      <c r="AI115" s="47" t="n">
        <f aca="false">SUMIF($F$7:$AG$7,AI$7,$F115:$AG115)</f>
        <v>0</v>
      </c>
      <c r="AJ115" s="47" t="n">
        <f aca="false">SUMIF($F$7:$AG$7,AJ$7,$F115:$AG115)</f>
        <v>0</v>
      </c>
      <c r="AK115" s="47" t="n">
        <f aca="false">SUMIF($F$7:$AG$7,AK$7,$F115:$AG115)</f>
        <v>0</v>
      </c>
      <c r="AL115" s="47" t="n">
        <f aca="false">SUMIF($F$7:$AG$7,AL$7,$F115:$AG115)</f>
        <v>0</v>
      </c>
      <c r="AM115" s="47" t="n">
        <f aca="false">SUMIF($F$7:$AG$7,AM$7,$F115:$AG115)</f>
        <v>0</v>
      </c>
      <c r="AN115" s="47" t="n">
        <f aca="false">SUMIF($F$7:$AG$7,AN$7,$F115:$AG115)</f>
        <v>0</v>
      </c>
      <c r="AO115" s="47" t="n">
        <f aca="false">SUMIF($F$7:$AG$7,AO$7,$F115:$AG115)</f>
        <v>0</v>
      </c>
    </row>
    <row r="116" customFormat="false" ht="15" hidden="false" customHeight="false" outlineLevel="0" collapsed="false">
      <c r="A116" s="107" t="s">
        <v>2376</v>
      </c>
      <c r="B116" s="22" t="s">
        <v>635</v>
      </c>
      <c r="C116" s="22" t="s">
        <v>540</v>
      </c>
      <c r="D116" s="22"/>
      <c r="F116" s="140" t="n">
        <f aca="false">IF(DilMethod=3,MAX(0,F109*$K$21/1000*DilPx-F112)/DilPx,F109*$K$21/1000*$P$21)</f>
        <v>0</v>
      </c>
      <c r="G116" s="140" t="n">
        <f aca="false">IF(DilMethod=3,MAX(0,G109*$K$21/1000*DilPx-G112)/DilPx,G109*$K$21/1000*$P$21)</f>
        <v>0</v>
      </c>
      <c r="H116" s="140" t="n">
        <f aca="false">IF(DilMethod=3,MAX(0,H109*$K$21/1000*DilPx-H112)/DilPx,H109*$K$21/1000*$P$21)</f>
        <v>0</v>
      </c>
      <c r="I116" s="140" t="n">
        <f aca="false">IF(DilMethod=3,MAX(0,I109*$K$21/1000*DilPx-I112)/DilPx,I109*$K$21/1000*$P$21)</f>
        <v>0</v>
      </c>
      <c r="J116" s="140" t="n">
        <f aca="false">IF(DilMethod=3,MAX(0,J109*$K$21/1000*DilPx-J112)/DilPx,J109*$K$21/1000*$P$21)</f>
        <v>0</v>
      </c>
      <c r="K116" s="140" t="n">
        <f aca="false">IF(DilMethod=3,MAX(0,K109*$K$21/1000*DilPx-K112)/DilPx,K109*$K$21/1000*$P$21)</f>
        <v>0</v>
      </c>
      <c r="L116" s="140" t="n">
        <f aca="false">IF(DilMethod=3,MAX(0,L109*$K$21/1000*DilPx-L112)/DilPx,L109*$K$21/1000*$P$21)</f>
        <v>0</v>
      </c>
      <c r="M116" s="140" t="n">
        <f aca="false">IF(DilMethod=3,MAX(0,M109*$K$21/1000*DilPx-M112)/DilPx,M109*$K$21/1000*$P$21)</f>
        <v>0</v>
      </c>
      <c r="N116" s="140" t="n">
        <f aca="false">IF(DilMethod=3,MAX(0,N109*$K$21/1000*DilPx-N112)/DilPx,N109*$K$21/1000*$P$21)</f>
        <v>0</v>
      </c>
      <c r="O116" s="140" t="n">
        <f aca="false">IF(DilMethod=3,MAX(0,O109*$K$21/1000*DilPx-O112)/DilPx,O109*$K$21/1000*$P$21)</f>
        <v>0</v>
      </c>
      <c r="P116" s="47" t="n">
        <f aca="false">IF(DilMethod=3,MAX(0,P109*$K$21/1000*DilPx-P112)/DilPx,P109*$K$21/1000*$P$21)</f>
        <v>0</v>
      </c>
      <c r="Q116" s="47" t="n">
        <f aca="false">IF(DilMethod=3,MAX(0,Q109*$K$21/1000*DilPx-Q112)/DilPx,Q109*$K$21/1000*$P$21)</f>
        <v>0</v>
      </c>
      <c r="R116" s="47" t="n">
        <f aca="false">IF(DilMethod=3,MAX(0,R109*$K$21/1000*DilPx-R112)/DilPx,R109*$K$21/1000*$P$21)</f>
        <v>0</v>
      </c>
      <c r="S116" s="47" t="n">
        <f aca="false">IF(DilMethod=3,MAX(0,S109*$K$21/1000*DilPx-S112)/DilPx,S109*$K$21/1000*$P$21)</f>
        <v>0</v>
      </c>
      <c r="T116" s="47" t="n">
        <f aca="false">IF(DilMethod=3,MAX(0,T109*$K$21/1000*DilPx-T112)/DilPx,T109*$K$21/1000*$P$21)</f>
        <v>0</v>
      </c>
      <c r="U116" s="47" t="n">
        <f aca="false">IF(DilMethod=3,MAX(0,U109*$K$21/1000*DilPx-U112)/DilPx,U109*$K$21/1000*$P$21)</f>
        <v>0</v>
      </c>
      <c r="V116" s="47" t="n">
        <f aca="false">IF(DilMethod=3,MAX(0,V109*$K$21/1000*DilPx-V112)/DilPx,V109*$K$21/1000*$P$21)</f>
        <v>0</v>
      </c>
      <c r="W116" s="47" t="n">
        <f aca="false">IF(DilMethod=3,MAX(0,W109*$K$21/1000*DilPx-W112)/DilPx,W109*$K$21/1000*$P$21)</f>
        <v>0</v>
      </c>
      <c r="X116" s="47" t="n">
        <f aca="false">IF(DilMethod=3,MAX(0,X109*$K$21/1000*DilPx-X112)/DilPx,X109*$K$21/1000*$P$21)</f>
        <v>0</v>
      </c>
      <c r="Y116" s="47" t="n">
        <f aca="false">IF(DilMethod=3,MAX(0,Y109*$K$21/1000*DilPx-Y112)/DilPx,Y109*$K$21/1000*$P$21)</f>
        <v>0</v>
      </c>
      <c r="Z116" s="47" t="n">
        <f aca="false">IF(DilMethod=3,MAX(0,Z109*$K$21/1000*DilPx-Z112)/DilPx,Z109*$K$21/1000*$P$21)</f>
        <v>0</v>
      </c>
      <c r="AA116" s="47" t="n">
        <f aca="false">IF(DilMethod=3,MAX(0,AA109*$K$21/1000*DilPx-AA112)/DilPx,AA109*$K$21/1000*$P$21)</f>
        <v>0</v>
      </c>
      <c r="AB116" s="47" t="n">
        <f aca="false">IF(DilMethod=3,MAX(0,AB109*$K$21/1000*DilPx-AB112)/DilPx,AB109*$K$21/1000*$P$21)</f>
        <v>0</v>
      </c>
      <c r="AC116" s="47" t="n">
        <f aca="false">IF(DilMethod=3,MAX(0,AC109*$K$21/1000*DilPx-AC112)/DilPx,AC109*$K$21/1000*$P$21)</f>
        <v>0</v>
      </c>
      <c r="AD116" s="47" t="n">
        <f aca="false">IF(DilMethod=3,MAX(0,AD109*$K$21/1000*DilPx-AD112)/DilPx,AD109*$K$21/1000*$P$21)</f>
        <v>0</v>
      </c>
      <c r="AE116" s="47" t="n">
        <f aca="false">IF(DilMethod=3,MAX(0,AE109*$K$21/1000*DilPx-AE112)/DilPx,AE109*$K$21/1000*$P$21)</f>
        <v>0</v>
      </c>
      <c r="AF116" s="47" t="n">
        <f aca="false">IF(DilMethod=3,MAX(0,AF109*$K$21/1000*DilPx-AF112)/DilPx,AF109*$K$21/1000*$P$21)</f>
        <v>0</v>
      </c>
      <c r="AG116" s="47" t="n">
        <f aca="false">IF(DilMethod=3,MAX(0,AG109*$K$21/1000*DilPx-AG112)/DilPx,AG109*$K$21/1000*$P$21)</f>
        <v>0</v>
      </c>
      <c r="AI116" s="47" t="n">
        <f aca="false">INDEX($F116:$AG116,1,MATCH(AI$7,$F$7:$AG$7,1))</f>
        <v>0</v>
      </c>
      <c r="AJ116" s="47" t="n">
        <f aca="false">INDEX($F116:$AG116,1,MATCH(AJ$7,$F$7:$AG$7,1))</f>
        <v>0</v>
      </c>
      <c r="AK116" s="47" t="n">
        <f aca="false">INDEX($F116:$AG116,1,MATCH(AK$7,$F$7:$AG$7,1))</f>
        <v>0</v>
      </c>
      <c r="AL116" s="47" t="n">
        <f aca="false">INDEX($F116:$AG116,1,MATCH(AL$7,$F$7:$AG$7,1))</f>
        <v>0</v>
      </c>
      <c r="AM116" s="47" t="n">
        <f aca="false">INDEX($F116:$AG116,1,MATCH(AM$7,$F$7:$AG$7,1))</f>
        <v>0</v>
      </c>
      <c r="AN116" s="47" t="n">
        <f aca="false">INDEX($F116:$AG116,1,MATCH(AN$7,$F$7:$AG$7,1))</f>
        <v>0</v>
      </c>
      <c r="AO116" s="47" t="n">
        <f aca="false">INDEX($F116:$AG116,1,MATCH(AO$7,$F$7:$AG$7,1))</f>
        <v>0</v>
      </c>
    </row>
    <row r="117" customFormat="false" ht="15" hidden="false" customHeight="false" outlineLevel="0" collapsed="false">
      <c r="A117" s="107" t="s">
        <v>2377</v>
      </c>
      <c r="B117" s="22" t="s">
        <v>613</v>
      </c>
      <c r="C117" s="22" t="s">
        <v>540</v>
      </c>
      <c r="D117" s="22"/>
      <c r="F117" s="124" t="n">
        <f aca="false">F112*IF(DilMethod=3,1,1-$P$21)</f>
        <v>0</v>
      </c>
      <c r="G117" s="124" t="n">
        <f aca="false">G112*IF(DilMethod=3,1,1-$P$21)</f>
        <v>0</v>
      </c>
      <c r="H117" s="124" t="n">
        <f aca="false">H112*IF(DilMethod=3,1,1-$P$21)</f>
        <v>0</v>
      </c>
      <c r="I117" s="124" t="n">
        <f aca="false">I112*IF(DilMethod=3,1,1-$P$21)</f>
        <v>0</v>
      </c>
      <c r="J117" s="124" t="n">
        <f aca="false">J112*IF(DilMethod=3,1,1-$P$21)</f>
        <v>0</v>
      </c>
      <c r="K117" s="124" t="n">
        <f aca="false">K112*IF(DilMethod=3,1,1-$P$21)</f>
        <v>0</v>
      </c>
      <c r="L117" s="124" t="n">
        <f aca="false">L112*IF(DilMethod=3,1,1-$P$21)</f>
        <v>0</v>
      </c>
      <c r="M117" s="124" t="n">
        <f aca="false">M112*IF(DilMethod=3,1,1-$P$21)</f>
        <v>0</v>
      </c>
      <c r="N117" s="124" t="n">
        <f aca="false">N112*IF(DilMethod=3,1,1-$P$21)</f>
        <v>0</v>
      </c>
      <c r="O117" s="124" t="n">
        <f aca="false">O112*IF(DilMethod=3,1,1-$P$21)</f>
        <v>0</v>
      </c>
      <c r="P117" s="125" t="n">
        <f aca="false">P112*IF(DilMethod=3,1,1-$P$21)</f>
        <v>0</v>
      </c>
      <c r="Q117" s="125" t="n">
        <f aca="false">Q112*IF(DilMethod=3,1,1-$P$21)</f>
        <v>0</v>
      </c>
      <c r="R117" s="125" t="n">
        <f aca="false">R112*IF(DilMethod=3,1,1-$P$21)</f>
        <v>2570.51862673484</v>
      </c>
      <c r="S117" s="125" t="n">
        <f aca="false">S112*IF(DilMethod=3,1,1-$P$21)</f>
        <v>2591.7896274653</v>
      </c>
      <c r="T117" s="125" t="n">
        <f aca="false">T112*IF(DilMethod=3,1,1-$P$21)</f>
        <v>2613.29437545654</v>
      </c>
      <c r="U117" s="125" t="n">
        <f aca="false">U112*IF(DilMethod=3,1,1-$P$21)</f>
        <v>2634.79912344777</v>
      </c>
      <c r="V117" s="125" t="n">
        <f aca="false">V112*IF(DilMethod=3,1,1-$P$21)</f>
        <v>2656.07012417823</v>
      </c>
      <c r="W117" s="125" t="n">
        <f aca="false">W112*IF(DilMethod=3,1,1-$P$21)</f>
        <v>2677.34112490869</v>
      </c>
      <c r="X117" s="125" t="n">
        <f aca="false">X112*IF(DilMethod=3,1,1-$P$21)</f>
        <v>2698.84587289993</v>
      </c>
      <c r="Y117" s="125" t="n">
        <f aca="false">Y112*IF(DilMethod=3,1,1-$P$21)</f>
        <v>2720.35062089116</v>
      </c>
      <c r="Z117" s="125" t="n">
        <f aca="false">Z112*IF(DilMethod=3,1,1-$P$21)</f>
        <v>2741.38787436085</v>
      </c>
      <c r="AA117" s="125" t="n">
        <f aca="false">AA112*IF(DilMethod=3,1,1-$P$21)</f>
        <v>2762.65887509131</v>
      </c>
      <c r="AB117" s="125" t="n">
        <f aca="false">AB112*IF(DilMethod=3,1,1-$P$21)</f>
        <v>2784.16362308254</v>
      </c>
      <c r="AC117" s="125" t="n">
        <f aca="false">AC112*IF(DilMethod=3,1,1-$P$21)</f>
        <v>2805.66837107378</v>
      </c>
      <c r="AD117" s="125" t="n">
        <f aca="false">AD112*IF(DilMethod=3,1,1-$P$21)</f>
        <v>2826.70562454346</v>
      </c>
      <c r="AE117" s="125" t="n">
        <f aca="false">AE112*IF(DilMethod=3,1,1-$P$21)</f>
        <v>2847.97662527392</v>
      </c>
      <c r="AF117" s="125" t="n">
        <f aca="false">AF112*IF(DilMethod=3,1,1-$P$21)</f>
        <v>2869.48137326516</v>
      </c>
      <c r="AG117" s="125" t="n">
        <f aca="false">AG112*IF(DilMethod=3,1,1-$P$21)</f>
        <v>2890.98612125639</v>
      </c>
      <c r="AI117" s="125" t="n">
        <f aca="false">INDEX($F117:$AG117,1,MATCH(AI$7,$F$7:$AG$7,1))</f>
        <v>0</v>
      </c>
      <c r="AJ117" s="125" t="n">
        <f aca="false">INDEX($F117:$AG117,1,MATCH(AJ$7,$F$7:$AG$7,1))</f>
        <v>0</v>
      </c>
      <c r="AK117" s="125" t="n">
        <f aca="false">INDEX($F117:$AG117,1,MATCH(AK$7,$F$7:$AG$7,1))</f>
        <v>0</v>
      </c>
      <c r="AL117" s="125" t="n">
        <f aca="false">INDEX($F117:$AG117,1,MATCH(AL$7,$F$7:$AG$7,1))</f>
        <v>2634.79912344777</v>
      </c>
      <c r="AM117" s="125" t="n">
        <f aca="false">INDEX($F117:$AG117,1,MATCH(AM$7,$F$7:$AG$7,1))</f>
        <v>2720.35062089116</v>
      </c>
      <c r="AN117" s="125" t="n">
        <f aca="false">INDEX($F117:$AG117,1,MATCH(AN$7,$F$7:$AG$7,1))</f>
        <v>2805.66837107378</v>
      </c>
      <c r="AO117" s="125" t="n">
        <f aca="false">INDEX($F117:$AG117,1,MATCH(AO$7,$F$7:$AG$7,1))</f>
        <v>2890.98612125639</v>
      </c>
    </row>
    <row r="118" customFormat="false" ht="15" hidden="false" customHeight="false" outlineLevel="0" collapsed="false">
      <c r="A118" s="107" t="s">
        <v>2378</v>
      </c>
      <c r="B118" s="22" t="s">
        <v>613</v>
      </c>
      <c r="C118" s="22" t="s">
        <v>604</v>
      </c>
      <c r="D118" s="22"/>
      <c r="F118" s="124" t="n">
        <f aca="false">IF(AND(F$5&gt;=$M$22,F$5&lt;$N$22),$E$22-$F$22-IF(F$5&gt;=$H$22,$G$22,0),0)*($H$22&lt;&gt;0)+IF(AND(F$5&gt;=$M$22,F$5&lt;$N$22),$E$22-$F$22,0)*($H$22=0)</f>
        <v>0</v>
      </c>
      <c r="G118" s="124" t="n">
        <f aca="false">IF(AND(G$5&gt;=$M$22,G$5&lt;$N$22),$E$22-$F$22-IF(G$5&gt;=$H$22,$G$22,0),0)*($H$22&lt;&gt;0)+IF(AND(G$5&gt;=$M$22,G$5&lt;$N$22),$E$22-$F$22,0)*($H$22=0)</f>
        <v>0</v>
      </c>
      <c r="H118" s="124" t="n">
        <f aca="false">IF(AND(H$5&gt;=$M$22,H$5&lt;$N$22),$E$22-$F$22-IF(H$5&gt;=$H$22,$G$22,0),0)*($H$22&lt;&gt;0)+IF(AND(H$5&gt;=$M$22,H$5&lt;$N$22),$E$22-$F$22,0)*($H$22=0)</f>
        <v>0</v>
      </c>
      <c r="I118" s="124" t="n">
        <f aca="false">IF(AND(I$5&gt;=$M$22,I$5&lt;$N$22),$E$22-$F$22-IF(I$5&gt;=$H$22,$G$22,0),0)*($H$22&lt;&gt;0)+IF(AND(I$5&gt;=$M$22,I$5&lt;$N$22),$E$22-$F$22,0)*($H$22=0)</f>
        <v>0</v>
      </c>
      <c r="J118" s="124" t="n">
        <f aca="false">IF(AND(J$5&gt;=$M$22,J$5&lt;$N$22),$E$22-$F$22-IF(J$5&gt;=$H$22,$G$22,0),0)*($H$22&lt;&gt;0)+IF(AND(J$5&gt;=$M$22,J$5&lt;$N$22),$E$22-$F$22,0)*($H$22=0)</f>
        <v>0</v>
      </c>
      <c r="K118" s="124" t="n">
        <f aca="false">IF(AND(K$5&gt;=$M$22,K$5&lt;$N$22),$E$22-$F$22-IF(K$5&gt;=$H$22,$G$22,0),0)*($H$22&lt;&gt;0)+IF(AND(K$5&gt;=$M$22,K$5&lt;$N$22),$E$22-$F$22,0)*($H$22=0)</f>
        <v>0</v>
      </c>
      <c r="L118" s="124" t="n">
        <f aca="false">IF(AND(L$5&gt;=$M$22,L$5&lt;$N$22),$E$22-$F$22-IF(L$5&gt;=$H$22,$G$22,0),0)*($H$22&lt;&gt;0)+IF(AND(L$5&gt;=$M$22,L$5&lt;$N$22),$E$22-$F$22,0)*($H$22=0)</f>
        <v>0</v>
      </c>
      <c r="M118" s="124" t="n">
        <f aca="false">IF(AND(M$5&gt;=$M$22,M$5&lt;$N$22),$E$22-$F$22-IF(M$5&gt;=$H$22,$G$22,0),0)*($H$22&lt;&gt;0)+IF(AND(M$5&gt;=$M$22,M$5&lt;$N$22),$E$22-$F$22,0)*($H$22=0)</f>
        <v>0</v>
      </c>
      <c r="N118" s="124" t="n">
        <f aca="false">IF(AND(N$5&gt;=$M$22,N$5&lt;$N$22),$E$22-$F$22-IF(N$5&gt;=$H$22,$G$22,0),0)*($H$22&lt;&gt;0)+IF(AND(N$5&gt;=$M$22,N$5&lt;$N$22),$E$22-$F$22,0)*($H$22=0)</f>
        <v>0</v>
      </c>
      <c r="O118" s="124" t="n">
        <f aca="false">IF(AND(O$5&gt;=$M$22,O$5&lt;$N$22),$E$22-$F$22-IF(O$5&gt;=$H$22,$G$22,0),0)*($H$22&lt;&gt;0)+IF(AND(O$5&gt;=$M$22,O$5&lt;$N$22),$E$22-$F$22,0)*($H$22=0)</f>
        <v>0</v>
      </c>
      <c r="P118" s="125" t="n">
        <f aca="false">IF(AND(P$5&gt;=$M$22,P$5&lt;$N$22),$E$22-$F$22-IF(P$5&gt;=$H$22,$G$22,0),0)*($H$22&lt;&gt;0)+IF(AND(P$5&gt;=$M$22,P$5&lt;$N$22),$E$22-$F$22,0)*($H$22=0)</f>
        <v>0</v>
      </c>
      <c r="Q118" s="125" t="n">
        <f aca="false">IF(AND(Q$5&gt;=$M$22,Q$5&lt;$N$22),$E$22-$F$22-IF(Q$5&gt;=$H$22,$G$22,0),0)*($H$22&lt;&gt;0)+IF(AND(Q$5&gt;=$M$22,Q$5&lt;$N$22),$E$22-$F$22,0)*($H$22=0)</f>
        <v>0</v>
      </c>
      <c r="R118" s="125" t="n">
        <f aca="false">IF(AND(R$5&gt;=$M$22,R$5&lt;$N$22),$E$22-$F$22-IF(R$5&gt;=$H$22,$G$22,0),0)*($H$22&lt;&gt;0)+IF(AND(R$5&gt;=$M$22,R$5&lt;$N$22),$E$22-$F$22,0)*($H$22=0)</f>
        <v>0</v>
      </c>
      <c r="S118" s="125" t="n">
        <f aca="false">IF(AND(S$5&gt;=$M$22,S$5&lt;$N$22),$E$22-$F$22-IF(S$5&gt;=$H$22,$G$22,0),0)*($H$22&lt;&gt;0)+IF(AND(S$5&gt;=$M$22,S$5&lt;$N$22),$E$22-$F$22,0)*($H$22=0)</f>
        <v>0</v>
      </c>
      <c r="T118" s="125" t="n">
        <f aca="false">IF(AND(T$5&gt;=$M$22,T$5&lt;$N$22),$E$22-$F$22-IF(T$5&gt;=$H$22,$G$22,0),0)*($H$22&lt;&gt;0)+IF(AND(T$5&gt;=$M$22,T$5&lt;$N$22),$E$22-$F$22,0)*($H$22=0)</f>
        <v>3840</v>
      </c>
      <c r="U118" s="125" t="n">
        <f aca="false">IF(AND(U$5&gt;=$M$22,U$5&lt;$N$22),$E$22-$F$22-IF(U$5&gt;=$H$22,$G$22,0),0)*($H$22&lt;&gt;0)+IF(AND(U$5&gt;=$M$22,U$5&lt;$N$22),$E$22-$F$22,0)*($H$22=0)</f>
        <v>3840</v>
      </c>
      <c r="V118" s="125" t="n">
        <f aca="false">IF(AND(V$5&gt;=$M$22,V$5&lt;$N$22),$E$22-$F$22-IF(V$5&gt;=$H$22,$G$22,0),0)*($H$22&lt;&gt;0)+IF(AND(V$5&gt;=$M$22,V$5&lt;$N$22),$E$22-$F$22,0)*($H$22=0)</f>
        <v>3840</v>
      </c>
      <c r="W118" s="125" t="n">
        <f aca="false">IF(AND(W$5&gt;=$M$22,W$5&lt;$N$22),$E$22-$F$22-IF(W$5&gt;=$H$22,$G$22,0),0)*($H$22&lt;&gt;0)+IF(AND(W$5&gt;=$M$22,W$5&lt;$N$22),$E$22-$F$22,0)*($H$22=0)</f>
        <v>3840</v>
      </c>
      <c r="X118" s="125" t="n">
        <f aca="false">IF(AND(X$5&gt;=$M$22,X$5&lt;$N$22),$E$22-$F$22-IF(X$5&gt;=$H$22,$G$22,0),0)*($H$22&lt;&gt;0)+IF(AND(X$5&gt;=$M$22,X$5&lt;$N$22),$E$22-$F$22,0)*($H$22=0)</f>
        <v>3840</v>
      </c>
      <c r="Y118" s="125" t="n">
        <f aca="false">IF(AND(Y$5&gt;=$M$22,Y$5&lt;$N$22),$E$22-$F$22-IF(Y$5&gt;=$H$22,$G$22,0),0)*($H$22&lt;&gt;0)+IF(AND(Y$5&gt;=$M$22,Y$5&lt;$N$22),$E$22-$F$22,0)*($H$22=0)</f>
        <v>3840</v>
      </c>
      <c r="Z118" s="125" t="n">
        <f aca="false">IF(AND(Z$5&gt;=$M$22,Z$5&lt;$N$22),$E$22-$F$22-IF(Z$5&gt;=$H$22,$G$22,0),0)*($H$22&lt;&gt;0)+IF(AND(Z$5&gt;=$M$22,Z$5&lt;$N$22),$E$22-$F$22,0)*($H$22=0)</f>
        <v>3840</v>
      </c>
      <c r="AA118" s="125" t="n">
        <f aca="false">IF(AND(AA$5&gt;=$M$22,AA$5&lt;$N$22),$E$22-$F$22-IF(AA$5&gt;=$H$22,$G$22,0),0)*($H$22&lt;&gt;0)+IF(AND(AA$5&gt;=$M$22,AA$5&lt;$N$22),$E$22-$F$22,0)*($H$22=0)</f>
        <v>3840</v>
      </c>
      <c r="AB118" s="125" t="n">
        <f aca="false">IF(AND(AB$5&gt;=$M$22,AB$5&lt;$N$22),$E$22-$F$22-IF(AB$5&gt;=$H$22,$G$22,0),0)*($H$22&lt;&gt;0)+IF(AND(AB$5&gt;=$M$22,AB$5&lt;$N$22),$E$22-$F$22,0)*($H$22=0)</f>
        <v>3840</v>
      </c>
      <c r="AC118" s="125" t="n">
        <f aca="false">IF(AND(AC$5&gt;=$M$22,AC$5&lt;$N$22),$E$22-$F$22-IF(AC$5&gt;=$H$22,$G$22,0),0)*($H$22&lt;&gt;0)+IF(AND(AC$5&gt;=$M$22,AC$5&lt;$N$22),$E$22-$F$22,0)*($H$22=0)</f>
        <v>3840</v>
      </c>
      <c r="AD118" s="125" t="n">
        <f aca="false">IF(AND(AD$5&gt;=$M$22,AD$5&lt;$N$22),$E$22-$F$22-IF(AD$5&gt;=$H$22,$G$22,0),0)*($H$22&lt;&gt;0)+IF(AND(AD$5&gt;=$M$22,AD$5&lt;$N$22),$E$22-$F$22,0)*($H$22=0)</f>
        <v>3840</v>
      </c>
      <c r="AE118" s="125" t="n">
        <f aca="false">IF(AND(AE$5&gt;=$M$22,AE$5&lt;$N$22),$E$22-$F$22-IF(AE$5&gt;=$H$22,$G$22,0),0)*($H$22&lt;&gt;0)+IF(AND(AE$5&gt;=$M$22,AE$5&lt;$N$22),$E$22-$F$22,0)*($H$22=0)</f>
        <v>3840</v>
      </c>
      <c r="AF118" s="125" t="n">
        <f aca="false">IF(AND(AF$5&gt;=$M$22,AF$5&lt;$N$22),$E$22-$F$22-IF(AF$5&gt;=$H$22,$G$22,0),0)*($H$22&lt;&gt;0)+IF(AND(AF$5&gt;=$M$22,AF$5&lt;$N$22),$E$22-$F$22,0)*($H$22=0)</f>
        <v>3840</v>
      </c>
      <c r="AG118" s="125" t="n">
        <f aca="false">IF(AND(AG$5&gt;=$M$22,AG$5&lt;$N$22),$E$22-$F$22-IF(AG$5&gt;=$H$22,$G$22,0),0)*($H$22&lt;&gt;0)+IF(AND(AG$5&gt;=$M$22,AG$5&lt;$N$22),$E$22-$F$22,0)*($H$22=0)</f>
        <v>3840</v>
      </c>
      <c r="AI118" s="125" t="n">
        <f aca="false">INDEX($F118:$AG118,1,MATCH(AI$7,$F$7:$AG$7,1))</f>
        <v>0</v>
      </c>
      <c r="AJ118" s="125" t="n">
        <f aca="false">INDEX($F118:$AG118,1,MATCH(AJ$7,$F$7:$AG$7,1))</f>
        <v>0</v>
      </c>
      <c r="AK118" s="125" t="n">
        <f aca="false">INDEX($F118:$AG118,1,MATCH(AK$7,$F$7:$AG$7,1))</f>
        <v>0</v>
      </c>
      <c r="AL118" s="125" t="n">
        <f aca="false">INDEX($F118:$AG118,1,MATCH(AL$7,$F$7:$AG$7,1))</f>
        <v>3840</v>
      </c>
      <c r="AM118" s="125" t="n">
        <f aca="false">INDEX($F118:$AG118,1,MATCH(AM$7,$F$7:$AG$7,1))</f>
        <v>3840</v>
      </c>
      <c r="AN118" s="125" t="n">
        <f aca="false">INDEX($F118:$AG118,1,MATCH(AN$7,$F$7:$AG$7,1))</f>
        <v>3840</v>
      </c>
      <c r="AO118" s="125" t="n">
        <f aca="false">INDEX($F118:$AG118,1,MATCH(AO$7,$F$7:$AG$7,1))</f>
        <v>3840</v>
      </c>
    </row>
    <row r="119" customFormat="false" ht="15" hidden="false" customHeight="false" outlineLevel="0" collapsed="false">
      <c r="A119" s="107" t="s">
        <v>2379</v>
      </c>
      <c r="B119" s="22" t="s">
        <v>613</v>
      </c>
      <c r="C119" s="22" t="s">
        <v>604</v>
      </c>
      <c r="D119" s="22"/>
      <c r="F119" s="124" t="n">
        <f aca="false">F118*$C$22/4</f>
        <v>0</v>
      </c>
      <c r="G119" s="124" t="n">
        <f aca="false">G118*$C$22/4</f>
        <v>0</v>
      </c>
      <c r="H119" s="124" t="n">
        <f aca="false">H118*$C$22/4</f>
        <v>0</v>
      </c>
      <c r="I119" s="124" t="n">
        <f aca="false">I118*$C$22/4</f>
        <v>0</v>
      </c>
      <c r="J119" s="124" t="n">
        <f aca="false">J118*$C$22/4</f>
        <v>0</v>
      </c>
      <c r="K119" s="124" t="n">
        <f aca="false">K118*$C$22/4</f>
        <v>0</v>
      </c>
      <c r="L119" s="124" t="n">
        <f aca="false">L118*$C$22/4</f>
        <v>0</v>
      </c>
      <c r="M119" s="124" t="n">
        <f aca="false">M118*$C$22/4</f>
        <v>0</v>
      </c>
      <c r="N119" s="124" t="n">
        <f aca="false">N118*$C$22/4</f>
        <v>0</v>
      </c>
      <c r="O119" s="124" t="n">
        <f aca="false">O118*$C$22/4</f>
        <v>0</v>
      </c>
      <c r="P119" s="125" t="n">
        <f aca="false">P118*$C$22/4</f>
        <v>0</v>
      </c>
      <c r="Q119" s="125" t="n">
        <f aca="false">Q118*$C$22/4</f>
        <v>0</v>
      </c>
      <c r="R119" s="125" t="n">
        <f aca="false">R118*$C$22/4</f>
        <v>0</v>
      </c>
      <c r="S119" s="125" t="n">
        <f aca="false">S118*$C$22/4</f>
        <v>0</v>
      </c>
      <c r="T119" s="125" t="n">
        <f aca="false">T118*$C$22/4</f>
        <v>4.8</v>
      </c>
      <c r="U119" s="125" t="n">
        <f aca="false">U118*$C$22/4</f>
        <v>4.8</v>
      </c>
      <c r="V119" s="125" t="n">
        <f aca="false">V118*$C$22/4</f>
        <v>4.8</v>
      </c>
      <c r="W119" s="125" t="n">
        <f aca="false">W118*$C$22/4</f>
        <v>4.8</v>
      </c>
      <c r="X119" s="125" t="n">
        <f aca="false">X118*$C$22/4</f>
        <v>4.8</v>
      </c>
      <c r="Y119" s="125" t="n">
        <f aca="false">Y118*$C$22/4</f>
        <v>4.8</v>
      </c>
      <c r="Z119" s="125" t="n">
        <f aca="false">Z118*$C$22/4</f>
        <v>4.8</v>
      </c>
      <c r="AA119" s="125" t="n">
        <f aca="false">AA118*$C$22/4</f>
        <v>4.8</v>
      </c>
      <c r="AB119" s="125" t="n">
        <f aca="false">AB118*$C$22/4</f>
        <v>4.8</v>
      </c>
      <c r="AC119" s="125" t="n">
        <f aca="false">AC118*$C$22/4</f>
        <v>4.8</v>
      </c>
      <c r="AD119" s="125" t="n">
        <f aca="false">AD118*$C$22/4</f>
        <v>4.8</v>
      </c>
      <c r="AE119" s="125" t="n">
        <f aca="false">AE118*$C$22/4</f>
        <v>4.8</v>
      </c>
      <c r="AF119" s="125" t="n">
        <f aca="false">AF118*$C$22/4</f>
        <v>4.8</v>
      </c>
      <c r="AG119" s="125" t="n">
        <f aca="false">AG118*$C$22/4</f>
        <v>4.8</v>
      </c>
      <c r="AI119" s="125" t="n">
        <f aca="false">SUMIF($F$7:$AG$7,AI$7,$F119:$AG119)</f>
        <v>0</v>
      </c>
      <c r="AJ119" s="125" t="n">
        <f aca="false">SUMIF($F$7:$AG$7,AJ$7,$F119:$AG119)</f>
        <v>0</v>
      </c>
      <c r="AK119" s="125" t="n">
        <f aca="false">SUMIF($F$7:$AG$7,AK$7,$F119:$AG119)</f>
        <v>0</v>
      </c>
      <c r="AL119" s="125" t="n">
        <f aca="false">SUMIF($F$7:$AG$7,AL$7,$F119:$AG119)</f>
        <v>9.6</v>
      </c>
      <c r="AM119" s="125" t="n">
        <f aca="false">SUMIF($F$7:$AG$7,AM$7,$F119:$AG119)</f>
        <v>19.2</v>
      </c>
      <c r="AN119" s="125" t="n">
        <f aca="false">SUMIF($F$7:$AG$7,AN$7,$F119:$AG119)</f>
        <v>19.2</v>
      </c>
      <c r="AO119" s="125" t="n">
        <f aca="false">SUMIF($F$7:$AG$7,AO$7,$F119:$AG119)</f>
        <v>19.2</v>
      </c>
    </row>
    <row r="120" customFormat="false" ht="15" hidden="false" customHeight="false" outlineLevel="0" collapsed="false">
      <c r="A120" s="107" t="s">
        <v>2380</v>
      </c>
      <c r="B120" s="22" t="s">
        <v>613</v>
      </c>
      <c r="C120" s="22" t="s">
        <v>604</v>
      </c>
      <c r="D120" s="22"/>
      <c r="F120" s="124" t="n">
        <f aca="false">F118*($J$22-1)/(($D$22-$B$22)/91.3125)</f>
        <v>0</v>
      </c>
      <c r="G120" s="124" t="n">
        <f aca="false">G118*($J$22-1)/(($D$22-$B$22)/91.3125)</f>
        <v>0</v>
      </c>
      <c r="H120" s="124" t="n">
        <f aca="false">H118*($J$22-1)/(($D$22-$B$22)/91.3125)</f>
        <v>0</v>
      </c>
      <c r="I120" s="124" t="n">
        <f aca="false">I118*($J$22-1)/(($D$22-$B$22)/91.3125)</f>
        <v>0</v>
      </c>
      <c r="J120" s="124" t="n">
        <f aca="false">J118*($J$22-1)/(($D$22-$B$22)/91.3125)</f>
        <v>0</v>
      </c>
      <c r="K120" s="124" t="n">
        <f aca="false">K118*($J$22-1)/(($D$22-$B$22)/91.3125)</f>
        <v>0</v>
      </c>
      <c r="L120" s="124" t="n">
        <f aca="false">L118*($J$22-1)/(($D$22-$B$22)/91.3125)</f>
        <v>0</v>
      </c>
      <c r="M120" s="124" t="n">
        <f aca="false">M118*($J$22-1)/(($D$22-$B$22)/91.3125)</f>
        <v>0</v>
      </c>
      <c r="N120" s="124" t="n">
        <f aca="false">N118*($J$22-1)/(($D$22-$B$22)/91.3125)</f>
        <v>0</v>
      </c>
      <c r="O120" s="124" t="n">
        <f aca="false">O118*($J$22-1)/(($D$22-$B$22)/91.3125)</f>
        <v>0</v>
      </c>
      <c r="P120" s="125" t="n">
        <f aca="false">P118*($J$22-1)/(($D$22-$B$22)/91.3125)</f>
        <v>0</v>
      </c>
      <c r="Q120" s="125" t="n">
        <f aca="false">Q118*($J$22-1)/(($D$22-$B$22)/91.3125)</f>
        <v>0</v>
      </c>
      <c r="R120" s="125" t="n">
        <f aca="false">R118*($J$22-1)/(($D$22-$B$22)/91.3125)</f>
        <v>0</v>
      </c>
      <c r="S120" s="125" t="n">
        <f aca="false">S118*($J$22-1)/(($D$22-$B$22)/91.3125)</f>
        <v>0</v>
      </c>
      <c r="T120" s="125" t="n">
        <f aca="false">T118*($J$22-1)/(($D$22-$B$22)/91.3125)</f>
        <v>27.39375</v>
      </c>
      <c r="U120" s="125" t="n">
        <f aca="false">U118*($J$22-1)/(($D$22-$B$22)/91.3125)</f>
        <v>27.39375</v>
      </c>
      <c r="V120" s="125" t="n">
        <f aca="false">V118*($J$22-1)/(($D$22-$B$22)/91.3125)</f>
        <v>27.39375</v>
      </c>
      <c r="W120" s="125" t="n">
        <f aca="false">W118*($J$22-1)/(($D$22-$B$22)/91.3125)</f>
        <v>27.39375</v>
      </c>
      <c r="X120" s="125" t="n">
        <f aca="false">X118*($J$22-1)/(($D$22-$B$22)/91.3125)</f>
        <v>27.39375</v>
      </c>
      <c r="Y120" s="125" t="n">
        <f aca="false">Y118*($J$22-1)/(($D$22-$B$22)/91.3125)</f>
        <v>27.39375</v>
      </c>
      <c r="Z120" s="125" t="n">
        <f aca="false">Z118*($J$22-1)/(($D$22-$B$22)/91.3125)</f>
        <v>27.39375</v>
      </c>
      <c r="AA120" s="125" t="n">
        <f aca="false">AA118*($J$22-1)/(($D$22-$B$22)/91.3125)</f>
        <v>27.39375</v>
      </c>
      <c r="AB120" s="125" t="n">
        <f aca="false">AB118*($J$22-1)/(($D$22-$B$22)/91.3125)</f>
        <v>27.39375</v>
      </c>
      <c r="AC120" s="125" t="n">
        <f aca="false">AC118*($J$22-1)/(($D$22-$B$22)/91.3125)</f>
        <v>27.39375</v>
      </c>
      <c r="AD120" s="125" t="n">
        <f aca="false">AD118*($J$22-1)/(($D$22-$B$22)/91.3125)</f>
        <v>27.39375</v>
      </c>
      <c r="AE120" s="125" t="n">
        <f aca="false">AE118*($J$22-1)/(($D$22-$B$22)/91.3125)</f>
        <v>27.39375</v>
      </c>
      <c r="AF120" s="125" t="n">
        <f aca="false">AF118*($J$22-1)/(($D$22-$B$22)/91.3125)</f>
        <v>27.39375</v>
      </c>
      <c r="AG120" s="125" t="n">
        <f aca="false">AG118*($J$22-1)/(($D$22-$B$22)/91.3125)</f>
        <v>27.39375</v>
      </c>
      <c r="AI120" s="125" t="n">
        <f aca="false">SUMIF($F$7:$AG$7,AI$7,$F120:$AG120)</f>
        <v>0</v>
      </c>
      <c r="AJ120" s="125" t="n">
        <f aca="false">SUMIF($F$7:$AG$7,AJ$7,$F120:$AG120)</f>
        <v>0</v>
      </c>
      <c r="AK120" s="125" t="n">
        <f aca="false">SUMIF($F$7:$AG$7,AK$7,$F120:$AG120)</f>
        <v>0</v>
      </c>
      <c r="AL120" s="125" t="n">
        <f aca="false">SUMIF($F$7:$AG$7,AL$7,$F120:$AG120)</f>
        <v>54.7875000000001</v>
      </c>
      <c r="AM120" s="125" t="n">
        <f aca="false">SUMIF($F$7:$AG$7,AM$7,$F120:$AG120)</f>
        <v>109.575</v>
      </c>
      <c r="AN120" s="125" t="n">
        <f aca="false">SUMIF($F$7:$AG$7,AN$7,$F120:$AG120)</f>
        <v>109.575</v>
      </c>
      <c r="AO120" s="125" t="n">
        <f aca="false">SUMIF($F$7:$AG$7,AO$7,$F120:$AG120)</f>
        <v>109.575</v>
      </c>
    </row>
    <row r="121" customFormat="false" ht="15" hidden="false" customHeight="false" outlineLevel="0" collapsed="false">
      <c r="A121" s="107" t="s">
        <v>2381</v>
      </c>
      <c r="B121" s="22" t="s">
        <v>613</v>
      </c>
      <c r="C121" s="22" t="s">
        <v>604</v>
      </c>
      <c r="D121" s="22"/>
      <c r="F121" s="124" t="n">
        <f aca="false">F118*(1+($J$22-1)*MIN(1,MAX(0,(F$4-$B$22)/($D$22-$B$22))))</f>
        <v>0</v>
      </c>
      <c r="G121" s="124" t="n">
        <f aca="false">G118*(1+($J$22-1)*MIN(1,MAX(0,(G$4-$B$22)/($D$22-$B$22))))</f>
        <v>0</v>
      </c>
      <c r="H121" s="124" t="n">
        <f aca="false">H118*(1+($J$22-1)*MIN(1,MAX(0,(H$4-$B$22)/($D$22-$B$22))))</f>
        <v>0</v>
      </c>
      <c r="I121" s="124" t="n">
        <f aca="false">I118*(1+($J$22-1)*MIN(1,MAX(0,(I$4-$B$22)/($D$22-$B$22))))</f>
        <v>0</v>
      </c>
      <c r="J121" s="124" t="n">
        <f aca="false">J118*(1+($J$22-1)*MIN(1,MAX(0,(J$4-$B$22)/($D$22-$B$22))))</f>
        <v>0</v>
      </c>
      <c r="K121" s="124" t="n">
        <f aca="false">K118*(1+($J$22-1)*MIN(1,MAX(0,(K$4-$B$22)/($D$22-$B$22))))</f>
        <v>0</v>
      </c>
      <c r="L121" s="124" t="n">
        <f aca="false">L118*(1+($J$22-1)*MIN(1,MAX(0,(L$4-$B$22)/($D$22-$B$22))))</f>
        <v>0</v>
      </c>
      <c r="M121" s="124" t="n">
        <f aca="false">M118*(1+($J$22-1)*MIN(1,MAX(0,(M$4-$B$22)/($D$22-$B$22))))</f>
        <v>0</v>
      </c>
      <c r="N121" s="124" t="n">
        <f aca="false">N118*(1+($J$22-1)*MIN(1,MAX(0,(N$4-$B$22)/($D$22-$B$22))))</f>
        <v>0</v>
      </c>
      <c r="O121" s="124" t="n">
        <f aca="false">O118*(1+($J$22-1)*MIN(1,MAX(0,(O$4-$B$22)/($D$22-$B$22))))</f>
        <v>0</v>
      </c>
      <c r="P121" s="125" t="n">
        <f aca="false">P118*(1+($J$22-1)*MIN(1,MAX(0,(P$4-$B$22)/($D$22-$B$22))))</f>
        <v>0</v>
      </c>
      <c r="Q121" s="125" t="n">
        <f aca="false">Q118*(1+($J$22-1)*MIN(1,MAX(0,(Q$4-$B$22)/($D$22-$B$22))))</f>
        <v>0</v>
      </c>
      <c r="R121" s="125" t="n">
        <f aca="false">R118*(1+($J$22-1)*MIN(1,MAX(0,(R$4-$B$22)/($D$22-$B$22))))</f>
        <v>0</v>
      </c>
      <c r="S121" s="125" t="n">
        <f aca="false">S118*(1+($J$22-1)*MIN(1,MAX(0,(S$4-$B$22)/($D$22-$B$22))))</f>
        <v>0</v>
      </c>
      <c r="T121" s="125" t="n">
        <f aca="false">T118*(1+($J$22-1)*MIN(1,MAX(0,(T$4-$B$22)/($D$22-$B$22))))</f>
        <v>3854.1</v>
      </c>
      <c r="U121" s="125" t="n">
        <f aca="false">U118*(1+($J$22-1)*MIN(1,MAX(0,(U$4-$B$22)/($D$22-$B$22))))</f>
        <v>3881.7</v>
      </c>
      <c r="V121" s="125" t="n">
        <f aca="false">V118*(1+($J$22-1)*MIN(1,MAX(0,(V$4-$B$22)/($D$22-$B$22))))</f>
        <v>3909</v>
      </c>
      <c r="W121" s="125" t="n">
        <f aca="false">W118*(1+($J$22-1)*MIN(1,MAX(0,(W$4-$B$22)/($D$22-$B$22))))</f>
        <v>3936.3</v>
      </c>
      <c r="X121" s="125" t="n">
        <f aca="false">X118*(1+($J$22-1)*MIN(1,MAX(0,(X$4-$B$22)/($D$22-$B$22))))</f>
        <v>3963.9</v>
      </c>
      <c r="Y121" s="125" t="n">
        <f aca="false">Y118*(1+($J$22-1)*MIN(1,MAX(0,(Y$4-$B$22)/($D$22-$B$22))))</f>
        <v>3991.5</v>
      </c>
      <c r="Z121" s="125" t="n">
        <f aca="false">Z118*(1+($J$22-1)*MIN(1,MAX(0,(Z$4-$B$22)/($D$22-$B$22))))</f>
        <v>4018.5</v>
      </c>
      <c r="AA121" s="125" t="n">
        <f aca="false">AA118*(1+($J$22-1)*MIN(1,MAX(0,(AA$4-$B$22)/($D$22-$B$22))))</f>
        <v>4045.8</v>
      </c>
      <c r="AB121" s="125" t="n">
        <f aca="false">AB118*(1+($J$22-1)*MIN(1,MAX(0,(AB$4-$B$22)/($D$22-$B$22))))</f>
        <v>4073.4</v>
      </c>
      <c r="AC121" s="125" t="n">
        <f aca="false">AC118*(1+($J$22-1)*MIN(1,MAX(0,(AC$4-$B$22)/($D$22-$B$22))))</f>
        <v>4101</v>
      </c>
      <c r="AD121" s="125" t="n">
        <f aca="false">AD118*(1+($J$22-1)*MIN(1,MAX(0,(AD$4-$B$22)/($D$22-$B$22))))</f>
        <v>4128</v>
      </c>
      <c r="AE121" s="125" t="n">
        <f aca="false">AE118*(1+($J$22-1)*MIN(1,MAX(0,(AE$4-$B$22)/($D$22-$B$22))))</f>
        <v>4155.3</v>
      </c>
      <c r="AF121" s="125" t="n">
        <f aca="false">AF118*(1+($J$22-1)*MIN(1,MAX(0,(AF$4-$B$22)/($D$22-$B$22))))</f>
        <v>4182.9</v>
      </c>
      <c r="AG121" s="125" t="n">
        <f aca="false">AG118*(1+($J$22-1)*MIN(1,MAX(0,(AG$4-$B$22)/($D$22-$B$22))))</f>
        <v>4210.5</v>
      </c>
      <c r="AI121" s="125" t="n">
        <f aca="false">INDEX($F121:$AG121,1,MATCH(AI$7,$F$7:$AG$7,1))</f>
        <v>0</v>
      </c>
      <c r="AJ121" s="125" t="n">
        <f aca="false">INDEX($F121:$AG121,1,MATCH(AJ$7,$F$7:$AG$7,1))</f>
        <v>0</v>
      </c>
      <c r="AK121" s="125" t="n">
        <f aca="false">INDEX($F121:$AG121,1,MATCH(AK$7,$F$7:$AG$7,1))</f>
        <v>0</v>
      </c>
      <c r="AL121" s="125" t="n">
        <f aca="false">INDEX($F121:$AG121,1,MATCH(AL$7,$F$7:$AG$7,1))</f>
        <v>3881.7</v>
      </c>
      <c r="AM121" s="125" t="n">
        <f aca="false">INDEX($F121:$AG121,1,MATCH(AM$7,$F$7:$AG$7,1))</f>
        <v>3991.5</v>
      </c>
      <c r="AN121" s="125" t="n">
        <f aca="false">INDEX($F121:$AG121,1,MATCH(AN$7,$F$7:$AG$7,1))</f>
        <v>4101</v>
      </c>
      <c r="AO121" s="125" t="n">
        <f aca="false">INDEX($F121:$AG121,1,MATCH(AO$7,$F$7:$AG$7,1))</f>
        <v>4210.5</v>
      </c>
    </row>
    <row r="122" customFormat="false" ht="15" hidden="false" customHeight="false" outlineLevel="0" collapsed="false">
      <c r="A122" s="107" t="s">
        <v>2382</v>
      </c>
      <c r="B122" s="22" t="s">
        <v>613</v>
      </c>
      <c r="C122" s="22" t="s">
        <v>604</v>
      </c>
      <c r="D122" s="22"/>
      <c r="F122" s="124" t="n">
        <f aca="false">F118*($S$22+($J$22-$S$22)*MIN(1,MAX(0,(F$4-$T$22)/($D$22-$T$22))))</f>
        <v>0</v>
      </c>
      <c r="G122" s="124" t="n">
        <f aca="false">G118*($S$22+($J$22-$S$22)*MIN(1,MAX(0,(G$4-$T$22)/($D$22-$T$22))))</f>
        <v>0</v>
      </c>
      <c r="H122" s="124" t="n">
        <f aca="false">H118*($S$22+($J$22-$S$22)*MIN(1,MAX(0,(H$4-$T$22)/($D$22-$T$22))))</f>
        <v>0</v>
      </c>
      <c r="I122" s="124" t="n">
        <f aca="false">I118*($S$22+($J$22-$S$22)*MIN(1,MAX(0,(I$4-$T$22)/($D$22-$T$22))))</f>
        <v>0</v>
      </c>
      <c r="J122" s="124" t="n">
        <f aca="false">J118*($S$22+($J$22-$S$22)*MIN(1,MAX(0,(J$4-$T$22)/($D$22-$T$22))))</f>
        <v>0</v>
      </c>
      <c r="K122" s="124" t="n">
        <f aca="false">K118*($S$22+($J$22-$S$22)*MIN(1,MAX(0,(K$4-$T$22)/($D$22-$T$22))))</f>
        <v>0</v>
      </c>
      <c r="L122" s="124" t="n">
        <f aca="false">L118*($S$22+($J$22-$S$22)*MIN(1,MAX(0,(L$4-$T$22)/($D$22-$T$22))))</f>
        <v>0</v>
      </c>
      <c r="M122" s="124" t="n">
        <f aca="false">M118*($S$22+($J$22-$S$22)*MIN(1,MAX(0,(M$4-$T$22)/($D$22-$T$22))))</f>
        <v>0</v>
      </c>
      <c r="N122" s="124" t="n">
        <f aca="false">N118*($S$22+($J$22-$S$22)*MIN(1,MAX(0,(N$4-$T$22)/($D$22-$T$22))))</f>
        <v>0</v>
      </c>
      <c r="O122" s="124" t="n">
        <f aca="false">O118*($S$22+($J$22-$S$22)*MIN(1,MAX(0,(O$4-$T$22)/($D$22-$T$22))))</f>
        <v>0</v>
      </c>
      <c r="P122" s="125" t="n">
        <f aca="false">P118*($S$22+($J$22-$S$22)*MIN(1,MAX(0,(P$4-$T$22)/($D$22-$T$22))))</f>
        <v>0</v>
      </c>
      <c r="Q122" s="125" t="n">
        <f aca="false">Q118*($S$22+($J$22-$S$22)*MIN(1,MAX(0,(Q$4-$T$22)/($D$22-$T$22))))</f>
        <v>0</v>
      </c>
      <c r="R122" s="125" t="n">
        <f aca="false">R118*($S$22+($J$22-$S$22)*MIN(1,MAX(0,(R$4-$T$22)/($D$22-$T$22))))</f>
        <v>0</v>
      </c>
      <c r="S122" s="125" t="n">
        <f aca="false">S118*($S$22+($J$22-$S$22)*MIN(1,MAX(0,(S$4-$T$22)/($D$22-$T$22))))</f>
        <v>0</v>
      </c>
      <c r="T122" s="125" t="n">
        <f aca="false">T118*($S$22+($J$22-$S$22)*MIN(1,MAX(0,(T$4-$T$22)/($D$22-$T$22))))</f>
        <v>3854.1</v>
      </c>
      <c r="U122" s="125" t="n">
        <f aca="false">U118*($S$22+($J$22-$S$22)*MIN(1,MAX(0,(U$4-$T$22)/($D$22-$T$22))))</f>
        <v>3881.7</v>
      </c>
      <c r="V122" s="125" t="n">
        <f aca="false">V118*($S$22+($J$22-$S$22)*MIN(1,MAX(0,(V$4-$T$22)/($D$22-$T$22))))</f>
        <v>3909</v>
      </c>
      <c r="W122" s="125" t="n">
        <f aca="false">W118*($S$22+($J$22-$S$22)*MIN(1,MAX(0,(W$4-$T$22)/($D$22-$T$22))))</f>
        <v>3936.3</v>
      </c>
      <c r="X122" s="125" t="n">
        <f aca="false">X118*($S$22+($J$22-$S$22)*MIN(1,MAX(0,(X$4-$T$22)/($D$22-$T$22))))</f>
        <v>3963.9</v>
      </c>
      <c r="Y122" s="125" t="n">
        <f aca="false">Y118*($S$22+($J$22-$S$22)*MIN(1,MAX(0,(Y$4-$T$22)/($D$22-$T$22))))</f>
        <v>3991.5</v>
      </c>
      <c r="Z122" s="125" t="n">
        <f aca="false">Z118*($S$22+($J$22-$S$22)*MIN(1,MAX(0,(Z$4-$T$22)/($D$22-$T$22))))</f>
        <v>4018.5</v>
      </c>
      <c r="AA122" s="125" t="n">
        <f aca="false">AA118*($S$22+($J$22-$S$22)*MIN(1,MAX(0,(AA$4-$T$22)/($D$22-$T$22))))</f>
        <v>4045.8</v>
      </c>
      <c r="AB122" s="125" t="n">
        <f aca="false">AB118*($S$22+($J$22-$S$22)*MIN(1,MAX(0,(AB$4-$T$22)/($D$22-$T$22))))</f>
        <v>4073.4</v>
      </c>
      <c r="AC122" s="125" t="n">
        <f aca="false">AC118*($S$22+($J$22-$S$22)*MIN(1,MAX(0,(AC$4-$T$22)/($D$22-$T$22))))</f>
        <v>4101</v>
      </c>
      <c r="AD122" s="125" t="n">
        <f aca="false">AD118*($S$22+($J$22-$S$22)*MIN(1,MAX(0,(AD$4-$T$22)/($D$22-$T$22))))</f>
        <v>4128</v>
      </c>
      <c r="AE122" s="125" t="n">
        <f aca="false">AE118*($S$22+($J$22-$S$22)*MIN(1,MAX(0,(AE$4-$T$22)/($D$22-$T$22))))</f>
        <v>4155.3</v>
      </c>
      <c r="AF122" s="125" t="n">
        <f aca="false">AF118*($S$22+($J$22-$S$22)*MIN(1,MAX(0,(AF$4-$T$22)/($D$22-$T$22))))</f>
        <v>4182.9</v>
      </c>
      <c r="AG122" s="125" t="n">
        <f aca="false">AG118*($S$22+($J$22-$S$22)*MIN(1,MAX(0,(AG$4-$T$22)/($D$22-$T$22))))</f>
        <v>4210.5</v>
      </c>
      <c r="AI122" s="125" t="n">
        <f aca="false">INDEX($F122:$AG122,1,MATCH(AI$7,$F$7:$AG$7,1))</f>
        <v>0</v>
      </c>
      <c r="AJ122" s="125" t="n">
        <f aca="false">INDEX($F122:$AG122,1,MATCH(AJ$7,$F$7:$AG$7,1))</f>
        <v>0</v>
      </c>
      <c r="AK122" s="125" t="n">
        <f aca="false">INDEX($F122:$AG122,1,MATCH(AK$7,$F$7:$AG$7,1))</f>
        <v>0</v>
      </c>
      <c r="AL122" s="125" t="n">
        <f aca="false">INDEX($F122:$AG122,1,MATCH(AL$7,$F$7:$AG$7,1))</f>
        <v>3881.7</v>
      </c>
      <c r="AM122" s="125" t="n">
        <f aca="false">INDEX($F122:$AG122,1,MATCH(AM$7,$F$7:$AG$7,1))</f>
        <v>3991.5</v>
      </c>
      <c r="AN122" s="125" t="n">
        <f aca="false">INDEX($F122:$AG122,1,MATCH(AN$7,$F$7:$AG$7,1))</f>
        <v>4101</v>
      </c>
      <c r="AO122" s="125" t="n">
        <f aca="false">INDEX($F122:$AG122,1,MATCH(AO$7,$F$7:$AG$7,1))</f>
        <v>4210.5</v>
      </c>
    </row>
    <row r="123" customFormat="false" ht="15" hidden="false" customHeight="false" outlineLevel="0" collapsed="false">
      <c r="A123" s="107" t="s">
        <v>2383</v>
      </c>
      <c r="B123" s="22" t="s">
        <v>613</v>
      </c>
      <c r="C123" s="22" t="s">
        <v>604</v>
      </c>
      <c r="D123" s="22"/>
      <c r="F123" s="124" t="n">
        <f aca="false">IF(F$5=$N$22,E118*$J$22*(1-$O$22),0)</f>
        <v>0</v>
      </c>
      <c r="G123" s="124" t="n">
        <f aca="false">IF(G$5=$N$22,F118*$J$22*(1-$O$22),0)</f>
        <v>0</v>
      </c>
      <c r="H123" s="124" t="n">
        <f aca="false">IF(H$5=$N$22,G118*$J$22*(1-$O$22),0)</f>
        <v>0</v>
      </c>
      <c r="I123" s="124" t="n">
        <f aca="false">IF(I$5=$N$22,H118*$J$22*(1-$O$22),0)</f>
        <v>0</v>
      </c>
      <c r="J123" s="124" t="n">
        <f aca="false">IF(J$5=$N$22,I118*$J$22*(1-$O$22),0)</f>
        <v>0</v>
      </c>
      <c r="K123" s="124" t="n">
        <f aca="false">IF(K$5=$N$22,J118*$J$22*(1-$O$22),0)</f>
        <v>0</v>
      </c>
      <c r="L123" s="124" t="n">
        <f aca="false">IF(L$5=$N$22,K118*$J$22*(1-$O$22),0)</f>
        <v>0</v>
      </c>
      <c r="M123" s="124" t="n">
        <f aca="false">IF(M$5=$N$22,L118*$J$22*(1-$O$22),0)</f>
        <v>0</v>
      </c>
      <c r="N123" s="124" t="n">
        <f aca="false">IF(N$5=$N$22,M118*$J$22*(1-$O$22),0)</f>
        <v>0</v>
      </c>
      <c r="O123" s="124" t="n">
        <f aca="false">IF(O$5=$N$22,N118*$J$22*(1-$O$22),0)</f>
        <v>0</v>
      </c>
      <c r="P123" s="125" t="n">
        <f aca="false">IF(P$5=$N$22,O118*$J$22*(1-$O$22),0)</f>
        <v>0</v>
      </c>
      <c r="Q123" s="125" t="n">
        <f aca="false">IF(Q$5=$N$22,P118*$J$22*(1-$O$22),0)</f>
        <v>0</v>
      </c>
      <c r="R123" s="125" t="n">
        <f aca="false">IF(R$5=$N$22,Q118*$J$22*(1-$O$22),0)</f>
        <v>0</v>
      </c>
      <c r="S123" s="125" t="n">
        <f aca="false">IF(S$5=$N$22,R118*$J$22*(1-$O$22),0)</f>
        <v>0</v>
      </c>
      <c r="T123" s="125" t="n">
        <f aca="false">IF(T$5=$N$22,S118*$J$22*(1-$O$22),0)</f>
        <v>0</v>
      </c>
      <c r="U123" s="125" t="n">
        <f aca="false">IF(U$5=$N$22,T118*$J$22*(1-$O$22),0)</f>
        <v>0</v>
      </c>
      <c r="V123" s="125" t="n">
        <f aca="false">IF(V$5=$N$22,U118*$J$22*(1-$O$22),0)</f>
        <v>0</v>
      </c>
      <c r="W123" s="125" t="n">
        <f aca="false">IF(W$5=$N$22,V118*$J$22*(1-$O$22),0)</f>
        <v>0</v>
      </c>
      <c r="X123" s="125" t="n">
        <f aca="false">IF(X$5=$N$22,W118*$J$22*(1-$O$22),0)</f>
        <v>0</v>
      </c>
      <c r="Y123" s="125" t="n">
        <f aca="false">IF(Y$5=$N$22,X118*$J$22*(1-$O$22),0)</f>
        <v>0</v>
      </c>
      <c r="Z123" s="125" t="n">
        <f aca="false">IF(Z$5=$N$22,Y118*$J$22*(1-$O$22),0)</f>
        <v>0</v>
      </c>
      <c r="AA123" s="125" t="n">
        <f aca="false">IF(AA$5=$N$22,Z118*$J$22*(1-$O$22),0)</f>
        <v>0</v>
      </c>
      <c r="AB123" s="125" t="n">
        <f aca="false">IF(AB$5=$N$22,AA118*$J$22*(1-$O$22),0)</f>
        <v>0</v>
      </c>
      <c r="AC123" s="125" t="n">
        <f aca="false">IF(AC$5=$N$22,AB118*$J$22*(1-$O$22),0)</f>
        <v>0</v>
      </c>
      <c r="AD123" s="125" t="n">
        <f aca="false">IF(AD$5=$N$22,AC118*$J$22*(1-$O$22),0)</f>
        <v>0</v>
      </c>
      <c r="AE123" s="125" t="n">
        <f aca="false">IF(AE$5=$N$22,AD118*$J$22*(1-$O$22),0)</f>
        <v>0</v>
      </c>
      <c r="AF123" s="125" t="n">
        <f aca="false">IF(AF$5=$N$22,AE118*$J$22*(1-$O$22),0)</f>
        <v>0</v>
      </c>
      <c r="AG123" s="125" t="n">
        <f aca="false">IF(AG$5=$N$22,AF118*$J$22*(1-$O$22),0)</f>
        <v>0</v>
      </c>
      <c r="AI123" s="125" t="n">
        <f aca="false">SUMIF($F$7:$AG$7,AI$7,$F123:$AG123)</f>
        <v>0</v>
      </c>
      <c r="AJ123" s="125" t="n">
        <f aca="false">SUMIF($F$7:$AG$7,AJ$7,$F123:$AG123)</f>
        <v>0</v>
      </c>
      <c r="AK123" s="125" t="n">
        <f aca="false">SUMIF($F$7:$AG$7,AK$7,$F123:$AG123)</f>
        <v>0</v>
      </c>
      <c r="AL123" s="125" t="n">
        <f aca="false">SUMIF($F$7:$AG$7,AL$7,$F123:$AG123)</f>
        <v>0</v>
      </c>
      <c r="AM123" s="125" t="n">
        <f aca="false">SUMIF($F$7:$AG$7,AM$7,$F123:$AG123)</f>
        <v>0</v>
      </c>
      <c r="AN123" s="125" t="n">
        <f aca="false">SUMIF($F$7:$AG$7,AN$7,$F123:$AG123)</f>
        <v>0</v>
      </c>
      <c r="AO123" s="125" t="n">
        <f aca="false">SUMIF($F$7:$AG$7,AO$7,$F123:$AG123)</f>
        <v>0</v>
      </c>
    </row>
    <row r="124" customFormat="false" ht="15" hidden="false" customHeight="false" outlineLevel="0" collapsed="false">
      <c r="A124" s="107" t="s">
        <v>2384</v>
      </c>
      <c r="B124" s="22" t="s">
        <v>635</v>
      </c>
      <c r="C124" s="22" t="s">
        <v>604</v>
      </c>
      <c r="D124" s="22"/>
      <c r="F124" s="140" t="n">
        <f aca="false">IF(F$5=$N$22,E118*$K$22/1000*$O$22,0)</f>
        <v>0</v>
      </c>
      <c r="G124" s="140" t="n">
        <f aca="false">IF(G$5=$N$22,F118*$K$22/1000*$O$22,0)</f>
        <v>0</v>
      </c>
      <c r="H124" s="140" t="n">
        <f aca="false">IF(H$5=$N$22,G118*$K$22/1000*$O$22,0)</f>
        <v>0</v>
      </c>
      <c r="I124" s="140" t="n">
        <f aca="false">IF(I$5=$N$22,H118*$K$22/1000*$O$22,0)</f>
        <v>0</v>
      </c>
      <c r="J124" s="140" t="n">
        <f aca="false">IF(J$5=$N$22,I118*$K$22/1000*$O$22,0)</f>
        <v>0</v>
      </c>
      <c r="K124" s="140" t="n">
        <f aca="false">IF(K$5=$N$22,J118*$K$22/1000*$O$22,0)</f>
        <v>0</v>
      </c>
      <c r="L124" s="140" t="n">
        <f aca="false">IF(L$5=$N$22,K118*$K$22/1000*$O$22,0)</f>
        <v>0</v>
      </c>
      <c r="M124" s="140" t="n">
        <f aca="false">IF(M$5=$N$22,L118*$K$22/1000*$O$22,0)</f>
        <v>0</v>
      </c>
      <c r="N124" s="140" t="n">
        <f aca="false">IF(N$5=$N$22,M118*$K$22/1000*$O$22,0)</f>
        <v>0</v>
      </c>
      <c r="O124" s="140" t="n">
        <f aca="false">IF(O$5=$N$22,N118*$K$22/1000*$O$22,0)</f>
        <v>0</v>
      </c>
      <c r="P124" s="47" t="n">
        <f aca="false">IF(P$5=$N$22,O118*$K$22/1000*$O$22,0)</f>
        <v>0</v>
      </c>
      <c r="Q124" s="47" t="n">
        <f aca="false">IF(Q$5=$N$22,P118*$K$22/1000*$O$22,0)</f>
        <v>0</v>
      </c>
      <c r="R124" s="47" t="n">
        <f aca="false">IF(R$5=$N$22,Q118*$K$22/1000*$O$22,0)</f>
        <v>0</v>
      </c>
      <c r="S124" s="47" t="n">
        <f aca="false">IF(S$5=$N$22,R118*$K$22/1000*$O$22,0)</f>
        <v>0</v>
      </c>
      <c r="T124" s="47" t="n">
        <f aca="false">IF(T$5=$N$22,S118*$K$22/1000*$O$22,0)</f>
        <v>0</v>
      </c>
      <c r="U124" s="47" t="n">
        <f aca="false">IF(U$5=$N$22,T118*$K$22/1000*$O$22,0)</f>
        <v>0</v>
      </c>
      <c r="V124" s="47" t="n">
        <f aca="false">IF(V$5=$N$22,U118*$K$22/1000*$O$22,0)</f>
        <v>0</v>
      </c>
      <c r="W124" s="47" t="n">
        <f aca="false">IF(W$5=$N$22,V118*$K$22/1000*$O$22,0)</f>
        <v>0</v>
      </c>
      <c r="X124" s="47" t="n">
        <f aca="false">IF(X$5=$N$22,W118*$K$22/1000*$O$22,0)</f>
        <v>0</v>
      </c>
      <c r="Y124" s="47" t="n">
        <f aca="false">IF(Y$5=$N$22,X118*$K$22/1000*$O$22,0)</f>
        <v>0</v>
      </c>
      <c r="Z124" s="47" t="n">
        <f aca="false">IF(Z$5=$N$22,Y118*$K$22/1000*$O$22,0)</f>
        <v>0</v>
      </c>
      <c r="AA124" s="47" t="n">
        <f aca="false">IF(AA$5=$N$22,Z118*$K$22/1000*$O$22,0)</f>
        <v>0</v>
      </c>
      <c r="AB124" s="47" t="n">
        <f aca="false">IF(AB$5=$N$22,AA118*$K$22/1000*$O$22,0)</f>
        <v>0</v>
      </c>
      <c r="AC124" s="47" t="n">
        <f aca="false">IF(AC$5=$N$22,AB118*$K$22/1000*$O$22,0)</f>
        <v>0</v>
      </c>
      <c r="AD124" s="47" t="n">
        <f aca="false">IF(AD$5=$N$22,AC118*$K$22/1000*$O$22,0)</f>
        <v>0</v>
      </c>
      <c r="AE124" s="47" t="n">
        <f aca="false">IF(AE$5=$N$22,AD118*$K$22/1000*$O$22,0)</f>
        <v>0</v>
      </c>
      <c r="AF124" s="47" t="n">
        <f aca="false">IF(AF$5=$N$22,AE118*$K$22/1000*$O$22,0)</f>
        <v>0</v>
      </c>
      <c r="AG124" s="47" t="n">
        <f aca="false">IF(AG$5=$N$22,AF118*$K$22/1000*$O$22,0)</f>
        <v>0</v>
      </c>
      <c r="AI124" s="47" t="n">
        <f aca="false">SUMIF($F$7:$AG$7,AI$7,$F124:$AG124)</f>
        <v>0</v>
      </c>
      <c r="AJ124" s="47" t="n">
        <f aca="false">SUMIF($F$7:$AG$7,AJ$7,$F124:$AG124)</f>
        <v>0</v>
      </c>
      <c r="AK124" s="47" t="n">
        <f aca="false">SUMIF($F$7:$AG$7,AK$7,$F124:$AG124)</f>
        <v>0</v>
      </c>
      <c r="AL124" s="47" t="n">
        <f aca="false">SUMIF($F$7:$AG$7,AL$7,$F124:$AG124)</f>
        <v>0</v>
      </c>
      <c r="AM124" s="47" t="n">
        <f aca="false">SUMIF($F$7:$AG$7,AM$7,$F124:$AG124)</f>
        <v>0</v>
      </c>
      <c r="AN124" s="47" t="n">
        <f aca="false">SUMIF($F$7:$AG$7,AN$7,$F124:$AG124)</f>
        <v>0</v>
      </c>
      <c r="AO124" s="47" t="n">
        <f aca="false">SUMIF($F$7:$AG$7,AO$7,$F124:$AG124)</f>
        <v>0</v>
      </c>
    </row>
    <row r="125" customFormat="false" ht="15" hidden="false" customHeight="false" outlineLevel="0" collapsed="false">
      <c r="A125" s="107" t="s">
        <v>2385</v>
      </c>
      <c r="B125" s="22" t="s">
        <v>635</v>
      </c>
      <c r="C125" s="22" t="s">
        <v>540</v>
      </c>
      <c r="D125" s="22"/>
      <c r="F125" s="140" t="n">
        <f aca="false">IF(DilMethod=3,MAX(0,F118*$K$22/1000*DilPx-F121)/DilPx,F118*$K$22/1000*$P$22)</f>
        <v>0</v>
      </c>
      <c r="G125" s="140" t="n">
        <f aca="false">IF(DilMethod=3,MAX(0,G118*$K$22/1000*DilPx-G121)/DilPx,G118*$K$22/1000*$P$22)</f>
        <v>0</v>
      </c>
      <c r="H125" s="140" t="n">
        <f aca="false">IF(DilMethod=3,MAX(0,H118*$K$22/1000*DilPx-H121)/DilPx,H118*$K$22/1000*$P$22)</f>
        <v>0</v>
      </c>
      <c r="I125" s="140" t="n">
        <f aca="false">IF(DilMethod=3,MAX(0,I118*$K$22/1000*DilPx-I121)/DilPx,I118*$K$22/1000*$P$22)</f>
        <v>0</v>
      </c>
      <c r="J125" s="140" t="n">
        <f aca="false">IF(DilMethod=3,MAX(0,J118*$K$22/1000*DilPx-J121)/DilPx,J118*$K$22/1000*$P$22)</f>
        <v>0</v>
      </c>
      <c r="K125" s="140" t="n">
        <f aca="false">IF(DilMethod=3,MAX(0,K118*$K$22/1000*DilPx-K121)/DilPx,K118*$K$22/1000*$P$22)</f>
        <v>0</v>
      </c>
      <c r="L125" s="140" t="n">
        <f aca="false">IF(DilMethod=3,MAX(0,L118*$K$22/1000*DilPx-L121)/DilPx,L118*$K$22/1000*$P$22)</f>
        <v>0</v>
      </c>
      <c r="M125" s="140" t="n">
        <f aca="false">IF(DilMethod=3,MAX(0,M118*$K$22/1000*DilPx-M121)/DilPx,M118*$K$22/1000*$P$22)</f>
        <v>0</v>
      </c>
      <c r="N125" s="140" t="n">
        <f aca="false">IF(DilMethod=3,MAX(0,N118*$K$22/1000*DilPx-N121)/DilPx,N118*$K$22/1000*$P$22)</f>
        <v>0</v>
      </c>
      <c r="O125" s="140" t="n">
        <f aca="false">IF(DilMethod=3,MAX(0,O118*$K$22/1000*DilPx-O121)/DilPx,O118*$K$22/1000*$P$22)</f>
        <v>0</v>
      </c>
      <c r="P125" s="47" t="n">
        <f aca="false">IF(DilMethod=3,MAX(0,P118*$K$22/1000*DilPx-P121)/DilPx,P118*$K$22/1000*$P$22)</f>
        <v>0</v>
      </c>
      <c r="Q125" s="47" t="n">
        <f aca="false">IF(DilMethod=3,MAX(0,Q118*$K$22/1000*DilPx-Q121)/DilPx,Q118*$K$22/1000*$P$22)</f>
        <v>0</v>
      </c>
      <c r="R125" s="47" t="n">
        <f aca="false">IF(DilMethod=3,MAX(0,R118*$K$22/1000*DilPx-R121)/DilPx,R118*$K$22/1000*$P$22)</f>
        <v>0</v>
      </c>
      <c r="S125" s="47" t="n">
        <f aca="false">IF(DilMethod=3,MAX(0,S118*$K$22/1000*DilPx-S121)/DilPx,S118*$K$22/1000*$P$22)</f>
        <v>0</v>
      </c>
      <c r="T125" s="47" t="n">
        <f aca="false">IF(DilMethod=3,MAX(0,T118*$K$22/1000*DilPx-T121)/DilPx,T118*$K$22/1000*$P$22)</f>
        <v>0</v>
      </c>
      <c r="U125" s="47" t="n">
        <f aca="false">IF(DilMethod=3,MAX(0,U118*$K$22/1000*DilPx-U121)/DilPx,U118*$K$22/1000*$P$22)</f>
        <v>0</v>
      </c>
      <c r="V125" s="47" t="n">
        <f aca="false">IF(DilMethod=3,MAX(0,V118*$K$22/1000*DilPx-V121)/DilPx,V118*$K$22/1000*$P$22)</f>
        <v>0</v>
      </c>
      <c r="W125" s="47" t="n">
        <f aca="false">IF(DilMethod=3,MAX(0,W118*$K$22/1000*DilPx-W121)/DilPx,W118*$K$22/1000*$P$22)</f>
        <v>0</v>
      </c>
      <c r="X125" s="47" t="n">
        <f aca="false">IF(DilMethod=3,MAX(0,X118*$K$22/1000*DilPx-X121)/DilPx,X118*$K$22/1000*$P$22)</f>
        <v>0</v>
      </c>
      <c r="Y125" s="47" t="n">
        <f aca="false">IF(DilMethod=3,MAX(0,Y118*$K$22/1000*DilPx-Y121)/DilPx,Y118*$K$22/1000*$P$22)</f>
        <v>0</v>
      </c>
      <c r="Z125" s="47" t="n">
        <f aca="false">IF(DilMethod=3,MAX(0,Z118*$K$22/1000*DilPx-Z121)/DilPx,Z118*$K$22/1000*$P$22)</f>
        <v>0</v>
      </c>
      <c r="AA125" s="47" t="n">
        <f aca="false">IF(DilMethod=3,MAX(0,AA118*$K$22/1000*DilPx-AA121)/DilPx,AA118*$K$22/1000*$P$22)</f>
        <v>0</v>
      </c>
      <c r="AB125" s="47" t="n">
        <f aca="false">IF(DilMethod=3,MAX(0,AB118*$K$22/1000*DilPx-AB121)/DilPx,AB118*$K$22/1000*$P$22)</f>
        <v>0</v>
      </c>
      <c r="AC125" s="47" t="n">
        <f aca="false">IF(DilMethod=3,MAX(0,AC118*$K$22/1000*DilPx-AC121)/DilPx,AC118*$K$22/1000*$P$22)</f>
        <v>0</v>
      </c>
      <c r="AD125" s="47" t="n">
        <f aca="false">IF(DilMethod=3,MAX(0,AD118*$K$22/1000*DilPx-AD121)/DilPx,AD118*$K$22/1000*$P$22)</f>
        <v>0</v>
      </c>
      <c r="AE125" s="47" t="n">
        <f aca="false">IF(DilMethod=3,MAX(0,AE118*$K$22/1000*DilPx-AE121)/DilPx,AE118*$K$22/1000*$P$22)</f>
        <v>0</v>
      </c>
      <c r="AF125" s="47" t="n">
        <f aca="false">IF(DilMethod=3,MAX(0,AF118*$K$22/1000*DilPx-AF121)/DilPx,AF118*$K$22/1000*$P$22)</f>
        <v>0</v>
      </c>
      <c r="AG125" s="47" t="n">
        <f aca="false">IF(DilMethod=3,MAX(0,AG118*$K$22/1000*DilPx-AG121)/DilPx,AG118*$K$22/1000*$P$22)</f>
        <v>0</v>
      </c>
      <c r="AI125" s="47" t="n">
        <f aca="false">INDEX($F125:$AG125,1,MATCH(AI$7,$F$7:$AG$7,1))</f>
        <v>0</v>
      </c>
      <c r="AJ125" s="47" t="n">
        <f aca="false">INDEX($F125:$AG125,1,MATCH(AJ$7,$F$7:$AG$7,1))</f>
        <v>0</v>
      </c>
      <c r="AK125" s="47" t="n">
        <f aca="false">INDEX($F125:$AG125,1,MATCH(AK$7,$F$7:$AG$7,1))</f>
        <v>0</v>
      </c>
      <c r="AL125" s="47" t="n">
        <f aca="false">INDEX($F125:$AG125,1,MATCH(AL$7,$F$7:$AG$7,1))</f>
        <v>0</v>
      </c>
      <c r="AM125" s="47" t="n">
        <f aca="false">INDEX($F125:$AG125,1,MATCH(AM$7,$F$7:$AG$7,1))</f>
        <v>0</v>
      </c>
      <c r="AN125" s="47" t="n">
        <f aca="false">INDEX($F125:$AG125,1,MATCH(AN$7,$F$7:$AG$7,1))</f>
        <v>0</v>
      </c>
      <c r="AO125" s="47" t="n">
        <f aca="false">INDEX($F125:$AG125,1,MATCH(AO$7,$F$7:$AG$7,1))</f>
        <v>0</v>
      </c>
    </row>
    <row r="126" customFormat="false" ht="15" hidden="false" customHeight="false" outlineLevel="0" collapsed="false">
      <c r="A126" s="107" t="s">
        <v>2386</v>
      </c>
      <c r="B126" s="22" t="s">
        <v>613</v>
      </c>
      <c r="C126" s="22" t="s">
        <v>540</v>
      </c>
      <c r="D126" s="22"/>
      <c r="F126" s="124" t="n">
        <f aca="false">F121*IF(DilMethod=3,1,1-$P$22)</f>
        <v>0</v>
      </c>
      <c r="G126" s="124" t="n">
        <f aca="false">G121*IF(DilMethod=3,1,1-$P$22)</f>
        <v>0</v>
      </c>
      <c r="H126" s="124" t="n">
        <f aca="false">H121*IF(DilMethod=3,1,1-$P$22)</f>
        <v>0</v>
      </c>
      <c r="I126" s="124" t="n">
        <f aca="false">I121*IF(DilMethod=3,1,1-$P$22)</f>
        <v>0</v>
      </c>
      <c r="J126" s="124" t="n">
        <f aca="false">J121*IF(DilMethod=3,1,1-$P$22)</f>
        <v>0</v>
      </c>
      <c r="K126" s="124" t="n">
        <f aca="false">K121*IF(DilMethod=3,1,1-$P$22)</f>
        <v>0</v>
      </c>
      <c r="L126" s="124" t="n">
        <f aca="false">L121*IF(DilMethod=3,1,1-$P$22)</f>
        <v>0</v>
      </c>
      <c r="M126" s="124" t="n">
        <f aca="false">M121*IF(DilMethod=3,1,1-$P$22)</f>
        <v>0</v>
      </c>
      <c r="N126" s="124" t="n">
        <f aca="false">N121*IF(DilMethod=3,1,1-$P$22)</f>
        <v>0</v>
      </c>
      <c r="O126" s="124" t="n">
        <f aca="false">O121*IF(DilMethod=3,1,1-$P$22)</f>
        <v>0</v>
      </c>
      <c r="P126" s="125" t="n">
        <f aca="false">P121*IF(DilMethod=3,1,1-$P$22)</f>
        <v>0</v>
      </c>
      <c r="Q126" s="125" t="n">
        <f aca="false">Q121*IF(DilMethod=3,1,1-$P$22)</f>
        <v>0</v>
      </c>
      <c r="R126" s="125" t="n">
        <f aca="false">R121*IF(DilMethod=3,1,1-$P$22)</f>
        <v>0</v>
      </c>
      <c r="S126" s="125" t="n">
        <f aca="false">S121*IF(DilMethod=3,1,1-$P$22)</f>
        <v>0</v>
      </c>
      <c r="T126" s="125" t="n">
        <f aca="false">T121*IF(DilMethod=3,1,1-$P$22)</f>
        <v>3854.1</v>
      </c>
      <c r="U126" s="125" t="n">
        <f aca="false">U121*IF(DilMethod=3,1,1-$P$22)</f>
        <v>3881.7</v>
      </c>
      <c r="V126" s="125" t="n">
        <f aca="false">V121*IF(DilMethod=3,1,1-$P$22)</f>
        <v>3909</v>
      </c>
      <c r="W126" s="125" t="n">
        <f aca="false">W121*IF(DilMethod=3,1,1-$P$22)</f>
        <v>3936.3</v>
      </c>
      <c r="X126" s="125" t="n">
        <f aca="false">X121*IF(DilMethod=3,1,1-$P$22)</f>
        <v>3963.9</v>
      </c>
      <c r="Y126" s="125" t="n">
        <f aca="false">Y121*IF(DilMethod=3,1,1-$P$22)</f>
        <v>3991.5</v>
      </c>
      <c r="Z126" s="125" t="n">
        <f aca="false">Z121*IF(DilMethod=3,1,1-$P$22)</f>
        <v>4018.5</v>
      </c>
      <c r="AA126" s="125" t="n">
        <f aca="false">AA121*IF(DilMethod=3,1,1-$P$22)</f>
        <v>4045.8</v>
      </c>
      <c r="AB126" s="125" t="n">
        <f aca="false">AB121*IF(DilMethod=3,1,1-$P$22)</f>
        <v>4073.4</v>
      </c>
      <c r="AC126" s="125" t="n">
        <f aca="false">AC121*IF(DilMethod=3,1,1-$P$22)</f>
        <v>4101</v>
      </c>
      <c r="AD126" s="125" t="n">
        <f aca="false">AD121*IF(DilMethod=3,1,1-$P$22)</f>
        <v>4128</v>
      </c>
      <c r="AE126" s="125" t="n">
        <f aca="false">AE121*IF(DilMethod=3,1,1-$P$22)</f>
        <v>4155.3</v>
      </c>
      <c r="AF126" s="125" t="n">
        <f aca="false">AF121*IF(DilMethod=3,1,1-$P$22)</f>
        <v>4182.9</v>
      </c>
      <c r="AG126" s="125" t="n">
        <f aca="false">AG121*IF(DilMethod=3,1,1-$P$22)</f>
        <v>4210.5</v>
      </c>
      <c r="AI126" s="125" t="n">
        <f aca="false">INDEX($F126:$AG126,1,MATCH(AI$7,$F$7:$AG$7,1))</f>
        <v>0</v>
      </c>
      <c r="AJ126" s="125" t="n">
        <f aca="false">INDEX($F126:$AG126,1,MATCH(AJ$7,$F$7:$AG$7,1))</f>
        <v>0</v>
      </c>
      <c r="AK126" s="125" t="n">
        <f aca="false">INDEX($F126:$AG126,1,MATCH(AK$7,$F$7:$AG$7,1))</f>
        <v>0</v>
      </c>
      <c r="AL126" s="125" t="n">
        <f aca="false">INDEX($F126:$AG126,1,MATCH(AL$7,$F$7:$AG$7,1))</f>
        <v>3881.7</v>
      </c>
      <c r="AM126" s="125" t="n">
        <f aca="false">INDEX($F126:$AG126,1,MATCH(AM$7,$F$7:$AG$7,1))</f>
        <v>3991.5</v>
      </c>
      <c r="AN126" s="125" t="n">
        <f aca="false">INDEX($F126:$AG126,1,MATCH(AN$7,$F$7:$AG$7,1))</f>
        <v>4101</v>
      </c>
      <c r="AO126" s="125" t="n">
        <f aca="false">INDEX($F126:$AG126,1,MATCH(AO$7,$F$7:$AG$7,1))</f>
        <v>4210.5</v>
      </c>
    </row>
    <row r="127" customFormat="false" ht="15" hidden="false" customHeight="false" outlineLevel="0" collapsed="false">
      <c r="A127" s="107" t="s">
        <v>2387</v>
      </c>
      <c r="B127" s="22" t="s">
        <v>613</v>
      </c>
      <c r="C127" s="22" t="s">
        <v>604</v>
      </c>
      <c r="D127" s="22"/>
      <c r="F127" s="124" t="n">
        <f aca="false">IF(AND(F$5&gt;=$M$23,F$5&lt;$N$23),$E$23-$F$23-IF(F$5&gt;=$H$23,$G$23,0),0)*($H$23&lt;&gt;0)+IF(AND(F$5&gt;=$M$23,F$5&lt;$N$23),$E$23-$F$23,0)*($H$23=0)</f>
        <v>0</v>
      </c>
      <c r="G127" s="124" t="n">
        <f aca="false">IF(AND(G$5&gt;=$M$23,G$5&lt;$N$23),$E$23-$F$23-IF(G$5&gt;=$H$23,$G$23,0),0)*($H$23&lt;&gt;0)+IF(AND(G$5&gt;=$M$23,G$5&lt;$N$23),$E$23-$F$23,0)*($H$23=0)</f>
        <v>0</v>
      </c>
      <c r="H127" s="124" t="n">
        <f aca="false">IF(AND(H$5&gt;=$M$23,H$5&lt;$N$23),$E$23-$F$23-IF(H$5&gt;=$H$23,$G$23,0),0)*($H$23&lt;&gt;0)+IF(AND(H$5&gt;=$M$23,H$5&lt;$N$23),$E$23-$F$23,0)*($H$23=0)</f>
        <v>0</v>
      </c>
      <c r="I127" s="124" t="n">
        <f aca="false">IF(AND(I$5&gt;=$M$23,I$5&lt;$N$23),$E$23-$F$23-IF(I$5&gt;=$H$23,$G$23,0),0)*($H$23&lt;&gt;0)+IF(AND(I$5&gt;=$M$23,I$5&lt;$N$23),$E$23-$F$23,0)*($H$23=0)</f>
        <v>0</v>
      </c>
      <c r="J127" s="124" t="n">
        <f aca="false">IF(AND(J$5&gt;=$M$23,J$5&lt;$N$23),$E$23-$F$23-IF(J$5&gt;=$H$23,$G$23,0),0)*($H$23&lt;&gt;0)+IF(AND(J$5&gt;=$M$23,J$5&lt;$N$23),$E$23-$F$23,0)*($H$23=0)</f>
        <v>0</v>
      </c>
      <c r="K127" s="124" t="n">
        <f aca="false">IF(AND(K$5&gt;=$M$23,K$5&lt;$N$23),$E$23-$F$23-IF(K$5&gt;=$H$23,$G$23,0),0)*($H$23&lt;&gt;0)+IF(AND(K$5&gt;=$M$23,K$5&lt;$N$23),$E$23-$F$23,0)*($H$23=0)</f>
        <v>0</v>
      </c>
      <c r="L127" s="124" t="n">
        <f aca="false">IF(AND(L$5&gt;=$M$23,L$5&lt;$N$23),$E$23-$F$23-IF(L$5&gt;=$H$23,$G$23,0),0)*($H$23&lt;&gt;0)+IF(AND(L$5&gt;=$M$23,L$5&lt;$N$23),$E$23-$F$23,0)*($H$23=0)</f>
        <v>0</v>
      </c>
      <c r="M127" s="124" t="n">
        <f aca="false">IF(AND(M$5&gt;=$M$23,M$5&lt;$N$23),$E$23-$F$23-IF(M$5&gt;=$H$23,$G$23,0),0)*($H$23&lt;&gt;0)+IF(AND(M$5&gt;=$M$23,M$5&lt;$N$23),$E$23-$F$23,0)*($H$23=0)</f>
        <v>0</v>
      </c>
      <c r="N127" s="124" t="n">
        <f aca="false">IF(AND(N$5&gt;=$M$23,N$5&lt;$N$23),$E$23-$F$23-IF(N$5&gt;=$H$23,$G$23,0),0)*($H$23&lt;&gt;0)+IF(AND(N$5&gt;=$M$23,N$5&lt;$N$23),$E$23-$F$23,0)*($H$23=0)</f>
        <v>0</v>
      </c>
      <c r="O127" s="124" t="n">
        <f aca="false">IF(AND(O$5&gt;=$M$23,O$5&lt;$N$23),$E$23-$F$23-IF(O$5&gt;=$H$23,$G$23,0),0)*($H$23&lt;&gt;0)+IF(AND(O$5&gt;=$M$23,O$5&lt;$N$23),$E$23-$F$23,0)*($H$23=0)</f>
        <v>0</v>
      </c>
      <c r="P127" s="125" t="n">
        <f aca="false">IF(AND(P$5&gt;=$M$23,P$5&lt;$N$23),$E$23-$F$23-IF(P$5&gt;=$H$23,$G$23,0),0)*($H$23&lt;&gt;0)+IF(AND(P$5&gt;=$M$23,P$5&lt;$N$23),$E$23-$F$23,0)*($H$23=0)</f>
        <v>0</v>
      </c>
      <c r="Q127" s="125" t="n">
        <f aca="false">IF(AND(Q$5&gt;=$M$23,Q$5&lt;$N$23),$E$23-$F$23-IF(Q$5&gt;=$H$23,$G$23,0),0)*($H$23&lt;&gt;0)+IF(AND(Q$5&gt;=$M$23,Q$5&lt;$N$23),$E$23-$F$23,0)*($H$23=0)</f>
        <v>0</v>
      </c>
      <c r="R127" s="125" t="n">
        <f aca="false">IF(AND(R$5&gt;=$M$23,R$5&lt;$N$23),$E$23-$F$23-IF(R$5&gt;=$H$23,$G$23,0),0)*($H$23&lt;&gt;0)+IF(AND(R$5&gt;=$M$23,R$5&lt;$N$23),$E$23-$F$23,0)*($H$23=0)</f>
        <v>0</v>
      </c>
      <c r="S127" s="125" t="n">
        <f aca="false">IF(AND(S$5&gt;=$M$23,S$5&lt;$N$23),$E$23-$F$23-IF(S$5&gt;=$H$23,$G$23,0),0)*($H$23&lt;&gt;0)+IF(AND(S$5&gt;=$M$23,S$5&lt;$N$23),$E$23-$F$23,0)*($H$23=0)</f>
        <v>0</v>
      </c>
      <c r="T127" s="125" t="n">
        <f aca="false">IF(AND(T$5&gt;=$M$23,T$5&lt;$N$23),$E$23-$F$23-IF(T$5&gt;=$H$23,$G$23,0),0)*($H$23&lt;&gt;0)+IF(AND(T$5&gt;=$M$23,T$5&lt;$N$23),$E$23-$F$23,0)*($H$23=0)</f>
        <v>2560</v>
      </c>
      <c r="U127" s="125" t="n">
        <f aca="false">IF(AND(U$5&gt;=$M$23,U$5&lt;$N$23),$E$23-$F$23-IF(U$5&gt;=$H$23,$G$23,0),0)*($H$23&lt;&gt;0)+IF(AND(U$5&gt;=$M$23,U$5&lt;$N$23),$E$23-$F$23,0)*($H$23=0)</f>
        <v>2560</v>
      </c>
      <c r="V127" s="125" t="n">
        <f aca="false">IF(AND(V$5&gt;=$M$23,V$5&lt;$N$23),$E$23-$F$23-IF(V$5&gt;=$H$23,$G$23,0),0)*($H$23&lt;&gt;0)+IF(AND(V$5&gt;=$M$23,V$5&lt;$N$23),$E$23-$F$23,0)*($H$23=0)</f>
        <v>2560</v>
      </c>
      <c r="W127" s="125" t="n">
        <f aca="false">IF(AND(W$5&gt;=$M$23,W$5&lt;$N$23),$E$23-$F$23-IF(W$5&gt;=$H$23,$G$23,0),0)*($H$23&lt;&gt;0)+IF(AND(W$5&gt;=$M$23,W$5&lt;$N$23),$E$23-$F$23,0)*($H$23=0)</f>
        <v>2560</v>
      </c>
      <c r="X127" s="125" t="n">
        <f aca="false">IF(AND(X$5&gt;=$M$23,X$5&lt;$N$23),$E$23-$F$23-IF(X$5&gt;=$H$23,$G$23,0),0)*($H$23&lt;&gt;0)+IF(AND(X$5&gt;=$M$23,X$5&lt;$N$23),$E$23-$F$23,0)*($H$23=0)</f>
        <v>2560</v>
      </c>
      <c r="Y127" s="125" t="n">
        <f aca="false">IF(AND(Y$5&gt;=$M$23,Y$5&lt;$N$23),$E$23-$F$23-IF(Y$5&gt;=$H$23,$G$23,0),0)*($H$23&lt;&gt;0)+IF(AND(Y$5&gt;=$M$23,Y$5&lt;$N$23),$E$23-$F$23,0)*($H$23=0)</f>
        <v>2560</v>
      </c>
      <c r="Z127" s="125" t="n">
        <f aca="false">IF(AND(Z$5&gt;=$M$23,Z$5&lt;$N$23),$E$23-$F$23-IF(Z$5&gt;=$H$23,$G$23,0),0)*($H$23&lt;&gt;0)+IF(AND(Z$5&gt;=$M$23,Z$5&lt;$N$23),$E$23-$F$23,0)*($H$23=0)</f>
        <v>2560</v>
      </c>
      <c r="AA127" s="125" t="n">
        <f aca="false">IF(AND(AA$5&gt;=$M$23,AA$5&lt;$N$23),$E$23-$F$23-IF(AA$5&gt;=$H$23,$G$23,0),0)*($H$23&lt;&gt;0)+IF(AND(AA$5&gt;=$M$23,AA$5&lt;$N$23),$E$23-$F$23,0)*($H$23=0)</f>
        <v>2560</v>
      </c>
      <c r="AB127" s="125" t="n">
        <f aca="false">IF(AND(AB$5&gt;=$M$23,AB$5&lt;$N$23),$E$23-$F$23-IF(AB$5&gt;=$H$23,$G$23,0),0)*($H$23&lt;&gt;0)+IF(AND(AB$5&gt;=$M$23,AB$5&lt;$N$23),$E$23-$F$23,0)*($H$23=0)</f>
        <v>2560</v>
      </c>
      <c r="AC127" s="125" t="n">
        <f aca="false">IF(AND(AC$5&gt;=$M$23,AC$5&lt;$N$23),$E$23-$F$23-IF(AC$5&gt;=$H$23,$G$23,0),0)*($H$23&lt;&gt;0)+IF(AND(AC$5&gt;=$M$23,AC$5&lt;$N$23),$E$23-$F$23,0)*($H$23=0)</f>
        <v>2560</v>
      </c>
      <c r="AD127" s="125" t="n">
        <f aca="false">IF(AND(AD$5&gt;=$M$23,AD$5&lt;$N$23),$E$23-$F$23-IF(AD$5&gt;=$H$23,$G$23,0),0)*($H$23&lt;&gt;0)+IF(AND(AD$5&gt;=$M$23,AD$5&lt;$N$23),$E$23-$F$23,0)*($H$23=0)</f>
        <v>2560</v>
      </c>
      <c r="AE127" s="125" t="n">
        <f aca="false">IF(AND(AE$5&gt;=$M$23,AE$5&lt;$N$23),$E$23-$F$23-IF(AE$5&gt;=$H$23,$G$23,0),0)*($H$23&lt;&gt;0)+IF(AND(AE$5&gt;=$M$23,AE$5&lt;$N$23),$E$23-$F$23,0)*($H$23=0)</f>
        <v>2560</v>
      </c>
      <c r="AF127" s="125" t="n">
        <f aca="false">IF(AND(AF$5&gt;=$M$23,AF$5&lt;$N$23),$E$23-$F$23-IF(AF$5&gt;=$H$23,$G$23,0),0)*($H$23&lt;&gt;0)+IF(AND(AF$5&gt;=$M$23,AF$5&lt;$N$23),$E$23-$F$23,0)*($H$23=0)</f>
        <v>2560</v>
      </c>
      <c r="AG127" s="125" t="n">
        <f aca="false">IF(AND(AG$5&gt;=$M$23,AG$5&lt;$N$23),$E$23-$F$23-IF(AG$5&gt;=$H$23,$G$23,0),0)*($H$23&lt;&gt;0)+IF(AND(AG$5&gt;=$M$23,AG$5&lt;$N$23),$E$23-$F$23,0)*($H$23=0)</f>
        <v>2560</v>
      </c>
      <c r="AI127" s="125" t="n">
        <f aca="false">INDEX($F127:$AG127,1,MATCH(AI$7,$F$7:$AG$7,1))</f>
        <v>0</v>
      </c>
      <c r="AJ127" s="125" t="n">
        <f aca="false">INDEX($F127:$AG127,1,MATCH(AJ$7,$F$7:$AG$7,1))</f>
        <v>0</v>
      </c>
      <c r="AK127" s="125" t="n">
        <f aca="false">INDEX($F127:$AG127,1,MATCH(AK$7,$F$7:$AG$7,1))</f>
        <v>0</v>
      </c>
      <c r="AL127" s="125" t="n">
        <f aca="false">INDEX($F127:$AG127,1,MATCH(AL$7,$F$7:$AG$7,1))</f>
        <v>2560</v>
      </c>
      <c r="AM127" s="125" t="n">
        <f aca="false">INDEX($F127:$AG127,1,MATCH(AM$7,$F$7:$AG$7,1))</f>
        <v>2560</v>
      </c>
      <c r="AN127" s="125" t="n">
        <f aca="false">INDEX($F127:$AG127,1,MATCH(AN$7,$F$7:$AG$7,1))</f>
        <v>2560</v>
      </c>
      <c r="AO127" s="125" t="n">
        <f aca="false">INDEX($F127:$AG127,1,MATCH(AO$7,$F$7:$AG$7,1))</f>
        <v>2560</v>
      </c>
    </row>
    <row r="128" customFormat="false" ht="15" hidden="false" customHeight="false" outlineLevel="0" collapsed="false">
      <c r="A128" s="107" t="s">
        <v>2388</v>
      </c>
      <c r="B128" s="22" t="s">
        <v>613</v>
      </c>
      <c r="C128" s="22" t="s">
        <v>604</v>
      </c>
      <c r="D128" s="22"/>
      <c r="F128" s="124" t="n">
        <f aca="false">F127*$C$23/4</f>
        <v>0</v>
      </c>
      <c r="G128" s="124" t="n">
        <f aca="false">G127*$C$23/4</f>
        <v>0</v>
      </c>
      <c r="H128" s="124" t="n">
        <f aca="false">H127*$C$23/4</f>
        <v>0</v>
      </c>
      <c r="I128" s="124" t="n">
        <f aca="false">I127*$C$23/4</f>
        <v>0</v>
      </c>
      <c r="J128" s="124" t="n">
        <f aca="false">J127*$C$23/4</f>
        <v>0</v>
      </c>
      <c r="K128" s="124" t="n">
        <f aca="false">K127*$C$23/4</f>
        <v>0</v>
      </c>
      <c r="L128" s="124" t="n">
        <f aca="false">L127*$C$23/4</f>
        <v>0</v>
      </c>
      <c r="M128" s="124" t="n">
        <f aca="false">M127*$C$23/4</f>
        <v>0</v>
      </c>
      <c r="N128" s="124" t="n">
        <f aca="false">N127*$C$23/4</f>
        <v>0</v>
      </c>
      <c r="O128" s="124" t="n">
        <f aca="false">O127*$C$23/4</f>
        <v>0</v>
      </c>
      <c r="P128" s="125" t="n">
        <f aca="false">P127*$C$23/4</f>
        <v>0</v>
      </c>
      <c r="Q128" s="125" t="n">
        <f aca="false">Q127*$C$23/4</f>
        <v>0</v>
      </c>
      <c r="R128" s="125" t="n">
        <f aca="false">R127*$C$23/4</f>
        <v>0</v>
      </c>
      <c r="S128" s="125" t="n">
        <f aca="false">S127*$C$23/4</f>
        <v>0</v>
      </c>
      <c r="T128" s="125" t="n">
        <f aca="false">T127*$C$23/4</f>
        <v>28.8</v>
      </c>
      <c r="U128" s="125" t="n">
        <f aca="false">U127*$C$23/4</f>
        <v>28.8</v>
      </c>
      <c r="V128" s="125" t="n">
        <f aca="false">V127*$C$23/4</f>
        <v>28.8</v>
      </c>
      <c r="W128" s="125" t="n">
        <f aca="false">W127*$C$23/4</f>
        <v>28.8</v>
      </c>
      <c r="X128" s="125" t="n">
        <f aca="false">X127*$C$23/4</f>
        <v>28.8</v>
      </c>
      <c r="Y128" s="125" t="n">
        <f aca="false">Y127*$C$23/4</f>
        <v>28.8</v>
      </c>
      <c r="Z128" s="125" t="n">
        <f aca="false">Z127*$C$23/4</f>
        <v>28.8</v>
      </c>
      <c r="AA128" s="125" t="n">
        <f aca="false">AA127*$C$23/4</f>
        <v>28.8</v>
      </c>
      <c r="AB128" s="125" t="n">
        <f aca="false">AB127*$C$23/4</f>
        <v>28.8</v>
      </c>
      <c r="AC128" s="125" t="n">
        <f aca="false">AC127*$C$23/4</f>
        <v>28.8</v>
      </c>
      <c r="AD128" s="125" t="n">
        <f aca="false">AD127*$C$23/4</f>
        <v>28.8</v>
      </c>
      <c r="AE128" s="125" t="n">
        <f aca="false">AE127*$C$23/4</f>
        <v>28.8</v>
      </c>
      <c r="AF128" s="125" t="n">
        <f aca="false">AF127*$C$23/4</f>
        <v>28.8</v>
      </c>
      <c r="AG128" s="125" t="n">
        <f aca="false">AG127*$C$23/4</f>
        <v>28.8</v>
      </c>
      <c r="AI128" s="125" t="n">
        <f aca="false">SUMIF($F$7:$AG$7,AI$7,$F128:$AG128)</f>
        <v>0</v>
      </c>
      <c r="AJ128" s="125" t="n">
        <f aca="false">SUMIF($F$7:$AG$7,AJ$7,$F128:$AG128)</f>
        <v>0</v>
      </c>
      <c r="AK128" s="125" t="n">
        <f aca="false">SUMIF($F$7:$AG$7,AK$7,$F128:$AG128)</f>
        <v>0</v>
      </c>
      <c r="AL128" s="125" t="n">
        <f aca="false">SUMIF($F$7:$AG$7,AL$7,$F128:$AG128)</f>
        <v>57.6</v>
      </c>
      <c r="AM128" s="125" t="n">
        <f aca="false">SUMIF($F$7:$AG$7,AM$7,$F128:$AG128)</f>
        <v>115.2</v>
      </c>
      <c r="AN128" s="125" t="n">
        <f aca="false">SUMIF($F$7:$AG$7,AN$7,$F128:$AG128)</f>
        <v>115.2</v>
      </c>
      <c r="AO128" s="125" t="n">
        <f aca="false">SUMIF($F$7:$AG$7,AO$7,$F128:$AG128)</f>
        <v>115.2</v>
      </c>
    </row>
    <row r="129" customFormat="false" ht="15" hidden="false" customHeight="false" outlineLevel="0" collapsed="false">
      <c r="A129" s="107" t="s">
        <v>2389</v>
      </c>
      <c r="B129" s="22" t="s">
        <v>613</v>
      </c>
      <c r="C129" s="22" t="s">
        <v>604</v>
      </c>
      <c r="D129" s="22"/>
      <c r="F129" s="124" t="n">
        <f aca="false">F127*($J$23-1)/(($D$23-$B$23)/91.3125)</f>
        <v>0</v>
      </c>
      <c r="G129" s="124" t="n">
        <f aca="false">G127*($J$23-1)/(($D$23-$B$23)/91.3125)</f>
        <v>0</v>
      </c>
      <c r="H129" s="124" t="n">
        <f aca="false">H127*($J$23-1)/(($D$23-$B$23)/91.3125)</f>
        <v>0</v>
      </c>
      <c r="I129" s="124" t="n">
        <f aca="false">I127*($J$23-1)/(($D$23-$B$23)/91.3125)</f>
        <v>0</v>
      </c>
      <c r="J129" s="124" t="n">
        <f aca="false">J127*($J$23-1)/(($D$23-$B$23)/91.3125)</f>
        <v>0</v>
      </c>
      <c r="K129" s="124" t="n">
        <f aca="false">K127*($J$23-1)/(($D$23-$B$23)/91.3125)</f>
        <v>0</v>
      </c>
      <c r="L129" s="124" t="n">
        <f aca="false">L127*($J$23-1)/(($D$23-$B$23)/91.3125)</f>
        <v>0</v>
      </c>
      <c r="M129" s="124" t="n">
        <f aca="false">M127*($J$23-1)/(($D$23-$B$23)/91.3125)</f>
        <v>0</v>
      </c>
      <c r="N129" s="124" t="n">
        <f aca="false">N127*($J$23-1)/(($D$23-$B$23)/91.3125)</f>
        <v>0</v>
      </c>
      <c r="O129" s="124" t="n">
        <f aca="false">O127*($J$23-1)/(($D$23-$B$23)/91.3125)</f>
        <v>0</v>
      </c>
      <c r="P129" s="125" t="n">
        <f aca="false">P127*($J$23-1)/(($D$23-$B$23)/91.3125)</f>
        <v>0</v>
      </c>
      <c r="Q129" s="125" t="n">
        <f aca="false">Q127*($J$23-1)/(($D$23-$B$23)/91.3125)</f>
        <v>0</v>
      </c>
      <c r="R129" s="125" t="n">
        <f aca="false">R127*($J$23-1)/(($D$23-$B$23)/91.3125)</f>
        <v>0</v>
      </c>
      <c r="S129" s="125" t="n">
        <f aca="false">S127*($J$23-1)/(($D$23-$B$23)/91.3125)</f>
        <v>0</v>
      </c>
      <c r="T129" s="125" t="n">
        <f aca="false">T127*($J$23-1)/(($D$23-$B$23)/91.3125)</f>
        <v>21.3206858810653</v>
      </c>
      <c r="U129" s="125" t="n">
        <f aca="false">U127*($J$23-1)/(($D$23-$B$23)/91.3125)</f>
        <v>21.3206858810653</v>
      </c>
      <c r="V129" s="125" t="n">
        <f aca="false">V127*($J$23-1)/(($D$23-$B$23)/91.3125)</f>
        <v>21.3206858810653</v>
      </c>
      <c r="W129" s="125" t="n">
        <f aca="false">W127*($J$23-1)/(($D$23-$B$23)/91.3125)</f>
        <v>21.3206858810653</v>
      </c>
      <c r="X129" s="125" t="n">
        <f aca="false">X127*($J$23-1)/(($D$23-$B$23)/91.3125)</f>
        <v>21.3206858810653</v>
      </c>
      <c r="Y129" s="125" t="n">
        <f aca="false">Y127*($J$23-1)/(($D$23-$B$23)/91.3125)</f>
        <v>21.3206858810653</v>
      </c>
      <c r="Z129" s="125" t="n">
        <f aca="false">Z127*($J$23-1)/(($D$23-$B$23)/91.3125)</f>
        <v>21.3206858810653</v>
      </c>
      <c r="AA129" s="125" t="n">
        <f aca="false">AA127*($J$23-1)/(($D$23-$B$23)/91.3125)</f>
        <v>21.3206858810653</v>
      </c>
      <c r="AB129" s="125" t="n">
        <f aca="false">AB127*($J$23-1)/(($D$23-$B$23)/91.3125)</f>
        <v>21.3206858810653</v>
      </c>
      <c r="AC129" s="125" t="n">
        <f aca="false">AC127*($J$23-1)/(($D$23-$B$23)/91.3125)</f>
        <v>21.3206858810653</v>
      </c>
      <c r="AD129" s="125" t="n">
        <f aca="false">AD127*($J$23-1)/(($D$23-$B$23)/91.3125)</f>
        <v>21.3206858810653</v>
      </c>
      <c r="AE129" s="125" t="n">
        <f aca="false">AE127*($J$23-1)/(($D$23-$B$23)/91.3125)</f>
        <v>21.3206858810653</v>
      </c>
      <c r="AF129" s="125" t="n">
        <f aca="false">AF127*($J$23-1)/(($D$23-$B$23)/91.3125)</f>
        <v>21.3206858810653</v>
      </c>
      <c r="AG129" s="125" t="n">
        <f aca="false">AG127*($J$23-1)/(($D$23-$B$23)/91.3125)</f>
        <v>21.3206858810653</v>
      </c>
      <c r="AI129" s="125" t="n">
        <f aca="false">SUMIF($F$7:$AG$7,AI$7,$F129:$AG129)</f>
        <v>0</v>
      </c>
      <c r="AJ129" s="125" t="n">
        <f aca="false">SUMIF($F$7:$AG$7,AJ$7,$F129:$AG129)</f>
        <v>0</v>
      </c>
      <c r="AK129" s="125" t="n">
        <f aca="false">SUMIF($F$7:$AG$7,AK$7,$F129:$AG129)</f>
        <v>0</v>
      </c>
      <c r="AL129" s="125" t="n">
        <f aca="false">SUMIF($F$7:$AG$7,AL$7,$F129:$AG129)</f>
        <v>42.6413717621306</v>
      </c>
      <c r="AM129" s="125" t="n">
        <f aca="false">SUMIF($F$7:$AG$7,AM$7,$F129:$AG129)</f>
        <v>85.2827435242612</v>
      </c>
      <c r="AN129" s="125" t="n">
        <f aca="false">SUMIF($F$7:$AG$7,AN$7,$F129:$AG129)</f>
        <v>85.2827435242612</v>
      </c>
      <c r="AO129" s="125" t="n">
        <f aca="false">SUMIF($F$7:$AG$7,AO$7,$F129:$AG129)</f>
        <v>85.2827435242612</v>
      </c>
    </row>
    <row r="130" customFormat="false" ht="15" hidden="false" customHeight="false" outlineLevel="0" collapsed="false">
      <c r="A130" s="107" t="s">
        <v>2390</v>
      </c>
      <c r="B130" s="22" t="s">
        <v>613</v>
      </c>
      <c r="C130" s="22" t="s">
        <v>604</v>
      </c>
      <c r="D130" s="22"/>
      <c r="F130" s="124" t="n">
        <f aca="false">F127*(1+($J$23-1)*MIN(1,MAX(0,(F$4-$B$23)/($D$23-$B$23))))</f>
        <v>0</v>
      </c>
      <c r="G130" s="124" t="n">
        <f aca="false">G127*(1+($J$23-1)*MIN(1,MAX(0,(G$4-$B$23)/($D$23-$B$23))))</f>
        <v>0</v>
      </c>
      <c r="H130" s="124" t="n">
        <f aca="false">H127*(1+($J$23-1)*MIN(1,MAX(0,(H$4-$B$23)/($D$23-$B$23))))</f>
        <v>0</v>
      </c>
      <c r="I130" s="124" t="n">
        <f aca="false">I127*(1+($J$23-1)*MIN(1,MAX(0,(I$4-$B$23)/($D$23-$B$23))))</f>
        <v>0</v>
      </c>
      <c r="J130" s="124" t="n">
        <f aca="false">J127*(1+($J$23-1)*MIN(1,MAX(0,(J$4-$B$23)/($D$23-$B$23))))</f>
        <v>0</v>
      </c>
      <c r="K130" s="124" t="n">
        <f aca="false">K127*(1+($J$23-1)*MIN(1,MAX(0,(K$4-$B$23)/($D$23-$B$23))))</f>
        <v>0</v>
      </c>
      <c r="L130" s="124" t="n">
        <f aca="false">L127*(1+($J$23-1)*MIN(1,MAX(0,(L$4-$B$23)/($D$23-$B$23))))</f>
        <v>0</v>
      </c>
      <c r="M130" s="124" t="n">
        <f aca="false">M127*(1+($J$23-1)*MIN(1,MAX(0,(M$4-$B$23)/($D$23-$B$23))))</f>
        <v>0</v>
      </c>
      <c r="N130" s="124" t="n">
        <f aca="false">N127*(1+($J$23-1)*MIN(1,MAX(0,(N$4-$B$23)/($D$23-$B$23))))</f>
        <v>0</v>
      </c>
      <c r="O130" s="124" t="n">
        <f aca="false">O127*(1+($J$23-1)*MIN(1,MAX(0,(O$4-$B$23)/($D$23-$B$23))))</f>
        <v>0</v>
      </c>
      <c r="P130" s="125" t="n">
        <f aca="false">P127*(1+($J$23-1)*MIN(1,MAX(0,(P$4-$B$23)/($D$23-$B$23))))</f>
        <v>0</v>
      </c>
      <c r="Q130" s="125" t="n">
        <f aca="false">Q127*(1+($J$23-1)*MIN(1,MAX(0,(Q$4-$B$23)/($D$23-$B$23))))</f>
        <v>0</v>
      </c>
      <c r="R130" s="125" t="n">
        <f aca="false">R127*(1+($J$23-1)*MIN(1,MAX(0,(R$4-$B$23)/($D$23-$B$23))))</f>
        <v>0</v>
      </c>
      <c r="S130" s="125" t="n">
        <f aca="false">S127*(1+($J$23-1)*MIN(1,MAX(0,(S$4-$B$23)/($D$23-$B$23))))</f>
        <v>0</v>
      </c>
      <c r="T130" s="125" t="n">
        <f aca="false">T127*(1+($J$23-1)*MIN(1,MAX(0,(T$4-$B$23)/($D$23-$B$23))))</f>
        <v>2570.97409704487</v>
      </c>
      <c r="U130" s="125" t="n">
        <f aca="false">U127*(1+($J$23-1)*MIN(1,MAX(0,(U$4-$B$23)/($D$23-$B$23))))</f>
        <v>2592.45530828165</v>
      </c>
      <c r="V130" s="125" t="n">
        <f aca="false">V127*(1+($J$23-1)*MIN(1,MAX(0,(V$4-$B$23)/($D$23-$B$23))))</f>
        <v>2613.70302809194</v>
      </c>
      <c r="W130" s="125" t="n">
        <f aca="false">W127*(1+($J$23-1)*MIN(1,MAX(0,(W$4-$B$23)/($D$23-$B$23))))</f>
        <v>2634.95074790223</v>
      </c>
      <c r="X130" s="125" t="n">
        <f aca="false">X127*(1+($J$23-1)*MIN(1,MAX(0,(X$4-$B$23)/($D$23-$B$23))))</f>
        <v>2656.431959139</v>
      </c>
      <c r="Y130" s="125" t="n">
        <f aca="false">Y127*(1+($J$23-1)*MIN(1,MAX(0,(Y$4-$B$23)/($D$23-$B$23))))</f>
        <v>2677.91317037578</v>
      </c>
      <c r="Z130" s="125" t="n">
        <f aca="false">Z127*(1+($J$23-1)*MIN(1,MAX(0,(Z$4-$B$23)/($D$23-$B$23))))</f>
        <v>2698.92739875958</v>
      </c>
      <c r="AA130" s="125" t="n">
        <f aca="false">AA127*(1+($J$23-1)*MIN(1,MAX(0,(AA$4-$B$23)/($D$23-$B$23))))</f>
        <v>2720.17511856987</v>
      </c>
      <c r="AB130" s="125" t="n">
        <f aca="false">AB127*(1+($J$23-1)*MIN(1,MAX(0,(AB$4-$B$23)/($D$23-$B$23))))</f>
        <v>2741.65632980664</v>
      </c>
      <c r="AC130" s="125" t="n">
        <f aca="false">AC127*(1+($J$23-1)*MIN(1,MAX(0,(AC$4-$B$23)/($D$23-$B$23))))</f>
        <v>2763.13754104342</v>
      </c>
      <c r="AD130" s="125" t="n">
        <f aca="false">AD127*(1+($J$23-1)*MIN(1,MAX(0,(AD$4-$B$23)/($D$23-$B$23))))</f>
        <v>2784.15176942722</v>
      </c>
      <c r="AE130" s="125" t="n">
        <f aca="false">AE127*(1+($J$23-1)*MIN(1,MAX(0,(AE$4-$B$23)/($D$23-$B$23))))</f>
        <v>2805.3994892375</v>
      </c>
      <c r="AF130" s="125" t="n">
        <f aca="false">AF127*(1+($J$23-1)*MIN(1,MAX(0,(AF$4-$B$23)/($D$23-$B$23))))</f>
        <v>2826.88070047428</v>
      </c>
      <c r="AG130" s="125" t="n">
        <f aca="false">AG127*(1+($J$23-1)*MIN(1,MAX(0,(AG$4-$B$23)/($D$23-$B$23))))</f>
        <v>2848.36191171105</v>
      </c>
      <c r="AI130" s="125" t="n">
        <f aca="false">INDEX($F130:$AG130,1,MATCH(AI$7,$F$7:$AG$7,1))</f>
        <v>0</v>
      </c>
      <c r="AJ130" s="125" t="n">
        <f aca="false">INDEX($F130:$AG130,1,MATCH(AJ$7,$F$7:$AG$7,1))</f>
        <v>0</v>
      </c>
      <c r="AK130" s="125" t="n">
        <f aca="false">INDEX($F130:$AG130,1,MATCH(AK$7,$F$7:$AG$7,1))</f>
        <v>0</v>
      </c>
      <c r="AL130" s="125" t="n">
        <f aca="false">INDEX($F130:$AG130,1,MATCH(AL$7,$F$7:$AG$7,1))</f>
        <v>2592.45530828165</v>
      </c>
      <c r="AM130" s="125" t="n">
        <f aca="false">INDEX($F130:$AG130,1,MATCH(AM$7,$F$7:$AG$7,1))</f>
        <v>2677.91317037578</v>
      </c>
      <c r="AN130" s="125" t="n">
        <f aca="false">INDEX($F130:$AG130,1,MATCH(AN$7,$F$7:$AG$7,1))</f>
        <v>2763.13754104342</v>
      </c>
      <c r="AO130" s="125" t="n">
        <f aca="false">INDEX($F130:$AG130,1,MATCH(AO$7,$F$7:$AG$7,1))</f>
        <v>2848.36191171105</v>
      </c>
    </row>
    <row r="131" customFormat="false" ht="15" hidden="false" customHeight="false" outlineLevel="0" collapsed="false">
      <c r="A131" s="107" t="s">
        <v>2391</v>
      </c>
      <c r="B131" s="22" t="s">
        <v>613</v>
      </c>
      <c r="C131" s="22" t="s">
        <v>604</v>
      </c>
      <c r="D131" s="22"/>
      <c r="F131" s="124" t="n">
        <f aca="false">F127*($S$23+($J$23-$S$23)*MIN(1,MAX(0,(F$4-$T$23)/($D$23-$T$23))))</f>
        <v>0</v>
      </c>
      <c r="G131" s="124" t="n">
        <f aca="false">G127*($S$23+($J$23-$S$23)*MIN(1,MAX(0,(G$4-$T$23)/($D$23-$T$23))))</f>
        <v>0</v>
      </c>
      <c r="H131" s="124" t="n">
        <f aca="false">H127*($S$23+($J$23-$S$23)*MIN(1,MAX(0,(H$4-$T$23)/($D$23-$T$23))))</f>
        <v>0</v>
      </c>
      <c r="I131" s="124" t="n">
        <f aca="false">I127*($S$23+($J$23-$S$23)*MIN(1,MAX(0,(I$4-$T$23)/($D$23-$T$23))))</f>
        <v>0</v>
      </c>
      <c r="J131" s="124" t="n">
        <f aca="false">J127*($S$23+($J$23-$S$23)*MIN(1,MAX(0,(J$4-$T$23)/($D$23-$T$23))))</f>
        <v>0</v>
      </c>
      <c r="K131" s="124" t="n">
        <f aca="false">K127*($S$23+($J$23-$S$23)*MIN(1,MAX(0,(K$4-$T$23)/($D$23-$T$23))))</f>
        <v>0</v>
      </c>
      <c r="L131" s="124" t="n">
        <f aca="false">L127*($S$23+($J$23-$S$23)*MIN(1,MAX(0,(L$4-$T$23)/($D$23-$T$23))))</f>
        <v>0</v>
      </c>
      <c r="M131" s="124" t="n">
        <f aca="false">M127*($S$23+($J$23-$S$23)*MIN(1,MAX(0,(M$4-$T$23)/($D$23-$T$23))))</f>
        <v>0</v>
      </c>
      <c r="N131" s="124" t="n">
        <f aca="false">N127*($S$23+($J$23-$S$23)*MIN(1,MAX(0,(N$4-$T$23)/($D$23-$T$23))))</f>
        <v>0</v>
      </c>
      <c r="O131" s="124" t="n">
        <f aca="false">O127*($S$23+($J$23-$S$23)*MIN(1,MAX(0,(O$4-$T$23)/($D$23-$T$23))))</f>
        <v>0</v>
      </c>
      <c r="P131" s="125" t="n">
        <f aca="false">P127*($S$23+($J$23-$S$23)*MIN(1,MAX(0,(P$4-$T$23)/($D$23-$T$23))))</f>
        <v>0</v>
      </c>
      <c r="Q131" s="125" t="n">
        <f aca="false">Q127*($S$23+($J$23-$S$23)*MIN(1,MAX(0,(Q$4-$T$23)/($D$23-$T$23))))</f>
        <v>0</v>
      </c>
      <c r="R131" s="125" t="n">
        <f aca="false">R127*($S$23+($J$23-$S$23)*MIN(1,MAX(0,(R$4-$T$23)/($D$23-$T$23))))</f>
        <v>0</v>
      </c>
      <c r="S131" s="125" t="n">
        <f aca="false">S127*($S$23+($J$23-$S$23)*MIN(1,MAX(0,(S$4-$T$23)/($D$23-$T$23))))</f>
        <v>0</v>
      </c>
      <c r="T131" s="125" t="n">
        <f aca="false">T127*($S$23+($J$23-$S$23)*MIN(1,MAX(0,(T$4-$T$23)/($D$23-$T$23))))</f>
        <v>2570.97409704487</v>
      </c>
      <c r="U131" s="125" t="n">
        <f aca="false">U127*($S$23+($J$23-$S$23)*MIN(1,MAX(0,(U$4-$T$23)/($D$23-$T$23))))</f>
        <v>2592.45530828165</v>
      </c>
      <c r="V131" s="125" t="n">
        <f aca="false">V127*($S$23+($J$23-$S$23)*MIN(1,MAX(0,(V$4-$T$23)/($D$23-$T$23))))</f>
        <v>2613.70302809194</v>
      </c>
      <c r="W131" s="125" t="n">
        <f aca="false">W127*($S$23+($J$23-$S$23)*MIN(1,MAX(0,(W$4-$T$23)/($D$23-$T$23))))</f>
        <v>2634.95074790223</v>
      </c>
      <c r="X131" s="125" t="n">
        <f aca="false">X127*($S$23+($J$23-$S$23)*MIN(1,MAX(0,(X$4-$T$23)/($D$23-$T$23))))</f>
        <v>2656.431959139</v>
      </c>
      <c r="Y131" s="125" t="n">
        <f aca="false">Y127*($S$23+($J$23-$S$23)*MIN(1,MAX(0,(Y$4-$T$23)/($D$23-$T$23))))</f>
        <v>2677.91317037578</v>
      </c>
      <c r="Z131" s="125" t="n">
        <f aca="false">Z127*($S$23+($J$23-$S$23)*MIN(1,MAX(0,(Z$4-$T$23)/($D$23-$T$23))))</f>
        <v>2698.92739875958</v>
      </c>
      <c r="AA131" s="125" t="n">
        <f aca="false">AA127*($S$23+($J$23-$S$23)*MIN(1,MAX(0,(AA$4-$T$23)/($D$23-$T$23))))</f>
        <v>2720.17511856987</v>
      </c>
      <c r="AB131" s="125" t="n">
        <f aca="false">AB127*($S$23+($J$23-$S$23)*MIN(1,MAX(0,(AB$4-$T$23)/($D$23-$T$23))))</f>
        <v>2741.65632980664</v>
      </c>
      <c r="AC131" s="125" t="n">
        <f aca="false">AC127*($S$23+($J$23-$S$23)*MIN(1,MAX(0,(AC$4-$T$23)/($D$23-$T$23))))</f>
        <v>2763.13754104342</v>
      </c>
      <c r="AD131" s="125" t="n">
        <f aca="false">AD127*($S$23+($J$23-$S$23)*MIN(1,MAX(0,(AD$4-$T$23)/($D$23-$T$23))))</f>
        <v>2784.15176942722</v>
      </c>
      <c r="AE131" s="125" t="n">
        <f aca="false">AE127*($S$23+($J$23-$S$23)*MIN(1,MAX(0,(AE$4-$T$23)/($D$23-$T$23))))</f>
        <v>2805.3994892375</v>
      </c>
      <c r="AF131" s="125" t="n">
        <f aca="false">AF127*($S$23+($J$23-$S$23)*MIN(1,MAX(0,(AF$4-$T$23)/($D$23-$T$23))))</f>
        <v>2826.88070047428</v>
      </c>
      <c r="AG131" s="125" t="n">
        <f aca="false">AG127*($S$23+($J$23-$S$23)*MIN(1,MAX(0,(AG$4-$T$23)/($D$23-$T$23))))</f>
        <v>2848.36191171105</v>
      </c>
      <c r="AI131" s="125" t="n">
        <f aca="false">INDEX($F131:$AG131,1,MATCH(AI$7,$F$7:$AG$7,1))</f>
        <v>0</v>
      </c>
      <c r="AJ131" s="125" t="n">
        <f aca="false">INDEX($F131:$AG131,1,MATCH(AJ$7,$F$7:$AG$7,1))</f>
        <v>0</v>
      </c>
      <c r="AK131" s="125" t="n">
        <f aca="false">INDEX($F131:$AG131,1,MATCH(AK$7,$F$7:$AG$7,1))</f>
        <v>0</v>
      </c>
      <c r="AL131" s="125" t="n">
        <f aca="false">INDEX($F131:$AG131,1,MATCH(AL$7,$F$7:$AG$7,1))</f>
        <v>2592.45530828165</v>
      </c>
      <c r="AM131" s="125" t="n">
        <f aca="false">INDEX($F131:$AG131,1,MATCH(AM$7,$F$7:$AG$7,1))</f>
        <v>2677.91317037578</v>
      </c>
      <c r="AN131" s="125" t="n">
        <f aca="false">INDEX($F131:$AG131,1,MATCH(AN$7,$F$7:$AG$7,1))</f>
        <v>2763.13754104342</v>
      </c>
      <c r="AO131" s="125" t="n">
        <f aca="false">INDEX($F131:$AG131,1,MATCH(AO$7,$F$7:$AG$7,1))</f>
        <v>2848.36191171105</v>
      </c>
    </row>
    <row r="132" customFormat="false" ht="15" hidden="false" customHeight="false" outlineLevel="0" collapsed="false">
      <c r="A132" s="107" t="s">
        <v>2392</v>
      </c>
      <c r="B132" s="22" t="s">
        <v>613</v>
      </c>
      <c r="C132" s="22" t="s">
        <v>604</v>
      </c>
      <c r="D132" s="22"/>
      <c r="F132" s="124" t="n">
        <f aca="false">IF(F$5=$N$23,E127*$J$23*(1-$O$23),0)</f>
        <v>0</v>
      </c>
      <c r="G132" s="124" t="n">
        <f aca="false">IF(G$5=$N$23,F127*$J$23*(1-$O$23),0)</f>
        <v>0</v>
      </c>
      <c r="H132" s="124" t="n">
        <f aca="false">IF(H$5=$N$23,G127*$J$23*(1-$O$23),0)</f>
        <v>0</v>
      </c>
      <c r="I132" s="124" t="n">
        <f aca="false">IF(I$5=$N$23,H127*$J$23*(1-$O$23),0)</f>
        <v>0</v>
      </c>
      <c r="J132" s="124" t="n">
        <f aca="false">IF(J$5=$N$23,I127*$J$23*(1-$O$23),0)</f>
        <v>0</v>
      </c>
      <c r="K132" s="124" t="n">
        <f aca="false">IF(K$5=$N$23,J127*$J$23*(1-$O$23),0)</f>
        <v>0</v>
      </c>
      <c r="L132" s="124" t="n">
        <f aca="false">IF(L$5=$N$23,K127*$J$23*(1-$O$23),0)</f>
        <v>0</v>
      </c>
      <c r="M132" s="124" t="n">
        <f aca="false">IF(M$5=$N$23,L127*$J$23*(1-$O$23),0)</f>
        <v>0</v>
      </c>
      <c r="N132" s="124" t="n">
        <f aca="false">IF(N$5=$N$23,M127*$J$23*(1-$O$23),0)</f>
        <v>0</v>
      </c>
      <c r="O132" s="124" t="n">
        <f aca="false">IF(O$5=$N$23,N127*$J$23*(1-$O$23),0)</f>
        <v>0</v>
      </c>
      <c r="P132" s="125" t="n">
        <f aca="false">IF(P$5=$N$23,O127*$J$23*(1-$O$23),0)</f>
        <v>0</v>
      </c>
      <c r="Q132" s="125" t="n">
        <f aca="false">IF(Q$5=$N$23,P127*$J$23*(1-$O$23),0)</f>
        <v>0</v>
      </c>
      <c r="R132" s="125" t="n">
        <f aca="false">IF(R$5=$N$23,Q127*$J$23*(1-$O$23),0)</f>
        <v>0</v>
      </c>
      <c r="S132" s="125" t="n">
        <f aca="false">IF(S$5=$N$23,R127*$J$23*(1-$O$23),0)</f>
        <v>0</v>
      </c>
      <c r="T132" s="125" t="n">
        <f aca="false">IF(T$5=$N$23,S127*$J$23*(1-$O$23),0)</f>
        <v>0</v>
      </c>
      <c r="U132" s="125" t="n">
        <f aca="false">IF(U$5=$N$23,T127*$J$23*(1-$O$23),0)</f>
        <v>0</v>
      </c>
      <c r="V132" s="125" t="n">
        <f aca="false">IF(V$5=$N$23,U127*$J$23*(1-$O$23),0)</f>
        <v>0</v>
      </c>
      <c r="W132" s="125" t="n">
        <f aca="false">IF(W$5=$N$23,V127*$J$23*(1-$O$23),0)</f>
        <v>0</v>
      </c>
      <c r="X132" s="125" t="n">
        <f aca="false">IF(X$5=$N$23,W127*$J$23*(1-$O$23),0)</f>
        <v>0</v>
      </c>
      <c r="Y132" s="125" t="n">
        <f aca="false">IF(Y$5=$N$23,X127*$J$23*(1-$O$23),0)</f>
        <v>0</v>
      </c>
      <c r="Z132" s="125" t="n">
        <f aca="false">IF(Z$5=$N$23,Y127*$J$23*(1-$O$23),0)</f>
        <v>0</v>
      </c>
      <c r="AA132" s="125" t="n">
        <f aca="false">IF(AA$5=$N$23,Z127*$J$23*(1-$O$23),0)</f>
        <v>0</v>
      </c>
      <c r="AB132" s="125" t="n">
        <f aca="false">IF(AB$5=$N$23,AA127*$J$23*(1-$O$23),0)</f>
        <v>0</v>
      </c>
      <c r="AC132" s="125" t="n">
        <f aca="false">IF(AC$5=$N$23,AB127*$J$23*(1-$O$23),0)</f>
        <v>0</v>
      </c>
      <c r="AD132" s="125" t="n">
        <f aca="false">IF(AD$5=$N$23,AC127*$J$23*(1-$O$23),0)</f>
        <v>0</v>
      </c>
      <c r="AE132" s="125" t="n">
        <f aca="false">IF(AE$5=$N$23,AD127*$J$23*(1-$O$23),0)</f>
        <v>0</v>
      </c>
      <c r="AF132" s="125" t="n">
        <f aca="false">IF(AF$5=$N$23,AE127*$J$23*(1-$O$23),0)</f>
        <v>0</v>
      </c>
      <c r="AG132" s="125" t="n">
        <f aca="false">IF(AG$5=$N$23,AF127*$J$23*(1-$O$23),0)</f>
        <v>0</v>
      </c>
      <c r="AI132" s="125" t="n">
        <f aca="false">SUMIF($F$7:$AG$7,AI$7,$F132:$AG132)</f>
        <v>0</v>
      </c>
      <c r="AJ132" s="125" t="n">
        <f aca="false">SUMIF($F$7:$AG$7,AJ$7,$F132:$AG132)</f>
        <v>0</v>
      </c>
      <c r="AK132" s="125" t="n">
        <f aca="false">SUMIF($F$7:$AG$7,AK$7,$F132:$AG132)</f>
        <v>0</v>
      </c>
      <c r="AL132" s="125" t="n">
        <f aca="false">SUMIF($F$7:$AG$7,AL$7,$F132:$AG132)</f>
        <v>0</v>
      </c>
      <c r="AM132" s="125" t="n">
        <f aca="false">SUMIF($F$7:$AG$7,AM$7,$F132:$AG132)</f>
        <v>0</v>
      </c>
      <c r="AN132" s="125" t="n">
        <f aca="false">SUMIF($F$7:$AG$7,AN$7,$F132:$AG132)</f>
        <v>0</v>
      </c>
      <c r="AO132" s="125" t="n">
        <f aca="false">SUMIF($F$7:$AG$7,AO$7,$F132:$AG132)</f>
        <v>0</v>
      </c>
    </row>
    <row r="133" customFormat="false" ht="15" hidden="false" customHeight="false" outlineLevel="0" collapsed="false">
      <c r="A133" s="107" t="s">
        <v>2393</v>
      </c>
      <c r="B133" s="22" t="s">
        <v>635</v>
      </c>
      <c r="C133" s="22" t="s">
        <v>604</v>
      </c>
      <c r="D133" s="22"/>
      <c r="F133" s="140" t="n">
        <f aca="false">IF(F$5=$N$23,E127*$K$23/1000*$O$23,0)</f>
        <v>0</v>
      </c>
      <c r="G133" s="140" t="n">
        <f aca="false">IF(G$5=$N$23,F127*$K$23/1000*$O$23,0)</f>
        <v>0</v>
      </c>
      <c r="H133" s="140" t="n">
        <f aca="false">IF(H$5=$N$23,G127*$K$23/1000*$O$23,0)</f>
        <v>0</v>
      </c>
      <c r="I133" s="140" t="n">
        <f aca="false">IF(I$5=$N$23,H127*$K$23/1000*$O$23,0)</f>
        <v>0</v>
      </c>
      <c r="J133" s="140" t="n">
        <f aca="false">IF(J$5=$N$23,I127*$K$23/1000*$O$23,0)</f>
        <v>0</v>
      </c>
      <c r="K133" s="140" t="n">
        <f aca="false">IF(K$5=$N$23,J127*$K$23/1000*$O$23,0)</f>
        <v>0</v>
      </c>
      <c r="L133" s="140" t="n">
        <f aca="false">IF(L$5=$N$23,K127*$K$23/1000*$O$23,0)</f>
        <v>0</v>
      </c>
      <c r="M133" s="140" t="n">
        <f aca="false">IF(M$5=$N$23,L127*$K$23/1000*$O$23,0)</f>
        <v>0</v>
      </c>
      <c r="N133" s="140" t="n">
        <f aca="false">IF(N$5=$N$23,M127*$K$23/1000*$O$23,0)</f>
        <v>0</v>
      </c>
      <c r="O133" s="140" t="n">
        <f aca="false">IF(O$5=$N$23,N127*$K$23/1000*$O$23,0)</f>
        <v>0</v>
      </c>
      <c r="P133" s="47" t="n">
        <f aca="false">IF(P$5=$N$23,O127*$K$23/1000*$O$23,0)</f>
        <v>0</v>
      </c>
      <c r="Q133" s="47" t="n">
        <f aca="false">IF(Q$5=$N$23,P127*$K$23/1000*$O$23,0)</f>
        <v>0</v>
      </c>
      <c r="R133" s="47" t="n">
        <f aca="false">IF(R$5=$N$23,Q127*$K$23/1000*$O$23,0)</f>
        <v>0</v>
      </c>
      <c r="S133" s="47" t="n">
        <f aca="false">IF(S$5=$N$23,R127*$K$23/1000*$O$23,0)</f>
        <v>0</v>
      </c>
      <c r="T133" s="47" t="n">
        <f aca="false">IF(T$5=$N$23,S127*$K$23/1000*$O$23,0)</f>
        <v>0</v>
      </c>
      <c r="U133" s="47" t="n">
        <f aca="false">IF(U$5=$N$23,T127*$K$23/1000*$O$23,0)</f>
        <v>0</v>
      </c>
      <c r="V133" s="47" t="n">
        <f aca="false">IF(V$5=$N$23,U127*$K$23/1000*$O$23,0)</f>
        <v>0</v>
      </c>
      <c r="W133" s="47" t="n">
        <f aca="false">IF(W$5=$N$23,V127*$K$23/1000*$O$23,0)</f>
        <v>0</v>
      </c>
      <c r="X133" s="47" t="n">
        <f aca="false">IF(X$5=$N$23,W127*$K$23/1000*$O$23,0)</f>
        <v>0</v>
      </c>
      <c r="Y133" s="47" t="n">
        <f aca="false">IF(Y$5=$N$23,X127*$K$23/1000*$O$23,0)</f>
        <v>0</v>
      </c>
      <c r="Z133" s="47" t="n">
        <f aca="false">IF(Z$5=$N$23,Y127*$K$23/1000*$O$23,0)</f>
        <v>0</v>
      </c>
      <c r="AA133" s="47" t="n">
        <f aca="false">IF(AA$5=$N$23,Z127*$K$23/1000*$O$23,0)</f>
        <v>0</v>
      </c>
      <c r="AB133" s="47" t="n">
        <f aca="false">IF(AB$5=$N$23,AA127*$K$23/1000*$O$23,0)</f>
        <v>0</v>
      </c>
      <c r="AC133" s="47" t="n">
        <f aca="false">IF(AC$5=$N$23,AB127*$K$23/1000*$O$23,0)</f>
        <v>0</v>
      </c>
      <c r="AD133" s="47" t="n">
        <f aca="false">IF(AD$5=$N$23,AC127*$K$23/1000*$O$23,0)</f>
        <v>0</v>
      </c>
      <c r="AE133" s="47" t="n">
        <f aca="false">IF(AE$5=$N$23,AD127*$K$23/1000*$O$23,0)</f>
        <v>0</v>
      </c>
      <c r="AF133" s="47" t="n">
        <f aca="false">IF(AF$5=$N$23,AE127*$K$23/1000*$O$23,0)</f>
        <v>0</v>
      </c>
      <c r="AG133" s="47" t="n">
        <f aca="false">IF(AG$5=$N$23,AF127*$K$23/1000*$O$23,0)</f>
        <v>0</v>
      </c>
      <c r="AI133" s="47" t="n">
        <f aca="false">SUMIF($F$7:$AG$7,AI$7,$F133:$AG133)</f>
        <v>0</v>
      </c>
      <c r="AJ133" s="47" t="n">
        <f aca="false">SUMIF($F$7:$AG$7,AJ$7,$F133:$AG133)</f>
        <v>0</v>
      </c>
      <c r="AK133" s="47" t="n">
        <f aca="false">SUMIF($F$7:$AG$7,AK$7,$F133:$AG133)</f>
        <v>0</v>
      </c>
      <c r="AL133" s="47" t="n">
        <f aca="false">SUMIF($F$7:$AG$7,AL$7,$F133:$AG133)</f>
        <v>0</v>
      </c>
      <c r="AM133" s="47" t="n">
        <f aca="false">SUMIF($F$7:$AG$7,AM$7,$F133:$AG133)</f>
        <v>0</v>
      </c>
      <c r="AN133" s="47" t="n">
        <f aca="false">SUMIF($F$7:$AG$7,AN$7,$F133:$AG133)</f>
        <v>0</v>
      </c>
      <c r="AO133" s="47" t="n">
        <f aca="false">SUMIF($F$7:$AG$7,AO$7,$F133:$AG133)</f>
        <v>0</v>
      </c>
    </row>
    <row r="134" customFormat="false" ht="15" hidden="false" customHeight="false" outlineLevel="0" collapsed="false">
      <c r="A134" s="107" t="s">
        <v>2394</v>
      </c>
      <c r="B134" s="22" t="s">
        <v>635</v>
      </c>
      <c r="C134" s="22" t="s">
        <v>540</v>
      </c>
      <c r="D134" s="22"/>
      <c r="F134" s="140" t="n">
        <f aca="false">IF(DilMethod=3,MAX(0,F127*$K$23/1000*DilPx-F130)/DilPx,F127*$K$23/1000*$P$23)</f>
        <v>0</v>
      </c>
      <c r="G134" s="140" t="n">
        <f aca="false">IF(DilMethod=3,MAX(0,G127*$K$23/1000*DilPx-G130)/DilPx,G127*$K$23/1000*$P$23)</f>
        <v>0</v>
      </c>
      <c r="H134" s="140" t="n">
        <f aca="false">IF(DilMethod=3,MAX(0,H127*$K$23/1000*DilPx-H130)/DilPx,H127*$K$23/1000*$P$23)</f>
        <v>0</v>
      </c>
      <c r="I134" s="140" t="n">
        <f aca="false">IF(DilMethod=3,MAX(0,I127*$K$23/1000*DilPx-I130)/DilPx,I127*$K$23/1000*$P$23)</f>
        <v>0</v>
      </c>
      <c r="J134" s="140" t="n">
        <f aca="false">IF(DilMethod=3,MAX(0,J127*$K$23/1000*DilPx-J130)/DilPx,J127*$K$23/1000*$P$23)</f>
        <v>0</v>
      </c>
      <c r="K134" s="140" t="n">
        <f aca="false">IF(DilMethod=3,MAX(0,K127*$K$23/1000*DilPx-K130)/DilPx,K127*$K$23/1000*$P$23)</f>
        <v>0</v>
      </c>
      <c r="L134" s="140" t="n">
        <f aca="false">IF(DilMethod=3,MAX(0,L127*$K$23/1000*DilPx-L130)/DilPx,L127*$K$23/1000*$P$23)</f>
        <v>0</v>
      </c>
      <c r="M134" s="140" t="n">
        <f aca="false">IF(DilMethod=3,MAX(0,M127*$K$23/1000*DilPx-M130)/DilPx,M127*$K$23/1000*$P$23)</f>
        <v>0</v>
      </c>
      <c r="N134" s="140" t="n">
        <f aca="false">IF(DilMethod=3,MAX(0,N127*$K$23/1000*DilPx-N130)/DilPx,N127*$K$23/1000*$P$23)</f>
        <v>0</v>
      </c>
      <c r="O134" s="140" t="n">
        <f aca="false">IF(DilMethod=3,MAX(0,O127*$K$23/1000*DilPx-O130)/DilPx,O127*$K$23/1000*$P$23)</f>
        <v>0</v>
      </c>
      <c r="P134" s="47" t="n">
        <f aca="false">IF(DilMethod=3,MAX(0,P127*$K$23/1000*DilPx-P130)/DilPx,P127*$K$23/1000*$P$23)</f>
        <v>0</v>
      </c>
      <c r="Q134" s="47" t="n">
        <f aca="false">IF(DilMethod=3,MAX(0,Q127*$K$23/1000*DilPx-Q130)/DilPx,Q127*$K$23/1000*$P$23)</f>
        <v>0</v>
      </c>
      <c r="R134" s="47" t="n">
        <f aca="false">IF(DilMethod=3,MAX(0,R127*$K$23/1000*DilPx-R130)/DilPx,R127*$K$23/1000*$P$23)</f>
        <v>0</v>
      </c>
      <c r="S134" s="47" t="n">
        <f aca="false">IF(DilMethod=3,MAX(0,S127*$K$23/1000*DilPx-S130)/DilPx,S127*$K$23/1000*$P$23)</f>
        <v>0</v>
      </c>
      <c r="T134" s="47" t="n">
        <f aca="false">IF(DilMethod=3,MAX(0,T127*$K$23/1000*DilPx-T130)/DilPx,T127*$K$23/1000*$P$23)</f>
        <v>0</v>
      </c>
      <c r="U134" s="47" t="n">
        <f aca="false">IF(DilMethod=3,MAX(0,U127*$K$23/1000*DilPx-U130)/DilPx,U127*$K$23/1000*$P$23)</f>
        <v>0</v>
      </c>
      <c r="V134" s="47" t="n">
        <f aca="false">IF(DilMethod=3,MAX(0,V127*$K$23/1000*DilPx-V130)/DilPx,V127*$K$23/1000*$P$23)</f>
        <v>0</v>
      </c>
      <c r="W134" s="47" t="n">
        <f aca="false">IF(DilMethod=3,MAX(0,W127*$K$23/1000*DilPx-W130)/DilPx,W127*$K$23/1000*$P$23)</f>
        <v>0</v>
      </c>
      <c r="X134" s="47" t="n">
        <f aca="false">IF(DilMethod=3,MAX(0,X127*$K$23/1000*DilPx-X130)/DilPx,X127*$K$23/1000*$P$23)</f>
        <v>0</v>
      </c>
      <c r="Y134" s="47" t="n">
        <f aca="false">IF(DilMethod=3,MAX(0,Y127*$K$23/1000*DilPx-Y130)/DilPx,Y127*$K$23/1000*$P$23)</f>
        <v>0</v>
      </c>
      <c r="Z134" s="47" t="n">
        <f aca="false">IF(DilMethod=3,MAX(0,Z127*$K$23/1000*DilPx-Z130)/DilPx,Z127*$K$23/1000*$P$23)</f>
        <v>0</v>
      </c>
      <c r="AA134" s="47" t="n">
        <f aca="false">IF(DilMethod=3,MAX(0,AA127*$K$23/1000*DilPx-AA130)/DilPx,AA127*$K$23/1000*$P$23)</f>
        <v>0</v>
      </c>
      <c r="AB134" s="47" t="n">
        <f aca="false">IF(DilMethod=3,MAX(0,AB127*$K$23/1000*DilPx-AB130)/DilPx,AB127*$K$23/1000*$P$23)</f>
        <v>0</v>
      </c>
      <c r="AC134" s="47" t="n">
        <f aca="false">IF(DilMethod=3,MAX(0,AC127*$K$23/1000*DilPx-AC130)/DilPx,AC127*$K$23/1000*$P$23)</f>
        <v>0</v>
      </c>
      <c r="AD134" s="47" t="n">
        <f aca="false">IF(DilMethod=3,MAX(0,AD127*$K$23/1000*DilPx-AD130)/DilPx,AD127*$K$23/1000*$P$23)</f>
        <v>0</v>
      </c>
      <c r="AE134" s="47" t="n">
        <f aca="false">IF(DilMethod=3,MAX(0,AE127*$K$23/1000*DilPx-AE130)/DilPx,AE127*$K$23/1000*$P$23)</f>
        <v>0</v>
      </c>
      <c r="AF134" s="47" t="n">
        <f aca="false">IF(DilMethod=3,MAX(0,AF127*$K$23/1000*DilPx-AF130)/DilPx,AF127*$K$23/1000*$P$23)</f>
        <v>0</v>
      </c>
      <c r="AG134" s="47" t="n">
        <f aca="false">IF(DilMethod=3,MAX(0,AG127*$K$23/1000*DilPx-AG130)/DilPx,AG127*$K$23/1000*$P$23)</f>
        <v>0</v>
      </c>
      <c r="AI134" s="47" t="n">
        <f aca="false">INDEX($F134:$AG134,1,MATCH(AI$7,$F$7:$AG$7,1))</f>
        <v>0</v>
      </c>
      <c r="AJ134" s="47" t="n">
        <f aca="false">INDEX($F134:$AG134,1,MATCH(AJ$7,$F$7:$AG$7,1))</f>
        <v>0</v>
      </c>
      <c r="AK134" s="47" t="n">
        <f aca="false">INDEX($F134:$AG134,1,MATCH(AK$7,$F$7:$AG$7,1))</f>
        <v>0</v>
      </c>
      <c r="AL134" s="47" t="n">
        <f aca="false">INDEX($F134:$AG134,1,MATCH(AL$7,$F$7:$AG$7,1))</f>
        <v>0</v>
      </c>
      <c r="AM134" s="47" t="n">
        <f aca="false">INDEX($F134:$AG134,1,MATCH(AM$7,$F$7:$AG$7,1))</f>
        <v>0</v>
      </c>
      <c r="AN134" s="47" t="n">
        <f aca="false">INDEX($F134:$AG134,1,MATCH(AN$7,$F$7:$AG$7,1))</f>
        <v>0</v>
      </c>
      <c r="AO134" s="47" t="n">
        <f aca="false">INDEX($F134:$AG134,1,MATCH(AO$7,$F$7:$AG$7,1))</f>
        <v>0</v>
      </c>
    </row>
    <row r="135" customFormat="false" ht="15" hidden="false" customHeight="false" outlineLevel="0" collapsed="false">
      <c r="A135" s="107" t="s">
        <v>2395</v>
      </c>
      <c r="B135" s="22" t="s">
        <v>613</v>
      </c>
      <c r="C135" s="22" t="s">
        <v>540</v>
      </c>
      <c r="D135" s="22"/>
      <c r="F135" s="124" t="n">
        <f aca="false">F130*IF(DilMethod=3,1,1-$P$23)</f>
        <v>0</v>
      </c>
      <c r="G135" s="124" t="n">
        <f aca="false">G130*IF(DilMethod=3,1,1-$P$23)</f>
        <v>0</v>
      </c>
      <c r="H135" s="124" t="n">
        <f aca="false">H130*IF(DilMethod=3,1,1-$P$23)</f>
        <v>0</v>
      </c>
      <c r="I135" s="124" t="n">
        <f aca="false">I130*IF(DilMethod=3,1,1-$P$23)</f>
        <v>0</v>
      </c>
      <c r="J135" s="124" t="n">
        <f aca="false">J130*IF(DilMethod=3,1,1-$P$23)</f>
        <v>0</v>
      </c>
      <c r="K135" s="124" t="n">
        <f aca="false">K130*IF(DilMethod=3,1,1-$P$23)</f>
        <v>0</v>
      </c>
      <c r="L135" s="124" t="n">
        <f aca="false">L130*IF(DilMethod=3,1,1-$P$23)</f>
        <v>0</v>
      </c>
      <c r="M135" s="124" t="n">
        <f aca="false">M130*IF(DilMethod=3,1,1-$P$23)</f>
        <v>0</v>
      </c>
      <c r="N135" s="124" t="n">
        <f aca="false">N130*IF(DilMethod=3,1,1-$P$23)</f>
        <v>0</v>
      </c>
      <c r="O135" s="124" t="n">
        <f aca="false">O130*IF(DilMethod=3,1,1-$P$23)</f>
        <v>0</v>
      </c>
      <c r="P135" s="125" t="n">
        <f aca="false">P130*IF(DilMethod=3,1,1-$P$23)</f>
        <v>0</v>
      </c>
      <c r="Q135" s="125" t="n">
        <f aca="false">Q130*IF(DilMethod=3,1,1-$P$23)</f>
        <v>0</v>
      </c>
      <c r="R135" s="125" t="n">
        <f aca="false">R130*IF(DilMethod=3,1,1-$P$23)</f>
        <v>0</v>
      </c>
      <c r="S135" s="125" t="n">
        <f aca="false">S130*IF(DilMethod=3,1,1-$P$23)</f>
        <v>0</v>
      </c>
      <c r="T135" s="125" t="n">
        <f aca="false">T130*IF(DilMethod=3,1,1-$P$23)</f>
        <v>2570.97409704487</v>
      </c>
      <c r="U135" s="125" t="n">
        <f aca="false">U130*IF(DilMethod=3,1,1-$P$23)</f>
        <v>2592.45530828165</v>
      </c>
      <c r="V135" s="125" t="n">
        <f aca="false">V130*IF(DilMethod=3,1,1-$P$23)</f>
        <v>2613.70302809194</v>
      </c>
      <c r="W135" s="125" t="n">
        <f aca="false">W130*IF(DilMethod=3,1,1-$P$23)</f>
        <v>2634.95074790223</v>
      </c>
      <c r="X135" s="125" t="n">
        <f aca="false">X130*IF(DilMethod=3,1,1-$P$23)</f>
        <v>2656.431959139</v>
      </c>
      <c r="Y135" s="125" t="n">
        <f aca="false">Y130*IF(DilMethod=3,1,1-$P$23)</f>
        <v>2677.91317037578</v>
      </c>
      <c r="Z135" s="125" t="n">
        <f aca="false">Z130*IF(DilMethod=3,1,1-$P$23)</f>
        <v>2698.92739875958</v>
      </c>
      <c r="AA135" s="125" t="n">
        <f aca="false">AA130*IF(DilMethod=3,1,1-$P$23)</f>
        <v>2720.17511856987</v>
      </c>
      <c r="AB135" s="125" t="n">
        <f aca="false">AB130*IF(DilMethod=3,1,1-$P$23)</f>
        <v>2741.65632980664</v>
      </c>
      <c r="AC135" s="125" t="n">
        <f aca="false">AC130*IF(DilMethod=3,1,1-$P$23)</f>
        <v>2763.13754104342</v>
      </c>
      <c r="AD135" s="125" t="n">
        <f aca="false">AD130*IF(DilMethod=3,1,1-$P$23)</f>
        <v>2784.15176942722</v>
      </c>
      <c r="AE135" s="125" t="n">
        <f aca="false">AE130*IF(DilMethod=3,1,1-$P$23)</f>
        <v>2805.3994892375</v>
      </c>
      <c r="AF135" s="125" t="n">
        <f aca="false">AF130*IF(DilMethod=3,1,1-$P$23)</f>
        <v>2826.88070047428</v>
      </c>
      <c r="AG135" s="125" t="n">
        <f aca="false">AG130*IF(DilMethod=3,1,1-$P$23)</f>
        <v>2848.36191171105</v>
      </c>
      <c r="AI135" s="125" t="n">
        <f aca="false">INDEX($F135:$AG135,1,MATCH(AI$7,$F$7:$AG$7,1))</f>
        <v>0</v>
      </c>
      <c r="AJ135" s="125" t="n">
        <f aca="false">INDEX($F135:$AG135,1,MATCH(AJ$7,$F$7:$AG$7,1))</f>
        <v>0</v>
      </c>
      <c r="AK135" s="125" t="n">
        <f aca="false">INDEX($F135:$AG135,1,MATCH(AK$7,$F$7:$AG$7,1))</f>
        <v>0</v>
      </c>
      <c r="AL135" s="125" t="n">
        <f aca="false">INDEX($F135:$AG135,1,MATCH(AL$7,$F$7:$AG$7,1))</f>
        <v>2592.45530828165</v>
      </c>
      <c r="AM135" s="125" t="n">
        <f aca="false">INDEX($F135:$AG135,1,MATCH(AM$7,$F$7:$AG$7,1))</f>
        <v>2677.91317037578</v>
      </c>
      <c r="AN135" s="125" t="n">
        <f aca="false">INDEX($F135:$AG135,1,MATCH(AN$7,$F$7:$AG$7,1))</f>
        <v>2763.13754104342</v>
      </c>
      <c r="AO135" s="125" t="n">
        <f aca="false">INDEX($F135:$AG135,1,MATCH(AO$7,$F$7:$AG$7,1))</f>
        <v>2848.36191171105</v>
      </c>
    </row>
    <row r="137" customFormat="false" ht="15" hidden="false" customHeight="false" outlineLevel="0" collapsed="false">
      <c r="A137" s="58" t="s">
        <v>2396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</row>
    <row r="138" customFormat="false" ht="15" hidden="false" customHeight="false" outlineLevel="0" collapsed="false">
      <c r="A138" s="3" t="s">
        <v>2397</v>
      </c>
      <c r="B138" s="22" t="s">
        <v>613</v>
      </c>
      <c r="C138" s="22" t="s">
        <v>540</v>
      </c>
      <c r="D138" s="22"/>
      <c r="F138" s="126" t="n">
        <f aca="false">F28+F37+F46+F55+F64+F73+F82+F91+F100+F109+F118+F127</f>
        <v>0</v>
      </c>
      <c r="G138" s="126" t="n">
        <f aca="false">G28+G37+G46+G55+G64+G73+G82+G91+G100+G109+G118+G127</f>
        <v>0</v>
      </c>
      <c r="H138" s="126" t="n">
        <f aca="false">H28+H37+H46+H55+H64+H73+H82+H91+H100+H109+H118+H127</f>
        <v>0</v>
      </c>
      <c r="I138" s="126" t="n">
        <f aca="false">I28+I37+I46+I55+I64+I73+I82+I91+I100+I109+I118+I127</f>
        <v>0</v>
      </c>
      <c r="J138" s="126" t="n">
        <f aca="false">J28+J37+J46+J55+J64+J73+J82+J91+J100+J109+J118+J127</f>
        <v>0</v>
      </c>
      <c r="K138" s="126" t="n">
        <f aca="false">K28+K37+K46+K55+K64+K73+K82+K91+K100+K109+K118+K127</f>
        <v>975</v>
      </c>
      <c r="L138" s="126" t="n">
        <f aca="false">L28+L37+L46+L55+L64+L73+L82+L91+L100+L109+L118+L127</f>
        <v>4137.5</v>
      </c>
      <c r="M138" s="126" t="n">
        <f aca="false">M28+M37+M46+M55+M64+M73+M82+M91+M100+M109+M118+M127</f>
        <v>4137.5</v>
      </c>
      <c r="N138" s="126" t="n">
        <f aca="false">N28+N37+N46+N55+N64+N73+N82+N91+N100+N109+N118+N127</f>
        <v>8475</v>
      </c>
      <c r="O138" s="126" t="n">
        <f aca="false">O28+O37+O46+O55+O64+O73+O82+O91+O100+O109+O118+O127</f>
        <v>8475</v>
      </c>
      <c r="P138" s="99" t="n">
        <f aca="false">P28+P37+P46+P55+P64+P73+P82+P91+P100+P109+P118+P127</f>
        <v>13425</v>
      </c>
      <c r="Q138" s="99" t="n">
        <f aca="false">Q28+Q37+Q46+Q55+Q64+Q73+Q82+Q91+Q100+Q109+Q118+Q127</f>
        <v>13425</v>
      </c>
      <c r="R138" s="99" t="n">
        <f aca="false">R28+R37+R46+R55+R64+R73+R82+R91+R100+R109+R118+R127</f>
        <v>19825</v>
      </c>
      <c r="S138" s="99" t="n">
        <f aca="false">S28+S37+S46+S55+S64+S73+S82+S91+S100+S109+S118+S127</f>
        <v>19825</v>
      </c>
      <c r="T138" s="99" t="n">
        <f aca="false">T28+T37+T46+T55+T64+T73+T82+T91+T100+T109+T118+T127</f>
        <v>26225</v>
      </c>
      <c r="U138" s="99" t="n">
        <f aca="false">U28+U37+U46+U55+U64+U73+U82+U91+U100+U109+U118+U127</f>
        <v>26225</v>
      </c>
      <c r="V138" s="99" t="n">
        <f aca="false">V28+V37+V46+V55+V64+V73+V82+V91+V100+V109+V118+V127</f>
        <v>26225</v>
      </c>
      <c r="W138" s="99" t="n">
        <f aca="false">W28+W37+W46+W55+W64+W73+W82+W91+W100+W109+W118+W127</f>
        <v>26225</v>
      </c>
      <c r="X138" s="99" t="n">
        <f aca="false">X28+X37+X46+X55+X64+X73+X82+X91+X100+X109+X118+X127</f>
        <v>26225</v>
      </c>
      <c r="Y138" s="99" t="n">
        <f aca="false">Y28+Y37+Y46+Y55+Y64+Y73+Y82+Y91+Y100+Y109+Y118+Y127</f>
        <v>26225</v>
      </c>
      <c r="Z138" s="99" t="n">
        <f aca="false">Z28+Z37+Z46+Z55+Z64+Z73+Z82+Z91+Z100+Z109+Z118+Z127</f>
        <v>26225</v>
      </c>
      <c r="AA138" s="99" t="n">
        <f aca="false">AA28+AA37+AA46+AA55+AA64+AA73+AA82+AA91+AA100+AA109+AA118+AA127</f>
        <v>26137.5</v>
      </c>
      <c r="AB138" s="99" t="n">
        <f aca="false">AB28+AB37+AB46+AB55+AB64+AB73+AB82+AB91+AB100+AB109+AB118+AB127</f>
        <v>26137.5</v>
      </c>
      <c r="AC138" s="99" t="n">
        <f aca="false">AC28+AC37+AC46+AC55+AC64+AC73+AC82+AC91+AC100+AC109+AC118+AC127</f>
        <v>26137.5</v>
      </c>
      <c r="AD138" s="99" t="n">
        <f aca="false">AD28+AD37+AD46+AD55+AD64+AD73+AD82+AD91+AD100+AD109+AD118+AD127</f>
        <v>22687.5</v>
      </c>
      <c r="AE138" s="99" t="n">
        <f aca="false">AE28+AE37+AE46+AE55+AE64+AE73+AE82+AE91+AE100+AE109+AE118+AE127</f>
        <v>22687.5</v>
      </c>
      <c r="AF138" s="99" t="n">
        <f aca="false">AF28+AF37+AF46+AF55+AF64+AF73+AF82+AF91+AF100+AF109+AF118+AF127</f>
        <v>17266.25</v>
      </c>
      <c r="AG138" s="99" t="n">
        <f aca="false">AG28+AG37+AG46+AG55+AG64+AG73+AG82+AG91+AG100+AG109+AG118+AG127</f>
        <v>17266.25</v>
      </c>
      <c r="AI138" s="99" t="n">
        <f aca="false">INDEX($F138:$AG138,1,MATCH(AI$7,$F$7:$AG$7,1))</f>
        <v>0</v>
      </c>
      <c r="AJ138" s="99" t="n">
        <f aca="false">INDEX($F138:$AG138,1,MATCH(AJ$7,$F$7:$AG$7,1))</f>
        <v>4137.5</v>
      </c>
      <c r="AK138" s="99" t="n">
        <f aca="false">INDEX($F138:$AG138,1,MATCH(AK$7,$F$7:$AG$7,1))</f>
        <v>13425</v>
      </c>
      <c r="AL138" s="99" t="n">
        <f aca="false">INDEX($F138:$AG138,1,MATCH(AL$7,$F$7:$AG$7,1))</f>
        <v>26225</v>
      </c>
      <c r="AM138" s="99" t="n">
        <f aca="false">INDEX($F138:$AG138,1,MATCH(AM$7,$F$7:$AG$7,1))</f>
        <v>26225</v>
      </c>
      <c r="AN138" s="99" t="n">
        <f aca="false">INDEX($F138:$AG138,1,MATCH(AN$7,$F$7:$AG$7,1))</f>
        <v>26137.5</v>
      </c>
      <c r="AO138" s="99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2398</v>
      </c>
      <c r="B139" s="22" t="s">
        <v>613</v>
      </c>
      <c r="C139" s="22" t="s">
        <v>540</v>
      </c>
      <c r="D139" s="22"/>
      <c r="F139" s="126" t="n">
        <f aca="false">F29+F38+F47+F56+F65+F74+F83+F92+F101+F110+F119+F128</f>
        <v>0</v>
      </c>
      <c r="G139" s="126" t="n">
        <f aca="false">G29+G38+G47+G56+G65+G74+G83+G92+G101+G110+G119+G128</f>
        <v>0</v>
      </c>
      <c r="H139" s="126" t="n">
        <f aca="false">H29+H38+H47+H56+H65+H74+H83+H92+H101+H110+H119+H128</f>
        <v>0</v>
      </c>
      <c r="I139" s="126" t="n">
        <f aca="false">I29+I38+I47+I56+I65+I74+I83+I92+I101+I110+I119+I128</f>
        <v>0</v>
      </c>
      <c r="J139" s="126" t="n">
        <f aca="false">J29+J38+J47+J56+J65+J74+J83+J92+J101+J110+J119+J128</f>
        <v>0</v>
      </c>
      <c r="K139" s="126" t="n">
        <f aca="false">K29+K38+K47+K56+K65+K74+K83+K92+K101+K110+K119+K128</f>
        <v>6.09375</v>
      </c>
      <c r="L139" s="126" t="n">
        <f aca="false">L29+L38+L47+L56+L65+L74+L83+L92+L101+L110+L119+L128</f>
        <v>20.91796875</v>
      </c>
      <c r="M139" s="126" t="n">
        <f aca="false">M29+M38+M47+M56+M65+M74+M83+M92+M101+M110+M119+M128</f>
        <v>20.91796875</v>
      </c>
      <c r="N139" s="126" t="n">
        <f aca="false">N29+N38+N47+N56+N65+N74+N83+N92+N101+N110+N119+N128</f>
        <v>40.48828125</v>
      </c>
      <c r="O139" s="126" t="n">
        <f aca="false">O29+O38+O47+O56+O65+O74+O83+O92+O101+O110+O119+O128</f>
        <v>40.48828125</v>
      </c>
      <c r="P139" s="99" t="n">
        <f aca="false">P29+P38+P47+P56+P65+P74+P83+P92+P101+P110+P119+P128</f>
        <v>65.67578125</v>
      </c>
      <c r="Q139" s="99" t="n">
        <f aca="false">Q29+Q38+Q47+Q56+Q65+Q74+Q83+Q92+Q101+Q110+Q119+Q128</f>
        <v>65.67578125</v>
      </c>
      <c r="R139" s="99" t="n">
        <f aca="false">R29+R38+R47+R56+R65+R74+R83+R92+R101+R110+R119+R128</f>
        <v>99.27578125</v>
      </c>
      <c r="S139" s="99" t="n">
        <f aca="false">S29+S38+S47+S56+S65+S74+S83+S92+S101+S110+S119+S128</f>
        <v>99.27578125</v>
      </c>
      <c r="T139" s="99" t="n">
        <f aca="false">T29+T38+T47+T56+T65+T74+T83+T92+T101+T110+T119+T128</f>
        <v>132.87578125</v>
      </c>
      <c r="U139" s="99" t="n">
        <f aca="false">U29+U38+U47+U56+U65+U74+U83+U92+U101+U110+U119+U128</f>
        <v>132.87578125</v>
      </c>
      <c r="V139" s="99" t="n">
        <f aca="false">V29+V38+V47+V56+V65+V74+V83+V92+V101+V110+V119+V128</f>
        <v>132.87578125</v>
      </c>
      <c r="W139" s="99" t="n">
        <f aca="false">W29+W38+W47+W56+W65+W74+W83+W92+W101+W110+W119+W128</f>
        <v>132.87578125</v>
      </c>
      <c r="X139" s="99" t="n">
        <f aca="false">X29+X38+X47+X56+X65+X74+X83+X92+X101+X110+X119+X128</f>
        <v>132.87578125</v>
      </c>
      <c r="Y139" s="99" t="n">
        <f aca="false">Y29+Y38+Y47+Y56+Y65+Y74+Y83+Y92+Y101+Y110+Y119+Y128</f>
        <v>132.87578125</v>
      </c>
      <c r="Z139" s="99" t="n">
        <f aca="false">Z29+Z38+Z47+Z56+Z65+Z74+Z83+Z92+Z101+Z110+Z119+Z128</f>
        <v>132.87578125</v>
      </c>
      <c r="AA139" s="99" t="n">
        <f aca="false">AA29+AA38+AA47+AA56+AA65+AA74+AA83+AA92+AA101+AA110+AA119+AA128</f>
        <v>132.43828125</v>
      </c>
      <c r="AB139" s="99" t="n">
        <f aca="false">AB29+AB38+AB47+AB56+AB65+AB74+AB83+AB92+AB101+AB110+AB119+AB128</f>
        <v>132.43828125</v>
      </c>
      <c r="AC139" s="99" t="n">
        <f aca="false">AC29+AC38+AC47+AC56+AC65+AC74+AC83+AC92+AC101+AC110+AC119+AC128</f>
        <v>132.43828125</v>
      </c>
      <c r="AD139" s="99" t="n">
        <f aca="false">AD29+AD38+AD47+AD56+AD65+AD74+AD83+AD92+AD101+AD110+AD119+AD128</f>
        <v>128.12578125</v>
      </c>
      <c r="AE139" s="99" t="n">
        <f aca="false">AE29+AE38+AE47+AE56+AE65+AE74+AE83+AE92+AE101+AE110+AE119+AE128</f>
        <v>128.12578125</v>
      </c>
      <c r="AF139" s="99" t="n">
        <f aca="false">AF29+AF38+AF47+AF56+AF65+AF74+AF83+AF92+AF101+AF110+AF119+AF128</f>
        <v>119.37265625</v>
      </c>
      <c r="AG139" s="99" t="n">
        <f aca="false">AG29+AG38+AG47+AG56+AG65+AG74+AG83+AG92+AG101+AG110+AG119+AG128</f>
        <v>119.37265625</v>
      </c>
      <c r="AI139" s="99" t="n">
        <f aca="false">SUMIF($F$7:$AG$7,AI$7,$F139:$AG139)</f>
        <v>0</v>
      </c>
      <c r="AJ139" s="99" t="n">
        <f aca="false">SUMIF($F$7:$AG$7,AJ$7,$F139:$AG139)</f>
        <v>47.9296875</v>
      </c>
      <c r="AK139" s="99" t="n">
        <f aca="false">SUMIF($F$7:$AG$7,AK$7,$F139:$AG139)</f>
        <v>212.328125</v>
      </c>
      <c r="AL139" s="99" t="n">
        <f aca="false">SUMIF($F$7:$AG$7,AL$7,$F139:$AG139)</f>
        <v>464.303125</v>
      </c>
      <c r="AM139" s="99" t="n">
        <f aca="false">SUMIF($F$7:$AG$7,AM$7,$F139:$AG139)</f>
        <v>531.503125</v>
      </c>
      <c r="AN139" s="99" t="n">
        <f aca="false">SUMIF($F$7:$AG$7,AN$7,$F139:$AG139)</f>
        <v>530.190625</v>
      </c>
      <c r="AO139" s="99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2399</v>
      </c>
      <c r="B140" s="22" t="s">
        <v>613</v>
      </c>
      <c r="C140" s="22" t="s">
        <v>540</v>
      </c>
      <c r="D140" s="22"/>
      <c r="F140" s="126" t="n">
        <f aca="false">F30+F39+F48+F57+F66+F75+F84+F93+F102+F111+F120+F129</f>
        <v>0</v>
      </c>
      <c r="G140" s="126" t="n">
        <f aca="false">G30+G39+G48+G57+G66+G75+G84+G93+G102+G111+G120+G129</f>
        <v>0</v>
      </c>
      <c r="H140" s="126" t="n">
        <f aca="false">H30+H39+H48+H57+H66+H75+H84+H93+H102+H111+H120+H129</f>
        <v>0</v>
      </c>
      <c r="I140" s="126" t="n">
        <f aca="false">I30+I39+I48+I57+I66+I75+I84+I93+I102+I111+I120+I129</f>
        <v>0</v>
      </c>
      <c r="J140" s="126" t="n">
        <f aca="false">J30+J39+J48+J57+J66+J75+J84+J93+J102+J111+J120+J129</f>
        <v>0</v>
      </c>
      <c r="K140" s="126" t="n">
        <f aca="false">K30+K39+K48+K57+K66+K75+K84+K93+K102+K111+K120+K129</f>
        <v>9.92638606885025</v>
      </c>
      <c r="L140" s="126" t="n">
        <f aca="false">L30+L39+L48+L57+L66+L75+L84+L93+L102+L111+L120+L129</f>
        <v>30.2575386790221</v>
      </c>
      <c r="M140" s="126" t="n">
        <f aca="false">M30+M39+M48+M57+M66+M75+M84+M93+M102+M111+M120+M129</f>
        <v>30.2575386790221</v>
      </c>
      <c r="N140" s="126" t="n">
        <f aca="false">N30+N39+N48+N57+N66+N75+N84+N93+N102+N111+N120+N129</f>
        <v>68.7304031797786</v>
      </c>
      <c r="O140" s="126" t="n">
        <f aca="false">O30+O39+O48+O57+O66+O75+O84+O93+O102+O111+O120+O129</f>
        <v>68.7304031797786</v>
      </c>
      <c r="P140" s="99" t="n">
        <f aca="false">P30+P39+P48+P57+P66+P75+P84+P93+P102+P111+P120+P129</f>
        <v>104.589930751401</v>
      </c>
      <c r="Q140" s="99" t="n">
        <f aca="false">Q30+Q39+Q48+Q57+Q66+Q75+Q84+Q93+Q102+Q111+Q120+Q129</f>
        <v>104.589930751401</v>
      </c>
      <c r="R140" s="99" t="n">
        <f aca="false">R30+R39+R48+R57+R66+R75+R84+R93+R102+R111+R120+R129</f>
        <v>153.392082434291</v>
      </c>
      <c r="S140" s="99" t="n">
        <f aca="false">S30+S39+S48+S57+S66+S75+S84+S93+S102+S111+S120+S129</f>
        <v>153.392082434291</v>
      </c>
      <c r="T140" s="99" t="n">
        <f aca="false">T30+T39+T48+T57+T66+T75+T84+T93+T102+T111+T120+T129</f>
        <v>202.106518315356</v>
      </c>
      <c r="U140" s="99" t="n">
        <f aca="false">U30+U39+U48+U57+U66+U75+U84+U93+U102+U111+U120+U129</f>
        <v>202.106518315356</v>
      </c>
      <c r="V140" s="99" t="n">
        <f aca="false">V30+V39+V48+V57+V66+V75+V84+V93+V102+V111+V120+V129</f>
        <v>202.106518315356</v>
      </c>
      <c r="W140" s="99" t="n">
        <f aca="false">W30+W39+W48+W57+W66+W75+W84+W93+W102+W111+W120+W129</f>
        <v>202.106518315356</v>
      </c>
      <c r="X140" s="99" t="n">
        <f aca="false">X30+X39+X48+X57+X66+X75+X84+X93+X102+X111+X120+X129</f>
        <v>202.106518315356</v>
      </c>
      <c r="Y140" s="99" t="n">
        <f aca="false">Y30+Y39+Y48+Y57+Y66+Y75+Y84+Y93+Y102+Y111+Y120+Y129</f>
        <v>202.106518315356</v>
      </c>
      <c r="Z140" s="99" t="n">
        <f aca="false">Z30+Z39+Z48+Z57+Z66+Z75+Z84+Z93+Z102+Z111+Z120+Z129</f>
        <v>202.106518315356</v>
      </c>
      <c r="AA140" s="99" t="n">
        <f aca="false">AA30+AA39+AA48+AA57+AA66+AA75+AA84+AA93+AA102+AA111+AA120+AA129</f>
        <v>201.14685966316</v>
      </c>
      <c r="AB140" s="99" t="n">
        <f aca="false">AB30+AB39+AB48+AB57+AB66+AB75+AB84+AB93+AB102+AB111+AB120+AB129</f>
        <v>201.14685966316</v>
      </c>
      <c r="AC140" s="99" t="n">
        <f aca="false">AC30+AC39+AC48+AC57+AC66+AC75+AC84+AC93+AC102+AC111+AC120+AC129</f>
        <v>201.14685966316</v>
      </c>
      <c r="AD140" s="99" t="n">
        <f aca="false">AD30+AD39+AD48+AD57+AD66+AD75+AD84+AD93+AD102+AD111+AD120+AD129</f>
        <v>176.361011905488</v>
      </c>
      <c r="AE140" s="99" t="n">
        <f aca="false">AE30+AE39+AE48+AE57+AE66+AE75+AE84+AE93+AE102+AE111+AE120+AE129</f>
        <v>176.361011905488</v>
      </c>
      <c r="AF140" s="99" t="n">
        <f aca="false">AF30+AF39+AF48+AF57+AF66+AF75+AF84+AF93+AF102+AF111+AF120+AF129</f>
        <v>137.041908289822</v>
      </c>
      <c r="AG140" s="99" t="n">
        <f aca="false">AG30+AG39+AG48+AG57+AG66+AG75+AG84+AG93+AG102+AG111+AG120+AG129</f>
        <v>137.041908289822</v>
      </c>
      <c r="AI140" s="99" t="n">
        <f aca="false">SUMIF($F$7:$AG$7,AI$7,$F140:$AG140)</f>
        <v>0</v>
      </c>
      <c r="AJ140" s="99" t="n">
        <f aca="false">SUMIF($F$7:$AG$7,AJ$7,$F140:$AG140)</f>
        <v>70.4414634268944</v>
      </c>
      <c r="AK140" s="99" t="n">
        <f aca="false">SUMIF($F$7:$AG$7,AK$7,$F140:$AG140)</f>
        <v>346.640667862359</v>
      </c>
      <c r="AL140" s="99" t="n">
        <f aca="false">SUMIF($F$7:$AG$7,AL$7,$F140:$AG140)</f>
        <v>710.997201499293</v>
      </c>
      <c r="AM140" s="99" t="n">
        <f aca="false">SUMIF($F$7:$AG$7,AM$7,$F140:$AG140)</f>
        <v>808.426073261424</v>
      </c>
      <c r="AN140" s="99" t="n">
        <f aca="false">SUMIF($F$7:$AG$7,AN$7,$F140:$AG140)</f>
        <v>805.547097304835</v>
      </c>
      <c r="AO140" s="99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2400</v>
      </c>
      <c r="B141" s="22" t="s">
        <v>613</v>
      </c>
      <c r="C141" s="22" t="s">
        <v>540</v>
      </c>
      <c r="D141" s="22"/>
      <c r="F141" s="126" t="n">
        <f aca="false">F31+F40+F49+F58+F67+F76+F85+F94+F103+F112+F121+F130</f>
        <v>0</v>
      </c>
      <c r="G141" s="126" t="n">
        <f aca="false">G31+G40+G49+G58+G67+G76+G85+G94+G103+G112+G121+G130</f>
        <v>0</v>
      </c>
      <c r="H141" s="126" t="n">
        <f aca="false">H31+H40+H49+H58+H67+H76+H85+H94+H103+H112+H121+H130</f>
        <v>0</v>
      </c>
      <c r="I141" s="126" t="n">
        <f aca="false">I31+I40+I49+I58+I67+I76+I85+I94+I103+I112+I121+I130</f>
        <v>0</v>
      </c>
      <c r="J141" s="126" t="n">
        <f aca="false">J31+J40+J49+J58+J67+J76+J85+J94+J103+J112+J121+J130</f>
        <v>0</v>
      </c>
      <c r="K141" s="126" t="n">
        <f aca="false">K31+K40+K49+K58+K67+K76+K85+K94+K103+K112+K121+K130</f>
        <v>977.717696391198</v>
      </c>
      <c r="L141" s="126" t="n">
        <f aca="false">L31+L40+L49+L58+L67+L76+L85+L94+L103+L112+L121+L130</f>
        <v>4153.55863884143</v>
      </c>
      <c r="M141" s="126" t="n">
        <f aca="false">M31+M40+M49+M58+M67+M76+M85+M94+M103+M112+M121+M130</f>
        <v>4184.0439892422</v>
      </c>
      <c r="N141" s="126" t="n">
        <f aca="false">N31+N40+N49+N58+N67+N76+N85+N94+N103+N112+N121+N130</f>
        <v>8556.00126497794</v>
      </c>
      <c r="O141" s="126" t="n">
        <f aca="false">O31+O40+O49+O58+O67+O76+O85+O94+O103+O112+O121+O130</f>
        <v>8624.49645117217</v>
      </c>
      <c r="P141" s="99" t="n">
        <f aca="false">P31+P40+P49+P58+P67+P76+P85+P94+P103+P112+P121+P130</f>
        <v>13618.5823768008</v>
      </c>
      <c r="Q141" s="99" t="n">
        <f aca="false">Q31+Q40+Q49+Q58+Q67+Q76+Q85+Q94+Q103+Q112+Q121+Q130</f>
        <v>13723.9597745188</v>
      </c>
      <c r="R141" s="99" t="n">
        <f aca="false">R31+R40+R49+R58+R67+R76+R85+R94+R103+R112+R121+R130</f>
        <v>20251.0967009347</v>
      </c>
      <c r="S141" s="99" t="n">
        <f aca="false">S31+S40+S49+S58+S67+S76+S85+S94+S103+S112+S121+S130</f>
        <v>20403.963827577</v>
      </c>
      <c r="T141" s="99" t="n">
        <f aca="false">T31+T40+T49+T58+T67+T76+T85+T94+T103+T112+T121+T130</f>
        <v>26983.5849097986</v>
      </c>
      <c r="U141" s="99" t="n">
        <f aca="false">U31+U40+U49+U58+U67+U76+U85+U94+U103+U112+U121+U130</f>
        <v>27187.2131062122</v>
      </c>
      <c r="V141" s="99" t="n">
        <f aca="false">V31+V40+V49+V58+V67+V76+V85+V94+V103+V112+V121+V130</f>
        <v>27388.6279526647</v>
      </c>
      <c r="W141" s="99" t="n">
        <f aca="false">W31+W40+W49+W58+W67+W76+W85+W94+W103+W112+W121+W130</f>
        <v>27590.0427991173</v>
      </c>
      <c r="X141" s="99" t="n">
        <f aca="false">X31+X40+X49+X58+X67+X76+X85+X94+X103+X112+X121+X130</f>
        <v>27793.6709955308</v>
      </c>
      <c r="Y141" s="99" t="n">
        <f aca="false">Y31+Y40+Y49+Y58+Y67+Y76+Y85+Y94+Y103+Y112+Y121+Y130</f>
        <v>27997.2991919444</v>
      </c>
      <c r="Z141" s="99" t="n">
        <f aca="false">Z31+Z40+Z49+Z58+Z67+Z76+Z85+Z94+Z103+Z112+Z121+Z130</f>
        <v>28196.5006884359</v>
      </c>
      <c r="AA141" s="99" t="n">
        <f aca="false">AA31+AA40+AA49+AA58+AA67+AA76+AA85+AA94+AA103+AA112+AA121+AA130</f>
        <v>28294.7982562337</v>
      </c>
      <c r="AB141" s="99" t="n">
        <f aca="false">AB31+AB40+AB49+AB58+AB67+AB76+AB85+AB94+AB103+AB112+AB121+AB130</f>
        <v>28497.459568639</v>
      </c>
      <c r="AC141" s="99" t="n">
        <f aca="false">AC31+AC40+AC49+AC58+AC67+AC76+AC85+AC94+AC103+AC112+AC121+AC130</f>
        <v>28700.1208810443</v>
      </c>
      <c r="AD141" s="99" t="n">
        <f aca="false">AD31+AD40+AD49+AD58+AD67+AD76+AD85+AD94+AD103+AD112+AD121+AD130</f>
        <v>25091.4331610536</v>
      </c>
      <c r="AE141" s="99" t="n">
        <f aca="false">AE31+AE40+AE49+AE58+AE67+AE76+AE85+AE94+AE103+AE112+AE121+AE130</f>
        <v>25267.19061029</v>
      </c>
      <c r="AF141" s="99" t="n">
        <f aca="false">AF31+AF40+AF49+AF58+AF67+AF76+AF85+AF94+AF103+AF112+AF121+AF130</f>
        <v>19386.3604168822</v>
      </c>
      <c r="AG141" s="99" t="n">
        <f aca="false">AG31+AG40+AG49+AG58+AG67+AG76+AG85+AG94+AG103+AG112+AG121+AG130</f>
        <v>19524.4341259873</v>
      </c>
      <c r="AI141" s="99" t="n">
        <f aca="false">INDEX($F141:$AG141,1,MATCH(AI$7,$F$7:$AG$7,1))</f>
        <v>0</v>
      </c>
      <c r="AJ141" s="99" t="n">
        <f aca="false">INDEX($F141:$AG141,1,MATCH(AJ$7,$F$7:$AG$7,1))</f>
        <v>4184.0439892422</v>
      </c>
      <c r="AK141" s="99" t="n">
        <f aca="false">INDEX($F141:$AG141,1,MATCH(AK$7,$F$7:$AG$7,1))</f>
        <v>13723.9597745188</v>
      </c>
      <c r="AL141" s="99" t="n">
        <f aca="false">INDEX($F141:$AG141,1,MATCH(AL$7,$F$7:$AG$7,1))</f>
        <v>27187.2131062122</v>
      </c>
      <c r="AM141" s="99" t="n">
        <f aca="false">INDEX($F141:$AG141,1,MATCH(AM$7,$F$7:$AG$7,1))</f>
        <v>27997.2991919444</v>
      </c>
      <c r="AN141" s="99" t="n">
        <f aca="false">INDEX($F141:$AG141,1,MATCH(AN$7,$F$7:$AG$7,1))</f>
        <v>28700.1208810443</v>
      </c>
      <c r="AO141" s="99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2401</v>
      </c>
      <c r="B142" s="22" t="s">
        <v>613</v>
      </c>
      <c r="C142" s="22" t="s">
        <v>540</v>
      </c>
      <c r="D142" s="22"/>
      <c r="F142" s="126" t="n">
        <f aca="false">F33+F42+F51+F60+F69+F78+F87+F96+F105+F114+F123+F132</f>
        <v>0</v>
      </c>
      <c r="G142" s="126" t="n">
        <f aca="false">G33+G42+G51+G60+G69+G78+G87+G96+G105+G114+G123+G132</f>
        <v>0</v>
      </c>
      <c r="H142" s="126" t="n">
        <f aca="false">H33+H42+H51+H60+H69+H78+H87+H96+H105+H114+H123+H132</f>
        <v>0</v>
      </c>
      <c r="I142" s="126" t="n">
        <f aca="false">I33+I42+I51+I60+I69+I78+I87+I96+I105+I114+I123+I132</f>
        <v>0</v>
      </c>
      <c r="J142" s="126" t="n">
        <f aca="false">J33+J42+J51+J60+J69+J78+J87+J96+J105+J114+J123+J132</f>
        <v>0</v>
      </c>
      <c r="K142" s="126" t="n">
        <f aca="false">K33+K42+K51+K60+K69+K78+K87+K96+K105+K114+K123+K132</f>
        <v>0</v>
      </c>
      <c r="L142" s="126" t="n">
        <f aca="false">L33+L42+L51+L60+L69+L78+L87+L96+L105+L114+L123+L132</f>
        <v>0</v>
      </c>
      <c r="M142" s="126" t="n">
        <f aca="false">M33+M42+M51+M60+M69+M78+M87+M96+M105+M114+M123+M132</f>
        <v>0</v>
      </c>
      <c r="N142" s="126" t="n">
        <f aca="false">N33+N42+N51+N60+N69+N78+N87+N96+N105+N114+N123+N132</f>
        <v>0</v>
      </c>
      <c r="O142" s="126" t="n">
        <f aca="false">O33+O42+O51+O60+O69+O78+O87+O96+O105+O114+O123+O132</f>
        <v>0</v>
      </c>
      <c r="P142" s="99" t="n">
        <f aca="false">P33+P42+P51+P60+P69+P78+P87+P96+P105+P114+P123+P132</f>
        <v>0</v>
      </c>
      <c r="Q142" s="99" t="n">
        <f aca="false">Q33+Q42+Q51+Q60+Q69+Q78+Q87+Q96+Q105+Q114+Q123+Q132</f>
        <v>0</v>
      </c>
      <c r="R142" s="99" t="n">
        <f aca="false">R33+R42+R51+R60+R69+R78+R87+R96+R105+R114+R123+R132</f>
        <v>0</v>
      </c>
      <c r="S142" s="99" t="n">
        <f aca="false">S33+S42+S51+S60+S69+S78+S87+S96+S105+S114+S123+S132</f>
        <v>0</v>
      </c>
      <c r="T142" s="99" t="n">
        <f aca="false">T33+T42+T51+T60+T69+T78+T87+T96+T105+T114+T123+T132</f>
        <v>0</v>
      </c>
      <c r="U142" s="99" t="n">
        <f aca="false">U33+U42+U51+U60+U69+U78+U87+U96+U105+U114+U123+U132</f>
        <v>0</v>
      </c>
      <c r="V142" s="99" t="n">
        <f aca="false">V33+V42+V51+V60+V69+V78+V87+V96+V105+V114+V123+V132</f>
        <v>0</v>
      </c>
      <c r="W142" s="99" t="n">
        <f aca="false">W33+W42+W51+W60+W69+W78+W87+W96+W105+W114+W123+W132</f>
        <v>0</v>
      </c>
      <c r="X142" s="99" t="n">
        <f aca="false">X33+X42+X51+X60+X69+X78+X87+X96+X105+X114+X123+X132</f>
        <v>0</v>
      </c>
      <c r="Y142" s="99" t="n">
        <f aca="false">Y33+Y42+Y51+Y60+Y69+Y78+Y87+Y96+Y105+Y114+Y123+Y132</f>
        <v>0</v>
      </c>
      <c r="Z142" s="99" t="n">
        <f aca="false">Z33+Z42+Z51+Z60+Z69+Z78+Z87+Z96+Z105+Z114+Z123+Z132</f>
        <v>0</v>
      </c>
      <c r="AA142" s="99" t="n">
        <f aca="false">AA33+AA42+AA51+AA60+AA69+AA78+AA87+AA96+AA105+AA114+AA123+AA132</f>
        <v>0</v>
      </c>
      <c r="AB142" s="99" t="n">
        <f aca="false">AB33+AB42+AB51+AB60+AB69+AB78+AB87+AB96+AB105+AB114+AB123+AB132</f>
        <v>0</v>
      </c>
      <c r="AC142" s="99" t="n">
        <f aca="false">AC33+AC42+AC51+AC60+AC69+AC78+AC87+AC96+AC105+AC114+AC123+AC132</f>
        <v>0</v>
      </c>
      <c r="AD142" s="99" t="n">
        <f aca="false">AD33+AD42+AD51+AD60+AD69+AD78+AD87+AD96+AD105+AD114+AD123+AD132</f>
        <v>3795</v>
      </c>
      <c r="AE142" s="99" t="n">
        <f aca="false">AE33+AE42+AE51+AE60+AE69+AE78+AE87+AE96+AE105+AE114+AE123+AE132</f>
        <v>0</v>
      </c>
      <c r="AF142" s="99" t="n">
        <f aca="false">AF33+AF42+AF51+AF60+AF69+AF78+AF87+AF96+AF105+AF114+AF123+AF132</f>
        <v>4224</v>
      </c>
      <c r="AG142" s="99" t="n">
        <f aca="false">AG33+AG42+AG51+AG60+AG69+AG78+AG87+AG96+AG105+AG114+AG123+AG132</f>
        <v>0</v>
      </c>
      <c r="AI142" s="99" t="n">
        <f aca="false">SUMIF($F$7:$AG$7,AI$7,$F142:$AG142)</f>
        <v>0</v>
      </c>
      <c r="AJ142" s="99" t="n">
        <f aca="false">SUMIF($F$7:$AG$7,AJ$7,$F142:$AG142)</f>
        <v>0</v>
      </c>
      <c r="AK142" s="99" t="n">
        <f aca="false">SUMIF($F$7:$AG$7,AK$7,$F142:$AG142)</f>
        <v>0</v>
      </c>
      <c r="AL142" s="99" t="n">
        <f aca="false">SUMIF($F$7:$AG$7,AL$7,$F142:$AG142)</f>
        <v>0</v>
      </c>
      <c r="AM142" s="99" t="n">
        <f aca="false">SUMIF($F$7:$AG$7,AM$7,$F142:$AG142)</f>
        <v>0</v>
      </c>
      <c r="AN142" s="99" t="n">
        <f aca="false">SUMIF($F$7:$AG$7,AN$7,$F142:$AG142)</f>
        <v>0</v>
      </c>
      <c r="AO142" s="99" t="n">
        <f aca="false">SUMIF($F$7:$AG$7,AO$7,$F142:$AG142)</f>
        <v>8019</v>
      </c>
    </row>
    <row r="143" customFormat="false" ht="15" hidden="false" customHeight="false" outlineLevel="0" collapsed="false">
      <c r="A143" s="3" t="s">
        <v>2402</v>
      </c>
      <c r="B143" s="22" t="s">
        <v>635</v>
      </c>
      <c r="C143" s="22" t="s">
        <v>540</v>
      </c>
      <c r="D143" s="22"/>
      <c r="F143" s="141" t="n">
        <f aca="false">F34+F43+F52+F61+F70+F79+F88+F97+F106+F115+F124+F133</f>
        <v>0</v>
      </c>
      <c r="G143" s="141" t="n">
        <f aca="false">G34+G43+G52+G61+G70+G79+G88+G97+G106+G115+G124+G133</f>
        <v>0</v>
      </c>
      <c r="H143" s="141" t="n">
        <f aca="false">H34+H43+H52+H61+H70+H79+H88+H97+H106+H115+H124+H133</f>
        <v>0</v>
      </c>
      <c r="I143" s="141" t="n">
        <f aca="false">I34+I43+I52+I61+I70+I79+I88+I97+I106+I115+I124+I133</f>
        <v>0</v>
      </c>
      <c r="J143" s="141" t="n">
        <f aca="false">J34+J43+J52+J61+J70+J79+J88+J97+J106+J115+J124+J133</f>
        <v>0</v>
      </c>
      <c r="K143" s="141" t="n">
        <f aca="false">K34+K43+K52+K61+K70+K79+K88+K97+K106+K115+K124+K133</f>
        <v>0</v>
      </c>
      <c r="L143" s="141" t="n">
        <f aca="false">L34+L43+L52+L61+L70+L79+L88+L97+L106+L115+L124+L133</f>
        <v>0</v>
      </c>
      <c r="M143" s="141" t="n">
        <f aca="false">M34+M43+M52+M61+M70+M79+M88+M97+M106+M115+M124+M133</f>
        <v>0</v>
      </c>
      <c r="N143" s="141" t="n">
        <f aca="false">N34+N43+N52+N61+N70+N79+N88+N97+N106+N115+N124+N133</f>
        <v>0</v>
      </c>
      <c r="O143" s="141" t="n">
        <f aca="false">O34+O43+O52+O61+O70+O79+O88+O97+O106+O115+O124+O133</f>
        <v>0</v>
      </c>
      <c r="P143" s="64" t="n">
        <f aca="false">P34+P43+P52+P61+P70+P79+P88+P97+P106+P115+P124+P133</f>
        <v>0</v>
      </c>
      <c r="Q143" s="64" t="n">
        <f aca="false">Q34+Q43+Q52+Q61+Q70+Q79+Q88+Q97+Q106+Q115+Q124+Q133</f>
        <v>0</v>
      </c>
      <c r="R143" s="64" t="n">
        <f aca="false">R34+R43+R52+R61+R70+R79+R88+R97+R106+R115+R124+R133</f>
        <v>0</v>
      </c>
      <c r="S143" s="64" t="n">
        <f aca="false">S34+S43+S52+S61+S70+S79+S88+S97+S106+S115+S124+S133</f>
        <v>0</v>
      </c>
      <c r="T143" s="64" t="n">
        <f aca="false">T34+T43+T52+T61+T70+T79+T88+T97+T106+T115+T124+T133</f>
        <v>0</v>
      </c>
      <c r="U143" s="64" t="n">
        <f aca="false">U34+U43+U52+U61+U70+U79+U88+U97+U106+U115+U124+U133</f>
        <v>0</v>
      </c>
      <c r="V143" s="64" t="n">
        <f aca="false">V34+V43+V52+V61+V70+V79+V88+V97+V106+V115+V124+V133</f>
        <v>0</v>
      </c>
      <c r="W143" s="64" t="n">
        <f aca="false">W34+W43+W52+W61+W70+W79+W88+W97+W106+W115+W124+W133</f>
        <v>0</v>
      </c>
      <c r="X143" s="64" t="n">
        <f aca="false">X34+X43+X52+X61+X70+X79+X88+X97+X106+X115+X124+X133</f>
        <v>0</v>
      </c>
      <c r="Y143" s="64" t="n">
        <f aca="false">Y34+Y43+Y52+Y61+Y70+Y79+Y88+Y97+Y106+Y115+Y124+Y133</f>
        <v>0</v>
      </c>
      <c r="Z143" s="64" t="n">
        <f aca="false">Z34+Z43+Z52+Z61+Z70+Z79+Z88+Z97+Z106+Z115+Z124+Z133</f>
        <v>0</v>
      </c>
      <c r="AA143" s="64" t="n">
        <f aca="false">AA34+AA43+AA52+AA61+AA70+AA79+AA88+AA97+AA106+AA115+AA124+AA133</f>
        <v>1.70067625</v>
      </c>
      <c r="AB143" s="64" t="n">
        <f aca="false">AB34+AB43+AB52+AB61+AB70+AB79+AB88+AB97+AB106+AB115+AB124+AB133</f>
        <v>0</v>
      </c>
      <c r="AC143" s="64" t="n">
        <f aca="false">AC34+AC43+AC52+AC61+AC70+AC79+AC88+AC97+AC106+AC115+AC124+AC133</f>
        <v>0</v>
      </c>
      <c r="AD143" s="64" t="n">
        <f aca="false">AD34+AD43+AD52+AD61+AD70+AD79+AD88+AD97+AD106+AD115+AD124+AD133</f>
        <v>0</v>
      </c>
      <c r="AE143" s="64" t="n">
        <f aca="false">AE34+AE43+AE52+AE61+AE70+AE79+AE88+AE97+AE106+AE115+AE124+AE133</f>
        <v>0</v>
      </c>
      <c r="AF143" s="64" t="n">
        <f aca="false">AF34+AF43+AF52+AF61+AF70+AF79+AF88+AF97+AF106+AF115+AF124+AF133</f>
        <v>11.396385</v>
      </c>
      <c r="AG143" s="64" t="n">
        <f aca="false">AG34+AG43+AG52+AG61+AG70+AG79+AG88+AG97+AG106+AG115+AG124+AG133</f>
        <v>0</v>
      </c>
      <c r="AI143" s="64" t="n">
        <f aca="false">SUMIF($F$7:$AG$7,AI$7,$F143:$AG143)</f>
        <v>0</v>
      </c>
      <c r="AJ143" s="64" t="n">
        <f aca="false">SUMIF($F$7:$AG$7,AJ$7,$F143:$AG143)</f>
        <v>0</v>
      </c>
      <c r="AK143" s="64" t="n">
        <f aca="false">SUMIF($F$7:$AG$7,AK$7,$F143:$AG143)</f>
        <v>0</v>
      </c>
      <c r="AL143" s="64" t="n">
        <f aca="false">SUMIF($F$7:$AG$7,AL$7,$F143:$AG143)</f>
        <v>0</v>
      </c>
      <c r="AM143" s="64" t="n">
        <f aca="false">SUMIF($F$7:$AG$7,AM$7,$F143:$AG143)</f>
        <v>0</v>
      </c>
      <c r="AN143" s="64" t="n">
        <f aca="false">SUMIF($F$7:$AG$7,AN$7,$F143:$AG143)</f>
        <v>1.70067625</v>
      </c>
      <c r="AO143" s="64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2403</v>
      </c>
      <c r="B144" s="22" t="s">
        <v>635</v>
      </c>
      <c r="C144" s="22" t="s">
        <v>540</v>
      </c>
      <c r="D144" s="22"/>
      <c r="F144" s="141" t="n">
        <f aca="false">F35+F44+F53+F62+F71+F80+F89+F98+F107+F116+F125+F134</f>
        <v>0</v>
      </c>
      <c r="G144" s="141" t="n">
        <f aca="false">G35+G44+G53+G62+G71+G80+G89+G98+G107+G116+G125+G134</f>
        <v>0</v>
      </c>
      <c r="H144" s="141" t="n">
        <f aca="false">H35+H44+H53+H62+H71+H80+H89+H98+H107+H116+H125+H134</f>
        <v>0</v>
      </c>
      <c r="I144" s="141" t="n">
        <f aca="false">I35+I44+I53+I62+I71+I80+I89+I98+I107+I116+I125+I134</f>
        <v>0</v>
      </c>
      <c r="J144" s="141" t="n">
        <f aca="false">J35+J44+J53+J62+J71+J80+J89+J98+J107+J116+J125+J134</f>
        <v>0</v>
      </c>
      <c r="K144" s="141" t="n">
        <f aca="false">K35+K44+K53+K62+K71+K80+K89+K98+K107+K116+K125+K134</f>
        <v>0</v>
      </c>
      <c r="L144" s="141" t="n">
        <f aca="false">L35+L44+L53+L62+L71+L80+L89+L98+L107+L116+L125+L134</f>
        <v>0</v>
      </c>
      <c r="M144" s="141" t="n">
        <f aca="false">M35+M44+M53+M62+M71+M80+M89+M98+M107+M116+M125+M134</f>
        <v>0</v>
      </c>
      <c r="N144" s="141" t="n">
        <f aca="false">N35+N44+N53+N62+N71+N80+N89+N98+N107+N116+N125+N134</f>
        <v>0</v>
      </c>
      <c r="O144" s="141" t="n">
        <f aca="false">O35+O44+O53+O62+O71+O80+O89+O98+O107+O116+O125+O134</f>
        <v>0</v>
      </c>
      <c r="P144" s="64" t="n">
        <f aca="false">P35+P44+P53+P62+P71+P80+P89+P98+P107+P116+P125+P134</f>
        <v>0</v>
      </c>
      <c r="Q144" s="64" t="n">
        <f aca="false">Q35+Q44+Q53+Q62+Q71+Q80+Q89+Q98+Q107+Q116+Q125+Q134</f>
        <v>0</v>
      </c>
      <c r="R144" s="64" t="n">
        <f aca="false">R35+R44+R53+R62+R71+R80+R89+R98+R107+R116+R125+R134</f>
        <v>0</v>
      </c>
      <c r="S144" s="64" t="n">
        <f aca="false">S35+S44+S53+S62+S71+S80+S89+S98+S107+S116+S125+S134</f>
        <v>0</v>
      </c>
      <c r="T144" s="64" t="n">
        <f aca="false">T35+T44+T53+T62+T71+T80+T89+T98+T107+T116+T125+T134</f>
        <v>0</v>
      </c>
      <c r="U144" s="64" t="n">
        <f aca="false">U35+U44+U53+U62+U71+U80+U89+U98+U107+U116+U125+U134</f>
        <v>0</v>
      </c>
      <c r="V144" s="64" t="n">
        <f aca="false">V35+V44+V53+V62+V71+V80+V89+V98+V107+V116+V125+V134</f>
        <v>0</v>
      </c>
      <c r="W144" s="64" t="n">
        <f aca="false">W35+W44+W53+W62+W71+W80+W89+W98+W107+W116+W125+W134</f>
        <v>0</v>
      </c>
      <c r="X144" s="64" t="n">
        <f aca="false">X35+X44+X53+X62+X71+X80+X89+X98+X107+X116+X125+X134</f>
        <v>0</v>
      </c>
      <c r="Y144" s="64" t="n">
        <f aca="false">Y35+Y44+Y53+Y62+Y71+Y80+Y89+Y98+Y107+Y116+Y125+Y134</f>
        <v>0</v>
      </c>
      <c r="Z144" s="64" t="n">
        <f aca="false">Z35+Z44+Z53+Z62+Z71+Z80+Z89+Z98+Z107+Z116+Z125+Z134</f>
        <v>0</v>
      </c>
      <c r="AA144" s="64" t="n">
        <f aca="false">AA35+AA44+AA53+AA62+AA71+AA80+AA89+AA98+AA107+AA116+AA125+AA134</f>
        <v>0</v>
      </c>
      <c r="AB144" s="64" t="n">
        <f aca="false">AB35+AB44+AB53+AB62+AB71+AB80+AB89+AB98+AB107+AB116+AB125+AB134</f>
        <v>0</v>
      </c>
      <c r="AC144" s="64" t="n">
        <f aca="false">AC35+AC44+AC53+AC62+AC71+AC80+AC89+AC98+AC107+AC116+AC125+AC134</f>
        <v>0</v>
      </c>
      <c r="AD144" s="64" t="n">
        <f aca="false">AD35+AD44+AD53+AD62+AD71+AD80+AD89+AD98+AD107+AD116+AD125+AD134</f>
        <v>0</v>
      </c>
      <c r="AE144" s="64" t="n">
        <f aca="false">AE35+AE44+AE53+AE62+AE71+AE80+AE89+AE98+AE107+AE116+AE125+AE134</f>
        <v>0</v>
      </c>
      <c r="AF144" s="64" t="n">
        <f aca="false">AF35+AF44+AF53+AF62+AF71+AF80+AF89+AF98+AF107+AF116+AF125+AF134</f>
        <v>0</v>
      </c>
      <c r="AG144" s="64" t="n">
        <f aca="false">AG35+AG44+AG53+AG62+AG71+AG80+AG89+AG98+AG107+AG116+AG125+AG134</f>
        <v>0</v>
      </c>
      <c r="AI144" s="64" t="n">
        <f aca="false">INDEX($F144:$AG144,1,MATCH(AI$7,$F$7:$AG$7,1))</f>
        <v>0</v>
      </c>
      <c r="AJ144" s="64" t="n">
        <f aca="false">INDEX($F144:$AG144,1,MATCH(AJ$7,$F$7:$AG$7,1))</f>
        <v>0</v>
      </c>
      <c r="AK144" s="64" t="n">
        <f aca="false">INDEX($F144:$AG144,1,MATCH(AK$7,$F$7:$AG$7,1))</f>
        <v>0</v>
      </c>
      <c r="AL144" s="64" t="n">
        <f aca="false">INDEX($F144:$AG144,1,MATCH(AL$7,$F$7:$AG$7,1))</f>
        <v>0</v>
      </c>
      <c r="AM144" s="64" t="n">
        <f aca="false">INDEX($F144:$AG144,1,MATCH(AM$7,$F$7:$AG$7,1))</f>
        <v>0</v>
      </c>
      <c r="AN144" s="64" t="n">
        <f aca="false">INDEX($F144:$AG144,1,MATCH(AN$7,$F$7:$AG$7,1))</f>
        <v>0</v>
      </c>
      <c r="AO144" s="64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2404</v>
      </c>
      <c r="B145" s="22" t="s">
        <v>613</v>
      </c>
      <c r="C145" s="22" t="s">
        <v>540</v>
      </c>
      <c r="D145" s="22"/>
      <c r="F145" s="126" t="n">
        <f aca="false">F36+F45+F54+F63+F72+F81+F90+F99+F108+F117+F126+F135</f>
        <v>0</v>
      </c>
      <c r="G145" s="126" t="n">
        <f aca="false">G36+G45+G54+G63+G72+G81+G90+G99+G108+G117+G126+G135</f>
        <v>0</v>
      </c>
      <c r="H145" s="126" t="n">
        <f aca="false">H36+H45+H54+H63+H72+H81+H90+H99+H108+H117+H126+H135</f>
        <v>0</v>
      </c>
      <c r="I145" s="126" t="n">
        <f aca="false">I36+I45+I54+I63+I72+I81+I90+I99+I108+I117+I126+I135</f>
        <v>0</v>
      </c>
      <c r="J145" s="126" t="n">
        <f aca="false">J36+J45+J54+J63+J72+J81+J90+J99+J108+J117+J126+J135</f>
        <v>0</v>
      </c>
      <c r="K145" s="126" t="n">
        <f aca="false">K36+K45+K54+K63+K72+K81+K90+K99+K108+K117+K126+K135</f>
        <v>977.717696391198</v>
      </c>
      <c r="L145" s="126" t="n">
        <f aca="false">L36+L45+L54+L63+L72+L81+L90+L99+L108+L117+L126+L135</f>
        <v>4153.55863884143</v>
      </c>
      <c r="M145" s="126" t="n">
        <f aca="false">M36+M45+M54+M63+M72+M81+M90+M99+M108+M117+M126+M135</f>
        <v>4184.0439892422</v>
      </c>
      <c r="N145" s="126" t="n">
        <f aca="false">N36+N45+N54+N63+N72+N81+N90+N99+N108+N117+N126+N135</f>
        <v>8556.00126497794</v>
      </c>
      <c r="O145" s="126" t="n">
        <f aca="false">O36+O45+O54+O63+O72+O81+O90+O99+O108+O117+O126+O135</f>
        <v>8624.49645117217</v>
      </c>
      <c r="P145" s="99" t="n">
        <f aca="false">P36+P45+P54+P63+P72+P81+P90+P99+P108+P117+P126+P135</f>
        <v>13618.5823768008</v>
      </c>
      <c r="Q145" s="99" t="n">
        <f aca="false">Q36+Q45+Q54+Q63+Q72+Q81+Q90+Q99+Q108+Q117+Q126+Q135</f>
        <v>13723.9597745188</v>
      </c>
      <c r="R145" s="99" t="n">
        <f aca="false">R36+R45+R54+R63+R72+R81+R90+R99+R108+R117+R126+R135</f>
        <v>20251.0967009347</v>
      </c>
      <c r="S145" s="99" t="n">
        <f aca="false">S36+S45+S54+S63+S72+S81+S90+S99+S108+S117+S126+S135</f>
        <v>20403.963827577</v>
      </c>
      <c r="T145" s="99" t="n">
        <f aca="false">T36+T45+T54+T63+T72+T81+T90+T99+T108+T117+T126+T135</f>
        <v>26983.5849097986</v>
      </c>
      <c r="U145" s="99" t="n">
        <f aca="false">U36+U45+U54+U63+U72+U81+U90+U99+U108+U117+U126+U135</f>
        <v>27187.2131062122</v>
      </c>
      <c r="V145" s="99" t="n">
        <f aca="false">V36+V45+V54+V63+V72+V81+V90+V99+V108+V117+V126+V135</f>
        <v>27388.6279526647</v>
      </c>
      <c r="W145" s="99" t="n">
        <f aca="false">W36+W45+W54+W63+W72+W81+W90+W99+W108+W117+W126+W135</f>
        <v>27590.0427991173</v>
      </c>
      <c r="X145" s="99" t="n">
        <f aca="false">X36+X45+X54+X63+X72+X81+X90+X99+X108+X117+X126+X135</f>
        <v>27793.6709955308</v>
      </c>
      <c r="Y145" s="99" t="n">
        <f aca="false">Y36+Y45+Y54+Y63+Y72+Y81+Y90+Y99+Y108+Y117+Y126+Y135</f>
        <v>27997.2991919444</v>
      </c>
      <c r="Z145" s="99" t="n">
        <f aca="false">Z36+Z45+Z54+Z63+Z72+Z81+Z90+Z99+Z108+Z117+Z126+Z135</f>
        <v>28196.5006884359</v>
      </c>
      <c r="AA145" s="99" t="n">
        <f aca="false">AA36+AA45+AA54+AA63+AA72+AA81+AA90+AA99+AA108+AA117+AA126+AA135</f>
        <v>28294.7982562337</v>
      </c>
      <c r="AB145" s="99" t="n">
        <f aca="false">AB36+AB45+AB54+AB63+AB72+AB81+AB90+AB99+AB108+AB117+AB126+AB135</f>
        <v>28497.459568639</v>
      </c>
      <c r="AC145" s="99" t="n">
        <f aca="false">AC36+AC45+AC54+AC63+AC72+AC81+AC90+AC99+AC108+AC117+AC126+AC135</f>
        <v>28700.1208810443</v>
      </c>
      <c r="AD145" s="99" t="n">
        <f aca="false">AD36+AD45+AD54+AD63+AD72+AD81+AD90+AD99+AD108+AD117+AD126+AD135</f>
        <v>25091.4331610536</v>
      </c>
      <c r="AE145" s="99" t="n">
        <f aca="false">AE36+AE45+AE54+AE63+AE72+AE81+AE90+AE99+AE108+AE117+AE126+AE135</f>
        <v>25267.19061029</v>
      </c>
      <c r="AF145" s="99" t="n">
        <f aca="false">AF36+AF45+AF54+AF63+AF72+AF81+AF90+AF99+AF108+AF117+AF126+AF135</f>
        <v>19386.3604168822</v>
      </c>
      <c r="AG145" s="99" t="n">
        <f aca="false">AG36+AG45+AG54+AG63+AG72+AG81+AG90+AG99+AG108+AG117+AG126+AG135</f>
        <v>19524.4341259873</v>
      </c>
      <c r="AI145" s="99" t="n">
        <f aca="false">INDEX($F145:$AG145,1,MATCH(AI$7,$F$7:$AG$7,1))</f>
        <v>0</v>
      </c>
      <c r="AJ145" s="99" t="n">
        <f aca="false">INDEX($F145:$AG145,1,MATCH(AJ$7,$F$7:$AG$7,1))</f>
        <v>4184.0439892422</v>
      </c>
      <c r="AK145" s="99" t="n">
        <f aca="false">INDEX($F145:$AG145,1,MATCH(AK$7,$F$7:$AG$7,1))</f>
        <v>13723.9597745188</v>
      </c>
      <c r="AL145" s="99" t="n">
        <f aca="false">INDEX($F145:$AG145,1,MATCH(AL$7,$F$7:$AG$7,1))</f>
        <v>27187.2131062122</v>
      </c>
      <c r="AM145" s="99" t="n">
        <f aca="false">INDEX($F145:$AG145,1,MATCH(AM$7,$F$7:$AG$7,1))</f>
        <v>27997.2991919444</v>
      </c>
      <c r="AN145" s="99" t="n">
        <f aca="false">INDEX($F145:$AG145,1,MATCH(AN$7,$F$7:$AG$7,1))</f>
        <v>28700.1208810443</v>
      </c>
      <c r="AO145" s="99" t="n">
        <f aca="false">INDEX($F145:$AG145,1,MATCH(AO$7,$F$7:$AG$7,1))</f>
        <v>19524.4341259873</v>
      </c>
    </row>
    <row r="147" customFormat="false" ht="15" hidden="false" customHeight="false" outlineLevel="0" collapsed="false">
      <c r="A147" s="58" t="s">
        <v>2405</v>
      </c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</row>
    <row r="148" customFormat="false" ht="15" hidden="false" customHeight="false" outlineLevel="0" collapsed="false">
      <c r="A148" s="107" t="s">
        <v>2406</v>
      </c>
      <c r="B148" s="22" t="s">
        <v>613</v>
      </c>
      <c r="C148" s="22" t="s">
        <v>604</v>
      </c>
      <c r="D148" s="22" t="s">
        <v>2407</v>
      </c>
      <c r="F148" s="124" t="n">
        <f aca="false">IF(AND(F$5&gt;=SecIdx,F$5&lt;SecMatIdx),SecAmt,0)*LoanOn</f>
        <v>0</v>
      </c>
      <c r="G148" s="124" t="n">
        <f aca="false">IF(AND(G$5&gt;=SecIdx,G$5&lt;SecMatIdx),SecAmt,0)*LoanOn</f>
        <v>0</v>
      </c>
      <c r="H148" s="124" t="n">
        <f aca="false">IF(AND(H$5&gt;=SecIdx,H$5&lt;SecMatIdx),SecAmt,0)*LoanOn</f>
        <v>0</v>
      </c>
      <c r="I148" s="124" t="n">
        <f aca="false">IF(AND(I$5&gt;=SecIdx,I$5&lt;SecMatIdx),SecAmt,0)*LoanOn</f>
        <v>0</v>
      </c>
      <c r="J148" s="124" t="n">
        <f aca="false">IF(AND(J$5&gt;=SecIdx,J$5&lt;SecMatIdx),SecAmt,0)*LoanOn</f>
        <v>0</v>
      </c>
      <c r="K148" s="124" t="n">
        <f aca="false">IF(AND(K$5&gt;=SecIdx,K$5&lt;SecMatIdx),SecAmt,0)*LoanOn</f>
        <v>0</v>
      </c>
      <c r="L148" s="124" t="n">
        <f aca="false">IF(AND(L$5&gt;=SecIdx,L$5&lt;SecMatIdx),SecAmt,0)*LoanOn</f>
        <v>0</v>
      </c>
      <c r="M148" s="124" t="n">
        <f aca="false">IF(AND(M$5&gt;=SecIdx,M$5&lt;SecMatIdx),SecAmt,0)*LoanOn</f>
        <v>0</v>
      </c>
      <c r="N148" s="124" t="n">
        <f aca="false">IF(AND(N$5&gt;=SecIdx,N$5&lt;SecMatIdx),SecAmt,0)*LoanOn</f>
        <v>0</v>
      </c>
      <c r="O148" s="124" t="n">
        <f aca="false">IF(AND(O$5&gt;=SecIdx,O$5&lt;SecMatIdx),SecAmt,0)*LoanOn</f>
        <v>0</v>
      </c>
      <c r="P148" s="125" t="n">
        <f aca="false">IF(AND(P$5&gt;=SecIdx,P$5&lt;SecMatIdx),SecAmt,0)*LoanOn</f>
        <v>0</v>
      </c>
      <c r="Q148" s="125" t="n">
        <f aca="false">IF(AND(Q$5&gt;=SecIdx,Q$5&lt;SecMatIdx),SecAmt,0)*LoanOn</f>
        <v>0</v>
      </c>
      <c r="R148" s="125" t="n">
        <f aca="false">IF(AND(R$5&gt;=SecIdx,R$5&lt;SecMatIdx),SecAmt,0)*LoanOn</f>
        <v>0</v>
      </c>
      <c r="S148" s="125" t="n">
        <f aca="false">IF(AND(S$5&gt;=SecIdx,S$5&lt;SecMatIdx),SecAmt,0)*LoanOn</f>
        <v>0</v>
      </c>
      <c r="T148" s="125" t="n">
        <f aca="false">IF(AND(T$5&gt;=SecIdx,T$5&lt;SecMatIdx),SecAmt,0)*LoanOn</f>
        <v>0</v>
      </c>
      <c r="U148" s="125" t="n">
        <f aca="false">IF(AND(U$5&gt;=SecIdx,U$5&lt;SecMatIdx),SecAmt,0)*LoanOn</f>
        <v>0</v>
      </c>
      <c r="V148" s="125" t="n">
        <f aca="false">IF(AND(V$5&gt;=SecIdx,V$5&lt;SecMatIdx),SecAmt,0)*LoanOn</f>
        <v>0</v>
      </c>
      <c r="W148" s="125" t="n">
        <f aca="false">IF(AND(W$5&gt;=SecIdx,W$5&lt;SecMatIdx),SecAmt,0)*LoanOn</f>
        <v>0</v>
      </c>
      <c r="X148" s="125" t="n">
        <f aca="false">IF(AND(X$5&gt;=SecIdx,X$5&lt;SecMatIdx),SecAmt,0)*LoanOn</f>
        <v>0</v>
      </c>
      <c r="Y148" s="125" t="n">
        <f aca="false">IF(AND(Y$5&gt;=SecIdx,Y$5&lt;SecMatIdx),SecAmt,0)*LoanOn</f>
        <v>0</v>
      </c>
      <c r="Z148" s="125" t="n">
        <f aca="false">IF(AND(Z$5&gt;=SecIdx,Z$5&lt;SecMatIdx),SecAmt,0)*LoanOn</f>
        <v>0</v>
      </c>
      <c r="AA148" s="125" t="n">
        <f aca="false">IF(AND(AA$5&gt;=SecIdx,AA$5&lt;SecMatIdx),SecAmt,0)*LoanOn</f>
        <v>0</v>
      </c>
      <c r="AB148" s="125" t="n">
        <f aca="false">IF(AND(AB$5&gt;=SecIdx,AB$5&lt;SecMatIdx),SecAmt,0)*LoanOn</f>
        <v>0</v>
      </c>
      <c r="AC148" s="125" t="n">
        <f aca="false">IF(AND(AC$5&gt;=SecIdx,AC$5&lt;SecMatIdx),SecAmt,0)*LoanOn</f>
        <v>0</v>
      </c>
      <c r="AD148" s="125" t="n">
        <f aca="false">IF(AND(AD$5&gt;=SecIdx,AD$5&lt;SecMatIdx),SecAmt,0)*LoanOn</f>
        <v>0</v>
      </c>
      <c r="AE148" s="125" t="n">
        <f aca="false">IF(AND(AE$5&gt;=SecIdx,AE$5&lt;SecMatIdx),SecAmt,0)*LoanOn</f>
        <v>0</v>
      </c>
      <c r="AF148" s="125" t="n">
        <f aca="false">IF(AND(AF$5&gt;=SecIdx,AF$5&lt;SecMatIdx),SecAmt,0)*LoanOn</f>
        <v>0</v>
      </c>
      <c r="AG148" s="125" t="n">
        <f aca="false">IF(AND(AG$5&gt;=SecIdx,AG$5&lt;SecMatIdx),SecAmt,0)*LoanOn</f>
        <v>0</v>
      </c>
      <c r="AI148" s="125" t="n">
        <f aca="false">INDEX($F148:$AG148,1,MATCH(AI$7,$F$7:$AG$7,1))</f>
        <v>0</v>
      </c>
      <c r="AJ148" s="125" t="n">
        <f aca="false">INDEX($F148:$AG148,1,MATCH(AJ$7,$F$7:$AG$7,1))</f>
        <v>0</v>
      </c>
      <c r="AK148" s="125" t="n">
        <f aca="false">INDEX($F148:$AG148,1,MATCH(AK$7,$F$7:$AG$7,1))</f>
        <v>0</v>
      </c>
      <c r="AL148" s="125" t="n">
        <f aca="false">INDEX($F148:$AG148,1,MATCH(AL$7,$F$7:$AG$7,1))</f>
        <v>0</v>
      </c>
      <c r="AM148" s="125" t="n">
        <f aca="false">INDEX($F148:$AG148,1,MATCH(AM$7,$F$7:$AG$7,1))</f>
        <v>0</v>
      </c>
      <c r="AN148" s="125" t="n">
        <f aca="false">INDEX($F148:$AG148,1,MATCH(AN$7,$F$7:$AG$7,1))</f>
        <v>0</v>
      </c>
      <c r="AO148" s="125" t="n">
        <f aca="false">INDEX($F148:$AG148,1,MATCH(AO$7,$F$7:$AG$7,1))</f>
        <v>0</v>
      </c>
    </row>
    <row r="149" customFormat="false" ht="15" hidden="false" customHeight="false" outlineLevel="0" collapsed="false">
      <c r="A149" s="107" t="s">
        <v>2408</v>
      </c>
      <c r="B149" s="22" t="s">
        <v>613</v>
      </c>
      <c r="C149" s="22" t="s">
        <v>604</v>
      </c>
      <c r="D149" s="22"/>
      <c r="F149" s="124" t="n">
        <f aca="false">F148*(SOFR+SecSpread)/4</f>
        <v>0</v>
      </c>
      <c r="G149" s="124" t="n">
        <f aca="false">G148*(SOFR+SecSpread)/4</f>
        <v>0</v>
      </c>
      <c r="H149" s="124" t="n">
        <f aca="false">H148*(SOFR+SecSpread)/4</f>
        <v>0</v>
      </c>
      <c r="I149" s="124" t="n">
        <f aca="false">I148*(SOFR+SecSpread)/4</f>
        <v>0</v>
      </c>
      <c r="J149" s="124" t="n">
        <f aca="false">J148*(SOFR+SecSpread)/4</f>
        <v>0</v>
      </c>
      <c r="K149" s="124" t="n">
        <f aca="false">K148*(SOFR+SecSpread)/4</f>
        <v>0</v>
      </c>
      <c r="L149" s="124" t="n">
        <f aca="false">L148*(SOFR+SecSpread)/4</f>
        <v>0</v>
      </c>
      <c r="M149" s="124" t="n">
        <f aca="false">M148*(SOFR+SecSpread)/4</f>
        <v>0</v>
      </c>
      <c r="N149" s="124" t="n">
        <f aca="false">N148*(SOFR+SecSpread)/4</f>
        <v>0</v>
      </c>
      <c r="O149" s="124" t="n">
        <f aca="false">O148*(SOFR+SecSpread)/4</f>
        <v>0</v>
      </c>
      <c r="P149" s="125" t="n">
        <f aca="false">P148*(SOFR+SecSpread)/4</f>
        <v>0</v>
      </c>
      <c r="Q149" s="125" t="n">
        <f aca="false">Q148*(SOFR+SecSpread)/4</f>
        <v>0</v>
      </c>
      <c r="R149" s="125" t="n">
        <f aca="false">R148*(SOFR+SecSpread)/4</f>
        <v>0</v>
      </c>
      <c r="S149" s="125" t="n">
        <f aca="false">S148*(SOFR+SecSpread)/4</f>
        <v>0</v>
      </c>
      <c r="T149" s="125" t="n">
        <f aca="false">T148*(SOFR+SecSpread)/4</f>
        <v>0</v>
      </c>
      <c r="U149" s="125" t="n">
        <f aca="false">U148*(SOFR+SecSpread)/4</f>
        <v>0</v>
      </c>
      <c r="V149" s="125" t="n">
        <f aca="false">V148*(SOFR+SecSpread)/4</f>
        <v>0</v>
      </c>
      <c r="W149" s="125" t="n">
        <f aca="false">W148*(SOFR+SecSpread)/4</f>
        <v>0</v>
      </c>
      <c r="X149" s="125" t="n">
        <f aca="false">X148*(SOFR+SecSpread)/4</f>
        <v>0</v>
      </c>
      <c r="Y149" s="125" t="n">
        <f aca="false">Y148*(SOFR+SecSpread)/4</f>
        <v>0</v>
      </c>
      <c r="Z149" s="125" t="n">
        <f aca="false">Z148*(SOFR+SecSpread)/4</f>
        <v>0</v>
      </c>
      <c r="AA149" s="125" t="n">
        <f aca="false">AA148*(SOFR+SecSpread)/4</f>
        <v>0</v>
      </c>
      <c r="AB149" s="125" t="n">
        <f aca="false">AB148*(SOFR+SecSpread)/4</f>
        <v>0</v>
      </c>
      <c r="AC149" s="125" t="n">
        <f aca="false">AC148*(SOFR+SecSpread)/4</f>
        <v>0</v>
      </c>
      <c r="AD149" s="125" t="n">
        <f aca="false">AD148*(SOFR+SecSpread)/4</f>
        <v>0</v>
      </c>
      <c r="AE149" s="125" t="n">
        <f aca="false">AE148*(SOFR+SecSpread)/4</f>
        <v>0</v>
      </c>
      <c r="AF149" s="125" t="n">
        <f aca="false">AF148*(SOFR+SecSpread)/4</f>
        <v>0</v>
      </c>
      <c r="AG149" s="125" t="n">
        <f aca="false">AG148*(SOFR+SecSpread)/4</f>
        <v>0</v>
      </c>
      <c r="AI149" s="125" t="n">
        <f aca="false">SUMIF($F$7:$AG$7,AI$7,$F149:$AG149)</f>
        <v>0</v>
      </c>
      <c r="AJ149" s="125" t="n">
        <f aca="false">SUMIF($F$7:$AG$7,AJ$7,$F149:$AG149)</f>
        <v>0</v>
      </c>
      <c r="AK149" s="125" t="n">
        <f aca="false">SUMIF($F$7:$AG$7,AK$7,$F149:$AG149)</f>
        <v>0</v>
      </c>
      <c r="AL149" s="125" t="n">
        <f aca="false">SUMIF($F$7:$AG$7,AL$7,$F149:$AG149)</f>
        <v>0</v>
      </c>
      <c r="AM149" s="125" t="n">
        <f aca="false">SUMIF($F$7:$AG$7,AM$7,$F149:$AG149)</f>
        <v>0</v>
      </c>
      <c r="AN149" s="125" t="n">
        <f aca="false">SUMIF($F$7:$AG$7,AN$7,$F149:$AG149)</f>
        <v>0</v>
      </c>
      <c r="AO149" s="125" t="n">
        <f aca="false">SUMIF($F$7:$AG$7,AO$7,$F149:$AG149)</f>
        <v>0</v>
      </c>
    </row>
    <row r="150" customFormat="false" ht="15" hidden="false" customHeight="false" outlineLevel="0" collapsed="false">
      <c r="A150" s="107" t="s">
        <v>2409</v>
      </c>
      <c r="B150" s="22" t="s">
        <v>613</v>
      </c>
      <c r="C150" s="22" t="s">
        <v>604</v>
      </c>
      <c r="D150" s="22"/>
      <c r="F150" s="124" t="n">
        <f aca="false">(IF(F$5=SecIdx,SecAmt,0)-IF(F$5=SecMatIdx,SecAmt,0))*LoanOn</f>
        <v>0</v>
      </c>
      <c r="G150" s="124" t="n">
        <f aca="false">(IF(G$5=SecIdx,SecAmt,0)-IF(G$5=SecMatIdx,SecAmt,0))*LoanOn</f>
        <v>0</v>
      </c>
      <c r="H150" s="124" t="n">
        <f aca="false">(IF(H$5=SecIdx,SecAmt,0)-IF(H$5=SecMatIdx,SecAmt,0))*LoanOn</f>
        <v>0</v>
      </c>
      <c r="I150" s="124" t="n">
        <f aca="false">(IF(I$5=SecIdx,SecAmt,0)-IF(I$5=SecMatIdx,SecAmt,0))*LoanOn</f>
        <v>0</v>
      </c>
      <c r="J150" s="124" t="n">
        <f aca="false">(IF(J$5=SecIdx,SecAmt,0)-IF(J$5=SecMatIdx,SecAmt,0))*LoanOn</f>
        <v>0</v>
      </c>
      <c r="K150" s="124" t="n">
        <f aca="false">(IF(K$5=SecIdx,SecAmt,0)-IF(K$5=SecMatIdx,SecAmt,0))*LoanOn</f>
        <v>0</v>
      </c>
      <c r="L150" s="124" t="n">
        <f aca="false">(IF(L$5=SecIdx,SecAmt,0)-IF(L$5=SecMatIdx,SecAmt,0))*LoanOn</f>
        <v>0</v>
      </c>
      <c r="M150" s="124" t="n">
        <f aca="false">(IF(M$5=SecIdx,SecAmt,0)-IF(M$5=SecMatIdx,SecAmt,0))*LoanOn</f>
        <v>0</v>
      </c>
      <c r="N150" s="124" t="n">
        <f aca="false">(IF(N$5=SecIdx,SecAmt,0)-IF(N$5=SecMatIdx,SecAmt,0))*LoanOn</f>
        <v>0</v>
      </c>
      <c r="O150" s="124" t="n">
        <f aca="false">(IF(O$5=SecIdx,SecAmt,0)-IF(O$5=SecMatIdx,SecAmt,0))*LoanOn</f>
        <v>0</v>
      </c>
      <c r="P150" s="125" t="n">
        <f aca="false">(IF(P$5=SecIdx,SecAmt,0)-IF(P$5=SecMatIdx,SecAmt,0))*LoanOn</f>
        <v>0</v>
      </c>
      <c r="Q150" s="125" t="n">
        <f aca="false">(IF(Q$5=SecIdx,SecAmt,0)-IF(Q$5=SecMatIdx,SecAmt,0))*LoanOn</f>
        <v>0</v>
      </c>
      <c r="R150" s="125" t="n">
        <f aca="false">(IF(R$5=SecIdx,SecAmt,0)-IF(R$5=SecMatIdx,SecAmt,0))*LoanOn</f>
        <v>0</v>
      </c>
      <c r="S150" s="125" t="n">
        <f aca="false">(IF(S$5=SecIdx,SecAmt,0)-IF(S$5=SecMatIdx,SecAmt,0))*LoanOn</f>
        <v>0</v>
      </c>
      <c r="T150" s="125" t="n">
        <f aca="false">(IF(T$5=SecIdx,SecAmt,0)-IF(T$5=SecMatIdx,SecAmt,0))*LoanOn</f>
        <v>0</v>
      </c>
      <c r="U150" s="125" t="n">
        <f aca="false">(IF(U$5=SecIdx,SecAmt,0)-IF(U$5=SecMatIdx,SecAmt,0))*LoanOn</f>
        <v>0</v>
      </c>
      <c r="V150" s="125" t="n">
        <f aca="false">(IF(V$5=SecIdx,SecAmt,0)-IF(V$5=SecMatIdx,SecAmt,0))*LoanOn</f>
        <v>0</v>
      </c>
      <c r="W150" s="125" t="n">
        <f aca="false">(IF(W$5=SecIdx,SecAmt,0)-IF(W$5=SecMatIdx,SecAmt,0))*LoanOn</f>
        <v>0</v>
      </c>
      <c r="X150" s="125" t="n">
        <f aca="false">(IF(X$5=SecIdx,SecAmt,0)-IF(X$5=SecMatIdx,SecAmt,0))*LoanOn</f>
        <v>0</v>
      </c>
      <c r="Y150" s="125" t="n">
        <f aca="false">(IF(Y$5=SecIdx,SecAmt,0)-IF(Y$5=SecMatIdx,SecAmt,0))*LoanOn</f>
        <v>0</v>
      </c>
      <c r="Z150" s="125" t="n">
        <f aca="false">(IF(Z$5=SecIdx,SecAmt,0)-IF(Z$5=SecMatIdx,SecAmt,0))*LoanOn</f>
        <v>0</v>
      </c>
      <c r="AA150" s="125" t="n">
        <f aca="false">(IF(AA$5=SecIdx,SecAmt,0)-IF(AA$5=SecMatIdx,SecAmt,0))*LoanOn</f>
        <v>0</v>
      </c>
      <c r="AB150" s="125" t="n">
        <f aca="false">(IF(AB$5=SecIdx,SecAmt,0)-IF(AB$5=SecMatIdx,SecAmt,0))*LoanOn</f>
        <v>0</v>
      </c>
      <c r="AC150" s="125" t="n">
        <f aca="false">(IF(AC$5=SecIdx,SecAmt,0)-IF(AC$5=SecMatIdx,SecAmt,0))*LoanOn</f>
        <v>0</v>
      </c>
      <c r="AD150" s="125" t="n">
        <f aca="false">(IF(AD$5=SecIdx,SecAmt,0)-IF(AD$5=SecMatIdx,SecAmt,0))*LoanOn</f>
        <v>0</v>
      </c>
      <c r="AE150" s="125" t="n">
        <f aca="false">(IF(AE$5=SecIdx,SecAmt,0)-IF(AE$5=SecMatIdx,SecAmt,0))*LoanOn</f>
        <v>0</v>
      </c>
      <c r="AF150" s="125" t="n">
        <f aca="false">(IF(AF$5=SecIdx,SecAmt,0)-IF(AF$5=SecMatIdx,SecAmt,0))*LoanOn</f>
        <v>0</v>
      </c>
      <c r="AG150" s="125" t="n">
        <f aca="false">(IF(AG$5=SecIdx,SecAmt,0)-IF(AG$5=SecMatIdx,SecAmt,0))*LoanOn</f>
        <v>-0</v>
      </c>
      <c r="AI150" s="125" t="n">
        <f aca="false">SUMIF($F$7:$AG$7,AI$7,$F150:$AG150)</f>
        <v>0</v>
      </c>
      <c r="AJ150" s="125" t="n">
        <f aca="false">SUMIF($F$7:$AG$7,AJ$7,$F150:$AG150)</f>
        <v>0</v>
      </c>
      <c r="AK150" s="125" t="n">
        <f aca="false">SUMIF($F$7:$AG$7,AK$7,$F150:$AG150)</f>
        <v>0</v>
      </c>
      <c r="AL150" s="125" t="n">
        <f aca="false">SUMIF($F$7:$AG$7,AL$7,$F150:$AG150)</f>
        <v>0</v>
      </c>
      <c r="AM150" s="125" t="n">
        <f aca="false">SUMIF($F$7:$AG$7,AM$7,$F150:$AG150)</f>
        <v>0</v>
      </c>
      <c r="AN150" s="125" t="n">
        <f aca="false">SUMIF($F$7:$AG$7,AN$7,$F150:$AG150)</f>
        <v>0</v>
      </c>
      <c r="AO150" s="125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2410</v>
      </c>
    </row>
    <row r="2" customFormat="false" ht="15" hidden="false" customHeight="false" outlineLevel="0" collapsed="false">
      <c r="A2" s="22" t="s">
        <v>2411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2023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3" t="s">
        <v>1292</v>
      </c>
      <c r="B11" s="22" t="s">
        <v>613</v>
      </c>
      <c r="C11" s="22" t="s">
        <v>2023</v>
      </c>
      <c r="D11" s="22"/>
      <c r="F11" s="126" t="n">
        <f aca="false">INDEX(Rev,1,1)</f>
        <v>11.4</v>
      </c>
      <c r="G11" s="126" t="n">
        <f aca="false">INDEX(Rev,1,2)</f>
        <v>14.5</v>
      </c>
      <c r="H11" s="126" t="n">
        <f aca="false">INDEX(Rev,1,3)</f>
        <v>32.1</v>
      </c>
      <c r="I11" s="126" t="n">
        <f aca="false">INDEX(Rev,1,4)</f>
        <v>35.2</v>
      </c>
      <c r="J11" s="126" t="n">
        <f aca="false">INDEX(Rev,1,5)</f>
        <v>50.9</v>
      </c>
      <c r="K11" s="126" t="n">
        <f aca="false">INDEX(Rev,1,6)</f>
        <v>105.1</v>
      </c>
      <c r="L11" s="126" t="n">
        <f aca="false">INDEX(Rev,1,7)</f>
        <v>146.1</v>
      </c>
      <c r="M11" s="126" t="n">
        <f aca="false">INDEX(Rev,1,8)</f>
        <v>227.7</v>
      </c>
      <c r="N11" s="126" t="n">
        <f aca="false">INDEX(Rev,1,9)</f>
        <v>399</v>
      </c>
      <c r="O11" s="126" t="n">
        <f aca="false">INDEX(Rev,1,10)</f>
        <v>582.3</v>
      </c>
      <c r="P11" s="99" t="n">
        <f aca="false">INDEX(Rev,1,11)</f>
        <v>674.686407680941</v>
      </c>
      <c r="Q11" s="99" t="n">
        <f aca="false">INDEX(Rev,1,12)</f>
        <v>809.093133895167</v>
      </c>
      <c r="R11" s="99" t="n">
        <f aca="false">INDEX(Rev,1,13)</f>
        <v>1027.64729096515</v>
      </c>
      <c r="S11" s="99" t="n">
        <f aca="false">INDEX(Rev,1,14)</f>
        <v>1466.37990108619</v>
      </c>
      <c r="T11" s="99" t="n">
        <f aca="false">INDEX(Rev,1,15)</f>
        <v>2114.2850607743</v>
      </c>
      <c r="U11" s="99" t="n">
        <f aca="false">INDEX(Rev,1,16)</f>
        <v>2897.15307867053</v>
      </c>
      <c r="V11" s="99" t="n">
        <f aca="false">INDEX(Rev,1,17)</f>
        <v>3990.09354251867</v>
      </c>
      <c r="W11" s="99" t="n">
        <f aca="false">INDEX(Rev,1,18)</f>
        <v>4858.68890349615</v>
      </c>
      <c r="X11" s="99" t="n">
        <f aca="false">INDEX(Rev,1,19)</f>
        <v>5461.14268784833</v>
      </c>
      <c r="Y11" s="99" t="n">
        <f aca="false">INDEX(Rev,1,20)</f>
        <v>5870.73944063455</v>
      </c>
      <c r="Z11" s="99" t="n">
        <f aca="false">INDEX(Rev,1,21)</f>
        <v>6658.65292053369</v>
      </c>
      <c r="AA11" s="99" t="n">
        <f aca="false">INDEX(Rev,1,22)</f>
        <v>7439.63928343576</v>
      </c>
      <c r="AB11" s="99" t="n">
        <f aca="false">INDEX(Rev,1,23)</f>
        <v>8222.05892958336</v>
      </c>
      <c r="AC11" s="99" t="n">
        <f aca="false">INDEX(Rev,1,24)</f>
        <v>9019.28474424214</v>
      </c>
      <c r="AD11" s="99" t="n">
        <f aca="false">INDEX(Rev,1,25)</f>
        <v>10091.6498946445</v>
      </c>
      <c r="AE11" s="99" t="n">
        <f aca="false">INDEX(Rev,1,26)</f>
        <v>11190.2792566616</v>
      </c>
      <c r="AF11" s="99" t="n">
        <f aca="false">INDEX(Rev,1,27)</f>
        <v>11156.1058441122</v>
      </c>
      <c r="AG11" s="99" t="n">
        <f aca="false">INDEX(Rev,1,28)</f>
        <v>11270.5498275423</v>
      </c>
      <c r="AI11" s="99" t="n">
        <f aca="false">SUMIF($F$7:$AG$7,AI$7,$F11:$AG11)</f>
        <v>93.2</v>
      </c>
      <c r="AJ11" s="99" t="n">
        <f aca="false">SUMIF($F$7:$AG$7,AJ$7,$F11:$AG11)</f>
        <v>529.8</v>
      </c>
      <c r="AK11" s="99" t="n">
        <f aca="false">SUMIF($F$7:$AG$7,AK$7,$F11:$AG11)</f>
        <v>2465.07954157611</v>
      </c>
      <c r="AL11" s="99" t="n">
        <f aca="false">SUMIF($F$7:$AG$7,AL$7,$F11:$AG11)</f>
        <v>7505.46533149617</v>
      </c>
      <c r="AM11" s="99" t="n">
        <f aca="false">SUMIF($F$7:$AG$7,AM$7,$F11:$AG11)</f>
        <v>20180.6645744977</v>
      </c>
      <c r="AN11" s="99" t="n">
        <f aca="false">SUMIF($F$7:$AG$7,AN$7,$F11:$AG11)</f>
        <v>31339.635877795</v>
      </c>
      <c r="AO11" s="99" t="n">
        <f aca="false">SUMIF($F$7:$AG$7,AO$7,$F11:$AG11)</f>
        <v>43708.5848229607</v>
      </c>
    </row>
    <row r="12" customFormat="false" ht="15" hidden="false" customHeight="false" outlineLevel="0" collapsed="false">
      <c r="A12" s="107" t="s">
        <v>2412</v>
      </c>
      <c r="B12" s="22" t="s">
        <v>613</v>
      </c>
      <c r="C12" s="22" t="s">
        <v>2023</v>
      </c>
      <c r="D12" s="22"/>
      <c r="F12" s="124" t="n">
        <f aca="false">INDEX(AIRev,1,1)</f>
        <v>10.3</v>
      </c>
      <c r="G12" s="124" t="n">
        <f aca="false">INDEX(AIRev,1,2)</f>
        <v>13.1</v>
      </c>
      <c r="H12" s="124" t="n">
        <f aca="false">INDEX(AIRev,1,3)</f>
        <v>28.9</v>
      </c>
      <c r="I12" s="124" t="n">
        <f aca="false">INDEX(AIRev,1,4)</f>
        <v>31.7</v>
      </c>
      <c r="J12" s="124" t="n">
        <f aca="false">INDEX(AIRev,1,5)</f>
        <v>41.4</v>
      </c>
      <c r="K12" s="124" t="n">
        <f aca="false">INDEX(AIRev,1,6)</f>
        <v>93.6</v>
      </c>
      <c r="L12" s="124" t="n">
        <f aca="false">INDEX(AIRev,1,7)</f>
        <v>138.8</v>
      </c>
      <c r="M12" s="124" t="n">
        <f aca="false">INDEX(AIRev,1,8)</f>
        <v>214.2</v>
      </c>
      <c r="N12" s="124" t="n">
        <f aca="false">INDEX(AIRev,1,9)</f>
        <v>389.7</v>
      </c>
      <c r="O12" s="124" t="n">
        <f aca="false">INDEX(AIRev,1,10)</f>
        <v>574.9</v>
      </c>
      <c r="P12" s="125" t="n">
        <f aca="false">INDEX(AIRev,1,11)</f>
        <v>667.138407680941</v>
      </c>
      <c r="Q12" s="125" t="n">
        <f aca="false">INDEX(AIRev,1,12)</f>
        <v>801.394173895167</v>
      </c>
      <c r="R12" s="125" t="n">
        <f aca="false">INDEX(AIRev,1,13)</f>
        <v>1019.79435176515</v>
      </c>
      <c r="S12" s="125" t="n">
        <f aca="false">INDEX(AIRev,1,14)</f>
        <v>1458.36990310219</v>
      </c>
      <c r="T12" s="125" t="n">
        <f aca="false">INDEX(AIRev,1,15)</f>
        <v>2106.11486283062</v>
      </c>
      <c r="U12" s="125" t="n">
        <f aca="false">INDEX(AIRev,1,16)</f>
        <v>2888.81947676798</v>
      </c>
      <c r="V12" s="125" t="n">
        <f aca="false">INDEX(AIRev,1,17)</f>
        <v>3981.59326857807</v>
      </c>
      <c r="W12" s="125" t="n">
        <f aca="false">INDEX(AIRev,1,18)</f>
        <v>4850.01862407673</v>
      </c>
      <c r="X12" s="125" t="n">
        <f aca="false">INDEX(AIRev,1,19)</f>
        <v>5452.29900284052</v>
      </c>
      <c r="Y12" s="125" t="n">
        <f aca="false">INDEX(AIRev,1,20)</f>
        <v>5861.71888192659</v>
      </c>
      <c r="Z12" s="125" t="n">
        <f aca="false">INDEX(AIRev,1,21)</f>
        <v>6649.45195065157</v>
      </c>
      <c r="AA12" s="125" t="n">
        <f aca="false">INDEX(AIRev,1,22)</f>
        <v>7430.25429415599</v>
      </c>
      <c r="AB12" s="125" t="n">
        <f aca="false">INDEX(AIRev,1,23)</f>
        <v>8212.486240518</v>
      </c>
      <c r="AC12" s="125" t="n">
        <f aca="false">INDEX(AIRev,1,24)</f>
        <v>9009.52060139548</v>
      </c>
      <c r="AD12" s="125" t="n">
        <f aca="false">INDEX(AIRev,1,25)</f>
        <v>10081.6904689409</v>
      </c>
      <c r="AE12" s="125" t="n">
        <f aca="false">INDEX(AIRev,1,26)</f>
        <v>11180.120642444</v>
      </c>
      <c r="AF12" s="125" t="n">
        <f aca="false">INDEX(AIRev,1,27)</f>
        <v>11145.7440576102</v>
      </c>
      <c r="AG12" s="125" t="n">
        <f aca="false">INDEX(AIRev,1,28)</f>
        <v>11259.9808053103</v>
      </c>
      <c r="AI12" s="125" t="n">
        <f aca="false">SUMIF($F$7:$AG$7,AI$7,$F12:$AG12)</f>
        <v>84</v>
      </c>
      <c r="AJ12" s="125" t="n">
        <f aca="false">SUMIF($F$7:$AG$7,AJ$7,$F12:$AG12)</f>
        <v>488</v>
      </c>
      <c r="AK12" s="125" t="n">
        <f aca="false">SUMIF($F$7:$AG$7,AK$7,$F12:$AG12)</f>
        <v>2433.13258157611</v>
      </c>
      <c r="AL12" s="125" t="n">
        <f aca="false">SUMIF($F$7:$AG$7,AL$7,$F12:$AG12)</f>
        <v>7473.09859446594</v>
      </c>
      <c r="AM12" s="125" t="n">
        <f aca="false">SUMIF($F$7:$AG$7,AM$7,$F12:$AG12)</f>
        <v>20145.6297774219</v>
      </c>
      <c r="AN12" s="125" t="n">
        <f aca="false">SUMIF($F$7:$AG$7,AN$7,$F12:$AG12)</f>
        <v>31301.713086721</v>
      </c>
      <c r="AO12" s="125" t="n">
        <f aca="false">SUMIF($F$7:$AG$7,AO$7,$F12:$AG12)</f>
        <v>43667.5359743054</v>
      </c>
    </row>
    <row r="13" customFormat="false" ht="15" hidden="false" customHeight="false" outlineLevel="0" collapsed="false">
      <c r="A13" s="107" t="s">
        <v>2413</v>
      </c>
      <c r="B13" s="22" t="s">
        <v>619</v>
      </c>
      <c r="C13" s="22"/>
      <c r="D13" s="22"/>
      <c r="J13" s="119" t="n">
        <f aca="false">IF(F11&gt;0,J11/F11-1,"")</f>
        <v>3.46491228070175</v>
      </c>
      <c r="K13" s="119" t="n">
        <f aca="false">IF(G11&gt;0,K11/G11-1,"")</f>
        <v>6.24827586206897</v>
      </c>
      <c r="L13" s="119" t="n">
        <f aca="false">IF(H11&gt;0,L11/H11-1,"")</f>
        <v>3.55140186915888</v>
      </c>
      <c r="M13" s="119" t="n">
        <f aca="false">IF(I11&gt;0,M11/I11-1,"")</f>
        <v>5.46875</v>
      </c>
      <c r="N13" s="119" t="n">
        <f aca="false">IF(J11&gt;0,N11/J11-1,"")</f>
        <v>6.83889980353635</v>
      </c>
      <c r="O13" s="119" t="n">
        <f aca="false">IF(K11&gt;0,O11/K11-1,"")</f>
        <v>4.54043767840152</v>
      </c>
      <c r="P13" s="25" t="n">
        <f aca="false">IF(L11&gt;0,P11/L11-1,"")</f>
        <v>3.61797678084148</v>
      </c>
      <c r="Q13" s="25" t="n">
        <f aca="false">IF(M11&gt;0,Q11/M11-1,"")</f>
        <v>2.55332952962304</v>
      </c>
      <c r="R13" s="25" t="n">
        <f aca="false">IF(N11&gt;0,R11/N11-1,"")</f>
        <v>1.57555712021341</v>
      </c>
      <c r="S13" s="25" t="n">
        <f aca="false">IF(O11&gt;0,S11/O11-1,"")</f>
        <v>1.51825502504928</v>
      </c>
      <c r="T13" s="25" t="n">
        <f aca="false">IF(P11&gt;0,T11/P11-1,"")</f>
        <v>2.13373003621283</v>
      </c>
      <c r="U13" s="25" t="n">
        <f aca="false">IF(Q11&gt;0,U11/Q11-1,"")</f>
        <v>2.58074114993777</v>
      </c>
      <c r="V13" s="25" t="n">
        <f aca="false">IF(R11&gt;0,V11/R11-1,"")</f>
        <v>2.88274613050479</v>
      </c>
      <c r="W13" s="25" t="n">
        <f aca="false">IF(S11&gt;0,W11/S11-1,"")</f>
        <v>2.31339027485113</v>
      </c>
      <c r="X13" s="25" t="n">
        <f aca="false">IF(T11&gt;0,X11/T11-1,"")</f>
        <v>1.58297369128094</v>
      </c>
      <c r="Y13" s="25" t="n">
        <f aca="false">IF(U11&gt;0,Y11/U11-1,"")</f>
        <v>1.02638220391467</v>
      </c>
      <c r="Z13" s="25" t="n">
        <f aca="false">IF(V11&gt;0,Z11/V11-1,"")</f>
        <v>0.668796194770546</v>
      </c>
      <c r="AA13" s="25" t="n">
        <f aca="false">IF(W11&gt;0,AA11/W11-1,"")</f>
        <v>0.531203053169846</v>
      </c>
      <c r="AB13" s="25" t="n">
        <f aca="false">IF(X11&gt;0,AB11/X11-1,"")</f>
        <v>0.50555651070579</v>
      </c>
      <c r="AC13" s="25" t="n">
        <f aca="false">IF(Y11&gt;0,AC11/Y11-1,"")</f>
        <v>0.536311538852297</v>
      </c>
      <c r="AD13" s="25" t="n">
        <f aca="false">IF(Z11&gt;0,AD11/Z11-1,"")</f>
        <v>0.515569292330028</v>
      </c>
      <c r="AE13" s="25" t="n">
        <f aca="false">IF(AA11&gt;0,AE11/AA11-1,"")</f>
        <v>0.504142718528926</v>
      </c>
      <c r="AF13" s="25" t="n">
        <f aca="false">IF(AB11&gt;0,AF11/AB11-1,"")</f>
        <v>0.356850630682303</v>
      </c>
      <c r="AG13" s="25" t="n">
        <f aca="false">IF(AC11&gt;0,AG11/AC11-1,"")</f>
        <v>0.249605722309342</v>
      </c>
      <c r="AJ13" s="25" t="n">
        <f aca="false">IF(AI11&gt;0,AJ11/AI11-1,"")</f>
        <v>4.68454935622318</v>
      </c>
      <c r="AK13" s="25" t="n">
        <f aca="false">IF(AJ11&gt;0,AK11/AJ11-1,"")</f>
        <v>3.65284926684807</v>
      </c>
      <c r="AL13" s="25" t="n">
        <f aca="false">IF(AK11&gt;0,AL11/AK11-1,"")</f>
        <v>2.04471527385172</v>
      </c>
      <c r="AM13" s="25" t="n">
        <f aca="false">IF(AL11&gt;0,AM11/AL11-1,"")</f>
        <v>1.68879592179461</v>
      </c>
      <c r="AN13" s="25" t="n">
        <f aca="false">IF(AM11&gt;0,AN11/AM11-1,"")</f>
        <v>0.552953608742838</v>
      </c>
      <c r="AO13" s="25" t="n">
        <f aca="false">IF(AN11&gt;0,AO11/AN11-1,"")</f>
        <v>0.394674302962452</v>
      </c>
    </row>
    <row r="15" customFormat="false" ht="15" hidden="false" customHeight="false" outlineLevel="0" collapsed="false">
      <c r="A15" s="58" t="s">
        <v>2414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customFormat="false" ht="15" hidden="false" customHeight="false" outlineLevel="0" collapsed="false">
      <c r="A16" s="107" t="s">
        <v>2415</v>
      </c>
      <c r="B16" s="22" t="s">
        <v>613</v>
      </c>
      <c r="C16" s="22" t="s">
        <v>558</v>
      </c>
      <c r="D16" s="22" t="s">
        <v>2416</v>
      </c>
      <c r="F16" s="124" t="n">
        <f aca="false">IF(FixMgmt=1,MIN(INDEX(MS_BillMW,1,1),INDEX(VinEnIT,1,MAX(1,1-IF(1&gt;LastHist,EnLag,0)))),INDEX(MS_BillMW,1,1))*IF(F$5&lt;=LastHist,PUE_B,PUE)*VinPower/4</f>
        <v>0</v>
      </c>
      <c r="G16" s="124" t="n">
        <f aca="false">IF(FixMgmt=1,MIN(INDEX(MS_BillMW,1,2),INDEX(VinEnIT,1,MAX(1,2-IF(2&gt;LastHist,EnLag,0)))),INDEX(MS_BillMW,1,2))*IF(G$5&lt;=LastHist,PUE_B,PUE)*VinPower/4</f>
        <v>0</v>
      </c>
      <c r="H16" s="124" t="n">
        <f aca="false">IF(FixMgmt=1,MIN(INDEX(MS_BillMW,1,3),INDEX(VinEnIT,1,MAX(1,3-IF(3&gt;LastHist,EnLag,0)))),INDEX(MS_BillMW,1,3))*IF(H$5&lt;=LastHist,PUE_B,PUE)*VinPower/4</f>
        <v>0</v>
      </c>
      <c r="I16" s="124" t="n">
        <f aca="false">IF(FixMgmt=1,MIN(INDEX(MS_BillMW,1,4),INDEX(VinEnIT,1,MAX(1,4-IF(4&gt;LastHist,EnLag,0)))),INDEX(MS_BillMW,1,4))*IF(I$5&lt;=LastHist,PUE_B,PUE)*VinPower/4</f>
        <v>0</v>
      </c>
      <c r="J16" s="124" t="n">
        <f aca="false">IF(FixMgmt=1,MIN(INDEX(MS_BillMW,1,5),INDEX(VinEnIT,1,MAX(1,5-IF(5&gt;LastHist,EnLag,0)))),INDEX(MS_BillMW,1,5))*IF(J$5&lt;=LastHist,PUE_B,PUE)*VinPower/4</f>
        <v>0</v>
      </c>
      <c r="K16" s="124" t="n">
        <f aca="false">IF(FixMgmt=1,MIN(INDEX(MS_BillMW,1,6),INDEX(VinEnIT,1,MAX(1,6-IF(6&gt;LastHist,EnLag,0)))),INDEX(MS_BillMW,1,6))*IF(K$5&lt;=LastHist,PUE_B,PUE)*VinPower/4</f>
        <v>0</v>
      </c>
      <c r="L16" s="124" t="n">
        <f aca="false">IF(FixMgmt=1,MIN(INDEX(MS_BillMW,1,7),INDEX(VinEnIT,1,MAX(1,7-IF(7&gt;LastHist,EnLag,0)))),INDEX(MS_BillMW,1,7))*IF(L$5&lt;=LastHist,PUE_B,PUE)*VinPower/4</f>
        <v>0</v>
      </c>
      <c r="M16" s="124" t="n">
        <f aca="false">IF(FixMgmt=1,MIN(INDEX(MS_BillMW,1,8),INDEX(VinEnIT,1,MAX(1,8-IF(8&gt;LastHist,EnLag,0)))),INDEX(MS_BillMW,1,8))*IF(M$5&lt;=LastHist,PUE_B,PUE)*VinPower/4</f>
        <v>9.00625</v>
      </c>
      <c r="N16" s="124" t="n">
        <f aca="false">IF(FixMgmt=1,MIN(INDEX(MS_BillMW,1,9),INDEX(VinEnIT,1,MAX(1,9-IF(9&gt;LastHist,EnLag,0)))),INDEX(MS_BillMW,1,9))*IF(N$5&lt;=LastHist,PUE_B,PUE)*VinPower/4</f>
        <v>12.890625</v>
      </c>
      <c r="O16" s="124" t="n">
        <f aca="false">IF(FixMgmt=1,MIN(INDEX(MS_BillMW,1,10),INDEX(VinEnIT,1,MAX(1,10-IF(10&gt;LastHist,EnLag,0)))),INDEX(MS_BillMW,1,10))*IF(O$5&lt;=LastHist,PUE_B,PUE)*VinPower/4</f>
        <v>13.40625</v>
      </c>
      <c r="P16" s="125" t="n">
        <f aca="false">IF(FixMgmt=1,MIN(INDEX(MS_BillMW,1,11),INDEX(VinEnIT,1,MAX(1,11-IF(11&gt;LastHist,EnLag,0)))),INDEX(MS_BillMW,1,11))*IF(P$5&lt;=LastHist,PUE_B,PUE)*VinPower/4</f>
        <v>13.40625</v>
      </c>
      <c r="Q16" s="125" t="n">
        <f aca="false">IF(FixMgmt=1,MIN(INDEX(MS_BillMW,1,12),INDEX(VinEnIT,1,MAX(1,12-IF(12&gt;LastHist,EnLag,0)))),INDEX(MS_BillMW,1,12))*IF(Q$5&lt;=LastHist,PUE_B,PUE)*VinPower/4</f>
        <v>22.6875</v>
      </c>
      <c r="R16" s="125" t="n">
        <f aca="false">IF(FixMgmt=1,MIN(INDEX(MS_BillMW,1,13),INDEX(VinEnIT,1,MAX(1,13-IF(13&gt;LastHist,EnLag,0)))),INDEX(MS_BillMW,1,13))*IF(R$5&lt;=LastHist,PUE_B,PUE)*VinPower/4</f>
        <v>28.11875</v>
      </c>
      <c r="S16" s="125" t="n">
        <f aca="false">IF(FixMgmt=1,MIN(INDEX(MS_BillMW,1,14),INDEX(VinEnIT,1,MAX(1,14-IF(14&gt;LastHist,EnLag,0)))),INDEX(MS_BillMW,1,14))*IF(S$5&lt;=LastHist,PUE_B,PUE)*VinPower/4</f>
        <v>40.734375</v>
      </c>
      <c r="T16" s="125" t="n">
        <f aca="false">IF(FixMgmt=1,MIN(INDEX(MS_BillMW,1,15),INDEX(VinEnIT,1,MAX(1,15-IF(15&gt;LastHist,EnLag,0)))),INDEX(MS_BillMW,1,15))*IF(T$5&lt;=LastHist,PUE_B,PUE)*VinPower/4</f>
        <v>57.921875</v>
      </c>
      <c r="U16" s="125" t="n">
        <f aca="false">IF(FixMgmt=1,MIN(INDEX(MS_BillMW,1,16),INDEX(VinEnIT,1,MAX(1,16-IF(16&gt;LastHist,EnLag,0)))),INDEX(MS_BillMW,1,16))*IF(U$5&lt;=LastHist,PUE_B,PUE)*VinPower/4</f>
        <v>68.75</v>
      </c>
      <c r="V16" s="125" t="n">
        <f aca="false">IF(FixMgmt=1,MIN(INDEX(MS_BillMW,1,17),INDEX(VinEnIT,1,MAX(1,17-IF(17&gt;LastHist,EnLag,0)))),INDEX(MS_BillMW,1,17))*IF(V$5&lt;=LastHist,PUE_B,PUE)*VinPower/4</f>
        <v>80.78125</v>
      </c>
      <c r="W16" s="125" t="n">
        <f aca="false">IF(FixMgmt=1,MIN(INDEX(MS_BillMW,1,18),INDEX(VinEnIT,1,MAX(1,18-IF(18&gt;LastHist,EnLag,0)))),INDEX(MS_BillMW,1,18))*IF(W$5&lt;=LastHist,PUE_B,PUE)*VinPower/4</f>
        <v>80.78125</v>
      </c>
      <c r="X16" s="125" t="n">
        <f aca="false">IF(FixMgmt=1,MIN(INDEX(MS_BillMW,1,19),INDEX(VinEnIT,1,MAX(1,19-IF(19&gt;LastHist,EnLag,0)))),INDEX(MS_BillMW,1,19))*IF(X$5&lt;=LastHist,PUE_B,PUE)*VinPower/4</f>
        <v>80.78125</v>
      </c>
      <c r="Y16" s="125" t="n">
        <f aca="false">IF(FixMgmt=1,MIN(INDEX(MS_BillMW,1,20),INDEX(VinEnIT,1,MAX(1,20-IF(20&gt;LastHist,EnLag,0)))),INDEX(MS_BillMW,1,20))*IF(Y$5&lt;=LastHist,PUE_B,PUE)*VinPower/4</f>
        <v>80.78125</v>
      </c>
      <c r="Z16" s="125" t="n">
        <f aca="false">IF(FixMgmt=1,MIN(INDEX(MS_BillMW,1,21),INDEX(VinEnIT,1,MAX(1,21-IF(21&gt;LastHist,EnLag,0)))),INDEX(MS_BillMW,1,21))*IF(Z$5&lt;=LastHist,PUE_B,PUE)*VinPower/4</f>
        <v>80.78125</v>
      </c>
      <c r="AA16" s="125" t="n">
        <f aca="false">IF(FixMgmt=1,MIN(INDEX(MS_BillMW,1,22),INDEX(VinEnIT,1,MAX(1,22-IF(22&gt;LastHist,EnLag,0)))),INDEX(MS_BillMW,1,22))*IF(AA$5&lt;=LastHist,PUE_B,PUE)*VinPower/4</f>
        <v>80.78125</v>
      </c>
      <c r="AB16" s="125" t="n">
        <f aca="false">IF(FixMgmt=1,MIN(INDEX(MS_BillMW,1,23),INDEX(VinEnIT,1,MAX(1,23-IF(23&gt;LastHist,EnLag,0)))),INDEX(MS_BillMW,1,23))*IF(AB$5&lt;=LastHist,PUE_B,PUE)*VinPower/4</f>
        <v>80.78125</v>
      </c>
      <c r="AC16" s="125" t="n">
        <f aca="false">IF(FixMgmt=1,MIN(INDEX(MS_BillMW,1,24),INDEX(VinEnIT,1,MAX(1,24-IF(24&gt;LastHist,EnLag,0)))),INDEX(MS_BillMW,1,24))*IF(AC$5&lt;=LastHist,PUE_B,PUE)*VinPower/4</f>
        <v>80.78125</v>
      </c>
      <c r="AD16" s="125" t="n">
        <f aca="false">IF(FixMgmt=1,MIN(INDEX(MS_BillMW,1,25),INDEX(VinEnIT,1,MAX(1,25-IF(25&gt;LastHist,EnLag,0)))),INDEX(MS_BillMW,1,25))*IF(AD$5&lt;=LastHist,PUE_B,PUE)*VinPower/4</f>
        <v>80.78125</v>
      </c>
      <c r="AE16" s="125" t="n">
        <f aca="false">IF(FixMgmt=1,MIN(INDEX(MS_BillMW,1,26),INDEX(VinEnIT,1,MAX(1,26-IF(26&gt;LastHist,EnLag,0)))),INDEX(MS_BillMW,1,26))*IF(AE$5&lt;=LastHist,PUE_B,PUE)*VinPower/4</f>
        <v>80.78125</v>
      </c>
      <c r="AF16" s="125" t="n">
        <f aca="false">IF(FixMgmt=1,MIN(INDEX(MS_BillMW,1,27),INDEX(VinEnIT,1,MAX(1,27-IF(27&gt;LastHist,EnLag,0)))),INDEX(MS_BillMW,1,27))*IF(AF$5&lt;=LastHist,PUE_B,PUE)*VinPower/4</f>
        <v>80.78125</v>
      </c>
      <c r="AG16" s="125" t="n">
        <f aca="false">IF(FixMgmt=1,MIN(INDEX(MS_BillMW,1,28),INDEX(VinEnIT,1,MAX(1,28-IF(28&gt;LastHist,EnLag,0)))),INDEX(MS_BillMW,1,28))*IF(AG$5&lt;=LastHist,PUE_B,PUE)*VinPower/4</f>
        <v>73.3333333333333</v>
      </c>
      <c r="AI16" s="125" t="n">
        <f aca="false">SUMIF($F$7:$AG$7,AI$7,$F16:$AG16)</f>
        <v>0</v>
      </c>
      <c r="AJ16" s="125" t="n">
        <f aca="false">SUMIF($F$7:$AG$7,AJ$7,$F16:$AG16)</f>
        <v>9.00625</v>
      </c>
      <c r="AK16" s="125" t="n">
        <f aca="false">SUMIF($F$7:$AG$7,AK$7,$F16:$AG16)</f>
        <v>62.390625</v>
      </c>
      <c r="AL16" s="125" t="n">
        <f aca="false">SUMIF($F$7:$AG$7,AL$7,$F16:$AG16)</f>
        <v>195.525</v>
      </c>
      <c r="AM16" s="125" t="n">
        <f aca="false">SUMIF($F$7:$AG$7,AM$7,$F16:$AG16)</f>
        <v>323.125</v>
      </c>
      <c r="AN16" s="125" t="n">
        <f aca="false">SUMIF($F$7:$AG$7,AN$7,$F16:$AG16)</f>
        <v>323.125</v>
      </c>
      <c r="AO16" s="125" t="n">
        <f aca="false">SUMIF($F$7:$AG$7,AO$7,$F16:$AG16)</f>
        <v>315.677083333333</v>
      </c>
    </row>
    <row r="17" customFormat="false" ht="15" hidden="false" customHeight="false" outlineLevel="0" collapsed="false">
      <c r="A17" s="107" t="s">
        <v>2417</v>
      </c>
      <c r="B17" s="22" t="s">
        <v>613</v>
      </c>
      <c r="C17" s="22" t="s">
        <v>558</v>
      </c>
      <c r="D17" s="22" t="s">
        <v>2418</v>
      </c>
      <c r="F17" s="124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24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24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24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24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24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24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24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24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24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25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25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25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25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25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25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25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25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25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25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25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25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25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25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25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25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25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25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25" t="n">
        <f aca="false">SUMIF($F$7:$AG$7,AI$7,$F17:$AG17)</f>
        <v>15.386877</v>
      </c>
      <c r="AJ17" s="125" t="n">
        <f aca="false">SUMIF($F$7:$AG$7,AJ$7,$F17:$AG17)</f>
        <v>34.78163616</v>
      </c>
      <c r="AK17" s="125" t="n">
        <f aca="false">SUMIF($F$7:$AG$7,AK$7,$F17:$AG17)</f>
        <v>87.45051915</v>
      </c>
      <c r="AL17" s="125" t="n">
        <f aca="false">SUMIF($F$7:$AG$7,AL$7,$F17:$AG17)</f>
        <v>219.315534345</v>
      </c>
      <c r="AM17" s="125" t="n">
        <f aca="false">SUMIF($F$7:$AG$7,AM$7,$F17:$AG17)</f>
        <v>612.66898584</v>
      </c>
      <c r="AN17" s="125" t="n">
        <f aca="false">SUMIF($F$7:$AG$7,AN$7,$F17:$AG17)</f>
        <v>983.3067702</v>
      </c>
      <c r="AO17" s="125" t="n">
        <f aca="false">SUMIF($F$7:$AG$7,AO$7,$F17:$AG17)</f>
        <v>1396.0632741</v>
      </c>
    </row>
    <row r="18" customFormat="false" ht="15" hidden="false" customHeight="false" outlineLevel="0" collapsed="false">
      <c r="A18" s="107" t="s">
        <v>2419</v>
      </c>
      <c r="B18" s="22" t="s">
        <v>613</v>
      </c>
      <c r="C18" s="22" t="s">
        <v>558</v>
      </c>
      <c r="D18" s="22" t="s">
        <v>2420</v>
      </c>
      <c r="F18" s="124" t="n">
        <f aca="false">INDEX(MW_Avg,1,1)*(1-INDEX(MW_OwnSh,1,1))*IF(F$5&lt;=LastHist,PUE_B,PUE)*RentMW/4</f>
        <v>0</v>
      </c>
      <c r="G18" s="124" t="n">
        <f aca="false">INDEX(MW_Avg,1,2)*(1-INDEX(MW_OwnSh,1,2))*IF(G$5&lt;=LastHist,PUE_B,PUE)*RentMW/4</f>
        <v>0</v>
      </c>
      <c r="H18" s="124" t="n">
        <f aca="false">INDEX(MW_Avg,1,3)*(1-INDEX(MW_OwnSh,1,3))*IF(H$5&lt;=LastHist,PUE_B,PUE)*RentMW/4</f>
        <v>0</v>
      </c>
      <c r="I18" s="124" t="n">
        <f aca="false">INDEX(MW_Avg,1,4)*(1-INDEX(MW_OwnSh,1,4))*IF(I$5&lt;=LastHist,PUE_B,PUE)*RentMW/4</f>
        <v>3.19864501622938</v>
      </c>
      <c r="J18" s="124" t="n">
        <f aca="false">INDEX(MW_Avg,1,5)*(1-INDEX(MW_OwnSh,1,5))*IF(J$5&lt;=LastHist,PUE_B,PUE)*RentMW/4</f>
        <v>13.8951068238961</v>
      </c>
      <c r="K18" s="124" t="n">
        <f aca="false">INDEX(MW_Avg,1,6)*(1-INDEX(MW_OwnSh,1,6))*IF(K$5&lt;=LastHist,PUE_B,PUE)*RentMW/4</f>
        <v>17.578125</v>
      </c>
      <c r="L18" s="124" t="n">
        <f aca="false">INDEX(MW_Avg,1,7)*(1-INDEX(MW_OwnSh,1,7))*IF(L$5&lt;=LastHist,PUE_B,PUE)*RentMW/4</f>
        <v>15.8879135222537</v>
      </c>
      <c r="M18" s="124" t="n">
        <f aca="false">INDEX(MW_Avg,1,8)*(1-INDEX(MW_OwnSh,1,8))*IF(M$5&lt;=LastHist,PUE_B,PUE)*RentMW/4</f>
        <v>40.8959070141937</v>
      </c>
      <c r="N18" s="124" t="n">
        <f aca="false">INDEX(MW_Avg,1,9)*(1-INDEX(MW_OwnSh,1,9))*IF(N$5&lt;=LastHist,PUE_B,PUE)*RentMW/4</f>
        <v>65.3819725312128</v>
      </c>
      <c r="O18" s="124" t="n">
        <f aca="false">INDEX(MW_Avg,1,10)*(1-INDEX(MW_OwnSh,1,10))*IF(O$5&lt;=LastHist,PUE_B,PUE)*RentMW/4</f>
        <v>77.8398307045548</v>
      </c>
      <c r="P18" s="125" t="n">
        <f aca="false">INDEX(MW_Avg,1,11)*(1-INDEX(MW_OwnSh,1,11))*IF(P$5&lt;=LastHist,PUE_B,PUE)*RentMW/4</f>
        <v>87.9945394486754</v>
      </c>
      <c r="Q18" s="125" t="n">
        <f aca="false">INDEX(MW_Avg,1,12)*(1-INDEX(MW_OwnSh,1,12))*IF(Q$5&lt;=LastHist,PUE_B,PUE)*RentMW/4</f>
        <v>108.704932496828</v>
      </c>
      <c r="R18" s="125" t="n">
        <f aca="false">INDEX(MW_Avg,1,13)*(1-INDEX(MW_OwnSh,1,13))*IF(R$5&lt;=LastHist,PUE_B,PUE)*RentMW/4</f>
        <v>151.238546448946</v>
      </c>
      <c r="S18" s="125" t="n">
        <f aca="false">INDEX(MW_Avg,1,14)*(1-INDEX(MW_OwnSh,1,14))*IF(S$5&lt;=LastHist,PUE_B,PUE)*RentMW/4</f>
        <v>222.609096425148</v>
      </c>
      <c r="T18" s="125" t="n">
        <f aca="false">INDEX(MW_Avg,1,15)*(1-INDEX(MW_OwnSh,1,15))*IF(T$5&lt;=LastHist,PUE_B,PUE)*RentMW/4</f>
        <v>299.921143449026</v>
      </c>
      <c r="U18" s="125" t="n">
        <f aca="false">INDEX(MW_Avg,1,16)*(1-INDEX(MW_OwnSh,1,16))*IF(U$5&lt;=LastHist,PUE_B,PUE)*RentMW/4</f>
        <v>354.543331426853</v>
      </c>
      <c r="V18" s="125" t="n">
        <f aca="false">INDEX(MW_Avg,1,17)*(1-INDEX(MW_OwnSh,1,17))*IF(V$5&lt;=LastHist,PUE_B,PUE)*RentMW/4</f>
        <v>436.689212929287</v>
      </c>
      <c r="W18" s="125" t="n">
        <f aca="false">INDEX(MW_Avg,1,18)*(1-INDEX(MW_OwnSh,1,18))*IF(W$5&lt;=LastHist,PUE_B,PUE)*RentMW/4</f>
        <v>459.626729232504</v>
      </c>
      <c r="X18" s="125" t="n">
        <f aca="false">INDEX(MW_Avg,1,19)*(1-INDEX(MW_OwnSh,1,19))*IF(X$5&lt;=LastHist,PUE_B,PUE)*RentMW/4</f>
        <v>512.919670257948</v>
      </c>
      <c r="Y18" s="125" t="n">
        <f aca="false">INDEX(MW_Avg,1,20)*(1-INDEX(MW_OwnSh,1,20))*IF(Y$5&lt;=LastHist,PUE_B,PUE)*RentMW/4</f>
        <v>469.298581367473</v>
      </c>
      <c r="Z18" s="125" t="n">
        <f aca="false">INDEX(MW_Avg,1,21)*(1-INDEX(MW_OwnSh,1,21))*IF(Z$5&lt;=LastHist,PUE_B,PUE)*RentMW/4</f>
        <v>526.746027332115</v>
      </c>
      <c r="AA18" s="125" t="n">
        <f aca="false">INDEX(MW_Avg,1,22)*(1-INDEX(MW_OwnSh,1,22))*IF(AA$5&lt;=LastHist,PUE_B,PUE)*RentMW/4</f>
        <v>489.797645075158</v>
      </c>
      <c r="AB18" s="125" t="n">
        <f aca="false">INDEX(MW_Avg,1,23)*(1-INDEX(MW_OwnSh,1,23))*IF(AB$5&lt;=LastHist,PUE_B,PUE)*RentMW/4</f>
        <v>535.895119412579</v>
      </c>
      <c r="AC18" s="125" t="n">
        <f aca="false">INDEX(MW_Avg,1,24)*(1-INDEX(MW_OwnSh,1,24))*IF(AC$5&lt;=LastHist,PUE_B,PUE)*RentMW/4</f>
        <v>474.367350607913</v>
      </c>
      <c r="AD18" s="125" t="n">
        <f aca="false">INDEX(MW_Avg,1,25)*(1-INDEX(MW_OwnSh,1,25))*IF(AD$5&lt;=LastHist,PUE_B,PUE)*RentMW/4</f>
        <v>528.179972178957</v>
      </c>
      <c r="AE18" s="125" t="n">
        <f aca="false">INDEX(MW_Avg,1,26)*(1-INDEX(MW_OwnSh,1,26))*IF(AE$5&lt;=LastHist,PUE_B,PUE)*RentMW/4</f>
        <v>581.99259375</v>
      </c>
      <c r="AF18" s="125" t="n">
        <f aca="false">INDEX(MW_Avg,1,27)*(1-INDEX(MW_OwnSh,1,27))*IF(AF$5&lt;=LastHist,PUE_B,PUE)*RentMW/4</f>
        <v>581.99259375</v>
      </c>
      <c r="AG18" s="125" t="n">
        <f aca="false">INDEX(MW_Avg,1,28)*(1-INDEX(MW_OwnSh,1,28))*IF(AG$5&lt;=LastHist,PUE_B,PUE)*RentMW/4</f>
        <v>493.558614205798</v>
      </c>
      <c r="AI18" s="125" t="n">
        <f aca="false">SUMIF($F$7:$AG$7,AI$7,$F18:$AG18)</f>
        <v>3.19864501622938</v>
      </c>
      <c r="AJ18" s="125" t="n">
        <f aca="false">SUMIF($F$7:$AG$7,AJ$7,$F18:$AG18)</f>
        <v>88.2570523603435</v>
      </c>
      <c r="AK18" s="125" t="n">
        <f aca="false">SUMIF($F$7:$AG$7,AK$7,$F18:$AG18)</f>
        <v>339.921275181271</v>
      </c>
      <c r="AL18" s="125" t="n">
        <f aca="false">SUMIF($F$7:$AG$7,AL$7,$F18:$AG18)</f>
        <v>1028.31211774997</v>
      </c>
      <c r="AM18" s="125" t="n">
        <f aca="false">SUMIF($F$7:$AG$7,AM$7,$F18:$AG18)</f>
        <v>1878.53419378721</v>
      </c>
      <c r="AN18" s="125" t="n">
        <f aca="false">SUMIF($F$7:$AG$7,AN$7,$F18:$AG18)</f>
        <v>2026.80614242776</v>
      </c>
      <c r="AO18" s="125" t="n">
        <f aca="false">SUMIF($F$7:$AG$7,AO$7,$F18:$AG18)</f>
        <v>2185.72377388475</v>
      </c>
    </row>
    <row r="19" customFormat="false" ht="15" hidden="false" customHeight="false" outlineLevel="0" collapsed="false">
      <c r="A19" s="107" t="s">
        <v>2421</v>
      </c>
      <c r="B19" s="22" t="s">
        <v>613</v>
      </c>
      <c r="C19" s="22" t="s">
        <v>558</v>
      </c>
      <c r="D19" s="22" t="s">
        <v>2422</v>
      </c>
      <c r="F19" s="124" t="n">
        <f aca="false">IF(F$5&lt;=LastHist,0,INDEX(CLT1_En,1,MAX(1,1-EnLag))*(CLT1Rent-RentMW*PUE)/4)</f>
        <v>0</v>
      </c>
      <c r="G19" s="124" t="n">
        <f aca="false">IF(G$5&lt;=LastHist,0,INDEX(CLT1_En,1,MAX(1,2-EnLag))*(CLT1Rent-RentMW*PUE)/4)</f>
        <v>0</v>
      </c>
      <c r="H19" s="124" t="n">
        <f aca="false">IF(H$5&lt;=LastHist,0,INDEX(CLT1_En,1,MAX(1,3-EnLag))*(CLT1Rent-RentMW*PUE)/4)</f>
        <v>0</v>
      </c>
      <c r="I19" s="124" t="n">
        <f aca="false">IF(I$5&lt;=LastHist,0,INDEX(CLT1_En,1,MAX(1,4-EnLag))*(CLT1Rent-RentMW*PUE)/4)</f>
        <v>0</v>
      </c>
      <c r="J19" s="124" t="n">
        <f aca="false">IF(J$5&lt;=LastHist,0,INDEX(CLT1_En,1,MAX(1,5-EnLag))*(CLT1Rent-RentMW*PUE)/4)</f>
        <v>0</v>
      </c>
      <c r="K19" s="124" t="n">
        <f aca="false">IF(K$5&lt;=LastHist,0,INDEX(CLT1_En,1,MAX(1,6-EnLag))*(CLT1Rent-RentMW*PUE)/4)</f>
        <v>0</v>
      </c>
      <c r="L19" s="124" t="n">
        <f aca="false">IF(L$5&lt;=LastHist,0,INDEX(CLT1_En,1,MAX(1,7-EnLag))*(CLT1Rent-RentMW*PUE)/4)</f>
        <v>0</v>
      </c>
      <c r="M19" s="124" t="n">
        <f aca="false">IF(M$5&lt;=LastHist,0,INDEX(CLT1_En,1,MAX(1,8-EnLag))*(CLT1Rent-RentMW*PUE)/4)</f>
        <v>0</v>
      </c>
      <c r="N19" s="124" t="n">
        <f aca="false">IF(N$5&lt;=LastHist,0,INDEX(CLT1_En,1,MAX(1,9-EnLag))*(CLT1Rent-RentMW*PUE)/4)</f>
        <v>0</v>
      </c>
      <c r="O19" s="124" t="n">
        <f aca="false">IF(O$5&lt;=LastHist,0,INDEX(CLT1_En,1,MAX(1,10-EnLag))*(CLT1Rent-RentMW*PUE)/4)</f>
        <v>0</v>
      </c>
      <c r="P19" s="125" t="n">
        <f aca="false">IF(P$5&lt;=LastHist,0,INDEX(CLT1_En,1,MAX(1,11-EnLag))*(CLT1Rent-RentMW*PUE)/4)</f>
        <v>-0</v>
      </c>
      <c r="Q19" s="125" t="n">
        <f aca="false">IF(Q$5&lt;=LastHist,0,INDEX(CLT1_En,1,MAX(1,12-EnLag))*(CLT1Rent-RentMW*PUE)/4)</f>
        <v>-0</v>
      </c>
      <c r="R19" s="125" t="n">
        <f aca="false">IF(R$5&lt;=LastHist,0,INDEX(CLT1_En,1,MAX(1,13-EnLag))*(CLT1Rent-RentMW*PUE)/4)</f>
        <v>-0</v>
      </c>
      <c r="S19" s="125" t="n">
        <f aca="false">IF(S$5&lt;=LastHist,0,INDEX(CLT1_En,1,MAX(1,14-EnLag))*(CLT1Rent-RentMW*PUE)/4)</f>
        <v>-0</v>
      </c>
      <c r="T19" s="125" t="n">
        <f aca="false">IF(T$5&lt;=LastHist,0,INDEX(CLT1_En,1,MAX(1,15-EnLag))*(CLT1Rent-RentMW*PUE)/4)</f>
        <v>-0</v>
      </c>
      <c r="U19" s="125" t="n">
        <f aca="false">IF(U$5&lt;=LastHist,0,INDEX(CLT1_En,1,MAX(1,16-EnLag))*(CLT1Rent-RentMW*PUE)/4)</f>
        <v>-1.9140625</v>
      </c>
      <c r="V19" s="125" t="n">
        <f aca="false">IF(V$5&lt;=LastHist,0,INDEX(CLT1_En,1,MAX(1,17-EnLag))*(CLT1Rent-RentMW*PUE)/4)</f>
        <v>-3.828125</v>
      </c>
      <c r="W19" s="125" t="n">
        <f aca="false">IF(W$5&lt;=LastHist,0,INDEX(CLT1_En,1,MAX(1,18-EnLag))*(CLT1Rent-RentMW*PUE)/4)</f>
        <v>-5.7421875</v>
      </c>
      <c r="X19" s="125" t="n">
        <f aca="false">IF(X$5&lt;=LastHist,0,INDEX(CLT1_En,1,MAX(1,19-EnLag))*(CLT1Rent-RentMW*PUE)/4)</f>
        <v>-5.7421875</v>
      </c>
      <c r="Y19" s="125" t="n">
        <f aca="false">IF(Y$5&lt;=LastHist,0,INDEX(CLT1_En,1,MAX(1,20-EnLag))*(CLT1Rent-RentMW*PUE)/4)</f>
        <v>-7.65625</v>
      </c>
      <c r="Z19" s="125" t="n">
        <f aca="false">IF(Z$5&lt;=LastHist,0,INDEX(CLT1_En,1,MAX(1,21-EnLag))*(CLT1Rent-RentMW*PUE)/4)</f>
        <v>-7.65625</v>
      </c>
      <c r="AA19" s="125" t="n">
        <f aca="false">IF(AA$5&lt;=LastHist,0,INDEX(CLT1_En,1,MAX(1,22-EnLag))*(CLT1Rent-RentMW*PUE)/4)</f>
        <v>-7.65625</v>
      </c>
      <c r="AB19" s="125" t="n">
        <f aca="false">IF(AB$5&lt;=LastHist,0,INDEX(CLT1_En,1,MAX(1,23-EnLag))*(CLT1Rent-RentMW*PUE)/4)</f>
        <v>-7.65625</v>
      </c>
      <c r="AC19" s="125" t="n">
        <f aca="false">IF(AC$5&lt;=LastHist,0,INDEX(CLT1_En,1,MAX(1,24-EnLag))*(CLT1Rent-RentMW*PUE)/4)</f>
        <v>-7.65625</v>
      </c>
      <c r="AD19" s="125" t="n">
        <f aca="false">IF(AD$5&lt;=LastHist,0,INDEX(CLT1_En,1,MAX(1,25-EnLag))*(CLT1Rent-RentMW*PUE)/4)</f>
        <v>-7.65625</v>
      </c>
      <c r="AE19" s="125" t="n">
        <f aca="false">IF(AE$5&lt;=LastHist,0,INDEX(CLT1_En,1,MAX(1,26-EnLag))*(CLT1Rent-RentMW*PUE)/4)</f>
        <v>-7.65625</v>
      </c>
      <c r="AF19" s="125" t="n">
        <f aca="false">IF(AF$5&lt;=LastHist,0,INDEX(CLT1_En,1,MAX(1,27-EnLag))*(CLT1Rent-RentMW*PUE)/4)</f>
        <v>-7.65625</v>
      </c>
      <c r="AG19" s="125" t="n">
        <f aca="false">IF(AG$5&lt;=LastHist,0,INDEX(CLT1_En,1,MAX(1,28-EnLag))*(CLT1Rent-RentMW*PUE)/4)</f>
        <v>-7.65625</v>
      </c>
      <c r="AI19" s="125" t="n">
        <f aca="false">SUMIF($F$7:$AG$7,AI$7,$F19:$AG19)</f>
        <v>0</v>
      </c>
      <c r="AJ19" s="125" t="n">
        <f aca="false">SUMIF($F$7:$AG$7,AJ$7,$F19:$AG19)</f>
        <v>0</v>
      </c>
      <c r="AK19" s="125" t="n">
        <f aca="false">SUMIF($F$7:$AG$7,AK$7,$F19:$AG19)</f>
        <v>0</v>
      </c>
      <c r="AL19" s="125" t="n">
        <f aca="false">SUMIF($F$7:$AG$7,AL$7,$F19:$AG19)</f>
        <v>-1.9140625</v>
      </c>
      <c r="AM19" s="125" t="n">
        <f aca="false">SUMIF($F$7:$AG$7,AM$7,$F19:$AG19)</f>
        <v>-22.96875</v>
      </c>
      <c r="AN19" s="125" t="n">
        <f aca="false">SUMIF($F$7:$AG$7,AN$7,$F19:$AG19)</f>
        <v>-30.625</v>
      </c>
      <c r="AO19" s="125" t="n">
        <f aca="false">SUMIF($F$7:$AG$7,AO$7,$F19:$AG19)</f>
        <v>-30.625</v>
      </c>
    </row>
    <row r="20" customFormat="false" ht="15" hidden="false" customHeight="false" outlineLevel="0" collapsed="false">
      <c r="A20" s="107" t="s">
        <v>2423</v>
      </c>
      <c r="B20" s="22" t="s">
        <v>613</v>
      </c>
      <c r="C20" s="22" t="s">
        <v>540</v>
      </c>
      <c r="D20" s="22"/>
      <c r="F20" s="124" t="n">
        <f aca="false">OtherCOR*F11</f>
        <v>0.684</v>
      </c>
      <c r="G20" s="124" t="n">
        <f aca="false">OtherCOR*G11</f>
        <v>0.87</v>
      </c>
      <c r="H20" s="124" t="n">
        <f aca="false">OtherCOR*H11</f>
        <v>1.926</v>
      </c>
      <c r="I20" s="124" t="n">
        <f aca="false">OtherCOR*I11</f>
        <v>2.112</v>
      </c>
      <c r="J20" s="124" t="n">
        <f aca="false">OtherCOR*J11</f>
        <v>3.054</v>
      </c>
      <c r="K20" s="124" t="n">
        <f aca="false">OtherCOR*K11</f>
        <v>6.306</v>
      </c>
      <c r="L20" s="124" t="n">
        <f aca="false">OtherCOR*L11</f>
        <v>8.766</v>
      </c>
      <c r="M20" s="124" t="n">
        <f aca="false">OtherCOR*M11</f>
        <v>13.662</v>
      </c>
      <c r="N20" s="124" t="n">
        <f aca="false">OtherCOR*N11</f>
        <v>23.94</v>
      </c>
      <c r="O20" s="124" t="n">
        <f aca="false">OtherCOR*O11</f>
        <v>34.938</v>
      </c>
      <c r="P20" s="125" t="n">
        <f aca="false">OtherCOR*P11</f>
        <v>40.4811844608565</v>
      </c>
      <c r="Q20" s="125" t="n">
        <f aca="false">OtherCOR*Q11</f>
        <v>48.54558803371</v>
      </c>
      <c r="R20" s="125" t="n">
        <f aca="false">OtherCOR*R11</f>
        <v>61.6588374579091</v>
      </c>
      <c r="S20" s="125" t="n">
        <f aca="false">OtherCOR*S11</f>
        <v>87.9827940651716</v>
      </c>
      <c r="T20" s="125" t="n">
        <f aca="false">OtherCOR*T11</f>
        <v>126.857103646458</v>
      </c>
      <c r="U20" s="125" t="n">
        <f aca="false">OtherCOR*U11</f>
        <v>173.829184720232</v>
      </c>
      <c r="V20" s="125" t="n">
        <f aca="false">OtherCOR*V11</f>
        <v>239.40561255112</v>
      </c>
      <c r="W20" s="125" t="n">
        <f aca="false">OtherCOR*W11</f>
        <v>291.521334209769</v>
      </c>
      <c r="X20" s="125" t="n">
        <f aca="false">OtherCOR*X11</f>
        <v>327.6685612709</v>
      </c>
      <c r="Y20" s="125" t="n">
        <f aca="false">OtherCOR*Y11</f>
        <v>352.244366438073</v>
      </c>
      <c r="Z20" s="125" t="n">
        <f aca="false">OtherCOR*Z11</f>
        <v>399.519175232021</v>
      </c>
      <c r="AA20" s="125" t="n">
        <f aca="false">OtherCOR*AA11</f>
        <v>446.378357006145</v>
      </c>
      <c r="AB20" s="125" t="n">
        <f aca="false">OtherCOR*AB11</f>
        <v>493.323535775002</v>
      </c>
      <c r="AC20" s="125" t="n">
        <f aca="false">OtherCOR*AC11</f>
        <v>541.157084654529</v>
      </c>
      <c r="AD20" s="125" t="n">
        <f aca="false">OtherCOR*AD11</f>
        <v>605.498993678671</v>
      </c>
      <c r="AE20" s="125" t="n">
        <f aca="false">OtherCOR*AE11</f>
        <v>671.416755399699</v>
      </c>
      <c r="AF20" s="125" t="n">
        <f aca="false">OtherCOR*AF11</f>
        <v>669.366350646734</v>
      </c>
      <c r="AG20" s="125" t="n">
        <f aca="false">OtherCOR*AG11</f>
        <v>676.23298965254</v>
      </c>
      <c r="AI20" s="125" t="n">
        <f aca="false">SUMIF($F$7:$AG$7,AI$7,$F20:$AG20)</f>
        <v>5.592</v>
      </c>
      <c r="AJ20" s="125" t="n">
        <f aca="false">SUMIF($F$7:$AG$7,AJ$7,$F20:$AG20)</f>
        <v>31.788</v>
      </c>
      <c r="AK20" s="125" t="n">
        <f aca="false">SUMIF($F$7:$AG$7,AK$7,$F20:$AG20)</f>
        <v>147.904772494566</v>
      </c>
      <c r="AL20" s="125" t="n">
        <f aca="false">SUMIF($F$7:$AG$7,AL$7,$F20:$AG20)</f>
        <v>450.32791988977</v>
      </c>
      <c r="AM20" s="125" t="n">
        <f aca="false">SUMIF($F$7:$AG$7,AM$7,$F20:$AG20)</f>
        <v>1210.83987446986</v>
      </c>
      <c r="AN20" s="125" t="n">
        <f aca="false">SUMIF($F$7:$AG$7,AN$7,$F20:$AG20)</f>
        <v>1880.3781526677</v>
      </c>
      <c r="AO20" s="125" t="n">
        <f aca="false">SUMIF($F$7:$AG$7,AO$7,$F20:$AG20)</f>
        <v>2622.51508937764</v>
      </c>
    </row>
    <row r="21" customFormat="false" ht="15" hidden="false" customHeight="false" outlineLevel="0" collapsed="false">
      <c r="A21" s="107" t="s">
        <v>2424</v>
      </c>
      <c r="B21" s="22" t="s">
        <v>613</v>
      </c>
      <c r="C21" s="22" t="s">
        <v>558</v>
      </c>
      <c r="D21" s="22" t="s">
        <v>2425</v>
      </c>
      <c r="F21" s="124" t="n">
        <f aca="false">IF(F$5&lt;=LastHist,0,INDEX(MW_Avg,1,1)*INDEX(MW_OwnSh,1,1)*IF(OwnOpexOn=1,MAX(0,OwnOpex-LoadFactor*PUE*8760*PowerPx/1000000),OM_MW)/4)</f>
        <v>0</v>
      </c>
      <c r="G21" s="124" t="n">
        <f aca="false">IF(G$5&lt;=LastHist,0,INDEX(MW_Avg,1,2)*INDEX(MW_OwnSh,1,2)*IF(OwnOpexOn=1,MAX(0,OwnOpex-LoadFactor*PUE*8760*PowerPx/1000000),OM_MW)/4)</f>
        <v>0</v>
      </c>
      <c r="H21" s="124" t="n">
        <f aca="false">IF(H$5&lt;=LastHist,0,INDEX(MW_Avg,1,3)*INDEX(MW_OwnSh,1,3)*IF(OwnOpexOn=1,MAX(0,OwnOpex-LoadFactor*PUE*8760*PowerPx/1000000),OM_MW)/4)</f>
        <v>0</v>
      </c>
      <c r="I21" s="124" t="n">
        <f aca="false">IF(I$5&lt;=LastHist,0,INDEX(MW_Avg,1,4)*INDEX(MW_OwnSh,1,4)*IF(OwnOpexOn=1,MAX(0,OwnOpex-LoadFactor*PUE*8760*PowerPx/1000000),OM_MW)/4)</f>
        <v>0</v>
      </c>
      <c r="J21" s="124" t="n">
        <f aca="false">IF(J$5&lt;=LastHist,0,INDEX(MW_Avg,1,5)*INDEX(MW_OwnSh,1,5)*IF(OwnOpexOn=1,MAX(0,OwnOpex-LoadFactor*PUE*8760*PowerPx/1000000),OM_MW)/4)</f>
        <v>0</v>
      </c>
      <c r="K21" s="124" t="n">
        <f aca="false">IF(K$5&lt;=LastHist,0,INDEX(MW_Avg,1,6)*INDEX(MW_OwnSh,1,6)*IF(OwnOpexOn=1,MAX(0,OwnOpex-LoadFactor*PUE*8760*PowerPx/1000000),OM_MW)/4)</f>
        <v>0</v>
      </c>
      <c r="L21" s="124" t="n">
        <f aca="false">IF(L$5&lt;=LastHist,0,INDEX(MW_Avg,1,7)*INDEX(MW_OwnSh,1,7)*IF(OwnOpexOn=1,MAX(0,OwnOpex-LoadFactor*PUE*8760*PowerPx/1000000),OM_MW)/4)</f>
        <v>0</v>
      </c>
      <c r="M21" s="124" t="n">
        <f aca="false">IF(M$5&lt;=LastHist,0,INDEX(MW_Avg,1,8)*INDEX(MW_OwnSh,1,8)*IF(OwnOpexOn=1,MAX(0,OwnOpex-LoadFactor*PUE*8760*PowerPx/1000000),OM_MW)/4)</f>
        <v>0</v>
      </c>
      <c r="N21" s="124" t="n">
        <f aca="false">IF(N$5&lt;=LastHist,0,INDEX(MW_Avg,1,9)*INDEX(MW_OwnSh,1,9)*IF(OwnOpexOn=1,MAX(0,OwnOpex-LoadFactor*PUE*8760*PowerPx/1000000),OM_MW)/4)</f>
        <v>0</v>
      </c>
      <c r="O21" s="124" t="n">
        <f aca="false">IF(O$5&lt;=LastHist,0,INDEX(MW_Avg,1,10)*INDEX(MW_OwnSh,1,10)*IF(OwnOpexOn=1,MAX(0,OwnOpex-LoadFactor*PUE*8760*PowerPx/1000000),OM_MW)/4)</f>
        <v>0</v>
      </c>
      <c r="P21" s="125" t="n">
        <f aca="false">IF(P$5&lt;=LastHist,0,INDEX(MW_Avg,1,11)*INDEX(MW_OwnSh,1,11)*IF(OwnOpexOn=1,MAX(0,OwnOpex-LoadFactor*PUE*8760*PowerPx/1000000),OM_MW)/4)</f>
        <v>22.8364158812702</v>
      </c>
      <c r="Q21" s="125" t="n">
        <f aca="false">IF(Q$5&lt;=LastHist,0,INDEX(MW_Avg,1,12)*INDEX(MW_OwnSh,1,12)*IF(OwnOpexOn=1,MAX(0,OwnOpex-LoadFactor*PUE*8760*PowerPx/1000000),OM_MW)/4)</f>
        <v>17.9758617587969</v>
      </c>
      <c r="R21" s="125" t="n">
        <f aca="false">IF(R$5&lt;=LastHist,0,INDEX(MW_Avg,1,13)*INDEX(MW_OwnSh,1,13)*IF(OwnOpexOn=1,MAX(0,OwnOpex-LoadFactor*PUE*8760*PowerPx/1000000),OM_MW)/4)</f>
        <v>17.6264567413168</v>
      </c>
      <c r="S21" s="125" t="n">
        <f aca="false">IF(S$5&lt;=LastHist,0,INDEX(MW_Avg,1,14)*INDEX(MW_OwnSh,1,14)*IF(OwnOpexOn=1,MAX(0,OwnOpex-LoadFactor*PUE*8760*PowerPx/1000000),OM_MW)/4)</f>
        <v>24.3554850035464</v>
      </c>
      <c r="T21" s="125" t="n">
        <f aca="false">IF(T$5&lt;=LastHist,0,INDEX(MW_Avg,1,15)*INDEX(MW_OwnSh,1,15)*IF(OwnOpexOn=1,MAX(0,OwnOpex-LoadFactor*PUE*8760*PowerPx/1000000),OM_MW)/4)</f>
        <v>45.8425614317216</v>
      </c>
      <c r="U21" s="125" t="n">
        <f aca="false">IF(U$5&lt;=LastHist,0,INDEX(MW_Avg,1,16)*INDEX(MW_OwnSh,1,16)*IF(OwnOpexOn=1,MAX(0,OwnOpex-LoadFactor*PUE*8760*PowerPx/1000000),OM_MW)/4)</f>
        <v>86.3536009923302</v>
      </c>
      <c r="V21" s="125" t="n">
        <f aca="false">IF(V$5&lt;=LastHist,0,INDEX(MW_Avg,1,17)*INDEX(MW_OwnSh,1,17)*IF(OwnOpexOn=1,MAX(0,OwnOpex-LoadFactor*PUE*8760*PowerPx/1000000),OM_MW)/4)</f>
        <v>129.905146459352</v>
      </c>
      <c r="W21" s="125" t="n">
        <f aca="false">IF(W$5&lt;=LastHist,0,INDEX(MW_Avg,1,18)*INDEX(MW_OwnSh,1,18)*IF(OwnOpexOn=1,MAX(0,OwnOpex-LoadFactor*PUE*8760*PowerPx/1000000),OM_MW)/4)</f>
        <v>188.67500035021</v>
      </c>
      <c r="X21" s="125" t="n">
        <f aca="false">IF(X$5&lt;=LastHist,0,INDEX(MW_Avg,1,19)*INDEX(MW_OwnSh,1,19)*IF(OwnOpexOn=1,MAX(0,OwnOpex-LoadFactor*PUE*8760*PowerPx/1000000),OM_MW)/4)</f>
        <v>207.184105178398</v>
      </c>
      <c r="Y21" s="125" t="n">
        <f aca="false">IF(Y$5&lt;=LastHist,0,INDEX(MW_Avg,1,20)*INDEX(MW_OwnSh,1,20)*IF(OwnOpexOn=1,MAX(0,OwnOpex-LoadFactor*PUE*8760*PowerPx/1000000),OM_MW)/4)</f>
        <v>264.937775363463</v>
      </c>
      <c r="Z21" s="125" t="n">
        <f aca="false">IF(Z$5&lt;=LastHist,0,INDEX(MW_Avg,1,21)*INDEX(MW_OwnSh,1,21)*IF(OwnOpexOn=1,MAX(0,OwnOpex-LoadFactor*PUE*8760*PowerPx/1000000),OM_MW)/4)</f>
        <v>297.36915090659</v>
      </c>
      <c r="AA21" s="125" t="n">
        <f aca="false">IF(AA$5&lt;=LastHist,0,INDEX(MW_Avg,1,22)*INDEX(MW_OwnSh,1,22)*IF(OwnOpexOn=1,MAX(0,OwnOpex-LoadFactor*PUE*8760*PowerPx/1000000),OM_MW)/4)</f>
        <v>380.777261054431</v>
      </c>
      <c r="AB21" s="125" t="n">
        <f aca="false">IF(AB$5&lt;=LastHist,0,INDEX(MW_Avg,1,23)*INDEX(MW_OwnSh,1,23)*IF(OwnOpexOn=1,MAX(0,OwnOpex-LoadFactor*PUE*8760*PowerPx/1000000),OM_MW)/4)</f>
        <v>416.614244339715</v>
      </c>
      <c r="AC21" s="125" t="n">
        <f aca="false">IF(AC$5&lt;=LastHist,0,INDEX(MW_Avg,1,24)*INDEX(MW_OwnSh,1,24)*IF(OwnOpexOn=1,MAX(0,OwnOpex-LoadFactor*PUE*8760*PowerPx/1000000),OM_MW)/4)</f>
        <v>513.410165340678</v>
      </c>
      <c r="AD21" s="125" t="n">
        <f aca="false">IF(AD$5&lt;=LastHist,0,INDEX(MW_Avg,1,25)*INDEX(MW_OwnSh,1,25)*IF(OwnOpexOn=1,MAX(0,OwnOpex-LoadFactor*PUE*8760*PowerPx/1000000),OM_MW)/4)</f>
        <v>571.651835857839</v>
      </c>
      <c r="AE21" s="125" t="n">
        <f aca="false">IF(AE$5&lt;=LastHist,0,INDEX(MW_Avg,1,26)*INDEX(MW_OwnSh,1,26)*IF(OwnOpexOn=1,MAX(0,OwnOpex-LoadFactor*PUE*8760*PowerPx/1000000),OM_MW)/4)</f>
        <v>629.893506375</v>
      </c>
      <c r="AF21" s="125" t="n">
        <f aca="false">IF(AF$5&lt;=LastHist,0,INDEX(MW_Avg,1,27)*INDEX(MW_OwnSh,1,27)*IF(OwnOpexOn=1,MAX(0,OwnOpex-LoadFactor*PUE*8760*PowerPx/1000000),OM_MW)/4)</f>
        <v>629.893506375</v>
      </c>
      <c r="AG21" s="125" t="n">
        <f aca="false">IF(AG$5&lt;=LastHist,0,INDEX(MW_Avg,1,28)*INDEX(MW_OwnSh,1,28)*IF(OwnOpexOn=1,MAX(0,OwnOpex-LoadFactor*PUE*8760*PowerPx/1000000),OM_MW)/4)</f>
        <v>679.982512388836</v>
      </c>
      <c r="AI21" s="125" t="n">
        <f aca="false">SUMIF($F$7:$AG$7,AI$7,$F21:$AG21)</f>
        <v>0</v>
      </c>
      <c r="AJ21" s="125" t="n">
        <f aca="false">SUMIF($F$7:$AG$7,AJ$7,$F21:$AG21)</f>
        <v>0</v>
      </c>
      <c r="AK21" s="125" t="n">
        <f aca="false">SUMIF($F$7:$AG$7,AK$7,$F21:$AG21)</f>
        <v>40.8122776400671</v>
      </c>
      <c r="AL21" s="125" t="n">
        <f aca="false">SUMIF($F$7:$AG$7,AL$7,$F21:$AG21)</f>
        <v>174.178104168915</v>
      </c>
      <c r="AM21" s="125" t="n">
        <f aca="false">SUMIF($F$7:$AG$7,AM$7,$F21:$AG21)</f>
        <v>790.702027351423</v>
      </c>
      <c r="AN21" s="125" t="n">
        <f aca="false">SUMIF($F$7:$AG$7,AN$7,$F21:$AG21)</f>
        <v>1608.17082164141</v>
      </c>
      <c r="AO21" s="125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2426</v>
      </c>
      <c r="B22" s="22" t="s">
        <v>613</v>
      </c>
      <c r="C22" s="22" t="s">
        <v>540</v>
      </c>
      <c r="D22" s="22"/>
      <c r="F22" s="126" t="n">
        <f aca="false">IF(F$5&lt;=LastHist,INDEX(H_COR,1,F$5),F16+F17+F18+F19+F20+F21)</f>
        <v>9.1</v>
      </c>
      <c r="G22" s="126" t="n">
        <f aca="false">IF(G$5&lt;=LastHist,INDEX(H_COR,1,G$5),G16+G17+G18+G19+G20+G21)</f>
        <v>8.1</v>
      </c>
      <c r="H22" s="126" t="n">
        <f aca="false">IF(H$5&lt;=LastHist,INDEX(H_COR,1,H$5),H16+H17+H18+H19+H20+H21)</f>
        <v>9.9</v>
      </c>
      <c r="I22" s="126" t="n">
        <f aca="false">IF(I$5&lt;=LastHist,INDEX(H_COR,1,I$5),I16+I17+I18+I19+I20+I21)</f>
        <v>21.1</v>
      </c>
      <c r="J22" s="126" t="n">
        <f aca="false">IF(J$5&lt;=LastHist,INDEX(H_COR,1,J$5),J16+J17+J18+J19+J20+J21)</f>
        <v>24.7</v>
      </c>
      <c r="K22" s="126" t="n">
        <f aca="false">IF(K$5&lt;=LastHist,INDEX(H_COR,1,K$5),K16+K17+K18+K19+K20+K21)</f>
        <v>30.1</v>
      </c>
      <c r="L22" s="126" t="n">
        <f aca="false">IF(L$5&lt;=LastHist,INDEX(H_COR,1,L$5),L16+L17+L18+L19+L20+L21)</f>
        <v>42.9</v>
      </c>
      <c r="M22" s="126" t="n">
        <f aca="false">IF(M$5&lt;=LastHist,INDEX(H_COR,1,M$5),M16+M17+M18+M19+M20+M21)</f>
        <v>68.5</v>
      </c>
      <c r="N22" s="126" t="n">
        <f aca="false">IF(N$5&lt;=LastHist,INDEX(H_COR,1,N$5),N16+N17+N18+N19+N20+N21)</f>
        <v>103.8</v>
      </c>
      <c r="O22" s="126" t="n">
        <f aca="false">IF(O$5&lt;=LastHist,INDEX(H_COR,1,O$5),O16+O17+O18+O19+O20+O21)</f>
        <v>133.6</v>
      </c>
      <c r="P22" s="99" t="n">
        <f aca="false">IF(P$5&lt;=LastHist,INDEX(H_COR,1,P$5),P16+P17+P18+P19+P20+P21)</f>
        <v>188.480284110802</v>
      </c>
      <c r="Q22" s="99" t="n">
        <f aca="false">IF(Q$5&lt;=LastHist,INDEX(H_COR,1,Q$5),Q16+Q17+Q18+Q19+Q20+Q21)</f>
        <v>220.061176609334</v>
      </c>
      <c r="R22" s="99" t="n">
        <f aca="false">IF(R$5&lt;=LastHist,INDEX(H_COR,1,R$5),R16+R17+R18+R19+R20+R21)</f>
        <v>287.406435848172</v>
      </c>
      <c r="S22" s="99" t="n">
        <f aca="false">IF(S$5&lt;=LastHist,INDEX(H_COR,1,S$5),S16+S17+S18+S19+S20+S21)</f>
        <v>418.147862818866</v>
      </c>
      <c r="T22" s="99" t="n">
        <f aca="false">IF(T$5&lt;=LastHist,INDEX(H_COR,1,T$5),T16+T17+T18+T19+T20+T21)</f>
        <v>592.338728867206</v>
      </c>
      <c r="U22" s="99" t="n">
        <f aca="false">IF(U$5&lt;=LastHist,INDEX(H_COR,1,U$5),U16+U17+U18+U19+U20+U21)</f>
        <v>767.851586119415</v>
      </c>
      <c r="V22" s="99" t="n">
        <f aca="false">IF(V$5&lt;=LastHist,INDEX(H_COR,1,V$5),V16+V17+V18+V19+V20+V21)</f>
        <v>999.621129329759</v>
      </c>
      <c r="W22" s="99" t="n">
        <f aca="false">IF(W$5&lt;=LastHist,INDEX(H_COR,1,W$5),W16+W17+W18+W19+W20+W21)</f>
        <v>1161.04569018248</v>
      </c>
      <c r="X22" s="99" t="n">
        <f aca="false">IF(X$5&lt;=LastHist,INDEX(H_COR,1,X$5),X16+X17+X18+X19+X20+X21)</f>
        <v>1290.84937068725</v>
      </c>
      <c r="Y22" s="99" t="n">
        <f aca="false">IF(Y$5&lt;=LastHist,INDEX(H_COR,1,Y$5),Y16+Y17+Y18+Y19+Y20+Y21)</f>
        <v>1341.38514124901</v>
      </c>
      <c r="Z22" s="99" t="n">
        <f aca="false">IF(Z$5&lt;=LastHist,INDEX(H_COR,1,Z$5),Z16+Z17+Z18+Z19+Z20+Z21)</f>
        <v>1501.01536057073</v>
      </c>
      <c r="AA22" s="99" t="n">
        <f aca="false">IF(AA$5&lt;=LastHist,INDEX(H_COR,1,AA$5),AA16+AA17+AA18+AA19+AA20+AA21)</f>
        <v>1622.30199487573</v>
      </c>
      <c r="AB22" s="99" t="n">
        <f aca="false">IF(AB$5&lt;=LastHist,INDEX(H_COR,1,AB$5),AB16+AB17+AB18+AB19+AB20+AB21)</f>
        <v>1779.4921236073</v>
      </c>
      <c r="AC22" s="99" t="n">
        <f aca="false">IF(AC$5&lt;=LastHist,INDEX(H_COR,1,AC$5),AC16+AC17+AC18+AC19+AC20+AC21)</f>
        <v>1888.35240788312</v>
      </c>
      <c r="AD22" s="99" t="n">
        <f aca="false">IF(AD$5&lt;=LastHist,INDEX(H_COR,1,AD$5),AD16+AD17+AD18+AD19+AD20+AD21)</f>
        <v>2094.61480731547</v>
      </c>
      <c r="AE22" s="99" t="n">
        <f aca="false">IF(AE$5&lt;=LastHist,INDEX(H_COR,1,AE$5),AE16+AE17+AE18+AE19+AE20+AE21)</f>
        <v>2312.5906934647</v>
      </c>
      <c r="AF22" s="99" t="n">
        <f aca="false">IF(AF$5&lt;=LastHist,INDEX(H_COR,1,AF$5),AF16+AF17+AF18+AF19+AF20+AF21)</f>
        <v>2314.45416605173</v>
      </c>
      <c r="AG22" s="99" t="n">
        <f aca="false">IF(AG$5&lt;=LastHist,INDEX(H_COR,1,AG$5),AG16+AG17+AG18+AG19+AG20+AG21)</f>
        <v>2279.11591486051</v>
      </c>
      <c r="AI22" s="99" t="n">
        <f aca="false">SUMIF($F$7:$AG$7,AI$7,$F22:$AG22)</f>
        <v>48.2</v>
      </c>
      <c r="AJ22" s="99" t="n">
        <f aca="false">SUMIF($F$7:$AG$7,AJ$7,$F22:$AG22)</f>
        <v>166.2</v>
      </c>
      <c r="AK22" s="99" t="n">
        <f aca="false">SUMIF($F$7:$AG$7,AK$7,$F22:$AG22)</f>
        <v>645.941460720137</v>
      </c>
      <c r="AL22" s="99" t="n">
        <f aca="false">SUMIF($F$7:$AG$7,AL$7,$F22:$AG22)</f>
        <v>2065.74461365366</v>
      </c>
      <c r="AM22" s="99" t="n">
        <f aca="false">SUMIF($F$7:$AG$7,AM$7,$F22:$AG22)</f>
        <v>4792.9013314485</v>
      </c>
      <c r="AN22" s="99" t="n">
        <f aca="false">SUMIF($F$7:$AG$7,AN$7,$F22:$AG22)</f>
        <v>6791.16188693688</v>
      </c>
      <c r="AO22" s="99" t="n">
        <f aca="false">SUMIF($F$7:$AG$7,AO$7,$F22:$AG22)</f>
        <v>9000.77558169241</v>
      </c>
    </row>
    <row r="23" customFormat="false" ht="15" hidden="false" customHeight="false" outlineLevel="0" collapsed="false">
      <c r="A23" s="107" t="s">
        <v>2427</v>
      </c>
      <c r="B23" s="22" t="s">
        <v>613</v>
      </c>
      <c r="C23" s="22" t="s">
        <v>540</v>
      </c>
      <c r="D23" s="22"/>
      <c r="F23" s="124" t="n">
        <f aca="false">IF(F$5&lt;=LastHist,INDEX(H_PD,1,F$5),IF(AND(OpexHold=1,F$7&gt;2028),INDEX(PDpct,1,2028-FYBase),INDEX(PDpct,1,F$7-FYBase))*F11)</f>
        <v>29</v>
      </c>
      <c r="G23" s="124" t="n">
        <f aca="false">IF(G$5&lt;=LastHist,INDEX(H_PD,1,G$5),IF(AND(OpexHold=1,G$7&gt;2028),INDEX(PDpct,1,2028-FYBase),INDEX(PDpct,1,G$7-FYBase))*G11)</f>
        <v>25.6</v>
      </c>
      <c r="H23" s="124" t="n">
        <f aca="false">IF(H$5&lt;=LastHist,INDEX(H_PD,1,H$5),IF(AND(OpexHold=1,H$7&gt;2028),INDEX(PDpct,1,2028-FYBase),INDEX(PDpct,1,H$7-FYBase))*H11)</f>
        <v>31.4</v>
      </c>
      <c r="I23" s="124" t="n">
        <f aca="false">IF(I$5&lt;=LastHist,INDEX(H_PD,1,I$5),IF(AND(OpexHold=1,I$7&gt;2028),INDEX(PDpct,1,2028-FYBase),INDEX(PDpct,1,I$7-FYBase))*I11)</f>
        <v>31.9</v>
      </c>
      <c r="J23" s="124" t="n">
        <f aca="false">IF(J$5&lt;=LastHist,INDEX(H_PD,1,J$5),IF(AND(OpexHold=1,J$7&gt;2028),INDEX(PDpct,1,2028-FYBase),INDEX(PDpct,1,J$7-FYBase))*J11)</f>
        <v>36.5</v>
      </c>
      <c r="K23" s="124" t="n">
        <f aca="false">IF(K$5&lt;=LastHist,INDEX(H_PD,1,K$5),IF(AND(OpexHold=1,K$7&gt;2028),INDEX(PDpct,1,2028-FYBase),INDEX(PDpct,1,K$7-FYBase))*K11)</f>
        <v>42.8</v>
      </c>
      <c r="L23" s="124" t="n">
        <f aca="false">IF(L$5&lt;=LastHist,INDEX(H_PD,1,L$5),IF(AND(OpexHold=1,L$7&gt;2028),INDEX(PDpct,1,2028-FYBase),INDEX(PDpct,1,L$7-FYBase))*L11)</f>
        <v>44.9</v>
      </c>
      <c r="M23" s="124" t="n">
        <f aca="false">IF(M$5&lt;=LastHist,INDEX(H_PD,1,M$5),IF(AND(OpexHold=1,M$7&gt;2028),INDEX(PDpct,1,2028-FYBase),INDEX(PDpct,1,M$7-FYBase))*M11)</f>
        <v>53.1</v>
      </c>
      <c r="N23" s="124" t="n">
        <f aca="false">IF(N$5&lt;=LastHist,INDEX(H_PD,1,N$5),IF(AND(OpexHold=1,N$7&gt;2028),INDEX(PDpct,1,2028-FYBase),INDEX(PDpct,1,N$7-FYBase))*N11)</f>
        <v>67.4</v>
      </c>
      <c r="O23" s="124" t="n">
        <f aca="false">IF(O$5&lt;=LastHist,INDEX(H_PD,1,O$5),IF(AND(OpexHold=1,O$7&gt;2028),INDEX(PDpct,1,2028-FYBase),INDEX(PDpct,1,O$7-FYBase))*O11)</f>
        <v>191</v>
      </c>
      <c r="P23" s="125" t="n">
        <f aca="false">IF(P$5&lt;=LastHist,INDEX(H_PD,1,P$5),IF(AND(OpexHold=1,P$7&gt;2028),INDEX(PDpct,1,2028-FYBase),INDEX(PDpct,1,P$7-FYBase))*P11)</f>
        <v>74.2155048449035</v>
      </c>
      <c r="Q23" s="125" t="n">
        <f aca="false">IF(Q$5&lt;=LastHist,INDEX(H_PD,1,Q$5),IF(AND(OpexHold=1,Q$7&gt;2028),INDEX(PDpct,1,2028-FYBase),INDEX(PDpct,1,Q$7-FYBase))*Q11)</f>
        <v>89.0002447284683</v>
      </c>
      <c r="R23" s="125" t="n">
        <f aca="false">IF(R$5&lt;=LastHist,INDEX(H_PD,1,R$5),IF(AND(OpexHold=1,R$7&gt;2028),INDEX(PDpct,1,2028-FYBase),INDEX(PDpct,1,R$7-FYBase))*R11)</f>
        <v>92.4882561868637</v>
      </c>
      <c r="S23" s="125" t="n">
        <f aca="false">IF(S$5&lt;=LastHist,INDEX(H_PD,1,S$5),IF(AND(OpexHold=1,S$7&gt;2028),INDEX(PDpct,1,2028-FYBase),INDEX(PDpct,1,S$7-FYBase))*S11)</f>
        <v>131.974191097757</v>
      </c>
      <c r="T23" s="125" t="n">
        <f aca="false">IF(T$5&lt;=LastHist,INDEX(H_PD,1,T$5),IF(AND(OpexHold=1,T$7&gt;2028),INDEX(PDpct,1,2028-FYBase),INDEX(PDpct,1,T$7-FYBase))*T11)</f>
        <v>190.285655469687</v>
      </c>
      <c r="U23" s="125" t="n">
        <f aca="false">IF(U$5&lt;=LastHist,INDEX(H_PD,1,U$5),IF(AND(OpexHold=1,U$7&gt;2028),INDEX(PDpct,1,2028-FYBase),INDEX(PDpct,1,U$7-FYBase))*U11)</f>
        <v>260.743777080348</v>
      </c>
      <c r="V23" s="125" t="n">
        <f aca="false">IF(V$5&lt;=LastHist,INDEX(H_PD,1,V$5),IF(AND(OpexHold=1,V$7&gt;2028),INDEX(PDpct,1,2028-FYBase),INDEX(PDpct,1,V$7-FYBase))*V11)</f>
        <v>319.207483401494</v>
      </c>
      <c r="W23" s="125" t="n">
        <f aca="false">IF(W$5&lt;=LastHist,INDEX(H_PD,1,W$5),IF(AND(OpexHold=1,W$7&gt;2028),INDEX(PDpct,1,2028-FYBase),INDEX(PDpct,1,W$7-FYBase))*W11)</f>
        <v>388.695112279692</v>
      </c>
      <c r="X23" s="125" t="n">
        <f aca="false">IF(X$5&lt;=LastHist,INDEX(H_PD,1,X$5),IF(AND(OpexHold=1,X$7&gt;2028),INDEX(PDpct,1,2028-FYBase),INDEX(PDpct,1,X$7-FYBase))*X11)</f>
        <v>436.891415027866</v>
      </c>
      <c r="Y23" s="125" t="n">
        <f aca="false">IF(Y$5&lt;=LastHist,INDEX(H_PD,1,Y$5),IF(AND(OpexHold=1,Y$7&gt;2028),INDEX(PDpct,1,2028-FYBase),INDEX(PDpct,1,Y$7-FYBase))*Y11)</f>
        <v>469.659155250764</v>
      </c>
      <c r="Z23" s="125" t="n">
        <f aca="false">IF(Z$5&lt;=LastHist,INDEX(H_PD,1,Z$5),IF(AND(OpexHold=1,Z$7&gt;2028),INDEX(PDpct,1,2028-FYBase),INDEX(PDpct,1,Z$7-FYBase))*Z11)</f>
        <v>466.105704437358</v>
      </c>
      <c r="AA23" s="125" t="n">
        <f aca="false">IF(AA$5&lt;=LastHist,INDEX(H_PD,1,AA$5),IF(AND(OpexHold=1,AA$7&gt;2028),INDEX(PDpct,1,2028-FYBase),INDEX(PDpct,1,AA$7-FYBase))*AA11)</f>
        <v>520.774749840503</v>
      </c>
      <c r="AB23" s="125" t="n">
        <f aca="false">IF(AB$5&lt;=LastHist,INDEX(H_PD,1,AB$5),IF(AND(OpexHold=1,AB$7&gt;2028),INDEX(PDpct,1,2028-FYBase),INDEX(PDpct,1,AB$7-FYBase))*AB11)</f>
        <v>575.544125070835</v>
      </c>
      <c r="AC23" s="125" t="n">
        <f aca="false">IF(AC$5&lt;=LastHist,INDEX(H_PD,1,AC$5),IF(AND(OpexHold=1,AC$7&gt;2028),INDEX(PDpct,1,2028-FYBase),INDEX(PDpct,1,AC$7-FYBase))*AC11)</f>
        <v>631.34993209695</v>
      </c>
      <c r="AD23" s="125" t="n">
        <f aca="false">IF(AD$5&lt;=LastHist,INDEX(H_PD,1,AD$5),IF(AND(OpexHold=1,AD$7&gt;2028),INDEX(PDpct,1,2028-FYBase),INDEX(PDpct,1,AD$7-FYBase))*AD11)</f>
        <v>605.498993678671</v>
      </c>
      <c r="AE23" s="125" t="n">
        <f aca="false">IF(AE$5&lt;=LastHist,INDEX(H_PD,1,AE$5),IF(AND(OpexHold=1,AE$7&gt;2028),INDEX(PDpct,1,2028-FYBase),INDEX(PDpct,1,AE$7-FYBase))*AE11)</f>
        <v>671.416755399699</v>
      </c>
      <c r="AF23" s="125" t="n">
        <f aca="false">IF(AF$5&lt;=LastHist,INDEX(H_PD,1,AF$5),IF(AND(OpexHold=1,AF$7&gt;2028),INDEX(PDpct,1,2028-FYBase),INDEX(PDpct,1,AF$7-FYBase))*AF11)</f>
        <v>669.366350646734</v>
      </c>
      <c r="AG23" s="125" t="n">
        <f aca="false">IF(AG$5&lt;=LastHist,INDEX(H_PD,1,AG$5),IF(AND(OpexHold=1,AG$7&gt;2028),INDEX(PDpct,1,2028-FYBase),INDEX(PDpct,1,AG$7-FYBase))*AG11)</f>
        <v>676.23298965254</v>
      </c>
      <c r="AI23" s="125" t="n">
        <f aca="false">SUMIF($F$7:$AG$7,AI$7,$F23:$AG23)</f>
        <v>117.9</v>
      </c>
      <c r="AJ23" s="125" t="n">
        <f aca="false">SUMIF($F$7:$AG$7,AJ$7,$F23:$AG23)</f>
        <v>177.3</v>
      </c>
      <c r="AK23" s="125" t="n">
        <f aca="false">SUMIF($F$7:$AG$7,AK$7,$F23:$AG23)</f>
        <v>421.615749573372</v>
      </c>
      <c r="AL23" s="125" t="n">
        <f aca="false">SUMIF($F$7:$AG$7,AL$7,$F23:$AG23)</f>
        <v>675.491879834655</v>
      </c>
      <c r="AM23" s="125" t="n">
        <f aca="false">SUMIF($F$7:$AG$7,AM$7,$F23:$AG23)</f>
        <v>1614.45316595982</v>
      </c>
      <c r="AN23" s="125" t="n">
        <f aca="false">SUMIF($F$7:$AG$7,AN$7,$F23:$AG23)</f>
        <v>2193.77451144565</v>
      </c>
      <c r="AO23" s="125" t="n">
        <f aca="false">SUMIF($F$7:$AG$7,AO$7,$F23:$AG23)</f>
        <v>2622.51508937764</v>
      </c>
    </row>
    <row r="24" customFormat="false" ht="15" hidden="false" customHeight="false" outlineLevel="0" collapsed="false">
      <c r="A24" s="107" t="s">
        <v>2428</v>
      </c>
      <c r="B24" s="22" t="s">
        <v>613</v>
      </c>
      <c r="C24" s="22" t="s">
        <v>540</v>
      </c>
      <c r="D24" s="22"/>
      <c r="F24" s="124" t="n">
        <f aca="false">IF(F$5&lt;=LastHist,INDEX(H_SGA,1,F$5),IF(AND(OpexHold=1,F$7&gt;2028),INDEX(SGApct,1,2028-FYBase),INDEX(SGApct,1,F$7-FYBase))*F11)</f>
        <v>44.2</v>
      </c>
      <c r="G24" s="124" t="n">
        <f aca="false">IF(G$5&lt;=LastHist,INDEX(H_SGA,1,G$5),IF(AND(OpexHold=1,G$7&gt;2028),INDEX(SGApct,1,2028-FYBase),INDEX(SGApct,1,G$7-FYBase))*G11)</f>
        <v>39</v>
      </c>
      <c r="H24" s="124" t="n">
        <f aca="false">IF(H$5&lt;=LastHist,INDEX(H_SGA,1,H$5),IF(AND(OpexHold=1,H$7&gt;2028),INDEX(SGApct,1,2028-FYBase),INDEX(SGApct,1,H$7-FYBase))*H11)</f>
        <v>47.9</v>
      </c>
      <c r="I24" s="124" t="n">
        <f aca="false">IF(I$5&lt;=LastHist,INDEX(H_SGA,1,I$5),IF(AND(OpexHold=1,I$7&gt;2028),INDEX(SGApct,1,2028-FYBase),INDEX(SGApct,1,I$7-FYBase))*I11)</f>
        <v>85.4</v>
      </c>
      <c r="J24" s="124" t="n">
        <f aca="false">IF(J$5&lt;=LastHist,INDEX(H_SGA,1,J$5),IF(AND(OpexHold=1,J$7&gt;2028),INDEX(SGApct,1,2028-FYBase),INDEX(SGApct,1,J$7-FYBase))*J11)</f>
        <v>60.9</v>
      </c>
      <c r="K24" s="124" t="n">
        <f aca="false">IF(K$5&lt;=LastHist,INDEX(H_SGA,1,K$5),IF(AND(OpexHold=1,K$7&gt;2028),INDEX(SGApct,1,2028-FYBase),INDEX(SGApct,1,K$7-FYBase))*K11)</f>
        <v>68.2</v>
      </c>
      <c r="L24" s="124" t="n">
        <f aca="false">IF(L$5&lt;=LastHist,INDEX(H_SGA,1,L$5),IF(AND(OpexHold=1,L$7&gt;2028),INDEX(SGApct,1,2028-FYBase),INDEX(SGApct,1,L$7-FYBase))*L11)</f>
        <v>89.5</v>
      </c>
      <c r="M24" s="124" t="n">
        <f aca="false">IF(M$5&lt;=LastHist,INDEX(H_SGA,1,M$5),IF(AND(OpexHold=1,M$7&gt;2028),INDEX(SGApct,1,2028-FYBase),INDEX(SGApct,1,M$7-FYBase))*M11)</f>
        <v>159.9</v>
      </c>
      <c r="N24" s="124" t="n">
        <f aca="false">IF(N$5&lt;=LastHist,INDEX(H_SGA,1,N$5),IF(AND(OpexHold=1,N$7&gt;2028),INDEX(SGApct,1,2028-FYBase),INDEX(SGApct,1,N$7-FYBase))*N11)</f>
        <v>143.8</v>
      </c>
      <c r="O24" s="124" t="n">
        <f aca="false">IF(O$5&lt;=LastHist,INDEX(H_SGA,1,O$5),IF(AND(OpexHold=1,O$7&gt;2028),INDEX(SGApct,1,2028-FYBase),INDEX(SGApct,1,O$7-FYBase))*O11)</f>
        <v>173.9</v>
      </c>
      <c r="P24" s="125" t="n">
        <f aca="false">IF(P$5&lt;=LastHist,INDEX(H_SGA,1,P$5),IF(AND(OpexHold=1,P$7&gt;2028),INDEX(SGApct,1,2028-FYBase),INDEX(SGApct,1,P$7-FYBase))*P11)</f>
        <v>148.431009689807</v>
      </c>
      <c r="Q24" s="125" t="n">
        <f aca="false">IF(Q$5&lt;=LastHist,INDEX(H_SGA,1,Q$5),IF(AND(OpexHold=1,Q$7&gt;2028),INDEX(SGApct,1,2028-FYBase),INDEX(SGApct,1,Q$7-FYBase))*Q11)</f>
        <v>178.000489456937</v>
      </c>
      <c r="R24" s="125" t="n">
        <f aca="false">IF(R$5&lt;=LastHist,INDEX(H_SGA,1,R$5),IF(AND(OpexHold=1,R$7&gt;2028),INDEX(SGApct,1,2028-FYBase),INDEX(SGApct,1,R$7-FYBase))*R11)</f>
        <v>143.870620735121</v>
      </c>
      <c r="S24" s="125" t="n">
        <f aca="false">IF(S$5&lt;=LastHist,INDEX(H_SGA,1,S$5),IF(AND(OpexHold=1,S$7&gt;2028),INDEX(SGApct,1,2028-FYBase),INDEX(SGApct,1,S$7-FYBase))*S11)</f>
        <v>205.293186152067</v>
      </c>
      <c r="T24" s="125" t="n">
        <f aca="false">IF(T$5&lt;=LastHist,INDEX(H_SGA,1,T$5),IF(AND(OpexHold=1,T$7&gt;2028),INDEX(SGApct,1,2028-FYBase),INDEX(SGApct,1,T$7-FYBase))*T11)</f>
        <v>295.999908508402</v>
      </c>
      <c r="U24" s="125" t="n">
        <f aca="false">IF(U$5&lt;=LastHist,INDEX(H_SGA,1,U$5),IF(AND(OpexHold=1,U$7&gt;2028),INDEX(SGApct,1,2028-FYBase),INDEX(SGApct,1,U$7-FYBase))*U11)</f>
        <v>405.601431013874</v>
      </c>
      <c r="V24" s="125" t="n">
        <f aca="false">IF(V$5&lt;=LastHist,INDEX(H_SGA,1,V$5),IF(AND(OpexHold=1,V$7&gt;2028),INDEX(SGApct,1,2028-FYBase),INDEX(SGApct,1,V$7-FYBase))*V11)</f>
        <v>399.009354251867</v>
      </c>
      <c r="W24" s="125" t="n">
        <f aca="false">IF(W$5&lt;=LastHist,INDEX(H_SGA,1,W$5),IF(AND(OpexHold=1,W$7&gt;2028),INDEX(SGApct,1,2028-FYBase),INDEX(SGApct,1,W$7-FYBase))*W11)</f>
        <v>485.868890349615</v>
      </c>
      <c r="X24" s="125" t="n">
        <f aca="false">IF(X$5&lt;=LastHist,INDEX(H_SGA,1,X$5),IF(AND(OpexHold=1,X$7&gt;2028),INDEX(SGApct,1,2028-FYBase),INDEX(SGApct,1,X$7-FYBase))*X11)</f>
        <v>546.114268784833</v>
      </c>
      <c r="Y24" s="125" t="n">
        <f aca="false">IF(Y$5&lt;=LastHist,INDEX(H_SGA,1,Y$5),IF(AND(OpexHold=1,Y$7&gt;2028),INDEX(SGApct,1,2028-FYBase),INDEX(SGApct,1,Y$7-FYBase))*Y11)</f>
        <v>587.073944063455</v>
      </c>
      <c r="Z24" s="125" t="n">
        <f aca="false">IF(Z$5&lt;=LastHist,INDEX(H_SGA,1,Z$5),IF(AND(OpexHold=1,Z$7&gt;2028),INDEX(SGApct,1,2028-FYBase),INDEX(SGApct,1,Z$7-FYBase))*Z11)</f>
        <v>532.692233642695</v>
      </c>
      <c r="AA24" s="125" t="n">
        <f aca="false">IF(AA$5&lt;=LastHist,INDEX(H_SGA,1,AA$5),IF(AND(OpexHold=1,AA$7&gt;2028),INDEX(SGApct,1,2028-FYBase),INDEX(SGApct,1,AA$7-FYBase))*AA11)</f>
        <v>595.17114267486</v>
      </c>
      <c r="AB24" s="125" t="n">
        <f aca="false">IF(AB$5&lt;=LastHist,INDEX(H_SGA,1,AB$5),IF(AND(OpexHold=1,AB$7&gt;2028),INDEX(SGApct,1,2028-FYBase),INDEX(SGApct,1,AB$7-FYBase))*AB11)</f>
        <v>657.764714366669</v>
      </c>
      <c r="AC24" s="125" t="n">
        <f aca="false">IF(AC$5&lt;=LastHist,INDEX(H_SGA,1,AC$5),IF(AND(OpexHold=1,AC$7&gt;2028),INDEX(SGApct,1,2028-FYBase),INDEX(SGApct,1,AC$7-FYBase))*AC11)</f>
        <v>721.542779539371</v>
      </c>
      <c r="AD24" s="125" t="n">
        <f aca="false">IF(AD$5&lt;=LastHist,INDEX(H_SGA,1,AD$5),IF(AND(OpexHold=1,AD$7&gt;2028),INDEX(SGApct,1,2028-FYBase),INDEX(SGApct,1,AD$7-FYBase))*AD11)</f>
        <v>706.415492625116</v>
      </c>
      <c r="AE24" s="125" t="n">
        <f aca="false">IF(AE$5&lt;=LastHist,INDEX(H_SGA,1,AE$5),IF(AND(OpexHold=1,AE$7&gt;2028),INDEX(SGApct,1,2028-FYBase),INDEX(SGApct,1,AE$7-FYBase))*AE11)</f>
        <v>783.319547966315</v>
      </c>
      <c r="AF24" s="125" t="n">
        <f aca="false">IF(AF$5&lt;=LastHist,INDEX(H_SGA,1,AF$5),IF(AND(OpexHold=1,AF$7&gt;2028),INDEX(SGApct,1,2028-FYBase),INDEX(SGApct,1,AF$7-FYBase))*AF11)</f>
        <v>780.927409087857</v>
      </c>
      <c r="AG24" s="125" t="n">
        <f aca="false">IF(AG$5&lt;=LastHist,INDEX(H_SGA,1,AG$5),IF(AND(OpexHold=1,AG$7&gt;2028),INDEX(SGApct,1,2028-FYBase),INDEX(SGApct,1,AG$7-FYBase))*AG11)</f>
        <v>788.938487927963</v>
      </c>
      <c r="AI24" s="125" t="n">
        <f aca="false">SUMIF($F$7:$AG$7,AI$7,$F24:$AG24)</f>
        <v>216.5</v>
      </c>
      <c r="AJ24" s="125" t="n">
        <f aca="false">SUMIF($F$7:$AG$7,AJ$7,$F24:$AG24)</f>
        <v>378.5</v>
      </c>
      <c r="AK24" s="125" t="n">
        <f aca="false">SUMIF($F$7:$AG$7,AK$7,$F24:$AG24)</f>
        <v>644.131499146744</v>
      </c>
      <c r="AL24" s="125" t="n">
        <f aca="false">SUMIF($F$7:$AG$7,AL$7,$F24:$AG24)</f>
        <v>1050.76514640946</v>
      </c>
      <c r="AM24" s="125" t="n">
        <f aca="false">SUMIF($F$7:$AG$7,AM$7,$F24:$AG24)</f>
        <v>2018.06645744977</v>
      </c>
      <c r="AN24" s="125" t="n">
        <f aca="false">SUMIF($F$7:$AG$7,AN$7,$F24:$AG24)</f>
        <v>2507.1708702236</v>
      </c>
      <c r="AO24" s="125" t="n">
        <f aca="false">SUMIF($F$7:$AG$7,AO$7,$F24:$AG24)</f>
        <v>3059.60093760725</v>
      </c>
    </row>
    <row r="26" customFormat="false" ht="15" hidden="false" customHeight="false" outlineLevel="0" collapsed="false">
      <c r="A26" s="58" t="s">
        <v>2429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</row>
    <row r="27" customFormat="false" ht="15" hidden="false" customHeight="false" outlineLevel="0" collapsed="false">
      <c r="A27" s="107" t="s">
        <v>2430</v>
      </c>
      <c r="B27" s="22" t="s">
        <v>613</v>
      </c>
      <c r="C27" s="22" t="s">
        <v>626</v>
      </c>
      <c r="D27" s="22"/>
      <c r="F27" s="124" t="n">
        <f aca="false">IF(F$5&lt;=LastHist,0,PeerMarginOn*(F$7&gt;=PeerMarginYr)*MAX(0,F11-F22-F23-F24-MarginPeer*F11))</f>
        <v>0</v>
      </c>
      <c r="G27" s="124" t="n">
        <f aca="false">IF(G$5&lt;=LastHist,0,PeerMarginOn*(G$7&gt;=PeerMarginYr)*MAX(0,G11-G22-G23-G24-MarginPeer*G11))</f>
        <v>0</v>
      </c>
      <c r="H27" s="124" t="n">
        <f aca="false">IF(H$5&lt;=LastHist,0,PeerMarginOn*(H$7&gt;=PeerMarginYr)*MAX(0,H11-H22-H23-H24-MarginPeer*H11))</f>
        <v>0</v>
      </c>
      <c r="I27" s="124" t="n">
        <f aca="false">IF(I$5&lt;=LastHist,0,PeerMarginOn*(I$7&gt;=PeerMarginYr)*MAX(0,I11-I22-I23-I24-MarginPeer*I11))</f>
        <v>0</v>
      </c>
      <c r="J27" s="124" t="n">
        <f aca="false">IF(J$5&lt;=LastHist,0,PeerMarginOn*(J$7&gt;=PeerMarginYr)*MAX(0,J11-J22-J23-J24-MarginPeer*J11))</f>
        <v>0</v>
      </c>
      <c r="K27" s="124" t="n">
        <f aca="false">IF(K$5&lt;=LastHist,0,PeerMarginOn*(K$7&gt;=PeerMarginYr)*MAX(0,K11-K22-K23-K24-MarginPeer*K11))</f>
        <v>0</v>
      </c>
      <c r="L27" s="124" t="n">
        <f aca="false">IF(L$5&lt;=LastHist,0,PeerMarginOn*(L$7&gt;=PeerMarginYr)*MAX(0,L11-L22-L23-L24-MarginPeer*L11))</f>
        <v>0</v>
      </c>
      <c r="M27" s="124" t="n">
        <f aca="false">IF(M$5&lt;=LastHist,0,PeerMarginOn*(M$7&gt;=PeerMarginYr)*MAX(0,M11-M22-M23-M24-MarginPeer*M11))</f>
        <v>0</v>
      </c>
      <c r="N27" s="124" t="n">
        <f aca="false">IF(N$5&lt;=LastHist,0,PeerMarginOn*(N$7&gt;=PeerMarginYr)*MAX(0,N11-N22-N23-N24-MarginPeer*N11))</f>
        <v>0</v>
      </c>
      <c r="O27" s="124" t="n">
        <f aca="false">IF(O$5&lt;=LastHist,0,PeerMarginOn*(O$7&gt;=PeerMarginYr)*MAX(0,O11-O22-O23-O24-MarginPeer*O11))</f>
        <v>0</v>
      </c>
      <c r="P27" s="125" t="n">
        <f aca="false">IF(P$5&lt;=LastHist,0,PeerMarginOn*(P$7&gt;=PeerMarginYr)*MAX(0,P11-P22-P23-P24-MarginPeer*P11))</f>
        <v>0</v>
      </c>
      <c r="Q27" s="125" t="n">
        <f aca="false">IF(Q$5&lt;=LastHist,0,PeerMarginOn*(Q$7&gt;=PeerMarginYr)*MAX(0,Q11-Q22-Q23-Q24-MarginPeer*Q11))</f>
        <v>0</v>
      </c>
      <c r="R27" s="125" t="n">
        <f aca="false">IF(R$5&lt;=LastHist,0,PeerMarginOn*(R$7&gt;=PeerMarginYr)*MAX(0,R11-R22-R23-R24-MarginPeer*R11))</f>
        <v>0</v>
      </c>
      <c r="S27" s="125" t="n">
        <f aca="false">IF(S$5&lt;=LastHist,0,PeerMarginOn*(S$7&gt;=PeerMarginYr)*MAX(0,S11-S22-S23-S24-MarginPeer*S11))</f>
        <v>0</v>
      </c>
      <c r="T27" s="125" t="n">
        <f aca="false">IF(T$5&lt;=LastHist,0,PeerMarginOn*(T$7&gt;=PeerMarginYr)*MAX(0,T11-T22-T23-T24-MarginPeer*T11))</f>
        <v>0</v>
      </c>
      <c r="U27" s="125" t="n">
        <f aca="false">IF(U$5&lt;=LastHist,0,PeerMarginOn*(U$7&gt;=PeerMarginYr)*MAX(0,U11-U22-U23-U24-MarginPeer*U11))</f>
        <v>0</v>
      </c>
      <c r="V27" s="125" t="n">
        <f aca="false">IF(V$5&lt;=LastHist,0,PeerMarginOn*(V$7&gt;=PeerMarginYr)*MAX(0,V11-V22-V23-V24-MarginPeer*V11))</f>
        <v>0</v>
      </c>
      <c r="W27" s="125" t="n">
        <f aca="false">IF(W$5&lt;=LastHist,0,PeerMarginOn*(W$7&gt;=PeerMarginYr)*MAX(0,W11-W22-W23-W24-MarginPeer*W11))</f>
        <v>0</v>
      </c>
      <c r="X27" s="125" t="n">
        <f aca="false">IF(X$5&lt;=LastHist,0,PeerMarginOn*(X$7&gt;=PeerMarginYr)*MAX(0,X11-X22-X23-X24-MarginPeer*X11))</f>
        <v>0</v>
      </c>
      <c r="Y27" s="125" t="n">
        <f aca="false">IF(Y$5&lt;=LastHist,0,PeerMarginOn*(Y$7&gt;=PeerMarginYr)*MAX(0,Y11-Y22-Y23-Y24-MarginPeer*Y11))</f>
        <v>0</v>
      </c>
      <c r="Z27" s="125" t="n">
        <f aca="false">IF(Z$5&lt;=LastHist,0,PeerMarginOn*(Z$7&gt;=PeerMarginYr)*MAX(0,Z11-Z22-Z23-Z24-MarginPeer*Z11))</f>
        <v>0</v>
      </c>
      <c r="AA27" s="125" t="n">
        <f aca="false">IF(AA$5&lt;=LastHist,0,PeerMarginOn*(AA$7&gt;=PeerMarginYr)*MAX(0,AA11-AA22-AA23-AA24-MarginPeer*AA11))</f>
        <v>0</v>
      </c>
      <c r="AB27" s="125" t="n">
        <f aca="false">IF(AB$5&lt;=LastHist,0,PeerMarginOn*(AB$7&gt;=PeerMarginYr)*MAX(0,AB11-AB22-AB23-AB24-MarginPeer*AB11))</f>
        <v>0</v>
      </c>
      <c r="AC27" s="125" t="n">
        <f aca="false">IF(AC$5&lt;=LastHist,0,PeerMarginOn*(AC$7&gt;=PeerMarginYr)*MAX(0,AC11-AC22-AC23-AC24-MarginPeer*AC11))</f>
        <v>0</v>
      </c>
      <c r="AD27" s="125" t="n">
        <f aca="false">IF(AD$5&lt;=LastHist,0,PeerMarginOn*(AD$7&gt;=PeerMarginYr)*MAX(0,AD11-AD22-AD23-AD24-MarginPeer*AD11))</f>
        <v>0</v>
      </c>
      <c r="AE27" s="125" t="n">
        <f aca="false">IF(AE$5&lt;=LastHist,0,PeerMarginOn*(AE$7&gt;=PeerMarginYr)*MAX(0,AE11-AE22-AE23-AE24-MarginPeer*AE11))</f>
        <v>0</v>
      </c>
      <c r="AF27" s="125" t="n">
        <f aca="false">IF(AF$5&lt;=LastHist,0,PeerMarginOn*(AF$7&gt;=PeerMarginYr)*MAX(0,AF11-AF22-AF23-AF24-MarginPeer*AF11))</f>
        <v>0</v>
      </c>
      <c r="AG27" s="125" t="n">
        <f aca="false">IF(AG$5&lt;=LastHist,0,PeerMarginOn*(AG$7&gt;=PeerMarginYr)*MAX(0,AG11-AG22-AG23-AG24-MarginPeer*AG11))</f>
        <v>0</v>
      </c>
      <c r="AI27" s="125" t="n">
        <f aca="false">SUMIF($F$7:$AG$7,AI$7,$F27:$AG27)</f>
        <v>0</v>
      </c>
      <c r="AJ27" s="125" t="n">
        <f aca="false">SUMIF($F$7:$AG$7,AJ$7,$F27:$AG27)</f>
        <v>0</v>
      </c>
      <c r="AK27" s="125" t="n">
        <f aca="false">SUMIF($F$7:$AG$7,AK$7,$F27:$AG27)</f>
        <v>0</v>
      </c>
      <c r="AL27" s="125" t="n">
        <f aca="false">SUMIF($F$7:$AG$7,AL$7,$F27:$AG27)</f>
        <v>0</v>
      </c>
      <c r="AM27" s="125" t="n">
        <f aca="false">SUMIF($F$7:$AG$7,AM$7,$F27:$AG27)</f>
        <v>0</v>
      </c>
      <c r="AN27" s="125" t="n">
        <f aca="false">SUMIF($F$7:$AG$7,AN$7,$F27:$AG27)</f>
        <v>0</v>
      </c>
      <c r="AO27" s="125" t="n">
        <f aca="false">SUMIF($F$7:$AG$7,AO$7,$F27:$AG27)</f>
        <v>0</v>
      </c>
    </row>
    <row r="28" customFormat="false" ht="15" hidden="false" customHeight="false" outlineLevel="0" collapsed="false">
      <c r="A28" s="3" t="s">
        <v>2431</v>
      </c>
      <c r="B28" s="22" t="s">
        <v>613</v>
      </c>
      <c r="C28" s="22" t="s">
        <v>540</v>
      </c>
      <c r="D28" s="22" t="s">
        <v>2432</v>
      </c>
      <c r="F28" s="126" t="n">
        <f aca="false">IF(F$5&lt;=LastHist,INDEX(H_EBITDA,1,F$5),F11-F22-F23-F24-F27)</f>
        <v>-70.9</v>
      </c>
      <c r="G28" s="126" t="n">
        <f aca="false">IF(G$5&lt;=LastHist,INDEX(H_EBITDA,1,G$5),G11-G22-G23-G24-G27)</f>
        <v>-58.1</v>
      </c>
      <c r="H28" s="126" t="n">
        <f aca="false">IF(H$5&lt;=LastHist,INDEX(H_EBITDA,1,H$5),H11-H22-H23-H24-H27)</f>
        <v>-45.9</v>
      </c>
      <c r="I28" s="126" t="n">
        <f aca="false">IF(I$5&lt;=LastHist,INDEX(H_EBITDA,1,I$5),I11-I22-I23-I24-I27)</f>
        <v>-63.9</v>
      </c>
      <c r="J28" s="126" t="n">
        <f aca="false">IF(J$5&lt;=LastHist,INDEX(H_EBITDA,1,J$5),J11-J22-J23-J24-J27)</f>
        <v>-53.7</v>
      </c>
      <c r="K28" s="126" t="n">
        <f aca="false">IF(K$5&lt;=LastHist,INDEX(H_EBITDA,1,K$5),K11-K22-K23-K24-K27)</f>
        <v>-21</v>
      </c>
      <c r="L28" s="126" t="n">
        <f aca="false">IF(L$5&lt;=LastHist,INDEX(H_EBITDA,1,L$5),L11-L22-L23-L24-L27)</f>
        <v>-5.2</v>
      </c>
      <c r="M28" s="126" t="n">
        <f aca="false">IF(M$5&lt;=LastHist,INDEX(H_EBITDA,1,M$5),M11-M22-M23-M24-M27)</f>
        <v>15</v>
      </c>
      <c r="N28" s="126" t="n">
        <f aca="false">IF(N$5&lt;=LastHist,INDEX(H_EBITDA,1,N$5),N11-N22-N23-N24-N27)</f>
        <v>129.5</v>
      </c>
      <c r="O28" s="126" t="n">
        <f aca="false">IF(O$5&lt;=LastHist,INDEX(H_EBITDA,1,O$5),O11-O22-O23-O24-O27)</f>
        <v>236.2</v>
      </c>
      <c r="P28" s="99" t="n">
        <f aca="false">IF(P$5&lt;=LastHist,INDEX(H_EBITDA,1,P$5),P11-P22-P23-P24-P27)</f>
        <v>263.559609035428</v>
      </c>
      <c r="Q28" s="99" t="n">
        <f aca="false">IF(Q$5&lt;=LastHist,INDEX(H_EBITDA,1,Q$5),Q11-Q22-Q23-Q24-Q27)</f>
        <v>322.031223100427</v>
      </c>
      <c r="R28" s="99" t="n">
        <f aca="false">IF(R$5&lt;=LastHist,INDEX(H_EBITDA,1,R$5),R11-R22-R23-R24-R27)</f>
        <v>503.881978194995</v>
      </c>
      <c r="S28" s="99" t="n">
        <f aca="false">IF(S$5&lt;=LastHist,INDEX(H_EBITDA,1,S$5),S11-S22-S23-S24-S27)</f>
        <v>710.964661017503</v>
      </c>
      <c r="T28" s="99" t="n">
        <f aca="false">IF(T$5&lt;=LastHist,INDEX(H_EBITDA,1,T$5),T11-T22-T23-T24-T27)</f>
        <v>1035.660767929</v>
      </c>
      <c r="U28" s="99" t="n">
        <f aca="false">IF(U$5&lt;=LastHist,INDEX(H_EBITDA,1,U$5),U11-U22-U23-U24-U27)</f>
        <v>1462.95628445689</v>
      </c>
      <c r="V28" s="99" t="n">
        <f aca="false">IF(V$5&lt;=LastHist,INDEX(H_EBITDA,1,V$5),V11-V22-V23-V24-V27)</f>
        <v>2272.25557553555</v>
      </c>
      <c r="W28" s="99" t="n">
        <f aca="false">IF(W$5&lt;=LastHist,INDEX(H_EBITDA,1,W$5),W11-W22-W23-W24-W27)</f>
        <v>2823.07921068436</v>
      </c>
      <c r="X28" s="99" t="n">
        <f aca="false">IF(X$5&lt;=LastHist,INDEX(H_EBITDA,1,X$5),X11-X22-X23-X24-X27)</f>
        <v>3187.28763334838</v>
      </c>
      <c r="Y28" s="99" t="n">
        <f aca="false">IF(Y$5&lt;=LastHist,INDEX(H_EBITDA,1,Y$5),Y11-Y22-Y23-Y24-Y27)</f>
        <v>3472.62120007132</v>
      </c>
      <c r="Z28" s="99" t="n">
        <f aca="false">IF(Z$5&lt;=LastHist,INDEX(H_EBITDA,1,Z$5),Z11-Z22-Z23-Z24-Z27)</f>
        <v>4158.83962188291</v>
      </c>
      <c r="AA28" s="99" t="n">
        <f aca="false">IF(AA$5&lt;=LastHist,INDEX(H_EBITDA,1,AA$5),AA11-AA22-AA23-AA24-AA27)</f>
        <v>4701.39139604466</v>
      </c>
      <c r="AB28" s="99" t="n">
        <f aca="false">IF(AB$5&lt;=LastHist,INDEX(H_EBITDA,1,AB$5),AB11-AB22-AB23-AB24-AB27)</f>
        <v>5209.25796653856</v>
      </c>
      <c r="AC28" s="99" t="n">
        <f aca="false">IF(AC$5&lt;=LastHist,INDEX(H_EBITDA,1,AC$5),AC11-AC22-AC23-AC24-AC27)</f>
        <v>5778.0396247227</v>
      </c>
      <c r="AD28" s="99" t="n">
        <f aca="false">IF(AD$5&lt;=LastHist,INDEX(H_EBITDA,1,AD$5),AD11-AD22-AD23-AD24-AD27)</f>
        <v>6685.12060102526</v>
      </c>
      <c r="AE28" s="99" t="n">
        <f aca="false">IF(AE$5&lt;=LastHist,INDEX(H_EBITDA,1,AE$5),AE11-AE22-AE23-AE24-AE27)</f>
        <v>7422.95225983093</v>
      </c>
      <c r="AF28" s="99" t="n">
        <f aca="false">IF(AF$5&lt;=LastHist,INDEX(H_EBITDA,1,AF$5),AF11-AF22-AF23-AF24-AF27)</f>
        <v>7391.35791832591</v>
      </c>
      <c r="AG28" s="99" t="n">
        <f aca="false">IF(AG$5&lt;=LastHist,INDEX(H_EBITDA,1,AG$5),AG11-AG22-AG23-AG24-AG27)</f>
        <v>7526.26243510132</v>
      </c>
      <c r="AI28" s="99" t="n">
        <f aca="false">SUMIF($F$7:$AG$7,AI$7,$F28:$AG28)</f>
        <v>-238.8</v>
      </c>
      <c r="AJ28" s="99" t="n">
        <f aca="false">SUMIF($F$7:$AG$7,AJ$7,$F28:$AG28)</f>
        <v>-64.9</v>
      </c>
      <c r="AK28" s="99" t="n">
        <f aca="false">SUMIF($F$7:$AG$7,AK$7,$F28:$AG28)</f>
        <v>951.290832135856</v>
      </c>
      <c r="AL28" s="99" t="n">
        <f aca="false">SUMIF($F$7:$AG$7,AL$7,$F28:$AG28)</f>
        <v>3713.46369159839</v>
      </c>
      <c r="AM28" s="99" t="n">
        <f aca="false">SUMIF($F$7:$AG$7,AM$7,$F28:$AG28)</f>
        <v>11755.2436196396</v>
      </c>
      <c r="AN28" s="99" t="n">
        <f aca="false">SUMIF($F$7:$AG$7,AN$7,$F28:$AG28)</f>
        <v>19847.5286091888</v>
      </c>
      <c r="AO28" s="99" t="n">
        <f aca="false">SUMIF($F$7:$AG$7,AO$7,$F28:$AG28)</f>
        <v>29025.6932142834</v>
      </c>
    </row>
    <row r="29" customFormat="false" ht="15" hidden="false" customHeight="false" outlineLevel="0" collapsed="false">
      <c r="A29" s="107" t="s">
        <v>2433</v>
      </c>
      <c r="B29" s="22" t="s">
        <v>619</v>
      </c>
      <c r="C29" s="22"/>
      <c r="D29" s="22"/>
      <c r="F29" s="119" t="n">
        <f aca="false">IF(F11&lt;&gt;0,F28/F11,0)</f>
        <v>-6.21929824561404</v>
      </c>
      <c r="G29" s="119" t="n">
        <f aca="false">IF(G11&lt;&gt;0,G28/G11,0)</f>
        <v>-4.00689655172414</v>
      </c>
      <c r="H29" s="119" t="n">
        <f aca="false">IF(H11&lt;&gt;0,H28/H11,0)</f>
        <v>-1.42990654205607</v>
      </c>
      <c r="I29" s="119" t="n">
        <f aca="false">IF(I11&lt;&gt;0,I28/I11,0)</f>
        <v>-1.81534090909091</v>
      </c>
      <c r="J29" s="119" t="n">
        <f aca="false">IF(J11&lt;&gt;0,J28/J11,0)</f>
        <v>-1.05500982318271</v>
      </c>
      <c r="K29" s="119" t="n">
        <f aca="false">IF(K11&lt;&gt;0,K28/K11,0)</f>
        <v>-0.199809705042816</v>
      </c>
      <c r="L29" s="119" t="n">
        <f aca="false">IF(L11&lt;&gt;0,L28/L11,0)</f>
        <v>-0.0355920602327173</v>
      </c>
      <c r="M29" s="119" t="n">
        <f aca="false">IF(M11&lt;&gt;0,M28/M11,0)</f>
        <v>0.0658761528326746</v>
      </c>
      <c r="N29" s="119" t="n">
        <f aca="false">IF(N11&lt;&gt;0,N28/N11,0)</f>
        <v>0.324561403508772</v>
      </c>
      <c r="O29" s="119" t="n">
        <f aca="false">IF(O11&lt;&gt;0,O28/O11,0)</f>
        <v>0.40563283530826</v>
      </c>
      <c r="P29" s="25" t="n">
        <f aca="false">IF(P11&lt;&gt;0,P28/P11,0)</f>
        <v>0.390640164133951</v>
      </c>
      <c r="Q29" s="25" t="n">
        <f aca="false">IF(Q11&lt;&gt;0,Q28/Q11,0)</f>
        <v>0.398015023993706</v>
      </c>
      <c r="R29" s="25" t="n">
        <f aca="false">IF(R11&lt;&gt;0,R28/R11,0)</f>
        <v>0.490325798184858</v>
      </c>
      <c r="S29" s="25" t="n">
        <f aca="false">IF(S11&lt;&gt;0,S28/S11,0)</f>
        <v>0.484843430062612</v>
      </c>
      <c r="T29" s="25" t="n">
        <f aca="false">IF(T11&lt;&gt;0,T28/T11,0)</f>
        <v>0.489839703804993</v>
      </c>
      <c r="U29" s="25" t="n">
        <f aca="false">IF(U11&lt;&gt;0,U28/U11,0)</f>
        <v>0.504963405360764</v>
      </c>
      <c r="V29" s="25" t="n">
        <f aca="false">IF(V11&lt;&gt;0,V28/V11,0)</f>
        <v>0.569474262024753</v>
      </c>
      <c r="W29" s="25" t="n">
        <f aca="false">IF(W11&lt;&gt;0,W28/W11,0)</f>
        <v>0.58103724415304</v>
      </c>
      <c r="X29" s="25" t="n">
        <f aca="false">IF(X11&lt;&gt;0,X28/X11,0)</f>
        <v>0.583630169642054</v>
      </c>
      <c r="Y29" s="25" t="n">
        <f aca="false">IF(Y11&lt;&gt;0,Y28/Y11,0)</f>
        <v>0.591513426066134</v>
      </c>
      <c r="Z29" s="25" t="n">
        <f aca="false">IF(Z11&lt;&gt;0,Z28/Z11,0)</f>
        <v>0.624576723177453</v>
      </c>
      <c r="AA29" s="25" t="n">
        <f aca="false">IF(AA11&lt;&gt;0,AA28/AA11,0)</f>
        <v>0.631938084217636</v>
      </c>
      <c r="AB29" s="25" t="n">
        <f aca="false">IF(AB11&lt;&gt;0,AB28/AB11,0)</f>
        <v>0.633570984002</v>
      </c>
      <c r="AC29" s="25" t="n">
        <f aca="false">IF(AC11&lt;&gt;0,AC28/AC11,0)</f>
        <v>0.64063168960392</v>
      </c>
      <c r="AD29" s="25" t="n">
        <f aca="false">IF(AD11&lt;&gt;0,AD28/AD11,0)</f>
        <v>0.662440797175589</v>
      </c>
      <c r="AE29" s="25" t="n">
        <f aca="false">IF(AE11&lt;&gt;0,AE28/AE11,0)</f>
        <v>0.663339322422361</v>
      </c>
      <c r="AF29" s="25" t="n">
        <f aca="false">IF(AF11&lt;&gt;0,AF28/AF11,0)</f>
        <v>0.662539242779485</v>
      </c>
      <c r="AG29" s="25" t="n">
        <f aca="false">IF(AG11&lt;&gt;0,AG28/AG11,0)</f>
        <v>0.667781301734639</v>
      </c>
      <c r="AI29" s="25" t="n">
        <f aca="false">IF(AI11&lt;&gt;0,AI28/AI11,0)</f>
        <v>-2.56223175965665</v>
      </c>
      <c r="AJ29" s="25" t="n">
        <f aca="false">IF(AJ11&lt;&gt;0,AJ28/AJ11,0)</f>
        <v>-0.122499056247641</v>
      </c>
      <c r="AK29" s="25" t="n">
        <f aca="false">IF(AK11&lt;&gt;0,AK28/AK11,0)</f>
        <v>0.385906749089169</v>
      </c>
      <c r="AL29" s="25" t="n">
        <f aca="false">IF(AL11&lt;&gt;0,AL28/AL11,0)</f>
        <v>0.494767949432142</v>
      </c>
      <c r="AM29" s="25" t="n">
        <f aca="false">IF(AM11&lt;&gt;0,AM28/AM11,0)</f>
        <v>0.582500322337983</v>
      </c>
      <c r="AN29" s="25" t="n">
        <f aca="false">IF(AN11&lt;&gt;0,AN28/AN11,0)</f>
        <v>0.633304378091112</v>
      </c>
      <c r="AO29" s="25" t="n">
        <f aca="false">IF(AO11&lt;&gt;0,AO28/AO11,0)</f>
        <v>0.664073049535931</v>
      </c>
    </row>
    <row r="30" customFormat="false" ht="15" hidden="false" customHeight="false" outlineLevel="0" collapsed="false">
      <c r="A30" s="107" t="s">
        <v>2434</v>
      </c>
      <c r="B30" s="22" t="s">
        <v>613</v>
      </c>
      <c r="C30" s="22" t="s">
        <v>604</v>
      </c>
      <c r="D30" s="22" t="s">
        <v>2435</v>
      </c>
      <c r="F30" s="124" t="n">
        <f aca="false">IF(F$5&lt;=LastHist,F28-(F11-F22-F23-F24),SBCpct*F11)</f>
        <v>0</v>
      </c>
      <c r="G30" s="124" t="n">
        <f aca="false">IF(G$5&lt;=LastHist,G28-(G11-G22-G23-G24),SBCpct*G11)</f>
        <v>0.100000000000001</v>
      </c>
      <c r="H30" s="124" t="n">
        <f aca="false">IF(H$5&lt;=LastHist,H28-(H11-H22-H23-H24),SBCpct*H11)</f>
        <v>11.2</v>
      </c>
      <c r="I30" s="124" t="n">
        <f aca="false">IF(I$5&lt;=LastHist,I28-(I11-I22-I23-I24),SBCpct*I11)</f>
        <v>39.3</v>
      </c>
      <c r="J30" s="124" t="n">
        <f aca="false">IF(J$5&lt;=LastHist,J28-(J11-J22-J23-J24),SBCpct*J11)</f>
        <v>17.5</v>
      </c>
      <c r="K30" s="124" t="n">
        <f aca="false">IF(K$5&lt;=LastHist,K28-(K11-K22-K23-K24),SBCpct*K11)</f>
        <v>15</v>
      </c>
      <c r="L30" s="124" t="n">
        <f aca="false">IF(L$5&lt;=LastHist,L28-(L11-L22-L23-L24),SBCpct*L11)</f>
        <v>26</v>
      </c>
      <c r="M30" s="124" t="n">
        <f aca="false">IF(M$5&lt;=LastHist,M28-(M11-M22-M23-M24),SBCpct*M11)</f>
        <v>68.8</v>
      </c>
      <c r="N30" s="124" t="n">
        <f aca="false">IF(N$5&lt;=LastHist,N28-(N11-N22-N23-N24),SBCpct*N11)</f>
        <v>45.5</v>
      </c>
      <c r="O30" s="124" t="n">
        <f aca="false">IF(O$5&lt;=LastHist,O28-(O11-O22-O23-O24),SBCpct*O11)</f>
        <v>152.4</v>
      </c>
      <c r="P30" s="125" t="n">
        <f aca="false">IF(P$5&lt;=LastHist,P28-(P11-P22-P23-P24),SBCpct*P11)</f>
        <v>26.9874563072376</v>
      </c>
      <c r="Q30" s="125" t="n">
        <f aca="false">IF(Q$5&lt;=LastHist,Q28-(Q11-Q22-Q23-Q24),SBCpct*Q11)</f>
        <v>32.3637253558067</v>
      </c>
      <c r="R30" s="125" t="n">
        <f aca="false">IF(R$5&lt;=LastHist,R28-(R11-R22-R23-R24),SBCpct*R11)</f>
        <v>41.1058916386061</v>
      </c>
      <c r="S30" s="125" t="n">
        <f aca="false">IF(S$5&lt;=LastHist,S28-(S11-S22-S23-S24),SBCpct*S11)</f>
        <v>58.6551960434477</v>
      </c>
      <c r="T30" s="125" t="n">
        <f aca="false">IF(T$5&lt;=LastHist,T28-(T11-T22-T23-T24),SBCpct*T11)</f>
        <v>84.5714024309719</v>
      </c>
      <c r="U30" s="125" t="n">
        <f aca="false">IF(U$5&lt;=LastHist,U28-(U11-U22-U23-U24),SBCpct*U11)</f>
        <v>115.886123146821</v>
      </c>
      <c r="V30" s="125" t="n">
        <f aca="false">IF(V$5&lt;=LastHist,V28-(V11-V22-V23-V24),SBCpct*V11)</f>
        <v>159.603741700747</v>
      </c>
      <c r="W30" s="125" t="n">
        <f aca="false">IF(W$5&lt;=LastHist,W28-(W11-W22-W23-W24),SBCpct*W11)</f>
        <v>194.347556139846</v>
      </c>
      <c r="X30" s="125" t="n">
        <f aca="false">IF(X$5&lt;=LastHist,X28-(X11-X22-X23-X24),SBCpct*X11)</f>
        <v>218.445707513933</v>
      </c>
      <c r="Y30" s="125" t="n">
        <f aca="false">IF(Y$5&lt;=LastHist,Y28-(Y11-Y22-Y23-Y24),SBCpct*Y11)</f>
        <v>234.829577625382</v>
      </c>
      <c r="Z30" s="125" t="n">
        <f aca="false">IF(Z$5&lt;=LastHist,Z28-(Z11-Z22-Z23-Z24),SBCpct*Z11)</f>
        <v>266.346116821348</v>
      </c>
      <c r="AA30" s="125" t="n">
        <f aca="false">IF(AA$5&lt;=LastHist,AA28-(AA11-AA22-AA23-AA24),SBCpct*AA11)</f>
        <v>297.58557133743</v>
      </c>
      <c r="AB30" s="125" t="n">
        <f aca="false">IF(AB$5&lt;=LastHist,AB28-(AB11-AB22-AB23-AB24),SBCpct*AB11)</f>
        <v>328.882357183335</v>
      </c>
      <c r="AC30" s="125" t="n">
        <f aca="false">IF(AC$5&lt;=LastHist,AC28-(AC11-AC22-AC23-AC24),SBCpct*AC11)</f>
        <v>360.771389769686</v>
      </c>
      <c r="AD30" s="125" t="n">
        <f aca="false">IF(AD$5&lt;=LastHist,AD28-(AD11-AD22-AD23-AD24),SBCpct*AD11)</f>
        <v>403.665995785781</v>
      </c>
      <c r="AE30" s="125" t="n">
        <f aca="false">IF(AE$5&lt;=LastHist,AE28-(AE11-AE22-AE23-AE24),SBCpct*AE11)</f>
        <v>447.611170266466</v>
      </c>
      <c r="AF30" s="125" t="n">
        <f aca="false">IF(AF$5&lt;=LastHist,AF28-(AF11-AF22-AF23-AF24),SBCpct*AF11)</f>
        <v>446.24423376449</v>
      </c>
      <c r="AG30" s="125" t="n">
        <f aca="false">IF(AG$5&lt;=LastHist,AG28-(AG11-AG22-AG23-AG24),SBCpct*AG11)</f>
        <v>450.821993101693</v>
      </c>
      <c r="AI30" s="125" t="n">
        <f aca="false">SUMIF($F$7:$AG$7,AI$7,$F30:$AG30)</f>
        <v>50.6</v>
      </c>
      <c r="AJ30" s="125" t="n">
        <f aca="false">SUMIF($F$7:$AG$7,AJ$7,$F30:$AG30)</f>
        <v>127.3</v>
      </c>
      <c r="AK30" s="125" t="n">
        <f aca="false">SUMIF($F$7:$AG$7,AK$7,$F30:$AG30)</f>
        <v>257.251181663044</v>
      </c>
      <c r="AL30" s="125" t="n">
        <f aca="false">SUMIF($F$7:$AG$7,AL$7,$F30:$AG30)</f>
        <v>300.218613259847</v>
      </c>
      <c r="AM30" s="125" t="n">
        <f aca="false">SUMIF($F$7:$AG$7,AM$7,$F30:$AG30)</f>
        <v>807.226582979908</v>
      </c>
      <c r="AN30" s="125" t="n">
        <f aca="false">SUMIF($F$7:$AG$7,AN$7,$F30:$AG30)</f>
        <v>1253.5854351118</v>
      </c>
      <c r="AO30" s="125" t="n">
        <f aca="false">SUMIF($F$7:$AG$7,AO$7,$F30:$AG30)</f>
        <v>1748.34339291843</v>
      </c>
    </row>
    <row r="31" customFormat="false" ht="15" hidden="false" customHeight="false" outlineLevel="0" collapsed="false">
      <c r="A31" s="107" t="s">
        <v>1334</v>
      </c>
      <c r="B31" s="22" t="s">
        <v>613</v>
      </c>
      <c r="C31" s="22" t="s">
        <v>2154</v>
      </c>
      <c r="D31" s="22"/>
      <c r="F31" s="124" t="n">
        <f aca="false">INDEX(DA,1,1)</f>
        <v>8.9</v>
      </c>
      <c r="G31" s="124" t="n">
        <f aca="false">INDEX(DA,1,2)</f>
        <v>11.4</v>
      </c>
      <c r="H31" s="124" t="n">
        <f aca="false">INDEX(DA,1,3)</f>
        <v>23.5</v>
      </c>
      <c r="I31" s="124" t="n">
        <f aca="false">INDEX(DA,1,4)</f>
        <v>33.3</v>
      </c>
      <c r="J31" s="124" t="n">
        <f aca="false">INDEX(DA,1,5)</f>
        <v>49.1</v>
      </c>
      <c r="K31" s="124" t="n">
        <f aca="false">INDEX(DA,1,6)</f>
        <v>75.2</v>
      </c>
      <c r="L31" s="124" t="n">
        <f aca="false">INDEX(DA,1,7)</f>
        <v>99</v>
      </c>
      <c r="M31" s="124" t="n">
        <f aca="false">INDEX(DA,1,8)</f>
        <v>180.7</v>
      </c>
      <c r="N31" s="124" t="n">
        <f aca="false">INDEX(DA,1,9)</f>
        <v>212</v>
      </c>
      <c r="O31" s="124" t="n">
        <f aca="false">INDEX(DA,1,10)</f>
        <v>259.7</v>
      </c>
      <c r="P31" s="125" t="n">
        <f aca="false">INDEX(DA,1,11)</f>
        <v>587.0866</v>
      </c>
      <c r="Q31" s="125" t="n">
        <f aca="false">INDEX(DA,1,12)</f>
        <v>590.945255222107</v>
      </c>
      <c r="R31" s="125" t="n">
        <f aca="false">INDEX(DA,1,13)</f>
        <v>755.785662639179</v>
      </c>
      <c r="S31" s="125" t="n">
        <f aca="false">INDEX(DA,1,14)</f>
        <v>1049.69095932479</v>
      </c>
      <c r="T31" s="125" t="n">
        <f aca="false">INDEX(DA,1,15)</f>
        <v>1406.48673571427</v>
      </c>
      <c r="U31" s="125" t="n">
        <f aca="false">INDEX(DA,1,16)</f>
        <v>1808.24480196442</v>
      </c>
      <c r="V31" s="125" t="n">
        <f aca="false">INDEX(DA,1,17)</f>
        <v>2358.71392748246</v>
      </c>
      <c r="W31" s="125" t="n">
        <f aca="false">INDEX(DA,1,18)</f>
        <v>2592.97427721435</v>
      </c>
      <c r="X31" s="125" t="n">
        <f aca="false">INDEX(DA,1,19)</f>
        <v>2912.28343261972</v>
      </c>
      <c r="Y31" s="125" t="n">
        <f aca="false">INDEX(DA,1,20)</f>
        <v>3022.62981649694</v>
      </c>
      <c r="Z31" s="125" t="n">
        <f aca="false">INDEX(DA,1,21)</f>
        <v>3656.24067743945</v>
      </c>
      <c r="AA31" s="125" t="n">
        <f aca="false">INDEX(DA,1,22)</f>
        <v>3751.79784311185</v>
      </c>
      <c r="AB31" s="125" t="n">
        <f aca="false">INDEX(DA,1,23)</f>
        <v>4389.21899453037</v>
      </c>
      <c r="AC31" s="125" t="n">
        <f aca="false">INDEX(DA,1,24)</f>
        <v>4522.02964247003</v>
      </c>
      <c r="AD31" s="125" t="n">
        <f aca="false">INDEX(DA,1,25)</f>
        <v>5430.62474434934</v>
      </c>
      <c r="AE31" s="125" t="n">
        <f aca="false">INDEX(DA,1,26)</f>
        <v>5446.410297276</v>
      </c>
      <c r="AF31" s="125" t="n">
        <f aca="false">INDEX(DA,1,27)</f>
        <v>5463.29447956466</v>
      </c>
      <c r="AG31" s="125" t="n">
        <f aca="false">INDEX(DA,1,28)</f>
        <v>5479.24553776567</v>
      </c>
      <c r="AI31" s="125" t="n">
        <f aca="false">SUMIF($F$7:$AG$7,AI$7,$F31:$AG31)</f>
        <v>77.1</v>
      </c>
      <c r="AJ31" s="125" t="n">
        <f aca="false">SUMIF($F$7:$AG$7,AJ$7,$F31:$AG31)</f>
        <v>404</v>
      </c>
      <c r="AK31" s="125" t="n">
        <f aca="false">SUMIF($F$7:$AG$7,AK$7,$F31:$AG31)</f>
        <v>1649.73185522211</v>
      </c>
      <c r="AL31" s="125" t="n">
        <f aca="false">SUMIF($F$7:$AG$7,AL$7,$F31:$AG31)</f>
        <v>5020.20815964266</v>
      </c>
      <c r="AM31" s="125" t="n">
        <f aca="false">SUMIF($F$7:$AG$7,AM$7,$F31:$AG31)</f>
        <v>10886.6014538135</v>
      </c>
      <c r="AN31" s="125" t="n">
        <f aca="false">SUMIF($F$7:$AG$7,AN$7,$F31:$AG31)</f>
        <v>16319.2871575517</v>
      </c>
      <c r="AO31" s="125" t="n">
        <f aca="false">SUMIF($F$7:$AG$7,AO$7,$F31:$AG31)</f>
        <v>21819.5750589557</v>
      </c>
    </row>
    <row r="32" customFormat="false" ht="15" hidden="false" customHeight="false" outlineLevel="0" collapsed="false">
      <c r="A32" s="107" t="s">
        <v>2436</v>
      </c>
      <c r="B32" s="22" t="s">
        <v>613</v>
      </c>
      <c r="C32" s="22" t="s">
        <v>551</v>
      </c>
      <c r="D32" s="22"/>
      <c r="F32" s="124" t="n">
        <f aca="false">INDEX(Imp,1,1)</f>
        <v>0</v>
      </c>
      <c r="G32" s="124" t="n">
        <f aca="false">INDEX(Imp,1,2)</f>
        <v>0</v>
      </c>
      <c r="H32" s="124" t="n">
        <f aca="false">INDEX(Imp,1,3)</f>
        <v>0</v>
      </c>
      <c r="I32" s="124" t="n">
        <f aca="false">INDEX(Imp,1,4)</f>
        <v>0</v>
      </c>
      <c r="J32" s="124" t="n">
        <f aca="false">INDEX(Imp,1,5)</f>
        <v>0</v>
      </c>
      <c r="K32" s="124" t="n">
        <f aca="false">INDEX(Imp,1,6)</f>
        <v>0</v>
      </c>
      <c r="L32" s="124" t="n">
        <f aca="false">INDEX(Imp,1,7)</f>
        <v>0</v>
      </c>
      <c r="M32" s="124" t="n">
        <f aca="false">INDEX(Imp,1,8)</f>
        <v>0</v>
      </c>
      <c r="N32" s="124" t="n">
        <f aca="false">INDEX(Imp,1,9)</f>
        <v>0</v>
      </c>
      <c r="O32" s="124" t="n">
        <f aca="false">INDEX(Imp,1,10)</f>
        <v>0</v>
      </c>
      <c r="P32" s="125" t="n">
        <f aca="false">INDEX(Imp,1,11)</f>
        <v>0</v>
      </c>
      <c r="Q32" s="125" t="n">
        <f aca="false">INDEX(Imp,1,12)</f>
        <v>0</v>
      </c>
      <c r="R32" s="125" t="n">
        <f aca="false">INDEX(Imp,1,13)</f>
        <v>0</v>
      </c>
      <c r="S32" s="125" t="n">
        <f aca="false">INDEX(Imp,1,14)</f>
        <v>0</v>
      </c>
      <c r="T32" s="125" t="n">
        <f aca="false">INDEX(Imp,1,15)</f>
        <v>0</v>
      </c>
      <c r="U32" s="125" t="n">
        <f aca="false">INDEX(Imp,1,16)</f>
        <v>0</v>
      </c>
      <c r="V32" s="125" t="n">
        <f aca="false">INDEX(Imp,1,17)</f>
        <v>0</v>
      </c>
      <c r="W32" s="125" t="n">
        <f aca="false">INDEX(Imp,1,18)</f>
        <v>0</v>
      </c>
      <c r="X32" s="125" t="n">
        <f aca="false">INDEX(Imp,1,19)</f>
        <v>0</v>
      </c>
      <c r="Y32" s="125" t="n">
        <f aca="false">INDEX(Imp,1,20)</f>
        <v>0</v>
      </c>
      <c r="Z32" s="125" t="n">
        <f aca="false">INDEX(Imp,1,21)</f>
        <v>0</v>
      </c>
      <c r="AA32" s="125" t="n">
        <f aca="false">INDEX(Imp,1,22)</f>
        <v>0</v>
      </c>
      <c r="AB32" s="125" t="n">
        <f aca="false">INDEX(Imp,1,23)</f>
        <v>0</v>
      </c>
      <c r="AC32" s="125" t="n">
        <f aca="false">INDEX(Imp,1,24)</f>
        <v>0</v>
      </c>
      <c r="AD32" s="125" t="n">
        <f aca="false">INDEX(Imp,1,25)</f>
        <v>0</v>
      </c>
      <c r="AE32" s="125" t="n">
        <f aca="false">INDEX(Imp,1,26)</f>
        <v>0</v>
      </c>
      <c r="AF32" s="125" t="n">
        <f aca="false">INDEX(Imp,1,27)</f>
        <v>0</v>
      </c>
      <c r="AG32" s="125" t="n">
        <f aca="false">INDEX(Imp,1,28)</f>
        <v>0</v>
      </c>
      <c r="AI32" s="125" t="n">
        <f aca="false">SUMIF($F$7:$AG$7,AI$7,$F32:$AG32)</f>
        <v>0</v>
      </c>
      <c r="AJ32" s="125" t="n">
        <f aca="false">SUMIF($F$7:$AG$7,AJ$7,$F32:$AG32)</f>
        <v>0</v>
      </c>
      <c r="AK32" s="125" t="n">
        <f aca="false">SUMIF($F$7:$AG$7,AK$7,$F32:$AG32)</f>
        <v>0</v>
      </c>
      <c r="AL32" s="125" t="n">
        <f aca="false">SUMIF($F$7:$AG$7,AL$7,$F32:$AG32)</f>
        <v>0</v>
      </c>
      <c r="AM32" s="125" t="n">
        <f aca="false">SUMIF($F$7:$AG$7,AM$7,$F32:$AG32)</f>
        <v>0</v>
      </c>
      <c r="AN32" s="125" t="n">
        <f aca="false">SUMIF($F$7:$AG$7,AN$7,$F32:$AG32)</f>
        <v>0</v>
      </c>
      <c r="AO32" s="125" t="n">
        <f aca="false">SUMIF($F$7:$AG$7,AO$7,$F32:$AG32)</f>
        <v>0</v>
      </c>
    </row>
    <row r="33" customFormat="false" ht="15" hidden="false" customHeight="false" outlineLevel="0" collapsed="false">
      <c r="A33" s="3" t="s">
        <v>2437</v>
      </c>
      <c r="B33" s="22" t="s">
        <v>613</v>
      </c>
      <c r="C33" s="22" t="s">
        <v>540</v>
      </c>
      <c r="D33" s="22"/>
      <c r="F33" s="126" t="n">
        <f aca="false">F28-F30-F31-F32</f>
        <v>-79.8</v>
      </c>
      <c r="G33" s="126" t="n">
        <f aca="false">G28-G30-G31-G32</f>
        <v>-69.6</v>
      </c>
      <c r="H33" s="126" t="n">
        <f aca="false">H28-H30-H31-H32</f>
        <v>-80.6</v>
      </c>
      <c r="I33" s="126" t="n">
        <f aca="false">I28-I30-I31-I32</f>
        <v>-136.5</v>
      </c>
      <c r="J33" s="126" t="n">
        <f aca="false">J28-J30-J31-J32</f>
        <v>-120.3</v>
      </c>
      <c r="K33" s="126" t="n">
        <f aca="false">K28-K30-K31-K32</f>
        <v>-111.2</v>
      </c>
      <c r="L33" s="126" t="n">
        <f aca="false">L28-L30-L31-L32</f>
        <v>-130.2</v>
      </c>
      <c r="M33" s="126" t="n">
        <f aca="false">M28-M30-M31-M32</f>
        <v>-234.5</v>
      </c>
      <c r="N33" s="126" t="n">
        <f aca="false">N28-N30-N31-N32</f>
        <v>-128</v>
      </c>
      <c r="O33" s="126" t="n">
        <f aca="false">O28-O30-O31-O32</f>
        <v>-175.9</v>
      </c>
      <c r="P33" s="99" t="n">
        <f aca="false">P28-P30-P31-P32</f>
        <v>-350.514447271809</v>
      </c>
      <c r="Q33" s="99" t="n">
        <f aca="false">Q28-Q30-Q31-Q32</f>
        <v>-301.277757477487</v>
      </c>
      <c r="R33" s="99" t="n">
        <f aca="false">R28-R30-R31-R32</f>
        <v>-293.00957608279</v>
      </c>
      <c r="S33" s="99" t="n">
        <f aca="false">S28-S30-S31-S32</f>
        <v>-397.381494350735</v>
      </c>
      <c r="T33" s="99" t="n">
        <f aca="false">T28-T30-T31-T32</f>
        <v>-455.397370216241</v>
      </c>
      <c r="U33" s="99" t="n">
        <f aca="false">U28-U30-U31-U32</f>
        <v>-461.174640654349</v>
      </c>
      <c r="V33" s="99" t="n">
        <f aca="false">V28-V30-V31-V32</f>
        <v>-246.062093647656</v>
      </c>
      <c r="W33" s="99" t="n">
        <f aca="false">W28-W30-W31-W32</f>
        <v>35.7573773301619</v>
      </c>
      <c r="X33" s="99" t="n">
        <f aca="false">X28-X30-X31-X32</f>
        <v>56.5584932147272</v>
      </c>
      <c r="Y33" s="99" t="n">
        <f aca="false">Y28-Y30-Y31-Y32</f>
        <v>215.161805948999</v>
      </c>
      <c r="Z33" s="99" t="n">
        <f aca="false">Z28-Z30-Z31-Z32</f>
        <v>236.252827622116</v>
      </c>
      <c r="AA33" s="99" t="n">
        <f aca="false">AA28-AA30-AA31-AA32</f>
        <v>652.007981595374</v>
      </c>
      <c r="AB33" s="99" t="n">
        <f aca="false">AB28-AB30-AB31-AB32</f>
        <v>491.156614824861</v>
      </c>
      <c r="AC33" s="99" t="n">
        <f aca="false">AC28-AC30-AC31-AC32</f>
        <v>895.23859248299</v>
      </c>
      <c r="AD33" s="99" t="n">
        <f aca="false">AD28-AD30-AD31-AD32</f>
        <v>850.829860890141</v>
      </c>
      <c r="AE33" s="99" t="n">
        <f aca="false">AE28-AE30-AE31-AE32</f>
        <v>1528.93079228847</v>
      </c>
      <c r="AF33" s="99" t="n">
        <f aca="false">AF28-AF30-AF31-AF32</f>
        <v>1481.81920499676</v>
      </c>
      <c r="AG33" s="99" t="n">
        <f aca="false">AG28-AG30-AG31-AG32</f>
        <v>1596.19490423396</v>
      </c>
      <c r="AI33" s="99" t="n">
        <f aca="false">SUMIF($F$7:$AG$7,AI$7,$F33:$AG33)</f>
        <v>-366.5</v>
      </c>
      <c r="AJ33" s="99" t="n">
        <f aca="false">SUMIF($F$7:$AG$7,AJ$7,$F33:$AG33)</f>
        <v>-596.2</v>
      </c>
      <c r="AK33" s="99" t="n">
        <f aca="false">SUMIF($F$7:$AG$7,AK$7,$F33:$AG33)</f>
        <v>-955.692204749296</v>
      </c>
      <c r="AL33" s="99" t="n">
        <f aca="false">SUMIF($F$7:$AG$7,AL$7,$F33:$AG33)</f>
        <v>-1606.96308130411</v>
      </c>
      <c r="AM33" s="99" t="n">
        <f aca="false">SUMIF($F$7:$AG$7,AM$7,$F33:$AG33)</f>
        <v>61.4155828462322</v>
      </c>
      <c r="AN33" s="99" t="n">
        <f aca="false">SUMIF($F$7:$AG$7,AN$7,$F33:$AG33)</f>
        <v>2274.65601652534</v>
      </c>
      <c r="AO33" s="99" t="n">
        <f aca="false">SUMIF($F$7:$AG$7,AO$7,$F33:$AG33)</f>
        <v>5457.77476240933</v>
      </c>
    </row>
    <row r="34" customFormat="false" ht="15" hidden="false" customHeight="false" outlineLevel="0" collapsed="false">
      <c r="A34" s="107" t="s">
        <v>2438</v>
      </c>
      <c r="B34" s="22" t="s">
        <v>619</v>
      </c>
      <c r="C34" s="22"/>
      <c r="D34" s="22"/>
      <c r="F34" s="119" t="n">
        <f aca="false">IF(F11&lt;&gt;0,F33/F11,0)</f>
        <v>-7</v>
      </c>
      <c r="G34" s="119" t="n">
        <f aca="false">IF(G11&lt;&gt;0,G33/G11,0)</f>
        <v>-4.8</v>
      </c>
      <c r="H34" s="119" t="n">
        <f aca="false">IF(H11&lt;&gt;0,H33/H11,0)</f>
        <v>-2.51090342679128</v>
      </c>
      <c r="I34" s="119" t="n">
        <f aca="false">IF(I11&lt;&gt;0,I33/I11,0)</f>
        <v>-3.87784090909091</v>
      </c>
      <c r="J34" s="119" t="n">
        <f aca="false">IF(J11&lt;&gt;0,J33/J11,0)</f>
        <v>-2.36345776031434</v>
      </c>
      <c r="K34" s="119" t="n">
        <f aca="false">IF(K11&lt;&gt;0,K33/K11,0)</f>
        <v>-1.05803996194101</v>
      </c>
      <c r="L34" s="119" t="n">
        <f aca="false">IF(L11&lt;&gt;0,L33/L11,0)</f>
        <v>-0.891170431211499</v>
      </c>
      <c r="M34" s="119" t="n">
        <f aca="false">IF(M11&lt;&gt;0,M33/M11,0)</f>
        <v>-1.02986385595081</v>
      </c>
      <c r="N34" s="119" t="n">
        <f aca="false">IF(N11&lt;&gt;0,N33/N11,0)</f>
        <v>-0.320802005012531</v>
      </c>
      <c r="O34" s="119" t="n">
        <f aca="false">IF(O11&lt;&gt;0,O33/O11,0)</f>
        <v>-0.30207796668384</v>
      </c>
      <c r="P34" s="25" t="n">
        <f aca="false">IF(P11&lt;&gt;0,P33/P11,0)</f>
        <v>-0.519522022796653</v>
      </c>
      <c r="Q34" s="25" t="n">
        <f aca="false">IF(Q11&lt;&gt;0,Q33/Q11,0)</f>
        <v>-0.372364743755844</v>
      </c>
      <c r="R34" s="25" t="n">
        <f aca="false">IF(R11&lt;&gt;0,R33/R11,0)</f>
        <v>-0.285126598064205</v>
      </c>
      <c r="S34" s="25" t="n">
        <f aca="false">IF(S11&lt;&gt;0,S33/S11,0)</f>
        <v>-0.270994913430266</v>
      </c>
      <c r="T34" s="25" t="n">
        <f aca="false">IF(T11&lt;&gt;0,T33/T11,0)</f>
        <v>-0.215390714651062</v>
      </c>
      <c r="U34" s="25" t="n">
        <f aca="false">IF(U11&lt;&gt;0,U33/U11,0)</f>
        <v>-0.159182006656678</v>
      </c>
      <c r="V34" s="25" t="n">
        <f aca="false">IF(V11&lt;&gt;0,V33/V11,0)</f>
        <v>-0.0616682518907399</v>
      </c>
      <c r="W34" s="25" t="n">
        <f aca="false">IF(W11&lt;&gt;0,W33/W11,0)</f>
        <v>0.00735947043335747</v>
      </c>
      <c r="X34" s="25" t="n">
        <f aca="false">IF(X11&lt;&gt;0,X33/X11,0)</f>
        <v>0.0103565309400497</v>
      </c>
      <c r="Y34" s="25" t="n">
        <f aca="false">IF(Y11&lt;&gt;0,Y33/Y11,0)</f>
        <v>0.0366498646592537</v>
      </c>
      <c r="Z34" s="25" t="n">
        <f aca="false">IF(Z11&lt;&gt;0,Z33/Z11,0)</f>
        <v>0.0354805739902089</v>
      </c>
      <c r="AA34" s="25" t="n">
        <f aca="false">IF(AA11&lt;&gt;0,AA33/AA11,0)</f>
        <v>0.0876397304701399</v>
      </c>
      <c r="AB34" s="25" t="n">
        <f aca="false">IF(AB11&lt;&gt;0,AB33/AB11,0)</f>
        <v>0.0597364503260438</v>
      </c>
      <c r="AC34" s="25" t="n">
        <f aca="false">IF(AC11&lt;&gt;0,AC33/AC11,0)</f>
        <v>0.0992582691276605</v>
      </c>
      <c r="AD34" s="25" t="n">
        <f aca="false">IF(AD11&lt;&gt;0,AD33/AD11,0)</f>
        <v>0.0843102832314528</v>
      </c>
      <c r="AE34" s="25" t="n">
        <f aca="false">IF(AE11&lt;&gt;0,AE33/AE11,0)</f>
        <v>0.136630262500222</v>
      </c>
      <c r="AF34" s="25" t="n">
        <f aca="false">IF(AF11&lt;&gt;0,AF33/AF11,0)</f>
        <v>0.132825846733859</v>
      </c>
      <c r="AG34" s="25" t="n">
        <f aca="false">IF(AG11&lt;&gt;0,AG33/AG11,0)</f>
        <v>0.141625291459452</v>
      </c>
      <c r="AI34" s="25" t="n">
        <f aca="false">IF(AI11&lt;&gt;0,AI33/AI11,0)</f>
        <v>-3.93240343347639</v>
      </c>
      <c r="AJ34" s="25" t="n">
        <f aca="false">IF(AJ11&lt;&gt;0,AJ33/AJ11,0)</f>
        <v>-1.12533031332578</v>
      </c>
      <c r="AK34" s="25" t="n">
        <f aca="false">IF(AK11&lt;&gt;0,AK33/AK11,0)</f>
        <v>-0.38769223817348</v>
      </c>
      <c r="AL34" s="25" t="n">
        <f aca="false">IF(AL11&lt;&gt;0,AL33/AL11,0)</f>
        <v>-0.21410572300702</v>
      </c>
      <c r="AM34" s="25" t="n">
        <f aca="false">IF(AM11&lt;&gt;0,AM33/AM11,0)</f>
        <v>0.0030432884219206</v>
      </c>
      <c r="AN34" s="25" t="n">
        <f aca="false">IF(AN11&lt;&gt;0,AN33/AN11,0)</f>
        <v>0.072580805513985</v>
      </c>
      <c r="AO34" s="25" t="n">
        <f aca="false">IF(AO11&lt;&gt;0,AO33/AO11,0)</f>
        <v>0.124867340924346</v>
      </c>
    </row>
    <row r="36" customFormat="false" ht="15" hidden="false" customHeight="false" outlineLevel="0" collapsed="false">
      <c r="A36" s="58" t="s">
        <v>2439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</row>
    <row r="37" customFormat="false" ht="15" hidden="false" customHeight="false" outlineLevel="0" collapsed="false">
      <c r="A37" s="107" t="s">
        <v>2440</v>
      </c>
      <c r="B37" s="22" t="s">
        <v>613</v>
      </c>
      <c r="C37" s="22" t="s">
        <v>2244</v>
      </c>
      <c r="D37" s="22"/>
      <c r="F37" s="124" t="n">
        <f aca="false">IF(F$5&lt;=LastHist,0,INDEX(CV_cpn,1,1))</f>
        <v>0</v>
      </c>
      <c r="G37" s="124" t="n">
        <f aca="false">IF(G$5&lt;=LastHist,0,INDEX(CV_cpn,1,2))</f>
        <v>0</v>
      </c>
      <c r="H37" s="124" t="n">
        <f aca="false">IF(H$5&lt;=LastHist,0,INDEX(CV_cpn,1,3))</f>
        <v>0</v>
      </c>
      <c r="I37" s="124" t="n">
        <f aca="false">IF(I$5&lt;=LastHist,0,INDEX(CV_cpn,1,4))</f>
        <v>0</v>
      </c>
      <c r="J37" s="124" t="n">
        <f aca="false">IF(J$5&lt;=LastHist,0,INDEX(CV_cpn,1,5))</f>
        <v>0</v>
      </c>
      <c r="K37" s="124" t="n">
        <f aca="false">IF(K$5&lt;=LastHist,0,INDEX(CV_cpn,1,6))</f>
        <v>0</v>
      </c>
      <c r="L37" s="124" t="n">
        <f aca="false">IF(L$5&lt;=LastHist,0,INDEX(CV_cpn,1,7))</f>
        <v>0</v>
      </c>
      <c r="M37" s="124" t="n">
        <f aca="false">IF(M$5&lt;=LastHist,0,INDEX(CV_cpn,1,8))</f>
        <v>0</v>
      </c>
      <c r="N37" s="124" t="n">
        <f aca="false">IF(N$5&lt;=LastHist,0,INDEX(CV_cpn,1,9))</f>
        <v>0</v>
      </c>
      <c r="O37" s="124" t="n">
        <f aca="false">IF(O$5&lt;=LastHist,0,INDEX(CV_cpn,1,10))</f>
        <v>0</v>
      </c>
      <c r="P37" s="125" t="n">
        <f aca="false">IF(P$5&lt;=LastHist,0,INDEX(CV_cpn,1,11))</f>
        <v>65.67578125</v>
      </c>
      <c r="Q37" s="125" t="n">
        <f aca="false">IF(Q$5&lt;=LastHist,0,INDEX(CV_cpn,1,12))</f>
        <v>65.67578125</v>
      </c>
      <c r="R37" s="125" t="n">
        <f aca="false">IF(R$5&lt;=LastHist,0,INDEX(CV_cpn,1,13))</f>
        <v>99.27578125</v>
      </c>
      <c r="S37" s="125" t="n">
        <f aca="false">IF(S$5&lt;=LastHist,0,INDEX(CV_cpn,1,14))</f>
        <v>99.27578125</v>
      </c>
      <c r="T37" s="125" t="n">
        <f aca="false">IF(T$5&lt;=LastHist,0,INDEX(CV_cpn,1,15))</f>
        <v>132.87578125</v>
      </c>
      <c r="U37" s="125" t="n">
        <f aca="false">IF(U$5&lt;=LastHist,0,INDEX(CV_cpn,1,16))</f>
        <v>132.87578125</v>
      </c>
      <c r="V37" s="125" t="n">
        <f aca="false">IF(V$5&lt;=LastHist,0,INDEX(CV_cpn,1,17))</f>
        <v>132.87578125</v>
      </c>
      <c r="W37" s="125" t="n">
        <f aca="false">IF(W$5&lt;=LastHist,0,INDEX(CV_cpn,1,18))</f>
        <v>132.87578125</v>
      </c>
      <c r="X37" s="125" t="n">
        <f aca="false">IF(X$5&lt;=LastHist,0,INDEX(CV_cpn,1,19))</f>
        <v>132.87578125</v>
      </c>
      <c r="Y37" s="125" t="n">
        <f aca="false">IF(Y$5&lt;=LastHist,0,INDEX(CV_cpn,1,20))</f>
        <v>132.87578125</v>
      </c>
      <c r="Z37" s="125" t="n">
        <f aca="false">IF(Z$5&lt;=LastHist,0,INDEX(CV_cpn,1,21))</f>
        <v>132.87578125</v>
      </c>
      <c r="AA37" s="125" t="n">
        <f aca="false">IF(AA$5&lt;=LastHist,0,INDEX(CV_cpn,1,22))</f>
        <v>132.43828125</v>
      </c>
      <c r="AB37" s="125" t="n">
        <f aca="false">IF(AB$5&lt;=LastHist,0,INDEX(CV_cpn,1,23))</f>
        <v>132.43828125</v>
      </c>
      <c r="AC37" s="125" t="n">
        <f aca="false">IF(AC$5&lt;=LastHist,0,INDEX(CV_cpn,1,24))</f>
        <v>132.43828125</v>
      </c>
      <c r="AD37" s="125" t="n">
        <f aca="false">IF(AD$5&lt;=LastHist,0,INDEX(CV_cpn,1,25))</f>
        <v>128.12578125</v>
      </c>
      <c r="AE37" s="125" t="n">
        <f aca="false">IF(AE$5&lt;=LastHist,0,INDEX(CV_cpn,1,26))</f>
        <v>128.12578125</v>
      </c>
      <c r="AF37" s="125" t="n">
        <f aca="false">IF(AF$5&lt;=LastHist,0,INDEX(CV_cpn,1,27))</f>
        <v>119.37265625</v>
      </c>
      <c r="AG37" s="125" t="n">
        <f aca="false">IF(AG$5&lt;=LastHist,0,INDEX(CV_cpn,1,28))</f>
        <v>119.37265625</v>
      </c>
      <c r="AI37" s="125" t="n">
        <f aca="false">SUMIF($F$7:$AG$7,AI$7,$F37:$AG37)</f>
        <v>0</v>
      </c>
      <c r="AJ37" s="125" t="n">
        <f aca="false">SUMIF($F$7:$AG$7,AJ$7,$F37:$AG37)</f>
        <v>0</v>
      </c>
      <c r="AK37" s="125" t="n">
        <f aca="false">SUMIF($F$7:$AG$7,AK$7,$F37:$AG37)</f>
        <v>131.3515625</v>
      </c>
      <c r="AL37" s="125" t="n">
        <f aca="false">SUMIF($F$7:$AG$7,AL$7,$F37:$AG37)</f>
        <v>464.303125</v>
      </c>
      <c r="AM37" s="125" t="n">
        <f aca="false">SUMIF($F$7:$AG$7,AM$7,$F37:$AG37)</f>
        <v>531.503125</v>
      </c>
      <c r="AN37" s="125" t="n">
        <f aca="false">SUMIF($F$7:$AG$7,AN$7,$F37:$AG37)</f>
        <v>530.190625</v>
      </c>
      <c r="AO37" s="125" t="n">
        <f aca="false">SUMIF($F$7:$AG$7,AO$7,$F37:$AG37)</f>
        <v>494.996875</v>
      </c>
    </row>
    <row r="38" customFormat="false" ht="15" hidden="false" customHeight="false" outlineLevel="0" collapsed="false">
      <c r="A38" s="107" t="s">
        <v>2441</v>
      </c>
      <c r="B38" s="22" t="s">
        <v>613</v>
      </c>
      <c r="C38" s="22" t="s">
        <v>2244</v>
      </c>
      <c r="D38" s="22"/>
      <c r="F38" s="124" t="n">
        <f aca="false">IF(F$5&lt;=LastHist,0,INDEX(CV_acc,1,1))</f>
        <v>0</v>
      </c>
      <c r="G38" s="124" t="n">
        <f aca="false">IF(G$5&lt;=LastHist,0,INDEX(CV_acc,1,2))</f>
        <v>0</v>
      </c>
      <c r="H38" s="124" t="n">
        <f aca="false">IF(H$5&lt;=LastHist,0,INDEX(CV_acc,1,3))</f>
        <v>0</v>
      </c>
      <c r="I38" s="124" t="n">
        <f aca="false">IF(I$5&lt;=LastHist,0,INDEX(CV_acc,1,4))</f>
        <v>0</v>
      </c>
      <c r="J38" s="124" t="n">
        <f aca="false">IF(J$5&lt;=LastHist,0,INDEX(CV_acc,1,5))</f>
        <v>0</v>
      </c>
      <c r="K38" s="124" t="n">
        <f aca="false">IF(K$5&lt;=LastHist,0,INDEX(CV_acc,1,6))</f>
        <v>0</v>
      </c>
      <c r="L38" s="124" t="n">
        <f aca="false">IF(L$5&lt;=LastHist,0,INDEX(CV_acc,1,7))</f>
        <v>0</v>
      </c>
      <c r="M38" s="124" t="n">
        <f aca="false">IF(M$5&lt;=LastHist,0,INDEX(CV_acc,1,8))</f>
        <v>0</v>
      </c>
      <c r="N38" s="124" t="n">
        <f aca="false">IF(N$5&lt;=LastHist,0,INDEX(CV_acc,1,9))</f>
        <v>0</v>
      </c>
      <c r="O38" s="124" t="n">
        <f aca="false">IF(O$5&lt;=LastHist,0,INDEX(CV_acc,1,10))</f>
        <v>0</v>
      </c>
      <c r="P38" s="125" t="n">
        <f aca="false">IF(P$5&lt;=LastHist,0,INDEX(CV_acc,1,11))</f>
        <v>104.589930751401</v>
      </c>
      <c r="Q38" s="125" t="n">
        <f aca="false">IF(Q$5&lt;=LastHist,0,INDEX(CV_acc,1,12))</f>
        <v>104.589930751401</v>
      </c>
      <c r="R38" s="125" t="n">
        <f aca="false">IF(R$5&lt;=LastHist,0,INDEX(CV_acc,1,13))</f>
        <v>153.392082434291</v>
      </c>
      <c r="S38" s="125" t="n">
        <f aca="false">IF(S$5&lt;=LastHist,0,INDEX(CV_acc,1,14))</f>
        <v>153.392082434291</v>
      </c>
      <c r="T38" s="125" t="n">
        <f aca="false">IF(T$5&lt;=LastHist,0,INDEX(CV_acc,1,15))</f>
        <v>202.106518315356</v>
      </c>
      <c r="U38" s="125" t="n">
        <f aca="false">IF(U$5&lt;=LastHist,0,INDEX(CV_acc,1,16))</f>
        <v>202.106518315356</v>
      </c>
      <c r="V38" s="125" t="n">
        <f aca="false">IF(V$5&lt;=LastHist,0,INDEX(CV_acc,1,17))</f>
        <v>202.106518315356</v>
      </c>
      <c r="W38" s="125" t="n">
        <f aca="false">IF(W$5&lt;=LastHist,0,INDEX(CV_acc,1,18))</f>
        <v>202.106518315356</v>
      </c>
      <c r="X38" s="125" t="n">
        <f aca="false">IF(X$5&lt;=LastHist,0,INDEX(CV_acc,1,19))</f>
        <v>202.106518315356</v>
      </c>
      <c r="Y38" s="125" t="n">
        <f aca="false">IF(Y$5&lt;=LastHist,0,INDEX(CV_acc,1,20))</f>
        <v>202.106518315356</v>
      </c>
      <c r="Z38" s="125" t="n">
        <f aca="false">IF(Z$5&lt;=LastHist,0,INDEX(CV_acc,1,21))</f>
        <v>202.106518315356</v>
      </c>
      <c r="AA38" s="125" t="n">
        <f aca="false">IF(AA$5&lt;=LastHist,0,INDEX(CV_acc,1,22))</f>
        <v>201.14685966316</v>
      </c>
      <c r="AB38" s="125" t="n">
        <f aca="false">IF(AB$5&lt;=LastHist,0,INDEX(CV_acc,1,23))</f>
        <v>201.14685966316</v>
      </c>
      <c r="AC38" s="125" t="n">
        <f aca="false">IF(AC$5&lt;=LastHist,0,INDEX(CV_acc,1,24))</f>
        <v>201.14685966316</v>
      </c>
      <c r="AD38" s="125" t="n">
        <f aca="false">IF(AD$5&lt;=LastHist,0,INDEX(CV_acc,1,25))</f>
        <v>176.361011905488</v>
      </c>
      <c r="AE38" s="125" t="n">
        <f aca="false">IF(AE$5&lt;=LastHist,0,INDEX(CV_acc,1,26))</f>
        <v>176.361011905488</v>
      </c>
      <c r="AF38" s="125" t="n">
        <f aca="false">IF(AF$5&lt;=LastHist,0,INDEX(CV_acc,1,27))</f>
        <v>137.041908289822</v>
      </c>
      <c r="AG38" s="125" t="n">
        <f aca="false">IF(AG$5&lt;=LastHist,0,INDEX(CV_acc,1,28))</f>
        <v>137.041908289822</v>
      </c>
      <c r="AI38" s="125" t="n">
        <f aca="false">SUMIF($F$7:$AG$7,AI$7,$F38:$AG38)</f>
        <v>0</v>
      </c>
      <c r="AJ38" s="125" t="n">
        <f aca="false">SUMIF($F$7:$AG$7,AJ$7,$F38:$AG38)</f>
        <v>0</v>
      </c>
      <c r="AK38" s="125" t="n">
        <f aca="false">SUMIF($F$7:$AG$7,AK$7,$F38:$AG38)</f>
        <v>209.179861502801</v>
      </c>
      <c r="AL38" s="125" t="n">
        <f aca="false">SUMIF($F$7:$AG$7,AL$7,$F38:$AG38)</f>
        <v>710.997201499293</v>
      </c>
      <c r="AM38" s="125" t="n">
        <f aca="false">SUMIF($F$7:$AG$7,AM$7,$F38:$AG38)</f>
        <v>808.426073261424</v>
      </c>
      <c r="AN38" s="125" t="n">
        <f aca="false">SUMIF($F$7:$AG$7,AN$7,$F38:$AG38)</f>
        <v>805.547097304835</v>
      </c>
      <c r="AO38" s="125" t="n">
        <f aca="false">SUMIF($F$7:$AG$7,AO$7,$F38:$AG38)</f>
        <v>626.805840390621</v>
      </c>
    </row>
    <row r="39" customFormat="false" ht="15" hidden="false" customHeight="false" outlineLevel="0" collapsed="false">
      <c r="A39" s="107" t="s">
        <v>2408</v>
      </c>
      <c r="B39" s="22" t="s">
        <v>613</v>
      </c>
      <c r="C39" s="22" t="s">
        <v>2244</v>
      </c>
      <c r="D39" s="22"/>
      <c r="F39" s="124" t="n">
        <f aca="false">IF(F$5&lt;=LastHist,0,INDEX(Sec_Int,1,1))</f>
        <v>0</v>
      </c>
      <c r="G39" s="124" t="n">
        <f aca="false">IF(G$5&lt;=LastHist,0,INDEX(Sec_Int,1,2))</f>
        <v>0</v>
      </c>
      <c r="H39" s="124" t="n">
        <f aca="false">IF(H$5&lt;=LastHist,0,INDEX(Sec_Int,1,3))</f>
        <v>0</v>
      </c>
      <c r="I39" s="124" t="n">
        <f aca="false">IF(I$5&lt;=LastHist,0,INDEX(Sec_Int,1,4))</f>
        <v>0</v>
      </c>
      <c r="J39" s="124" t="n">
        <f aca="false">IF(J$5&lt;=LastHist,0,INDEX(Sec_Int,1,5))</f>
        <v>0</v>
      </c>
      <c r="K39" s="124" t="n">
        <f aca="false">IF(K$5&lt;=LastHist,0,INDEX(Sec_Int,1,6))</f>
        <v>0</v>
      </c>
      <c r="L39" s="124" t="n">
        <f aca="false">IF(L$5&lt;=LastHist,0,INDEX(Sec_Int,1,7))</f>
        <v>0</v>
      </c>
      <c r="M39" s="124" t="n">
        <f aca="false">IF(M$5&lt;=LastHist,0,INDEX(Sec_Int,1,8))</f>
        <v>0</v>
      </c>
      <c r="N39" s="124" t="n">
        <f aca="false">IF(N$5&lt;=LastHist,0,INDEX(Sec_Int,1,9))</f>
        <v>0</v>
      </c>
      <c r="O39" s="124" t="n">
        <f aca="false">IF(O$5&lt;=LastHist,0,INDEX(Sec_Int,1,10))</f>
        <v>0</v>
      </c>
      <c r="P39" s="125" t="n">
        <f aca="false">IF(P$5&lt;=LastHist,0,INDEX(Sec_Int,1,11))</f>
        <v>0</v>
      </c>
      <c r="Q39" s="125" t="n">
        <f aca="false">IF(Q$5&lt;=LastHist,0,INDEX(Sec_Int,1,12))</f>
        <v>0</v>
      </c>
      <c r="R39" s="125" t="n">
        <f aca="false">IF(R$5&lt;=LastHist,0,INDEX(Sec_Int,1,13))</f>
        <v>0</v>
      </c>
      <c r="S39" s="125" t="n">
        <f aca="false">IF(S$5&lt;=LastHist,0,INDEX(Sec_Int,1,14))</f>
        <v>0</v>
      </c>
      <c r="T39" s="125" t="n">
        <f aca="false">IF(T$5&lt;=LastHist,0,INDEX(Sec_Int,1,15))</f>
        <v>0</v>
      </c>
      <c r="U39" s="125" t="n">
        <f aca="false">IF(U$5&lt;=LastHist,0,INDEX(Sec_Int,1,16))</f>
        <v>0</v>
      </c>
      <c r="V39" s="125" t="n">
        <f aca="false">IF(V$5&lt;=LastHist,0,INDEX(Sec_Int,1,17))</f>
        <v>0</v>
      </c>
      <c r="W39" s="125" t="n">
        <f aca="false">IF(W$5&lt;=LastHist,0,INDEX(Sec_Int,1,18))</f>
        <v>0</v>
      </c>
      <c r="X39" s="125" t="n">
        <f aca="false">IF(X$5&lt;=LastHist,0,INDEX(Sec_Int,1,19))</f>
        <v>0</v>
      </c>
      <c r="Y39" s="125" t="n">
        <f aca="false">IF(Y$5&lt;=LastHist,0,INDEX(Sec_Int,1,20))</f>
        <v>0</v>
      </c>
      <c r="Z39" s="125" t="n">
        <f aca="false">IF(Z$5&lt;=LastHist,0,INDEX(Sec_Int,1,21))</f>
        <v>0</v>
      </c>
      <c r="AA39" s="125" t="n">
        <f aca="false">IF(AA$5&lt;=LastHist,0,INDEX(Sec_Int,1,22))</f>
        <v>0</v>
      </c>
      <c r="AB39" s="125" t="n">
        <f aca="false">IF(AB$5&lt;=LastHist,0,INDEX(Sec_Int,1,23))</f>
        <v>0</v>
      </c>
      <c r="AC39" s="125" t="n">
        <f aca="false">IF(AC$5&lt;=LastHist,0,INDEX(Sec_Int,1,24))</f>
        <v>0</v>
      </c>
      <c r="AD39" s="125" t="n">
        <f aca="false">IF(AD$5&lt;=LastHist,0,INDEX(Sec_Int,1,25))</f>
        <v>0</v>
      </c>
      <c r="AE39" s="125" t="n">
        <f aca="false">IF(AE$5&lt;=LastHist,0,INDEX(Sec_Int,1,26))</f>
        <v>0</v>
      </c>
      <c r="AF39" s="125" t="n">
        <f aca="false">IF(AF$5&lt;=LastHist,0,INDEX(Sec_Int,1,27))</f>
        <v>0</v>
      </c>
      <c r="AG39" s="125" t="n">
        <f aca="false">IF(AG$5&lt;=LastHist,0,INDEX(Sec_Int,1,28))</f>
        <v>0</v>
      </c>
      <c r="AI39" s="125" t="n">
        <f aca="false">SUMIF($F$7:$AG$7,AI$7,$F39:$AG39)</f>
        <v>0</v>
      </c>
      <c r="AJ39" s="125" t="n">
        <f aca="false">SUMIF($F$7:$AG$7,AJ$7,$F39:$AG39)</f>
        <v>0</v>
      </c>
      <c r="AK39" s="125" t="n">
        <f aca="false">SUMIF($F$7:$AG$7,AK$7,$F39:$AG39)</f>
        <v>0</v>
      </c>
      <c r="AL39" s="125" t="n">
        <f aca="false">SUMIF($F$7:$AG$7,AL$7,$F39:$AG39)</f>
        <v>0</v>
      </c>
      <c r="AM39" s="125" t="n">
        <f aca="false">SUMIF($F$7:$AG$7,AM$7,$F39:$AG39)</f>
        <v>0</v>
      </c>
      <c r="AN39" s="125" t="n">
        <f aca="false">SUMIF($F$7:$AG$7,AN$7,$F39:$AG39)</f>
        <v>0</v>
      </c>
      <c r="AO39" s="125" t="n">
        <f aca="false">SUMIF($F$7:$AG$7,AO$7,$F39:$AG39)</f>
        <v>0</v>
      </c>
    </row>
    <row r="40" customFormat="false" ht="15" hidden="false" customHeight="false" outlineLevel="0" collapsed="false">
      <c r="A40" s="107" t="s">
        <v>2442</v>
      </c>
      <c r="B40" s="22" t="s">
        <v>613</v>
      </c>
      <c r="C40" s="22" t="s">
        <v>2443</v>
      </c>
      <c r="D40" s="22"/>
      <c r="F40" s="124" t="n">
        <f aca="false">IF(F$5&lt;=LastHist,0,INDEX(CF_PlugInt,1,1))</f>
        <v>0</v>
      </c>
      <c r="G40" s="124" t="n">
        <f aca="false">IF(G$5&lt;=LastHist,0,INDEX(CF_PlugInt,1,2))</f>
        <v>0</v>
      </c>
      <c r="H40" s="124" t="n">
        <f aca="false">IF(H$5&lt;=LastHist,0,INDEX(CF_PlugInt,1,3))</f>
        <v>0</v>
      </c>
      <c r="I40" s="124" t="n">
        <f aca="false">IF(I$5&lt;=LastHist,0,INDEX(CF_PlugInt,1,4))</f>
        <v>0</v>
      </c>
      <c r="J40" s="124" t="n">
        <f aca="false">IF(J$5&lt;=LastHist,0,INDEX(CF_PlugInt,1,5))</f>
        <v>0</v>
      </c>
      <c r="K40" s="124" t="n">
        <f aca="false">IF(K$5&lt;=LastHist,0,INDEX(CF_PlugInt,1,6))</f>
        <v>0</v>
      </c>
      <c r="L40" s="124" t="n">
        <f aca="false">IF(L$5&lt;=LastHist,0,INDEX(CF_PlugInt,1,7))</f>
        <v>0</v>
      </c>
      <c r="M40" s="124" t="n">
        <f aca="false">IF(M$5&lt;=LastHist,0,INDEX(CF_PlugInt,1,8))</f>
        <v>0</v>
      </c>
      <c r="N40" s="124" t="n">
        <f aca="false">IF(N$5&lt;=LastHist,0,INDEX(CF_PlugInt,1,9))</f>
        <v>0</v>
      </c>
      <c r="O40" s="124" t="n">
        <f aca="false">IF(O$5&lt;=LastHist,0,INDEX(CF_PlugInt,1,10))</f>
        <v>0</v>
      </c>
      <c r="P40" s="125" t="n">
        <f aca="false">IF(P$5&lt;=LastHist,0,INDEX(CF_PlugInt,1,11))</f>
        <v>0</v>
      </c>
      <c r="Q40" s="125" t="n">
        <f aca="false">IF(Q$5&lt;=LastHist,0,INDEX(CF_PlugInt,1,12))</f>
        <v>0</v>
      </c>
      <c r="R40" s="125" t="n">
        <f aca="false">IF(R$5&lt;=LastHist,0,INDEX(CF_PlugInt,1,13))</f>
        <v>0</v>
      </c>
      <c r="S40" s="125" t="n">
        <f aca="false">IF(S$5&lt;=LastHist,0,INDEX(CF_PlugInt,1,14))</f>
        <v>0</v>
      </c>
      <c r="T40" s="125" t="n">
        <f aca="false">IF(T$5&lt;=LastHist,0,INDEX(CF_PlugInt,1,15))</f>
        <v>0</v>
      </c>
      <c r="U40" s="125" t="n">
        <f aca="false">IF(U$5&lt;=LastHist,0,INDEX(CF_PlugInt,1,16))</f>
        <v>29.0093893080236</v>
      </c>
      <c r="V40" s="125" t="n">
        <f aca="false">IF(V$5&lt;=LastHist,0,INDEX(CF_PlugInt,1,17))</f>
        <v>61.7355604751758</v>
      </c>
      <c r="W40" s="125" t="n">
        <f aca="false">IF(W$5&lt;=LastHist,0,INDEX(CF_PlugInt,1,18))</f>
        <v>93.6821043617758</v>
      </c>
      <c r="X40" s="125" t="n">
        <f aca="false">IF(X$5&lt;=LastHist,0,INDEX(CF_PlugInt,1,19))</f>
        <v>102.289386638003</v>
      </c>
      <c r="Y40" s="125" t="n">
        <f aca="false">IF(Y$5&lt;=LastHist,0,INDEX(CF_PlugInt,1,20))</f>
        <v>182.829077556431</v>
      </c>
      <c r="Z40" s="125" t="n">
        <f aca="false">IF(Z$5&lt;=LastHist,0,INDEX(CF_PlugInt,1,21))</f>
        <v>188.679686255808</v>
      </c>
      <c r="AA40" s="125" t="n">
        <f aca="false">IF(AA$5&lt;=LastHist,0,INDEX(CF_PlugInt,1,22))</f>
        <v>250.141910118185</v>
      </c>
      <c r="AB40" s="125" t="n">
        <f aca="false">IF(AB$5&lt;=LastHist,0,INDEX(CF_PlugInt,1,23))</f>
        <v>261.831532885222</v>
      </c>
      <c r="AC40" s="125" t="n">
        <f aca="false">IF(AC$5&lt;=LastHist,0,INDEX(CF_PlugInt,1,24))</f>
        <v>353.852578807047</v>
      </c>
      <c r="AD40" s="125" t="n">
        <f aca="false">IF(AD$5&lt;=LastHist,0,INDEX(CF_PlugInt,1,25))</f>
        <v>353.852578807047</v>
      </c>
      <c r="AE40" s="125" t="n">
        <f aca="false">IF(AE$5&lt;=LastHist,0,INDEX(CF_PlugInt,1,26))</f>
        <v>353.852578807047</v>
      </c>
      <c r="AF40" s="125" t="n">
        <f aca="false">IF(AF$5&lt;=LastHist,0,INDEX(CF_PlugInt,1,27))</f>
        <v>353.852578807047</v>
      </c>
      <c r="AG40" s="125" t="n">
        <f aca="false">IF(AG$5&lt;=LastHist,0,INDEX(CF_PlugInt,1,28))</f>
        <v>353.852578807047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0</v>
      </c>
      <c r="AL40" s="125" t="n">
        <f aca="false">SUMIF($F$7:$AG$7,AL$7,$F40:$AG40)</f>
        <v>29.0093893080236</v>
      </c>
      <c r="AM40" s="125" t="n">
        <f aca="false">SUMIF($F$7:$AG$7,AM$7,$F40:$AG40)</f>
        <v>440.536129031385</v>
      </c>
      <c r="AN40" s="125" t="n">
        <f aca="false">SUMIF($F$7:$AG$7,AN$7,$F40:$AG40)</f>
        <v>1054.50570806626</v>
      </c>
      <c r="AO40" s="125" t="n">
        <f aca="false">SUMIF($F$7:$AG$7,AO$7,$F40:$AG40)</f>
        <v>1415.41031522819</v>
      </c>
    </row>
    <row r="41" customFormat="false" ht="15" hidden="false" customHeight="false" outlineLevel="0" collapsed="false">
      <c r="A41" s="107" t="s">
        <v>2444</v>
      </c>
      <c r="B41" s="22" t="s">
        <v>613</v>
      </c>
      <c r="C41" s="22" t="s">
        <v>2443</v>
      </c>
      <c r="D41" s="22"/>
      <c r="F41" s="124" t="n">
        <f aca="false">IF(F$5&lt;=LastHist,0,INDEX(CF_IntInc,1,1))</f>
        <v>0</v>
      </c>
      <c r="G41" s="124" t="n">
        <f aca="false">IF(G$5&lt;=LastHist,0,INDEX(CF_IntInc,1,2))</f>
        <v>0</v>
      </c>
      <c r="H41" s="124" t="n">
        <f aca="false">IF(H$5&lt;=LastHist,0,INDEX(CF_IntInc,1,3))</f>
        <v>0</v>
      </c>
      <c r="I41" s="124" t="n">
        <f aca="false">IF(I$5&lt;=LastHist,0,INDEX(CF_IntInc,1,4))</f>
        <v>0</v>
      </c>
      <c r="J41" s="124" t="n">
        <f aca="false">IF(J$5&lt;=LastHist,0,INDEX(CF_IntInc,1,5))</f>
        <v>0</v>
      </c>
      <c r="K41" s="124" t="n">
        <f aca="false">IF(K$5&lt;=LastHist,0,INDEX(CF_IntInc,1,6))</f>
        <v>0</v>
      </c>
      <c r="L41" s="124" t="n">
        <f aca="false">IF(L$5&lt;=LastHist,0,INDEX(CF_IntInc,1,7))</f>
        <v>0</v>
      </c>
      <c r="M41" s="124" t="n">
        <f aca="false">IF(M$5&lt;=LastHist,0,INDEX(CF_IntInc,1,8))</f>
        <v>0</v>
      </c>
      <c r="N41" s="124" t="n">
        <f aca="false">IF(N$5&lt;=LastHist,0,INDEX(CF_IntInc,1,9))</f>
        <v>0</v>
      </c>
      <c r="O41" s="124" t="n">
        <f aca="false">IF(O$5&lt;=LastHist,0,INDEX(CF_IntInc,1,10))</f>
        <v>0</v>
      </c>
      <c r="P41" s="125" t="n">
        <f aca="false">IF(P$5&lt;=LastHist,0,INDEX(CF_IntInc,1,11))</f>
        <v>70.368375</v>
      </c>
      <c r="Q41" s="125" t="n">
        <f aca="false">IF(Q$5&lt;=LastHist,0,INDEX(CF_IntInc,1,12))</f>
        <v>100.924802121778</v>
      </c>
      <c r="R41" s="125" t="n">
        <f aca="false">IF(R$5&lt;=LastHist,0,INDEX(CF_IntInc,1,13))</f>
        <v>85.311775483341</v>
      </c>
      <c r="S41" s="125" t="n">
        <f aca="false">IF(S$5&lt;=LastHist,0,INDEX(CF_IntInc,1,14))</f>
        <v>85.8456030576103</v>
      </c>
      <c r="T41" s="125" t="n">
        <f aca="false">IF(T$5&lt;=LastHist,0,INDEX(CF_IntInc,1,15))</f>
        <v>19.4791314246399</v>
      </c>
      <c r="U41" s="125" t="n">
        <f aca="false">IF(U$5&lt;=LastHist,0,INDEX(CF_IntInc,1,16))</f>
        <v>17.5</v>
      </c>
      <c r="V41" s="125" t="n">
        <f aca="false">IF(V$5&lt;=LastHist,0,INDEX(CF_IntInc,1,17))</f>
        <v>17.5</v>
      </c>
      <c r="W41" s="125" t="n">
        <f aca="false">IF(W$5&lt;=LastHist,0,INDEX(CF_IntInc,1,18))</f>
        <v>17.5</v>
      </c>
      <c r="X41" s="125" t="n">
        <f aca="false">IF(X$5&lt;=LastHist,0,INDEX(CF_IntInc,1,19))</f>
        <v>17.5</v>
      </c>
      <c r="Y41" s="125" t="n">
        <f aca="false">IF(Y$5&lt;=LastHist,0,INDEX(CF_IntInc,1,20))</f>
        <v>17.5</v>
      </c>
      <c r="Z41" s="125" t="n">
        <f aca="false">IF(Z$5&lt;=LastHist,0,INDEX(CF_IntInc,1,21))</f>
        <v>17.5</v>
      </c>
      <c r="AA41" s="125" t="n">
        <f aca="false">IF(AA$5&lt;=LastHist,0,INDEX(CF_IntInc,1,22))</f>
        <v>17.5</v>
      </c>
      <c r="AB41" s="125" t="n">
        <f aca="false">IF(AB$5&lt;=LastHist,0,INDEX(CF_IntInc,1,23))</f>
        <v>17.5</v>
      </c>
      <c r="AC41" s="125" t="n">
        <f aca="false">IF(AC$5&lt;=LastHist,0,INDEX(CF_IntInc,1,24))</f>
        <v>17.5</v>
      </c>
      <c r="AD41" s="125" t="n">
        <f aca="false">IF(AD$5&lt;=LastHist,0,INDEX(CF_IntInc,1,25))</f>
        <v>47.4904982890022</v>
      </c>
      <c r="AE41" s="125" t="n">
        <f aca="false">IF(AE$5&lt;=LastHist,0,INDEX(CF_IntInc,1,26))</f>
        <v>49.3308497858201</v>
      </c>
      <c r="AF41" s="125" t="n">
        <f aca="false">IF(AF$5&lt;=LastHist,0,INDEX(CF_IntInc,1,27))</f>
        <v>89.330131848296</v>
      </c>
      <c r="AG41" s="125" t="n">
        <f aca="false">IF(AG$5&lt;=LastHist,0,INDEX(CF_IntInc,1,28))</f>
        <v>89.7059695175322</v>
      </c>
      <c r="AI41" s="125" t="n">
        <f aca="false">SUMIF($F$7:$AG$7,AI$7,$F41:$AG41)</f>
        <v>0</v>
      </c>
      <c r="AJ41" s="125" t="n">
        <f aca="false">SUMIF($F$7:$AG$7,AJ$7,$F41:$AG41)</f>
        <v>0</v>
      </c>
      <c r="AK41" s="125" t="n">
        <f aca="false">SUMIF($F$7:$AG$7,AK$7,$F41:$AG41)</f>
        <v>171.293177121778</v>
      </c>
      <c r="AL41" s="125" t="n">
        <f aca="false">SUMIF($F$7:$AG$7,AL$7,$F41:$AG41)</f>
        <v>208.136509965591</v>
      </c>
      <c r="AM41" s="125" t="n">
        <f aca="false">SUMIF($F$7:$AG$7,AM$7,$F41:$AG41)</f>
        <v>70</v>
      </c>
      <c r="AN41" s="125" t="n">
        <f aca="false">SUMIF($F$7:$AG$7,AN$7,$F41:$AG41)</f>
        <v>70</v>
      </c>
      <c r="AO41" s="125" t="n">
        <f aca="false">SUMIF($F$7:$AG$7,AO$7,$F41:$AG41)</f>
        <v>275.85744944065</v>
      </c>
    </row>
    <row r="42" customFormat="false" ht="15" hidden="false" customHeight="false" outlineLevel="0" collapsed="false">
      <c r="A42" s="107" t="s">
        <v>2445</v>
      </c>
      <c r="B42" s="22" t="s">
        <v>613</v>
      </c>
      <c r="C42" s="22" t="s">
        <v>2154</v>
      </c>
      <c r="D42" s="22"/>
      <c r="F42" s="124" t="n">
        <f aca="false">IF(F$5&lt;=LastHist,0,INDEX(CapInt,1,1))</f>
        <v>0</v>
      </c>
      <c r="G42" s="124" t="n">
        <f aca="false">IF(G$5&lt;=LastHist,0,INDEX(CapInt,1,2))</f>
        <v>0</v>
      </c>
      <c r="H42" s="124" t="n">
        <f aca="false">IF(H$5&lt;=LastHist,0,INDEX(CapInt,1,3))</f>
        <v>0</v>
      </c>
      <c r="I42" s="124" t="n">
        <f aca="false">IF(I$5&lt;=LastHist,0,INDEX(CapInt,1,4))</f>
        <v>0</v>
      </c>
      <c r="J42" s="124" t="n">
        <f aca="false">IF(J$5&lt;=LastHist,0,INDEX(CapInt,1,5))</f>
        <v>0</v>
      </c>
      <c r="K42" s="124" t="n">
        <f aca="false">IF(K$5&lt;=LastHist,0,INDEX(CapInt,1,6))</f>
        <v>0</v>
      </c>
      <c r="L42" s="124" t="n">
        <f aca="false">IF(L$5&lt;=LastHist,0,INDEX(CapInt,1,7))</f>
        <v>0</v>
      </c>
      <c r="M42" s="124" t="n">
        <f aca="false">IF(M$5&lt;=LastHist,0,INDEX(CapInt,1,8))</f>
        <v>0</v>
      </c>
      <c r="N42" s="124" t="n">
        <f aca="false">IF(N$5&lt;=LastHist,0,INDEX(CapInt,1,9))</f>
        <v>0</v>
      </c>
      <c r="O42" s="124" t="n">
        <f aca="false">IF(O$5&lt;=LastHist,0,INDEX(CapInt,1,10))</f>
        <v>0</v>
      </c>
      <c r="P42" s="125" t="n">
        <f aca="false">IF(P$5&lt;=LastHist,0,INDEX(CapInt,1,11))</f>
        <v>63.6793762885238</v>
      </c>
      <c r="Q42" s="125" t="n">
        <f aca="false">IF(Q$5&lt;=LastHist,0,INDEX(CapInt,1,12))</f>
        <v>63.6793762885238</v>
      </c>
      <c r="R42" s="125" t="n">
        <f aca="false">IF(R$5&lt;=LastHist,0,INDEX(CapInt,1,13))</f>
        <v>94.4977810179247</v>
      </c>
      <c r="S42" s="125" t="n">
        <f aca="false">IF(S$5&lt;=LastHist,0,INDEX(CapInt,1,14))</f>
        <v>94.4977810179247</v>
      </c>
      <c r="T42" s="125" t="n">
        <f aca="false">IF(T$5&lt;=LastHist,0,INDEX(CapInt,1,15))</f>
        <v>125.283380037443</v>
      </c>
      <c r="U42" s="125" t="n">
        <f aca="false">IF(U$5&lt;=LastHist,0,INDEX(CapInt,1,16))</f>
        <v>125.283380037443</v>
      </c>
      <c r="V42" s="125" t="n">
        <f aca="false">IF(V$5&lt;=LastHist,0,INDEX(CapInt,1,17))</f>
        <v>125.283380037443</v>
      </c>
      <c r="W42" s="125" t="n">
        <f aca="false">IF(W$5&lt;=LastHist,0,INDEX(CapInt,1,18))</f>
        <v>125.283380037443</v>
      </c>
      <c r="X42" s="125" t="n">
        <f aca="false">IF(X$5&lt;=LastHist,0,INDEX(CapInt,1,19))</f>
        <v>125.283380037443</v>
      </c>
      <c r="Y42" s="125" t="n">
        <f aca="false">IF(Y$5&lt;=LastHist,0,INDEX(CapInt,1,20))</f>
        <v>125.283380037443</v>
      </c>
      <c r="Z42" s="125" t="n">
        <f aca="false">IF(Z$5&lt;=LastHist,0,INDEX(CapInt,1,21))</f>
        <v>125.283380037443</v>
      </c>
      <c r="AA42" s="125" t="n">
        <f aca="false">IF(AA$5&lt;=LastHist,0,INDEX(CapInt,1,22))</f>
        <v>124.760842701522</v>
      </c>
      <c r="AB42" s="125" t="n">
        <f aca="false">IF(AB$5&lt;=LastHist,0,INDEX(CapInt,1,23))</f>
        <v>124.760842701522</v>
      </c>
      <c r="AC42" s="125" t="n">
        <f aca="false">IF(AC$5&lt;=LastHist,0,INDEX(CapInt,1,24))</f>
        <v>124.760842701522</v>
      </c>
      <c r="AD42" s="125" t="n">
        <f aca="false">IF(AD$5&lt;=LastHist,0,INDEX(CapInt,1,25))</f>
        <v>113.878060640153</v>
      </c>
      <c r="AE42" s="125" t="n">
        <f aca="false">IF(AE$5&lt;=LastHist,0,INDEX(CapInt,1,26))</f>
        <v>113.878060640153</v>
      </c>
      <c r="AF42" s="125" t="n">
        <f aca="false">IF(AF$5&lt;=LastHist,0,INDEX(CapInt,1,27))</f>
        <v>95.8990471378933</v>
      </c>
      <c r="AG42" s="125" t="n">
        <f aca="false">IF(AG$5&lt;=LastHist,0,INDEX(CapInt,1,28))</f>
        <v>95.8990471378933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127.358752577048</v>
      </c>
      <c r="AL42" s="125" t="n">
        <f aca="false">SUMIF($F$7:$AG$7,AL$7,$F42:$AG42)</f>
        <v>439.562322110736</v>
      </c>
      <c r="AM42" s="125" t="n">
        <f aca="false">SUMIF($F$7:$AG$7,AM$7,$F42:$AG42)</f>
        <v>501.133520149772</v>
      </c>
      <c r="AN42" s="125" t="n">
        <f aca="false">SUMIF($F$7:$AG$7,AN$7,$F42:$AG42)</f>
        <v>499.565908142008</v>
      </c>
      <c r="AO42" s="125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2446</v>
      </c>
      <c r="B43" s="22" t="s">
        <v>613</v>
      </c>
      <c r="C43" s="22" t="s">
        <v>540</v>
      </c>
      <c r="D43" s="22"/>
      <c r="F43" s="126" t="n">
        <f aca="false">IF(F$5&lt;=LastHist,0,F33-F37-F38-F39-F40+F41+F42)</f>
        <v>0</v>
      </c>
      <c r="G43" s="126" t="n">
        <f aca="false">IF(G$5&lt;=LastHist,0,G33-G37-G38-G39-G40+G41+G42)</f>
        <v>0</v>
      </c>
      <c r="H43" s="126" t="n">
        <f aca="false">IF(H$5&lt;=LastHist,0,H33-H37-H38-H39-H40+H41+H42)</f>
        <v>0</v>
      </c>
      <c r="I43" s="126" t="n">
        <f aca="false">IF(I$5&lt;=LastHist,0,I33-I37-I38-I39-I40+I41+I42)</f>
        <v>0</v>
      </c>
      <c r="J43" s="126" t="n">
        <f aca="false">IF(J$5&lt;=LastHist,0,J33-J37-J38-J39-J40+J41+J42)</f>
        <v>0</v>
      </c>
      <c r="K43" s="126" t="n">
        <f aca="false">IF(K$5&lt;=LastHist,0,K33-K37-K38-K39-K40+K41+K42)</f>
        <v>0</v>
      </c>
      <c r="L43" s="126" t="n">
        <f aca="false">IF(L$5&lt;=LastHist,0,L33-L37-L38-L39-L40+L41+L42)</f>
        <v>0</v>
      </c>
      <c r="M43" s="126" t="n">
        <f aca="false">IF(M$5&lt;=LastHist,0,M33-M37-M38-M39-M40+M41+M42)</f>
        <v>0</v>
      </c>
      <c r="N43" s="126" t="n">
        <f aca="false">IF(N$5&lt;=LastHist,0,N33-N37-N38-N39-N40+N41+N42)</f>
        <v>0</v>
      </c>
      <c r="O43" s="126" t="n">
        <f aca="false">IF(O$5&lt;=LastHist,0,O33-O37-O38-O39-O40+O41+O42)</f>
        <v>0</v>
      </c>
      <c r="P43" s="99" t="n">
        <f aca="false">IF(P$5&lt;=LastHist,0,P33-P37-P38-P39-P40+P41+P42)</f>
        <v>-386.732407984686</v>
      </c>
      <c r="Q43" s="99" t="n">
        <f aca="false">IF(Q$5&lt;=LastHist,0,Q33-Q37-Q38-Q39-Q40+Q41+Q42)</f>
        <v>-306.939291068585</v>
      </c>
      <c r="R43" s="99" t="n">
        <f aca="false">IF(R$5&lt;=LastHist,0,R33-R37-R38-R39-R40+R41+R42)</f>
        <v>-365.867883265815</v>
      </c>
      <c r="S43" s="99" t="n">
        <f aca="false">IF(S$5&lt;=LastHist,0,S33-S37-S38-S39-S40+S41+S42)</f>
        <v>-469.70597395949</v>
      </c>
      <c r="T43" s="99" t="n">
        <f aca="false">IF(T$5&lt;=LastHist,0,T33-T37-T38-T39-T40+T41+T42)</f>
        <v>-645.617158319514</v>
      </c>
      <c r="U43" s="99" t="n">
        <f aca="false">IF(U$5&lt;=LastHist,0,U33-U37-U38-U39-U40+U41+U42)</f>
        <v>-682.382949490285</v>
      </c>
      <c r="V43" s="99" t="n">
        <f aca="false">IF(V$5&lt;=LastHist,0,V33-V37-V38-V39-V40+V41+V42)</f>
        <v>-499.996573650745</v>
      </c>
      <c r="W43" s="99" t="n">
        <f aca="false">IF(W$5&lt;=LastHist,0,W33-W37-W38-W39-W40+W41+W42)</f>
        <v>-250.123646559527</v>
      </c>
      <c r="X43" s="99" t="n">
        <f aca="false">IF(X$5&lt;=LastHist,0,X33-X37-X38-X39-X40+X41+X42)</f>
        <v>-237.929812951188</v>
      </c>
      <c r="Y43" s="99" t="n">
        <f aca="false">IF(Y$5&lt;=LastHist,0,Y33-Y37-Y38-Y39-Y40+Y41+Y42)</f>
        <v>-159.866191135344</v>
      </c>
      <c r="Z43" s="99" t="n">
        <f aca="false">IF(Z$5&lt;=LastHist,0,Z33-Z37-Z38-Z39-Z40+Z41+Z42)</f>
        <v>-144.625778161604</v>
      </c>
      <c r="AA43" s="99" t="n">
        <f aca="false">IF(AA$5&lt;=LastHist,0,AA33-AA37-AA38-AA39-AA40+AA41+AA42)</f>
        <v>210.541773265551</v>
      </c>
      <c r="AB43" s="99" t="n">
        <f aca="false">IF(AB$5&lt;=LastHist,0,AB33-AB37-AB38-AB39-AB40+AB41+AB42)</f>
        <v>38.0007837280012</v>
      </c>
      <c r="AC43" s="99" t="n">
        <f aca="false">IF(AC$5&lt;=LastHist,0,AC33-AC37-AC38-AC39-AC40+AC41+AC42)</f>
        <v>350.061715464304</v>
      </c>
      <c r="AD43" s="99" t="n">
        <f aca="false">IF(AD$5&lt;=LastHist,0,AD33-AD37-AD38-AD39-AD40+AD41+AD42)</f>
        <v>353.859047856759</v>
      </c>
      <c r="AE43" s="99" t="n">
        <f aca="false">IF(AE$5&lt;=LastHist,0,AE33-AE37-AE38-AE39-AE40+AE41+AE42)</f>
        <v>1033.80033075191</v>
      </c>
      <c r="AF43" s="99" t="n">
        <f aca="false">IF(AF$5&lt;=LastHist,0,AF33-AF37-AF38-AF39-AF40+AF41+AF42)</f>
        <v>1056.78124063608</v>
      </c>
      <c r="AG43" s="99" t="n">
        <f aca="false">IF(AG$5&lt;=LastHist,0,AG33-AG37-AG38-AG39-AG40+AG41+AG42)</f>
        <v>1171.53277754251</v>
      </c>
      <c r="AI43" s="99" t="n">
        <f aca="false">SUMIF($F$7:$AG$7,AI$7,$F43:$AG43)</f>
        <v>0</v>
      </c>
      <c r="AJ43" s="99" t="n">
        <f aca="false">SUMIF($F$7:$AG$7,AJ$7,$F43:$AG43)</f>
        <v>0</v>
      </c>
      <c r="AK43" s="99" t="n">
        <f aca="false">SUMIF($F$7:$AG$7,AK$7,$F43:$AG43)</f>
        <v>-693.671699053271</v>
      </c>
      <c r="AL43" s="99" t="n">
        <f aca="false">SUMIF($F$7:$AG$7,AL$7,$F43:$AG43)</f>
        <v>-2163.5739650351</v>
      </c>
      <c r="AM43" s="99" t="n">
        <f aca="false">SUMIF($F$7:$AG$7,AM$7,$F43:$AG43)</f>
        <v>-1147.9162242968</v>
      </c>
      <c r="AN43" s="99" t="n">
        <f aca="false">SUMIF($F$7:$AG$7,AN$7,$F43:$AG43)</f>
        <v>453.978494296253</v>
      </c>
      <c r="AO43" s="99" t="n">
        <f aca="false">SUMIF($F$7:$AG$7,AO$7,$F43:$AG43)</f>
        <v>3615.97339678726</v>
      </c>
    </row>
    <row r="44" customFormat="false" ht="15" hidden="false" customHeight="false" outlineLevel="0" collapsed="false">
      <c r="A44" s="107" t="s">
        <v>2447</v>
      </c>
      <c r="B44" s="22" t="s">
        <v>613</v>
      </c>
      <c r="C44" s="22" t="s">
        <v>540</v>
      </c>
      <c r="D44" s="22" t="s">
        <v>2448</v>
      </c>
      <c r="F44" s="124" t="n">
        <f aca="false">MAX(0,F43)*TaxRate</f>
        <v>0</v>
      </c>
      <c r="G44" s="124" t="n">
        <f aca="false">MAX(0,G43)*TaxRate</f>
        <v>0</v>
      </c>
      <c r="H44" s="124" t="n">
        <f aca="false">MAX(0,H43)*TaxRate</f>
        <v>0</v>
      </c>
      <c r="I44" s="124" t="n">
        <f aca="false">MAX(0,I43)*TaxRate</f>
        <v>0</v>
      </c>
      <c r="J44" s="124" t="n">
        <f aca="false">MAX(0,J43)*TaxRate</f>
        <v>0</v>
      </c>
      <c r="K44" s="124" t="n">
        <f aca="false">MAX(0,K43)*TaxRate</f>
        <v>0</v>
      </c>
      <c r="L44" s="124" t="n">
        <f aca="false">MAX(0,L43)*TaxRate</f>
        <v>0</v>
      </c>
      <c r="M44" s="124" t="n">
        <f aca="false">MAX(0,M43)*TaxRate</f>
        <v>0</v>
      </c>
      <c r="N44" s="124" t="n">
        <f aca="false">MAX(0,N43)*TaxRate</f>
        <v>0</v>
      </c>
      <c r="O44" s="124" t="n">
        <f aca="false">MAX(0,O43)*TaxRate</f>
        <v>0</v>
      </c>
      <c r="P44" s="125" t="n">
        <f aca="false">MAX(0,P43)*TaxRate</f>
        <v>0</v>
      </c>
      <c r="Q44" s="125" t="n">
        <f aca="false">MAX(0,Q43)*TaxRate</f>
        <v>0</v>
      </c>
      <c r="R44" s="125" t="n">
        <f aca="false">MAX(0,R43)*TaxRate</f>
        <v>0</v>
      </c>
      <c r="S44" s="125" t="n">
        <f aca="false">MAX(0,S43)*TaxRate</f>
        <v>0</v>
      </c>
      <c r="T44" s="125" t="n">
        <f aca="false">MAX(0,T43)*TaxRate</f>
        <v>0</v>
      </c>
      <c r="U44" s="125" t="n">
        <f aca="false">MAX(0,U43)*TaxRate</f>
        <v>0</v>
      </c>
      <c r="V44" s="125" t="n">
        <f aca="false">MAX(0,V43)*TaxRate</f>
        <v>0</v>
      </c>
      <c r="W44" s="125" t="n">
        <f aca="false">MAX(0,W43)*TaxRate</f>
        <v>0</v>
      </c>
      <c r="X44" s="125" t="n">
        <f aca="false">MAX(0,X43)*TaxRate</f>
        <v>0</v>
      </c>
      <c r="Y44" s="125" t="n">
        <f aca="false">MAX(0,Y43)*TaxRate</f>
        <v>0</v>
      </c>
      <c r="Z44" s="125" t="n">
        <f aca="false">MAX(0,Z43)*TaxRate</f>
        <v>0</v>
      </c>
      <c r="AA44" s="125" t="n">
        <f aca="false">MAX(0,AA43)*TaxRate</f>
        <v>54.3197775025123</v>
      </c>
      <c r="AB44" s="125" t="n">
        <f aca="false">MAX(0,AB43)*TaxRate</f>
        <v>9.80420220182431</v>
      </c>
      <c r="AC44" s="125" t="n">
        <f aca="false">MAX(0,AC43)*TaxRate</f>
        <v>90.3159225897905</v>
      </c>
      <c r="AD44" s="125" t="n">
        <f aca="false">MAX(0,AD43)*TaxRate</f>
        <v>91.2956343470439</v>
      </c>
      <c r="AE44" s="125" t="n">
        <f aca="false">MAX(0,AE43)*TaxRate</f>
        <v>266.720485333993</v>
      </c>
      <c r="AF44" s="125" t="n">
        <f aca="false">MAX(0,AF43)*TaxRate</f>
        <v>272.649560084109</v>
      </c>
      <c r="AG44" s="125" t="n">
        <f aca="false">MAX(0,AG43)*TaxRate</f>
        <v>302.255456605969</v>
      </c>
      <c r="AI44" s="125" t="n">
        <f aca="false">SUMIF($F$7:$AG$7,AI$7,$F44:$AG44)</f>
        <v>0</v>
      </c>
      <c r="AJ44" s="125" t="n">
        <f aca="false">SUMIF($F$7:$AG$7,AJ$7,$F44:$AG44)</f>
        <v>0</v>
      </c>
      <c r="AK44" s="125" t="n">
        <f aca="false">SUMIF($F$7:$AG$7,AK$7,$F44:$AG44)</f>
        <v>0</v>
      </c>
      <c r="AL44" s="125" t="n">
        <f aca="false">SUMIF($F$7:$AG$7,AL$7,$F44:$AG44)</f>
        <v>0</v>
      </c>
      <c r="AM44" s="125" t="n">
        <f aca="false">SUMIF($F$7:$AG$7,AM$7,$F44:$AG44)</f>
        <v>0</v>
      </c>
      <c r="AN44" s="125" t="n">
        <f aca="false">SUMIF($F$7:$AG$7,AN$7,$F44:$AG44)</f>
        <v>154.439902294127</v>
      </c>
      <c r="AO44" s="125" t="n">
        <f aca="false">SUMIF($F$7:$AG$7,AO$7,$F44:$AG44)</f>
        <v>932.921136371114</v>
      </c>
    </row>
    <row r="45" customFormat="false" ht="15" hidden="false" customHeight="false" outlineLevel="0" collapsed="false">
      <c r="A45" s="3" t="s">
        <v>2449</v>
      </c>
      <c r="B45" s="22" t="s">
        <v>613</v>
      </c>
      <c r="C45" s="22" t="s">
        <v>540</v>
      </c>
      <c r="D45" s="22"/>
      <c r="F45" s="126" t="n">
        <f aca="false">F43-F44</f>
        <v>0</v>
      </c>
      <c r="G45" s="126" t="n">
        <f aca="false">G43-G44</f>
        <v>0</v>
      </c>
      <c r="H45" s="126" t="n">
        <f aca="false">H43-H44</f>
        <v>0</v>
      </c>
      <c r="I45" s="126" t="n">
        <f aca="false">I43-I44</f>
        <v>0</v>
      </c>
      <c r="J45" s="126" t="n">
        <f aca="false">J43-J44</f>
        <v>0</v>
      </c>
      <c r="K45" s="126" t="n">
        <f aca="false">K43-K44</f>
        <v>0</v>
      </c>
      <c r="L45" s="126" t="n">
        <f aca="false">L43-L44</f>
        <v>0</v>
      </c>
      <c r="M45" s="126" t="n">
        <f aca="false">M43-M44</f>
        <v>0</v>
      </c>
      <c r="N45" s="126" t="n">
        <f aca="false">N43-N44</f>
        <v>0</v>
      </c>
      <c r="O45" s="126" t="n">
        <f aca="false">O43-O44</f>
        <v>0</v>
      </c>
      <c r="P45" s="99" t="n">
        <f aca="false">P43-P44</f>
        <v>-386.732407984686</v>
      </c>
      <c r="Q45" s="99" t="n">
        <f aca="false">Q43-Q44</f>
        <v>-306.939291068585</v>
      </c>
      <c r="R45" s="99" t="n">
        <f aca="false">R43-R44</f>
        <v>-365.867883265815</v>
      </c>
      <c r="S45" s="99" t="n">
        <f aca="false">S43-S44</f>
        <v>-469.70597395949</v>
      </c>
      <c r="T45" s="99" t="n">
        <f aca="false">T43-T44</f>
        <v>-645.617158319514</v>
      </c>
      <c r="U45" s="99" t="n">
        <f aca="false">U43-U44</f>
        <v>-682.382949490285</v>
      </c>
      <c r="V45" s="99" t="n">
        <f aca="false">V43-V44</f>
        <v>-499.996573650745</v>
      </c>
      <c r="W45" s="99" t="n">
        <f aca="false">W43-W44</f>
        <v>-250.123646559527</v>
      </c>
      <c r="X45" s="99" t="n">
        <f aca="false">X43-X44</f>
        <v>-237.929812951188</v>
      </c>
      <c r="Y45" s="99" t="n">
        <f aca="false">Y43-Y44</f>
        <v>-159.866191135344</v>
      </c>
      <c r="Z45" s="99" t="n">
        <f aca="false">Z43-Z44</f>
        <v>-144.625778161604</v>
      </c>
      <c r="AA45" s="99" t="n">
        <f aca="false">AA43-AA44</f>
        <v>156.221995763039</v>
      </c>
      <c r="AB45" s="99" t="n">
        <f aca="false">AB43-AB44</f>
        <v>28.1965815261769</v>
      </c>
      <c r="AC45" s="99" t="n">
        <f aca="false">AC43-AC44</f>
        <v>259.745792874514</v>
      </c>
      <c r="AD45" s="99" t="n">
        <f aca="false">AD43-AD44</f>
        <v>262.563413509716</v>
      </c>
      <c r="AE45" s="99" t="n">
        <f aca="false">AE43-AE44</f>
        <v>767.079845417917</v>
      </c>
      <c r="AF45" s="99" t="n">
        <f aca="false">AF43-AF44</f>
        <v>784.131680551971</v>
      </c>
      <c r="AG45" s="99" t="n">
        <f aca="false">AG43-AG44</f>
        <v>869.277320936545</v>
      </c>
      <c r="AI45" s="99" t="n">
        <f aca="false">SUMIF($F$7:$AG$7,AI$7,$F45:$AG45)</f>
        <v>0</v>
      </c>
      <c r="AJ45" s="99" t="n">
        <f aca="false">SUMIF($F$7:$AG$7,AJ$7,$F45:$AG45)</f>
        <v>0</v>
      </c>
      <c r="AK45" s="99" t="n">
        <f aca="false">SUMIF($F$7:$AG$7,AK$7,$F45:$AG45)</f>
        <v>-693.671699053271</v>
      </c>
      <c r="AL45" s="99" t="n">
        <f aca="false">SUMIF($F$7:$AG$7,AL$7,$F45:$AG45)</f>
        <v>-2163.5739650351</v>
      </c>
      <c r="AM45" s="99" t="n">
        <f aca="false">SUMIF($F$7:$AG$7,AM$7,$F45:$AG45)</f>
        <v>-1147.9162242968</v>
      </c>
      <c r="AN45" s="99" t="n">
        <f aca="false">SUMIF($F$7:$AG$7,AN$7,$F45:$AG45)</f>
        <v>299.538592002126</v>
      </c>
      <c r="AO45" s="99" t="n">
        <f aca="false">SUMIF($F$7:$AG$7,AO$7,$F45:$AG45)</f>
        <v>2683.05226041615</v>
      </c>
    </row>
    <row r="46" customFormat="false" ht="15" hidden="false" customHeight="false" outlineLevel="0" collapsed="false">
      <c r="A46" s="107" t="s">
        <v>2450</v>
      </c>
      <c r="B46" s="22" t="s">
        <v>635</v>
      </c>
      <c r="C46" s="22" t="s">
        <v>2451</v>
      </c>
      <c r="D46" s="22"/>
      <c r="F46" s="116" t="n">
        <f aca="false">INDEX(Sh_Dil,1,1)</f>
        <v>205.574091</v>
      </c>
      <c r="G46" s="116" t="n">
        <f aca="false">INDEX(Sh_Dil,1,2)</f>
        <v>205.574091</v>
      </c>
      <c r="H46" s="116" t="n">
        <f aca="false">INDEX(Sh_Dil,1,3)</f>
        <v>205.574209</v>
      </c>
      <c r="I46" s="116" t="n">
        <f aca="false">INDEX(Sh_Dil,1,4)</f>
        <v>241.987691</v>
      </c>
      <c r="J46" s="116" t="n">
        <f aca="false">INDEX(Sh_Dil,1,5)</f>
        <v>244.342922</v>
      </c>
      <c r="K46" s="116" t="n">
        <f aca="false">INDEX(Sh_Dil,1,6)</f>
        <v>244.939183</v>
      </c>
      <c r="L46" s="116" t="n">
        <f aca="false">INDEX(Sh_Dil,1,7)</f>
        <v>258.041313</v>
      </c>
      <c r="M46" s="116" t="n">
        <f aca="false">INDEX(Sh_Dil,1,8)</f>
        <v>259.251062</v>
      </c>
      <c r="N46" s="116" t="n">
        <f aca="false">INDEX(Sh_Dil,1,9)</f>
        <v>281.198221</v>
      </c>
      <c r="O46" s="116" t="n">
        <f aca="false">INDEX(Sh_Dil,1,10)</f>
        <v>299.155245</v>
      </c>
      <c r="P46" s="36" t="n">
        <f aca="false">INDEX(Sh_Dil,1,11)</f>
        <v>314.925245</v>
      </c>
      <c r="Q46" s="36" t="n">
        <f aca="false">INDEX(Sh_Dil,1,12)</f>
        <v>327.195752</v>
      </c>
      <c r="R46" s="36" t="n">
        <f aca="false">INDEX(Sh_Dil,1,13)</f>
        <v>327.195752</v>
      </c>
      <c r="S46" s="36" t="n">
        <f aca="false">INDEX(Sh_Dil,1,14)</f>
        <v>327.195752</v>
      </c>
      <c r="T46" s="36" t="n">
        <f aca="false">INDEX(Sh_Dil,1,15)</f>
        <v>334.233962220922</v>
      </c>
      <c r="U46" s="36" t="n">
        <f aca="false">INDEX(Sh_Dil,1,16)</f>
        <v>342.173931930543</v>
      </c>
      <c r="V46" s="36" t="n">
        <f aca="false">INDEX(Sh_Dil,1,17)</f>
        <v>349.924749754331</v>
      </c>
      <c r="W46" s="36" t="n">
        <f aca="false">INDEX(Sh_Dil,1,18)</f>
        <v>352.013034393751</v>
      </c>
      <c r="X46" s="36" t="n">
        <f aca="false">INDEX(Sh_Dil,1,19)</f>
        <v>371.553441459653</v>
      </c>
      <c r="Y46" s="36" t="n">
        <f aca="false">INDEX(Sh_Dil,1,20)</f>
        <v>372.97290649938</v>
      </c>
      <c r="Z46" s="36" t="n">
        <f aca="false">INDEX(Sh_Dil,1,21)</f>
        <v>387.884769951437</v>
      </c>
      <c r="AA46" s="36" t="n">
        <f aca="false">INDEX(Sh_Dil,1,22)</f>
        <v>392.421563210455</v>
      </c>
      <c r="AB46" s="36" t="n">
        <f aca="false">INDEX(Sh_Dil,1,23)</f>
        <v>414.747557703825</v>
      </c>
      <c r="AC46" s="36" t="n">
        <f aca="false">INDEX(Sh_Dil,1,24)</f>
        <v>414.747557703825</v>
      </c>
      <c r="AD46" s="36" t="n">
        <f aca="false">INDEX(Sh_Dil,1,25)</f>
        <v>414.747557703825</v>
      </c>
      <c r="AE46" s="36" t="n">
        <f aca="false">INDEX(Sh_Dil,1,26)</f>
        <v>414.747557703825</v>
      </c>
      <c r="AF46" s="36" t="n">
        <f aca="false">INDEX(Sh_Dil,1,27)</f>
        <v>426.143942703825</v>
      </c>
      <c r="AG46" s="36" t="n">
        <f aca="false">INDEX(Sh_Dil,1,28)</f>
        <v>426.143942703825</v>
      </c>
      <c r="AI46" s="36" t="n">
        <f aca="false">INDEX($F46:$AG46,1,MATCH(AI$7,$F$7:$AG$7,1))</f>
        <v>241.987691</v>
      </c>
      <c r="AJ46" s="36" t="n">
        <f aca="false">INDEX($F46:$AG46,1,MATCH(AJ$7,$F$7:$AG$7,1))</f>
        <v>259.251062</v>
      </c>
      <c r="AK46" s="36" t="n">
        <f aca="false">INDEX($F46:$AG46,1,MATCH(AK$7,$F$7:$AG$7,1))</f>
        <v>327.195752</v>
      </c>
      <c r="AL46" s="36" t="n">
        <f aca="false">INDEX($F46:$AG46,1,MATCH(AL$7,$F$7:$AG$7,1))</f>
        <v>342.173931930543</v>
      </c>
      <c r="AM46" s="36" t="n">
        <f aca="false">INDEX($F46:$AG46,1,MATCH(AM$7,$F$7:$AG$7,1))</f>
        <v>372.97290649938</v>
      </c>
      <c r="AN46" s="36" t="n">
        <f aca="false">INDEX($F46:$AG46,1,MATCH(AN$7,$F$7:$AG$7,1))</f>
        <v>414.747557703825</v>
      </c>
      <c r="AO46" s="36" t="n">
        <f aca="false">INDEX($F46:$AG46,1,MATCH(AO$7,$F$7:$AG$7,1))</f>
        <v>426.143942703825</v>
      </c>
    </row>
    <row r="47" customFormat="false" ht="15" hidden="false" customHeight="false" outlineLevel="0" collapsed="false">
      <c r="A47" s="107" t="s">
        <v>2452</v>
      </c>
      <c r="B47" s="22" t="s">
        <v>550</v>
      </c>
      <c r="C47" s="22" t="s">
        <v>540</v>
      </c>
      <c r="D47" s="22"/>
      <c r="F47" s="142" t="n">
        <f aca="false">IF(F$5&lt;=LastHist,0,F45/INDEX(Sh_Dil,1,1))</f>
        <v>0</v>
      </c>
      <c r="G47" s="142" t="n">
        <f aca="false">IF(G$5&lt;=LastHist,0,G45/INDEX(Sh_Dil,1,2))</f>
        <v>0</v>
      </c>
      <c r="H47" s="142" t="n">
        <f aca="false">IF(H$5&lt;=LastHist,0,H45/INDEX(Sh_Dil,1,3))</f>
        <v>0</v>
      </c>
      <c r="I47" s="142" t="n">
        <f aca="false">IF(I$5&lt;=LastHist,0,I45/INDEX(Sh_Dil,1,4))</f>
        <v>0</v>
      </c>
      <c r="J47" s="142" t="n">
        <f aca="false">IF(J$5&lt;=LastHist,0,J45/INDEX(Sh_Dil,1,5))</f>
        <v>0</v>
      </c>
      <c r="K47" s="142" t="n">
        <f aca="false">IF(K$5&lt;=LastHist,0,K45/INDEX(Sh_Dil,1,6))</f>
        <v>0</v>
      </c>
      <c r="L47" s="142" t="n">
        <f aca="false">IF(L$5&lt;=LastHist,0,L45/INDEX(Sh_Dil,1,7))</f>
        <v>0</v>
      </c>
      <c r="M47" s="142" t="n">
        <f aca="false">IF(M$5&lt;=LastHist,0,M45/INDEX(Sh_Dil,1,8))</f>
        <v>0</v>
      </c>
      <c r="N47" s="142" t="n">
        <f aca="false">IF(N$5&lt;=LastHist,0,N45/INDEX(Sh_Dil,1,9))</f>
        <v>0</v>
      </c>
      <c r="O47" s="142" t="n">
        <f aca="false">IF(O$5&lt;=LastHist,0,O45/INDEX(Sh_Dil,1,10))</f>
        <v>0</v>
      </c>
      <c r="P47" s="143" t="n">
        <f aca="false">IF(P$5&lt;=LastHist,0,P45/INDEX(Sh_Dil,1,11))</f>
        <v>-1.22801335912174</v>
      </c>
      <c r="Q47" s="143" t="n">
        <f aca="false">IF(Q$5&lt;=LastHist,0,Q45/INDEX(Sh_Dil,1,12))</f>
        <v>-0.938090697059493</v>
      </c>
      <c r="R47" s="143" t="n">
        <f aca="false">IF(R$5&lt;=LastHist,0,R45/INDEX(Sh_Dil,1,13))</f>
        <v>-1.11819264470712</v>
      </c>
      <c r="S47" s="143" t="n">
        <f aca="false">IF(S$5&lt;=LastHist,0,S45/INDEX(Sh_Dil,1,14))</f>
        <v>-1.4355503428403</v>
      </c>
      <c r="T47" s="143" t="n">
        <f aca="false">IF(T$5&lt;=LastHist,0,T45/INDEX(Sh_Dil,1,15))</f>
        <v>-1.93163242307726</v>
      </c>
      <c r="U47" s="143" t="n">
        <f aca="false">IF(U$5&lt;=LastHist,0,U45/INDEX(Sh_Dil,1,16))</f>
        <v>-1.99425755679366</v>
      </c>
      <c r="V47" s="143" t="n">
        <f aca="false">IF(V$5&lt;=LastHist,0,V45/INDEX(Sh_Dil,1,17))</f>
        <v>-1.42886884680713</v>
      </c>
      <c r="W47" s="143" t="n">
        <f aca="false">IF(W$5&lt;=LastHist,0,W45/INDEX(Sh_Dil,1,18))</f>
        <v>-0.71055222994881</v>
      </c>
      <c r="X47" s="143" t="n">
        <f aca="false">IF(X$5&lt;=LastHist,0,X45/INDEX(Sh_Dil,1,19))</f>
        <v>-0.640364982266016</v>
      </c>
      <c r="Y47" s="143" t="n">
        <f aca="false">IF(Y$5&lt;=LastHist,0,Y45/INDEX(Sh_Dil,1,20))</f>
        <v>-0.428626820740959</v>
      </c>
      <c r="Z47" s="143" t="n">
        <f aca="false">IF(Z$5&lt;=LastHist,0,Z45/INDEX(Sh_Dil,1,21))</f>
        <v>-0.372857583915221</v>
      </c>
      <c r="AA47" s="143" t="n">
        <f aca="false">IF(AA$5&lt;=LastHist,0,AA45/INDEX(Sh_Dil,1,22))</f>
        <v>0.398097378964004</v>
      </c>
      <c r="AB47" s="143" t="n">
        <f aca="false">IF(AB$5&lt;=LastHist,0,AB45/INDEX(Sh_Dil,1,23))</f>
        <v>0.0679849248113291</v>
      </c>
      <c r="AC47" s="143" t="n">
        <f aca="false">IF(AC$5&lt;=LastHist,0,AC45/INDEX(Sh_Dil,1,24))</f>
        <v>0.626274436219829</v>
      </c>
      <c r="AD47" s="143" t="n">
        <f aca="false">IF(AD$5&lt;=LastHist,0,AD45/INDEX(Sh_Dil,1,25))</f>
        <v>0.633068016032091</v>
      </c>
      <c r="AE47" s="143" t="n">
        <f aca="false">IF(AE$5&lt;=LastHist,0,AE45/INDEX(Sh_Dil,1,26))</f>
        <v>1.84951021692501</v>
      </c>
      <c r="AF47" s="143" t="n">
        <f aca="false">IF(AF$5&lt;=LastHist,0,AF45/INDEX(Sh_Dil,1,27))</f>
        <v>1.84006295050626</v>
      </c>
      <c r="AG47" s="143" t="n">
        <f aca="false">IF(AG$5&lt;=LastHist,0,AG45/INDEX(Sh_Dil,1,28))</f>
        <v>2.03986783297001</v>
      </c>
      <c r="AI47" s="143" t="n">
        <f aca="false">IFERROR(AI45/INDEX(Sh_Dil,1,MATCH(AI$7,Q_Yr,1)),0)</f>
        <v>0</v>
      </c>
      <c r="AJ47" s="143" t="n">
        <f aca="false">IFERROR(AJ45/INDEX(Sh_Dil,1,MATCH(AJ$7,Q_Yr,1)),0)</f>
        <v>0</v>
      </c>
      <c r="AK47" s="143" t="n">
        <f aca="false">IFERROR(AK45/INDEX(Sh_Dil,1,MATCH(AK$7,Q_Yr,1)),0)</f>
        <v>-2.12005105449313</v>
      </c>
      <c r="AL47" s="143" t="n">
        <f aca="false">IFERROR(AL45/INDEX(Sh_Dil,1,MATCH(AL$7,Q_Yr,1)),0)</f>
        <v>-6.32302394524396</v>
      </c>
      <c r="AM47" s="143" t="n">
        <f aca="false">IFERROR(AM45/INDEX(Sh_Dil,1,MATCH(AM$7,Q_Yr,1)),0)</f>
        <v>-3.07774694701239</v>
      </c>
      <c r="AN47" s="143" t="n">
        <f aca="false">IFERROR(AN45/INDEX(Sh_Dil,1,MATCH(AN$7,Q_Yr,1)),0)</f>
        <v>0.722219061784154</v>
      </c>
      <c r="AO47" s="143" t="n">
        <f aca="false">IFERROR(AO45/INDEX(Sh_Dil,1,MATCH(AO$7,Q_Yr,1)),0)</f>
        <v>6.29611732456538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2443</v>
      </c>
    </row>
    <row r="2" customFormat="false" ht="15" hidden="false" customHeight="false" outlineLevel="0" collapsed="false">
      <c r="A2" s="22" t="s">
        <v>2453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2454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107" t="s">
        <v>2455</v>
      </c>
      <c r="B11" s="22" t="s">
        <v>613</v>
      </c>
      <c r="C11" s="22" t="s">
        <v>2410</v>
      </c>
      <c r="D11" s="22"/>
      <c r="F11" s="124" t="n">
        <f aca="false">IF(F$5&lt;=LastHist,0,INDEX(PL_EBITDA,1,1))</f>
        <v>0</v>
      </c>
      <c r="G11" s="124" t="n">
        <f aca="false">IF(G$5&lt;=LastHist,0,INDEX(PL_EBITDA,1,2))</f>
        <v>0</v>
      </c>
      <c r="H11" s="124" t="n">
        <f aca="false">IF(H$5&lt;=LastHist,0,INDEX(PL_EBITDA,1,3))</f>
        <v>0</v>
      </c>
      <c r="I11" s="124" t="n">
        <f aca="false">IF(I$5&lt;=LastHist,0,INDEX(PL_EBITDA,1,4))</f>
        <v>0</v>
      </c>
      <c r="J11" s="124" t="n">
        <f aca="false">IF(J$5&lt;=LastHist,0,INDEX(PL_EBITDA,1,5))</f>
        <v>0</v>
      </c>
      <c r="K11" s="124" t="n">
        <f aca="false">IF(K$5&lt;=LastHist,0,INDEX(PL_EBITDA,1,6))</f>
        <v>0</v>
      </c>
      <c r="L11" s="124" t="n">
        <f aca="false">IF(L$5&lt;=LastHist,0,INDEX(PL_EBITDA,1,7))</f>
        <v>0</v>
      </c>
      <c r="M11" s="124" t="n">
        <f aca="false">IF(M$5&lt;=LastHist,0,INDEX(PL_EBITDA,1,8))</f>
        <v>0</v>
      </c>
      <c r="N11" s="124" t="n">
        <f aca="false">IF(N$5&lt;=LastHist,0,INDEX(PL_EBITDA,1,9))</f>
        <v>0</v>
      </c>
      <c r="O11" s="124" t="n">
        <f aca="false">IF(O$5&lt;=LastHist,0,INDEX(PL_EBITDA,1,10))</f>
        <v>0</v>
      </c>
      <c r="P11" s="125" t="n">
        <f aca="false">IF(P$5&lt;=LastHist,0,INDEX(PL_EBITDA,1,11))</f>
        <v>263.559609035428</v>
      </c>
      <c r="Q11" s="125" t="n">
        <f aca="false">IF(Q$5&lt;=LastHist,0,INDEX(PL_EBITDA,1,12))</f>
        <v>322.031223100427</v>
      </c>
      <c r="R11" s="125" t="n">
        <f aca="false">IF(R$5&lt;=LastHist,0,INDEX(PL_EBITDA,1,13))</f>
        <v>503.881978194995</v>
      </c>
      <c r="S11" s="125" t="n">
        <f aca="false">IF(S$5&lt;=LastHist,0,INDEX(PL_EBITDA,1,14))</f>
        <v>710.964661017503</v>
      </c>
      <c r="T11" s="125" t="n">
        <f aca="false">IF(T$5&lt;=LastHist,0,INDEX(PL_EBITDA,1,15))</f>
        <v>1035.660767929</v>
      </c>
      <c r="U11" s="125" t="n">
        <f aca="false">IF(U$5&lt;=LastHist,0,INDEX(PL_EBITDA,1,16))</f>
        <v>1462.95628445689</v>
      </c>
      <c r="V11" s="125" t="n">
        <f aca="false">IF(V$5&lt;=LastHist,0,INDEX(PL_EBITDA,1,17))</f>
        <v>2272.25557553555</v>
      </c>
      <c r="W11" s="125" t="n">
        <f aca="false">IF(W$5&lt;=LastHist,0,INDEX(PL_EBITDA,1,18))</f>
        <v>2823.07921068436</v>
      </c>
      <c r="X11" s="125" t="n">
        <f aca="false">IF(X$5&lt;=LastHist,0,INDEX(PL_EBITDA,1,19))</f>
        <v>3187.28763334838</v>
      </c>
      <c r="Y11" s="125" t="n">
        <f aca="false">IF(Y$5&lt;=LastHist,0,INDEX(PL_EBITDA,1,20))</f>
        <v>3472.62120007132</v>
      </c>
      <c r="Z11" s="125" t="n">
        <f aca="false">IF(Z$5&lt;=LastHist,0,INDEX(PL_EBITDA,1,21))</f>
        <v>4158.83962188291</v>
      </c>
      <c r="AA11" s="125" t="n">
        <f aca="false">IF(AA$5&lt;=LastHist,0,INDEX(PL_EBITDA,1,22))</f>
        <v>4701.39139604466</v>
      </c>
      <c r="AB11" s="125" t="n">
        <f aca="false">IF(AB$5&lt;=LastHist,0,INDEX(PL_EBITDA,1,23))</f>
        <v>5209.25796653856</v>
      </c>
      <c r="AC11" s="125" t="n">
        <f aca="false">IF(AC$5&lt;=LastHist,0,INDEX(PL_EBITDA,1,24))</f>
        <v>5778.0396247227</v>
      </c>
      <c r="AD11" s="125" t="n">
        <f aca="false">IF(AD$5&lt;=LastHist,0,INDEX(PL_EBITDA,1,25))</f>
        <v>6685.12060102526</v>
      </c>
      <c r="AE11" s="125" t="n">
        <f aca="false">IF(AE$5&lt;=LastHist,0,INDEX(PL_EBITDA,1,26))</f>
        <v>7422.95225983093</v>
      </c>
      <c r="AF11" s="125" t="n">
        <f aca="false">IF(AF$5&lt;=LastHist,0,INDEX(PL_EBITDA,1,27))</f>
        <v>7391.35791832591</v>
      </c>
      <c r="AG11" s="125" t="n">
        <f aca="false">IF(AG$5&lt;=LastHist,0,INDEX(PL_EBITDA,1,28))</f>
        <v>7526.26243510132</v>
      </c>
      <c r="AI11" s="125" t="n">
        <f aca="false">SUMIF($F$7:$AG$7,AI$7,$F11:$AG11)</f>
        <v>0</v>
      </c>
      <c r="AJ11" s="125" t="n">
        <f aca="false">SUMIF($F$7:$AG$7,AJ$7,$F11:$AG11)</f>
        <v>0</v>
      </c>
      <c r="AK11" s="125" t="n">
        <f aca="false">SUMIF($F$7:$AG$7,AK$7,$F11:$AG11)</f>
        <v>585.590832135855</v>
      </c>
      <c r="AL11" s="125" t="n">
        <f aca="false">SUMIF($F$7:$AG$7,AL$7,$F11:$AG11)</f>
        <v>3713.46369159839</v>
      </c>
      <c r="AM11" s="125" t="n">
        <f aca="false">SUMIF($F$7:$AG$7,AM$7,$F11:$AG11)</f>
        <v>11755.2436196396</v>
      </c>
      <c r="AN11" s="125" t="n">
        <f aca="false">SUMIF($F$7:$AG$7,AN$7,$F11:$AG11)</f>
        <v>19847.5286091888</v>
      </c>
      <c r="AO11" s="125" t="n">
        <f aca="false">SUMIF($F$7:$AG$7,AO$7,$F11:$AG11)</f>
        <v>29025.6932142834</v>
      </c>
    </row>
    <row r="12" customFormat="false" ht="15" hidden="false" customHeight="false" outlineLevel="0" collapsed="false">
      <c r="A12" s="107" t="s">
        <v>2456</v>
      </c>
      <c r="B12" s="22" t="s">
        <v>613</v>
      </c>
      <c r="C12" s="22" t="s">
        <v>2410</v>
      </c>
      <c r="D12" s="22"/>
      <c r="F12" s="124" t="n">
        <f aca="false">IF(F$5&lt;=LastHist,0,-INDEX(PL_Tax,1,1))</f>
        <v>0</v>
      </c>
      <c r="G12" s="124" t="n">
        <f aca="false">IF(G$5&lt;=LastHist,0,-INDEX(PL_Tax,1,2))</f>
        <v>0</v>
      </c>
      <c r="H12" s="124" t="n">
        <f aca="false">IF(H$5&lt;=LastHist,0,-INDEX(PL_Tax,1,3))</f>
        <v>0</v>
      </c>
      <c r="I12" s="124" t="n">
        <f aca="false">IF(I$5&lt;=LastHist,0,-INDEX(PL_Tax,1,4))</f>
        <v>0</v>
      </c>
      <c r="J12" s="124" t="n">
        <f aca="false">IF(J$5&lt;=LastHist,0,-INDEX(PL_Tax,1,5))</f>
        <v>0</v>
      </c>
      <c r="K12" s="124" t="n">
        <f aca="false">IF(K$5&lt;=LastHist,0,-INDEX(PL_Tax,1,6))</f>
        <v>0</v>
      </c>
      <c r="L12" s="124" t="n">
        <f aca="false">IF(L$5&lt;=LastHist,0,-INDEX(PL_Tax,1,7))</f>
        <v>0</v>
      </c>
      <c r="M12" s="124" t="n">
        <f aca="false">IF(M$5&lt;=LastHist,0,-INDEX(PL_Tax,1,8))</f>
        <v>0</v>
      </c>
      <c r="N12" s="124" t="n">
        <f aca="false">IF(N$5&lt;=LastHist,0,-INDEX(PL_Tax,1,9))</f>
        <v>0</v>
      </c>
      <c r="O12" s="124" t="n">
        <f aca="false">IF(O$5&lt;=LastHist,0,-INDEX(PL_Tax,1,10))</f>
        <v>0</v>
      </c>
      <c r="P12" s="125" t="n">
        <f aca="false">IF(P$5&lt;=LastHist,0,-INDEX(PL_Tax,1,11))</f>
        <v>-0</v>
      </c>
      <c r="Q12" s="125" t="n">
        <f aca="false">IF(Q$5&lt;=LastHist,0,-INDEX(PL_Tax,1,12))</f>
        <v>-0</v>
      </c>
      <c r="R12" s="125" t="n">
        <f aca="false">IF(R$5&lt;=LastHist,0,-INDEX(PL_Tax,1,13))</f>
        <v>-0</v>
      </c>
      <c r="S12" s="125" t="n">
        <f aca="false">IF(S$5&lt;=LastHist,0,-INDEX(PL_Tax,1,14))</f>
        <v>-0</v>
      </c>
      <c r="T12" s="125" t="n">
        <f aca="false">IF(T$5&lt;=LastHist,0,-INDEX(PL_Tax,1,15))</f>
        <v>-0</v>
      </c>
      <c r="U12" s="125" t="n">
        <f aca="false">IF(U$5&lt;=LastHist,0,-INDEX(PL_Tax,1,16))</f>
        <v>-0</v>
      </c>
      <c r="V12" s="125" t="n">
        <f aca="false">IF(V$5&lt;=LastHist,0,-INDEX(PL_Tax,1,17))</f>
        <v>-0</v>
      </c>
      <c r="W12" s="125" t="n">
        <f aca="false">IF(W$5&lt;=LastHist,0,-INDEX(PL_Tax,1,18))</f>
        <v>-0</v>
      </c>
      <c r="X12" s="125" t="n">
        <f aca="false">IF(X$5&lt;=LastHist,0,-INDEX(PL_Tax,1,19))</f>
        <v>-0</v>
      </c>
      <c r="Y12" s="125" t="n">
        <f aca="false">IF(Y$5&lt;=LastHist,0,-INDEX(PL_Tax,1,20))</f>
        <v>-0</v>
      </c>
      <c r="Z12" s="125" t="n">
        <f aca="false">IF(Z$5&lt;=LastHist,0,-INDEX(PL_Tax,1,21))</f>
        <v>-0</v>
      </c>
      <c r="AA12" s="125" t="n">
        <f aca="false">IF(AA$5&lt;=LastHist,0,-INDEX(PL_Tax,1,22))</f>
        <v>-54.3197775025123</v>
      </c>
      <c r="AB12" s="125" t="n">
        <f aca="false">IF(AB$5&lt;=LastHist,0,-INDEX(PL_Tax,1,23))</f>
        <v>-9.80420220182431</v>
      </c>
      <c r="AC12" s="125" t="n">
        <f aca="false">IF(AC$5&lt;=LastHist,0,-INDEX(PL_Tax,1,24))</f>
        <v>-90.3159225897905</v>
      </c>
      <c r="AD12" s="125" t="n">
        <f aca="false">IF(AD$5&lt;=LastHist,0,-INDEX(PL_Tax,1,25))</f>
        <v>-91.2956343470439</v>
      </c>
      <c r="AE12" s="125" t="n">
        <f aca="false">IF(AE$5&lt;=LastHist,0,-INDEX(PL_Tax,1,26))</f>
        <v>-266.720485333993</v>
      </c>
      <c r="AF12" s="125" t="n">
        <f aca="false">IF(AF$5&lt;=LastHist,0,-INDEX(PL_Tax,1,27))</f>
        <v>-272.649560084109</v>
      </c>
      <c r="AG12" s="125" t="n">
        <f aca="false">IF(AG$5&lt;=LastHist,0,-INDEX(PL_Tax,1,28))</f>
        <v>-302.255456605969</v>
      </c>
      <c r="AI12" s="125" t="n">
        <f aca="false">SUMIF($F$7:$AG$7,AI$7,$F12:$AG12)</f>
        <v>0</v>
      </c>
      <c r="AJ12" s="125" t="n">
        <f aca="false">SUMIF($F$7:$AG$7,AJ$7,$F12:$AG12)</f>
        <v>0</v>
      </c>
      <c r="AK12" s="125" t="n">
        <f aca="false">SUMIF($F$7:$AG$7,AK$7,$F12:$AG12)</f>
        <v>0</v>
      </c>
      <c r="AL12" s="125" t="n">
        <f aca="false">SUMIF($F$7:$AG$7,AL$7,$F12:$AG12)</f>
        <v>0</v>
      </c>
      <c r="AM12" s="125" t="n">
        <f aca="false">SUMIF($F$7:$AG$7,AM$7,$F12:$AG12)</f>
        <v>0</v>
      </c>
      <c r="AN12" s="125" t="n">
        <f aca="false">SUMIF($F$7:$AG$7,AN$7,$F12:$AG12)</f>
        <v>-154.439902294127</v>
      </c>
      <c r="AO12" s="125" t="n">
        <f aca="false">SUMIF($F$7:$AG$7,AO$7,$F12:$AG12)</f>
        <v>-932.921136371114</v>
      </c>
    </row>
    <row r="14" customFormat="false" ht="15" hidden="false" customHeight="false" outlineLevel="0" collapsed="false">
      <c r="A14" s="58" t="s">
        <v>2457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6" customFormat="false" ht="15" hidden="false" customHeight="false" outlineLevel="0" collapsed="false">
      <c r="A16" s="58" t="s">
        <v>2458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</row>
    <row r="17" customFormat="false" ht="15" hidden="false" customHeight="false" outlineLevel="0" collapsed="false">
      <c r="A17" s="107" t="s">
        <v>2459</v>
      </c>
      <c r="B17" s="22" t="s">
        <v>619</v>
      </c>
      <c r="C17" s="22" t="s">
        <v>540</v>
      </c>
      <c r="D17" s="22"/>
      <c r="F17" s="119" t="n">
        <f aca="false">IF(IFERROR(INDEX(MW_New,1,MIN(28,1+GPULead)),0)&gt;0,MIN(1,MAX(0,IFERROR(INDEX(SigMW,1,MIN(28,1+GPULead))-INDEX(SigMW,1,MIN(28,1+GPULead)-1),0))/IFERROR(INDEX(MW_New,1,MIN(28,1+GPULead)),0)),0)</f>
        <v>0</v>
      </c>
      <c r="G17" s="119" t="n">
        <f aca="false">IF(IFERROR(INDEX(MW_New,1,MIN(28,2+GPULead)),0)&gt;0,MIN(1,MAX(0,IFERROR(INDEX(SigMW,1,MIN(28,2+GPULead))-INDEX(SigMW,1,MIN(28,2+GPULead)-1),0))/IFERROR(INDEX(MW_New,1,MIN(28,2+GPULead)),0)),0)</f>
        <v>0</v>
      </c>
      <c r="H17" s="119" t="n">
        <f aca="false">IF(IFERROR(INDEX(MW_New,1,MIN(28,3+GPULead)),0)&gt;0,MIN(1,MAX(0,IFERROR(INDEX(SigMW,1,MIN(28,3+GPULead))-INDEX(SigMW,1,MIN(28,3+GPULead)-1),0))/IFERROR(INDEX(MW_New,1,MIN(28,3+GPULead)),0)),0)</f>
        <v>0</v>
      </c>
      <c r="I17" s="119" t="n">
        <f aca="false">IF(IFERROR(INDEX(MW_New,1,MIN(28,4+GPULead)),0)&gt;0,MIN(1,MAX(0,IFERROR(INDEX(SigMW,1,MIN(28,4+GPULead))-INDEX(SigMW,1,MIN(28,4+GPULead)-1),0))/IFERROR(INDEX(MW_New,1,MIN(28,4+GPULead)),0)),0)</f>
        <v>0</v>
      </c>
      <c r="J17" s="119" t="n">
        <f aca="false">IF(IFERROR(INDEX(MW_New,1,MIN(28,5+GPULead)),0)&gt;0,MIN(1,MAX(0,IFERROR(INDEX(SigMW,1,MIN(28,5+GPULead))-INDEX(SigMW,1,MIN(28,5+GPULead)-1),0))/IFERROR(INDEX(MW_New,1,MIN(28,5+GPULead)),0)),0)</f>
        <v>0</v>
      </c>
      <c r="K17" s="119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19" t="n">
        <f aca="false">IF(IFERROR(INDEX(MW_New,1,MIN(28,7+GPULead)),0)&gt;0,MIN(1,MAX(0,IFERROR(INDEX(SigMW,1,MIN(28,7+GPULead))-INDEX(SigMW,1,MIN(28,7+GPULead)-1),0))/IFERROR(INDEX(MW_New,1,MIN(28,7+GPULead)),0)),0)</f>
        <v>1</v>
      </c>
      <c r="M17" s="119" t="n">
        <f aca="false">IF(IFERROR(INDEX(MW_New,1,MIN(28,8+GPULead)),0)&gt;0,MIN(1,MAX(0,IFERROR(INDEX(SigMW,1,MIN(28,8+GPULead))-INDEX(SigMW,1,MIN(28,8+GPULead)-1),0))/IFERROR(INDEX(MW_New,1,MIN(28,8+GPULead)),0)),0)</f>
        <v>0</v>
      </c>
      <c r="N17" s="119" t="n">
        <f aca="false">IF(IFERROR(INDEX(MW_New,1,MIN(28,9+GPULead)),0)&gt;0,MIN(1,MAX(0,IFERROR(INDEX(SigMW,1,MIN(28,9+GPULead))-INDEX(SigMW,1,MIN(28,9+GPULead)-1),0))/IFERROR(INDEX(MW_New,1,MIN(28,9+GPULead)),0)),0)</f>
        <v>0</v>
      </c>
      <c r="O17" s="119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5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5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5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5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5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5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5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5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5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5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5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5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5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5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5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5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5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5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5" t="n">
        <f aca="false">AVERAGEIF($F$7:$AG$7,AI$7,$F17:$AG17)</f>
        <v>0</v>
      </c>
      <c r="AJ17" s="25" t="n">
        <f aca="false">AVERAGEIF($F$7:$AG$7,AJ$7,$F17:$AG17)</f>
        <v>0.40988102434918</v>
      </c>
      <c r="AK17" s="25" t="n">
        <f aca="false">AVERAGEIF($F$7:$AG$7,AK$7,$F17:$AG17)</f>
        <v>0.0876773342583292</v>
      </c>
      <c r="AL17" s="25" t="n">
        <f aca="false">AVERAGEIF($F$7:$AG$7,AL$7,$F17:$AG17)</f>
        <v>0.262500916074799</v>
      </c>
      <c r="AM17" s="25" t="n">
        <f aca="false">AVERAGEIF($F$7:$AG$7,AM$7,$F17:$AG17)</f>
        <v>0</v>
      </c>
      <c r="AN17" s="25" t="n">
        <f aca="false">AVERAGEIF($F$7:$AG$7,AN$7,$F17:$AG17)</f>
        <v>0</v>
      </c>
      <c r="AO17" s="25" t="n">
        <f aca="false">AVERAGEIF($F$7:$AG$7,AO$7,$F17:$AG17)</f>
        <v>0</v>
      </c>
    </row>
    <row r="18" customFormat="false" ht="15" hidden="false" customHeight="false" outlineLevel="0" collapsed="false">
      <c r="A18" s="107" t="s">
        <v>2460</v>
      </c>
      <c r="B18" s="22" t="s">
        <v>619</v>
      </c>
      <c r="C18" s="22" t="s">
        <v>540</v>
      </c>
      <c r="D18" s="22"/>
      <c r="F18" s="119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19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19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19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19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19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19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19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19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19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5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5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5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5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5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5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5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5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5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5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5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5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5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5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5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5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5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5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5" t="n">
        <f aca="false">AVERAGEIF($F$7:$AG$7,AI$7,$F18:$AG18)</f>
        <v>0</v>
      </c>
      <c r="AJ18" s="25" t="n">
        <f aca="false">AVERAGEIF($F$7:$AG$7,AJ$7,$F18:$AG18)</f>
        <v>0</v>
      </c>
      <c r="AK18" s="25" t="n">
        <f aca="false">AVERAGEIF($F$7:$AG$7,AK$7,$F18:$AG18)</f>
        <v>0</v>
      </c>
      <c r="AL18" s="25" t="n">
        <f aca="false">AVERAGEIF($F$7:$AG$7,AL$7,$F18:$AG18)</f>
        <v>0</v>
      </c>
      <c r="AM18" s="25" t="n">
        <f aca="false">AVERAGEIF($F$7:$AG$7,AM$7,$F18:$AG18)</f>
        <v>0</v>
      </c>
      <c r="AN18" s="25" t="n">
        <f aca="false">AVERAGEIF($F$7:$AG$7,AN$7,$F18:$AG18)</f>
        <v>0</v>
      </c>
      <c r="AO18" s="25" t="n">
        <f aca="false">AVERAGEIF($F$7:$AG$7,AO$7,$F18:$AG18)</f>
        <v>0</v>
      </c>
    </row>
    <row r="19" customFormat="false" ht="15" hidden="false" customHeight="false" outlineLevel="0" collapsed="false">
      <c r="A19" s="107" t="s">
        <v>2461</v>
      </c>
      <c r="B19" s="22" t="s">
        <v>619</v>
      </c>
      <c r="C19" s="22" t="s">
        <v>540</v>
      </c>
      <c r="D19" s="22"/>
      <c r="F19" s="119" t="n">
        <f aca="false">1-F17-F18</f>
        <v>1</v>
      </c>
      <c r="G19" s="119" t="n">
        <f aca="false">1-G17-G18</f>
        <v>1</v>
      </c>
      <c r="H19" s="119" t="n">
        <f aca="false">1-H17-H18</f>
        <v>1</v>
      </c>
      <c r="I19" s="119" t="n">
        <f aca="false">1-I17-I18</f>
        <v>1</v>
      </c>
      <c r="J19" s="119" t="n">
        <f aca="false">1-J17-J18</f>
        <v>1</v>
      </c>
      <c r="K19" s="119" t="n">
        <f aca="false">1-K17-K18</f>
        <v>0.360475902603279</v>
      </c>
      <c r="L19" s="119" t="n">
        <f aca="false">1-L17-L18</f>
        <v>0</v>
      </c>
      <c r="M19" s="119" t="n">
        <f aca="false">1-M17-M18</f>
        <v>1</v>
      </c>
      <c r="N19" s="119" t="n">
        <f aca="false">1-N17-N18</f>
        <v>1</v>
      </c>
      <c r="O19" s="119" t="n">
        <f aca="false">1-O17-O18</f>
        <v>1</v>
      </c>
      <c r="P19" s="25" t="n">
        <f aca="false">1-P17-P18</f>
        <v>1</v>
      </c>
      <c r="Q19" s="25" t="n">
        <f aca="false">1-Q17-Q18</f>
        <v>0.649290662966683</v>
      </c>
      <c r="R19" s="25" t="n">
        <f aca="false">1-R17-R18</f>
        <v>0.241323083228849</v>
      </c>
      <c r="S19" s="25" t="n">
        <f aca="false">1-S17-S18</f>
        <v>0.708673252471953</v>
      </c>
      <c r="T19" s="25" t="n">
        <f aca="false">1-T17-T18</f>
        <v>1</v>
      </c>
      <c r="U19" s="25" t="n">
        <f aca="false">1-U17-U18</f>
        <v>1</v>
      </c>
      <c r="V19" s="25" t="n">
        <f aca="false">1-V17-V18</f>
        <v>1</v>
      </c>
      <c r="W19" s="25" t="n">
        <f aca="false">1-W17-W18</f>
        <v>1</v>
      </c>
      <c r="X19" s="25" t="n">
        <f aca="false">1-X17-X18</f>
        <v>1</v>
      </c>
      <c r="Y19" s="25" t="n">
        <f aca="false">1-Y17-Y18</f>
        <v>1</v>
      </c>
      <c r="Z19" s="25" t="n">
        <f aca="false">1-Z17-Z18</f>
        <v>1</v>
      </c>
      <c r="AA19" s="25" t="n">
        <f aca="false">1-AA17-AA18</f>
        <v>1</v>
      </c>
      <c r="AB19" s="25" t="n">
        <f aca="false">1-AB17-AB18</f>
        <v>1</v>
      </c>
      <c r="AC19" s="25" t="n">
        <f aca="false">1-AC17-AC18</f>
        <v>1</v>
      </c>
      <c r="AD19" s="25" t="n">
        <f aca="false">1-AD17-AD18</f>
        <v>1</v>
      </c>
      <c r="AE19" s="25" t="n">
        <f aca="false">1-AE17-AE18</f>
        <v>1</v>
      </c>
      <c r="AF19" s="25" t="n">
        <f aca="false">1-AF17-AF18</f>
        <v>1</v>
      </c>
      <c r="AG19" s="25" t="n">
        <f aca="false">1-AG17-AG18</f>
        <v>1</v>
      </c>
      <c r="AI19" s="25" t="n">
        <f aca="false">AVERAGEIF($F$7:$AG$7,AI$7,$F19:$AG19)</f>
        <v>1</v>
      </c>
      <c r="AJ19" s="25" t="n">
        <f aca="false">AVERAGEIF($F$7:$AG$7,AJ$7,$F19:$AG19)</f>
        <v>0.59011897565082</v>
      </c>
      <c r="AK19" s="25" t="n">
        <f aca="false">AVERAGEIF($F$7:$AG$7,AK$7,$F19:$AG19)</f>
        <v>0.912322665741671</v>
      </c>
      <c r="AL19" s="25" t="n">
        <f aca="false">AVERAGEIF($F$7:$AG$7,AL$7,$F19:$AG19)</f>
        <v>0.737499083925201</v>
      </c>
      <c r="AM19" s="25" t="n">
        <f aca="false">AVERAGEIF($F$7:$AG$7,AM$7,$F19:$AG19)</f>
        <v>1</v>
      </c>
      <c r="AN19" s="25" t="n">
        <f aca="false">AVERAGEIF($F$7:$AG$7,AN$7,$F19:$AG19)</f>
        <v>1</v>
      </c>
      <c r="AO19" s="25" t="n">
        <f aca="false">AVERAGEIF($F$7:$AG$7,AO$7,$F19:$AG19)</f>
        <v>1</v>
      </c>
    </row>
    <row r="20" customFormat="false" ht="15" hidden="false" customHeight="false" outlineLevel="0" collapsed="false">
      <c r="A20" s="107" t="s">
        <v>2462</v>
      </c>
      <c r="B20" s="22" t="s">
        <v>619</v>
      </c>
      <c r="C20" s="22" t="s">
        <v>551</v>
      </c>
      <c r="D20" s="22"/>
      <c r="F20" s="128" t="n">
        <f aca="false">IF(PrepayDecayOn=0,PrepayPct,IF(F$5&lt;PxCycIdx,PrepayPct,IF(F$5&lt;PrepayIdx28,PrepayPct27,PrepayPct28)))</f>
        <v>0.385</v>
      </c>
      <c r="G20" s="128" t="n">
        <f aca="false">IF(PrepayDecayOn=0,PrepayPct,IF(G$5&lt;PxCycIdx,PrepayPct,IF(G$5&lt;PrepayIdx28,PrepayPct27,PrepayPct28)))</f>
        <v>0.385</v>
      </c>
      <c r="H20" s="128" t="n">
        <f aca="false">IF(PrepayDecayOn=0,PrepayPct,IF(H$5&lt;PxCycIdx,PrepayPct,IF(H$5&lt;PrepayIdx28,PrepayPct27,PrepayPct28)))</f>
        <v>0.385</v>
      </c>
      <c r="I20" s="128" t="n">
        <f aca="false">IF(PrepayDecayOn=0,PrepayPct,IF(I$5&lt;PxCycIdx,PrepayPct,IF(I$5&lt;PrepayIdx28,PrepayPct27,PrepayPct28)))</f>
        <v>0.385</v>
      </c>
      <c r="J20" s="128" t="n">
        <f aca="false">IF(PrepayDecayOn=0,PrepayPct,IF(J$5&lt;PxCycIdx,PrepayPct,IF(J$5&lt;PrepayIdx28,PrepayPct27,PrepayPct28)))</f>
        <v>0.385</v>
      </c>
      <c r="K20" s="128" t="n">
        <f aca="false">IF(PrepayDecayOn=0,PrepayPct,IF(K$5&lt;PxCycIdx,PrepayPct,IF(K$5&lt;PrepayIdx28,PrepayPct27,PrepayPct28)))</f>
        <v>0.385</v>
      </c>
      <c r="L20" s="128" t="n">
        <f aca="false">IF(PrepayDecayOn=0,PrepayPct,IF(L$5&lt;PxCycIdx,PrepayPct,IF(L$5&lt;PrepayIdx28,PrepayPct27,PrepayPct28)))</f>
        <v>0.385</v>
      </c>
      <c r="M20" s="128" t="n">
        <f aca="false">IF(PrepayDecayOn=0,PrepayPct,IF(M$5&lt;PxCycIdx,PrepayPct,IF(M$5&lt;PrepayIdx28,PrepayPct27,PrepayPct28)))</f>
        <v>0.385</v>
      </c>
      <c r="N20" s="128" t="n">
        <f aca="false">IF(PrepayDecayOn=0,PrepayPct,IF(N$5&lt;PxCycIdx,PrepayPct,IF(N$5&lt;PrepayIdx28,PrepayPct27,PrepayPct28)))</f>
        <v>0.385</v>
      </c>
      <c r="O20" s="128" t="n">
        <f aca="false">IF(PrepayDecayOn=0,PrepayPct,IF(O$5&lt;PxCycIdx,PrepayPct,IF(O$5&lt;PrepayIdx28,PrepayPct27,PrepayPct28)))</f>
        <v>0.385</v>
      </c>
      <c r="P20" s="27" t="n">
        <f aca="false">IF(PrepayDecayOn=0,PrepayPct,IF(P$5&lt;PxCycIdx,PrepayPct,IF(P$5&lt;PrepayIdx28,PrepayPct27,PrepayPct28)))</f>
        <v>0.385</v>
      </c>
      <c r="Q20" s="27" t="n">
        <f aca="false">IF(PrepayDecayOn=0,PrepayPct,IF(Q$5&lt;PxCycIdx,PrepayPct,IF(Q$5&lt;PrepayIdx28,PrepayPct27,PrepayPct28)))</f>
        <v>0.385</v>
      </c>
      <c r="R20" s="27" t="n">
        <f aca="false">IF(PrepayDecayOn=0,PrepayPct,IF(R$5&lt;PxCycIdx,PrepayPct,IF(R$5&lt;PrepayIdx28,PrepayPct27,PrepayPct28)))</f>
        <v>0.385</v>
      </c>
      <c r="S20" s="27" t="n">
        <f aca="false">IF(PrepayDecayOn=0,PrepayPct,IF(S$5&lt;PxCycIdx,PrepayPct,IF(S$5&lt;PrepayIdx28,PrepayPct27,PrepayPct28)))</f>
        <v>0.385</v>
      </c>
      <c r="T20" s="27" t="n">
        <f aca="false">IF(PrepayDecayOn=0,PrepayPct,IF(T$5&lt;PxCycIdx,PrepayPct,IF(T$5&lt;PrepayIdx28,PrepayPct27,PrepayPct28)))</f>
        <v>0.385</v>
      </c>
      <c r="U20" s="27" t="n">
        <f aca="false">IF(PrepayDecayOn=0,PrepayPct,IF(U$5&lt;PxCycIdx,PrepayPct,IF(U$5&lt;PrepayIdx28,PrepayPct27,PrepayPct28)))</f>
        <v>0.385</v>
      </c>
      <c r="V20" s="27" t="n">
        <f aca="false">IF(PrepayDecayOn=0,PrepayPct,IF(V$5&lt;PxCycIdx,PrepayPct,IF(V$5&lt;PrepayIdx28,PrepayPct27,PrepayPct28)))</f>
        <v>0.225</v>
      </c>
      <c r="W20" s="27" t="n">
        <f aca="false">IF(PrepayDecayOn=0,PrepayPct,IF(W$5&lt;PxCycIdx,PrepayPct,IF(W$5&lt;PrepayIdx28,PrepayPct27,PrepayPct28)))</f>
        <v>0.225</v>
      </c>
      <c r="X20" s="27" t="n">
        <f aca="false">IF(PrepayDecayOn=0,PrepayPct,IF(X$5&lt;PxCycIdx,PrepayPct,IF(X$5&lt;PrepayIdx28,PrepayPct27,PrepayPct28)))</f>
        <v>0.225</v>
      </c>
      <c r="Y20" s="27" t="n">
        <f aca="false">IF(PrepayDecayOn=0,PrepayPct,IF(Y$5&lt;PxCycIdx,PrepayPct,IF(Y$5&lt;PrepayIdx28,PrepayPct27,PrepayPct28)))</f>
        <v>0.225</v>
      </c>
      <c r="Z20" s="27" t="n">
        <f aca="false">IF(PrepayDecayOn=0,PrepayPct,IF(Z$5&lt;PxCycIdx,PrepayPct,IF(Z$5&lt;PrepayIdx28,PrepayPct27,PrepayPct28)))</f>
        <v>0.225</v>
      </c>
      <c r="AA20" s="27" t="n">
        <f aca="false">IF(PrepayDecayOn=0,PrepayPct,IF(AA$5&lt;PxCycIdx,PrepayPct,IF(AA$5&lt;PrepayIdx28,PrepayPct27,PrepayPct28)))</f>
        <v>0.225</v>
      </c>
      <c r="AB20" s="27" t="n">
        <f aca="false">IF(PrepayDecayOn=0,PrepayPct,IF(AB$5&lt;PxCycIdx,PrepayPct,IF(AB$5&lt;PrepayIdx28,PrepayPct27,PrepayPct28)))</f>
        <v>0.225</v>
      </c>
      <c r="AC20" s="27" t="n">
        <f aca="false">IF(PrepayDecayOn=0,PrepayPct,IF(AC$5&lt;PxCycIdx,PrepayPct,IF(AC$5&lt;PrepayIdx28,PrepayPct27,PrepayPct28)))</f>
        <v>0.225</v>
      </c>
      <c r="AD20" s="27" t="n">
        <f aca="false">IF(PrepayDecayOn=0,PrepayPct,IF(AD$5&lt;PxCycIdx,PrepayPct,IF(AD$5&lt;PrepayIdx28,PrepayPct27,PrepayPct28)))</f>
        <v>0.225</v>
      </c>
      <c r="AE20" s="27" t="n">
        <f aca="false">IF(PrepayDecayOn=0,PrepayPct,IF(AE$5&lt;PxCycIdx,PrepayPct,IF(AE$5&lt;PrepayIdx28,PrepayPct27,PrepayPct28)))</f>
        <v>0.225</v>
      </c>
      <c r="AF20" s="27" t="n">
        <f aca="false">IF(PrepayDecayOn=0,PrepayPct,IF(AF$5&lt;PxCycIdx,PrepayPct,IF(AF$5&lt;PrepayIdx28,PrepayPct27,PrepayPct28)))</f>
        <v>0.225</v>
      </c>
      <c r="AG20" s="27" t="n">
        <f aca="false">IF(PrepayDecayOn=0,PrepayPct,IF(AG$5&lt;PxCycIdx,PrepayPct,IF(AG$5&lt;PrepayIdx28,PrepayPct27,PrepayPct28)))</f>
        <v>0.225</v>
      </c>
      <c r="AI20" s="27" t="n">
        <f aca="false">AVERAGEIF($F$7:$AG$7,AI$7,$F20:$AG20)</f>
        <v>0.385</v>
      </c>
      <c r="AJ20" s="27" t="n">
        <f aca="false">AVERAGEIF($F$7:$AG$7,AJ$7,$F20:$AG20)</f>
        <v>0.385</v>
      </c>
      <c r="AK20" s="27" t="n">
        <f aca="false">AVERAGEIF($F$7:$AG$7,AK$7,$F20:$AG20)</f>
        <v>0.385</v>
      </c>
      <c r="AL20" s="27" t="n">
        <f aca="false">AVERAGEIF($F$7:$AG$7,AL$7,$F20:$AG20)</f>
        <v>0.385</v>
      </c>
      <c r="AM20" s="27" t="n">
        <f aca="false">AVERAGEIF($F$7:$AG$7,AM$7,$F20:$AG20)</f>
        <v>0.225</v>
      </c>
      <c r="AN20" s="27" t="n">
        <f aca="false">AVERAGEIF($F$7:$AG$7,AN$7,$F20:$AG20)</f>
        <v>0.225</v>
      </c>
      <c r="AO20" s="27" t="n">
        <f aca="false">AVERAGEIF($F$7:$AG$7,AO$7,$F20:$AG20)</f>
        <v>0.225</v>
      </c>
    </row>
    <row r="21" customFormat="false" ht="15" hidden="false" customHeight="false" outlineLevel="0" collapsed="false">
      <c r="A21" s="107" t="s">
        <v>2463</v>
      </c>
      <c r="B21" s="22" t="s">
        <v>613</v>
      </c>
      <c r="C21" s="22" t="s">
        <v>604</v>
      </c>
      <c r="D21" s="22" t="s">
        <v>2464</v>
      </c>
      <c r="F21" s="124" t="n">
        <f aca="false">IF(F$5&lt;=LastHist,0,PrepayOn*IF(AND(PrepayMode&gt;=2,F$5&lt;=PrepayEndIdx),IF(AND(PrepayMode=3,F$5&lt;=LastHist+2),PrepayH2/2,PrepayQ),IF(PrepayBase=1,INDEX(CapNew,1,1)*IF(PrepayByCust=1,F18*HSPre+F19*F20,PrepayPct),PrepayPct*INDEX(Capex,1,1))))</f>
        <v>0</v>
      </c>
      <c r="G21" s="124" t="n">
        <f aca="false">IF(G$5&lt;=LastHist,0,PrepayOn*IF(AND(PrepayMode&gt;=2,G$5&lt;=PrepayEndIdx),IF(AND(PrepayMode=3,G$5&lt;=LastHist+2),PrepayH2/2,PrepayQ),IF(PrepayBase=1,INDEX(CapNew,1,2)*IF(PrepayByCust=1,G18*HSPre+G19*G20,PrepayPct),PrepayPct*INDEX(Capex,1,2))))</f>
        <v>0</v>
      </c>
      <c r="H21" s="124" t="n">
        <f aca="false">IF(H$5&lt;=LastHist,0,PrepayOn*IF(AND(PrepayMode&gt;=2,H$5&lt;=PrepayEndIdx),IF(AND(PrepayMode=3,H$5&lt;=LastHist+2),PrepayH2/2,PrepayQ),IF(PrepayBase=1,INDEX(CapNew,1,3)*IF(PrepayByCust=1,H18*HSPre+H19*H20,PrepayPct),PrepayPct*INDEX(Capex,1,3))))</f>
        <v>0</v>
      </c>
      <c r="I21" s="124" t="n">
        <f aca="false">IF(I$5&lt;=LastHist,0,PrepayOn*IF(AND(PrepayMode&gt;=2,I$5&lt;=PrepayEndIdx),IF(AND(PrepayMode=3,I$5&lt;=LastHist+2),PrepayH2/2,PrepayQ),IF(PrepayBase=1,INDEX(CapNew,1,4)*IF(PrepayByCust=1,I18*HSPre+I19*I20,PrepayPct),PrepayPct*INDEX(Capex,1,4))))</f>
        <v>0</v>
      </c>
      <c r="J21" s="124" t="n">
        <f aca="false">IF(J$5&lt;=LastHist,0,PrepayOn*IF(AND(PrepayMode&gt;=2,J$5&lt;=PrepayEndIdx),IF(AND(PrepayMode=3,J$5&lt;=LastHist+2),PrepayH2/2,PrepayQ),IF(PrepayBase=1,INDEX(CapNew,1,5)*IF(PrepayByCust=1,J18*HSPre+J19*J20,PrepayPct),PrepayPct*INDEX(Capex,1,5))))</f>
        <v>0</v>
      </c>
      <c r="K21" s="124" t="n">
        <f aca="false">IF(K$5&lt;=LastHist,0,PrepayOn*IF(AND(PrepayMode&gt;=2,K$5&lt;=PrepayEndIdx),IF(AND(PrepayMode=3,K$5&lt;=LastHist+2),PrepayH2/2,PrepayQ),IF(PrepayBase=1,INDEX(CapNew,1,6)*IF(PrepayByCust=1,K18*HSPre+K19*K20,PrepayPct),PrepayPct*INDEX(Capex,1,6))))</f>
        <v>0</v>
      </c>
      <c r="L21" s="124" t="n">
        <f aca="false">IF(L$5&lt;=LastHist,0,PrepayOn*IF(AND(PrepayMode&gt;=2,L$5&lt;=PrepayEndIdx),IF(AND(PrepayMode=3,L$5&lt;=LastHist+2),PrepayH2/2,PrepayQ),IF(PrepayBase=1,INDEX(CapNew,1,7)*IF(PrepayByCust=1,L18*HSPre+L19*L20,PrepayPct),PrepayPct*INDEX(Capex,1,7))))</f>
        <v>0</v>
      </c>
      <c r="M21" s="124" t="n">
        <f aca="false">IF(M$5&lt;=LastHist,0,PrepayOn*IF(AND(PrepayMode&gt;=2,M$5&lt;=PrepayEndIdx),IF(AND(PrepayMode=3,M$5&lt;=LastHist+2),PrepayH2/2,PrepayQ),IF(PrepayBase=1,INDEX(CapNew,1,8)*IF(PrepayByCust=1,M18*HSPre+M19*M20,PrepayPct),PrepayPct*INDEX(Capex,1,8))))</f>
        <v>0</v>
      </c>
      <c r="N21" s="124" t="n">
        <f aca="false">IF(N$5&lt;=LastHist,0,PrepayOn*IF(AND(PrepayMode&gt;=2,N$5&lt;=PrepayEndIdx),IF(AND(PrepayMode=3,N$5&lt;=LastHist+2),PrepayH2/2,PrepayQ),IF(PrepayBase=1,INDEX(CapNew,1,9)*IF(PrepayByCust=1,N18*HSPre+N19*N20,PrepayPct),PrepayPct*INDEX(Capex,1,9))))</f>
        <v>0</v>
      </c>
      <c r="O21" s="124" t="n">
        <f aca="false">IF(O$5&lt;=LastHist,0,PrepayOn*IF(AND(PrepayMode&gt;=2,O$5&lt;=PrepayEndIdx),IF(AND(PrepayMode=3,O$5&lt;=LastHist+2),PrepayH2/2,PrepayQ),IF(PrepayBase=1,INDEX(CapNew,1,10)*IF(PrepayByCust=1,O18*HSPre+O19*O20,PrepayPct),PrepayPct*INDEX(Capex,1,10))))</f>
        <v>0</v>
      </c>
      <c r="P21" s="125" t="n">
        <f aca="false">IF(P$5&lt;=LastHist,0,PrepayOn*IF(AND(PrepayMode&gt;=2,P$5&lt;=PrepayEndIdx),IF(AND(PrepayMode=3,P$5&lt;=LastHist+2),PrepayH2/2,PrepayQ),IF(PrepayBase=1,INDEX(CapNew,1,11)*IF(PrepayByCust=1,P18*HSPre+P19*P20,PrepayPct),PrepayPct*INDEX(Capex,1,11))))</f>
        <v>1200</v>
      </c>
      <c r="Q21" s="125" t="n">
        <f aca="false">IF(Q$5&lt;=LastHist,0,PrepayOn*IF(AND(PrepayMode&gt;=2,Q$5&lt;=PrepayEndIdx),IF(AND(PrepayMode=3,Q$5&lt;=LastHist+2),PrepayH2/2,PrepayQ),IF(PrepayBase=1,INDEX(CapNew,1,12)*IF(PrepayByCust=1,Q18*HSPre+Q19*Q20,PrepayPct),PrepayPct*INDEX(Capex,1,12))))</f>
        <v>1200</v>
      </c>
      <c r="R21" s="125" t="n">
        <f aca="false">IF(R$5&lt;=LastHist,0,PrepayOn*IF(AND(PrepayMode&gt;=2,R$5&lt;=PrepayEndIdx),IF(AND(PrepayMode=3,R$5&lt;=LastHist+2),PrepayH2/2,PrepayQ),IF(PrepayBase=1,INDEX(CapNew,1,13)*IF(PrepayByCust=1,R18*HSPre+R19*R20,PrepayPct),PrepayPct*INDEX(Capex,1,13))))</f>
        <v>1200</v>
      </c>
      <c r="S21" s="125" t="n">
        <f aca="false">IF(S$5&lt;=LastHist,0,PrepayOn*IF(AND(PrepayMode&gt;=2,S$5&lt;=PrepayEndIdx),IF(AND(PrepayMode=3,S$5&lt;=LastHist+2),PrepayH2/2,PrepayQ),IF(PrepayBase=1,INDEX(CapNew,1,14)*IF(PrepayByCust=1,S18*HSPre+S19*S20,PrepayPct),PrepayPct*INDEX(Capex,1,14))))</f>
        <v>1200</v>
      </c>
      <c r="T21" s="125" t="n">
        <f aca="false">IF(T$5&lt;=LastHist,0,PrepayOn*IF(AND(PrepayMode&gt;=2,T$5&lt;=PrepayEndIdx),IF(AND(PrepayMode=3,T$5&lt;=LastHist+2),PrepayH2/2,PrepayQ),IF(PrepayBase=1,INDEX(CapNew,1,15)*IF(PrepayByCust=1,T18*HSPre+T19*T20,PrepayPct),PrepayPct*INDEX(Capex,1,15))))</f>
        <v>1200</v>
      </c>
      <c r="U21" s="125" t="n">
        <f aca="false">IF(U$5&lt;=LastHist,0,PrepayOn*IF(AND(PrepayMode&gt;=2,U$5&lt;=PrepayEndIdx),IF(AND(PrepayMode=3,U$5&lt;=LastHist+2),PrepayH2/2,PrepayQ),IF(PrepayBase=1,INDEX(CapNew,1,16)*IF(PrepayByCust=1,U18*HSPre+U19*U20,PrepayPct),PrepayPct*INDEX(Capex,1,16))))</f>
        <v>1200</v>
      </c>
      <c r="V21" s="125" t="n">
        <f aca="false">IF(V$5&lt;=LastHist,0,PrepayOn*IF(AND(PrepayMode&gt;=2,V$5&lt;=PrepayEndIdx),IF(AND(PrepayMode=3,V$5&lt;=LastHist+2),PrepayH2/2,PrepayQ),IF(PrepayBase=1,INDEX(CapNew,1,17)*IF(PrepayByCust=1,V18*HSPre+V19*V20,PrepayPct),PrepayPct*INDEX(Capex,1,17))))</f>
        <v>1200</v>
      </c>
      <c r="W21" s="125" t="n">
        <f aca="false">IF(W$5&lt;=LastHist,0,PrepayOn*IF(AND(PrepayMode&gt;=2,W$5&lt;=PrepayEndIdx),IF(AND(PrepayMode=3,W$5&lt;=LastHist+2),PrepayH2/2,PrepayQ),IF(PrepayBase=1,INDEX(CapNew,1,18)*IF(PrepayByCust=1,W18*HSPre+W19*W20,PrepayPct),PrepayPct*INDEX(Capex,1,18))))</f>
        <v>1200</v>
      </c>
      <c r="X21" s="125" t="n">
        <f aca="false">IF(X$5&lt;=LastHist,0,PrepayOn*IF(AND(PrepayMode&gt;=2,X$5&lt;=PrepayEndIdx),IF(AND(PrepayMode=3,X$5&lt;=LastHist+2),PrepayH2/2,PrepayQ),IF(PrepayBase=1,INDEX(CapNew,1,19)*IF(PrepayByCust=1,X18*HSPre+X19*X20,PrepayPct),PrepayPct*INDEX(Capex,1,19))))</f>
        <v>1200</v>
      </c>
      <c r="Y21" s="125" t="n">
        <f aca="false">IF(Y$5&lt;=LastHist,0,PrepayOn*IF(AND(PrepayMode&gt;=2,Y$5&lt;=PrepayEndIdx),IF(AND(PrepayMode=3,Y$5&lt;=LastHist+2),PrepayH2/2,PrepayQ),IF(PrepayBase=1,INDEX(CapNew,1,20)*IF(PrepayByCust=1,Y18*HSPre+Y19*Y20,PrepayPct),PrepayPct*INDEX(Capex,1,20))))</f>
        <v>1200</v>
      </c>
      <c r="Z21" s="125" t="n">
        <f aca="false">IF(Z$5&lt;=LastHist,0,PrepayOn*IF(AND(PrepayMode&gt;=2,Z$5&lt;=PrepayEndIdx),IF(AND(PrepayMode=3,Z$5&lt;=LastHist+2),PrepayH2/2,PrepayQ),IF(PrepayBase=1,INDEX(CapNew,1,21)*IF(PrepayByCust=1,Z18*HSPre+Z19*Z20,PrepayPct),PrepayPct*INDEX(Capex,1,21))))</f>
        <v>2806.845615</v>
      </c>
      <c r="AA21" s="125" t="n">
        <f aca="false">IF(AA$5&lt;=LastHist,0,PrepayOn*IF(AND(PrepayMode&gt;=2,AA$5&lt;=PrepayEndIdx),IF(AND(PrepayMode=3,AA$5&lt;=LastHist+2),PrepayH2/2,PrepayQ),IF(PrepayBase=1,INDEX(CapNew,1,22)*IF(PrepayByCust=1,AA18*HSPre+AA19*AA20,PrepayPct),PrepayPct*INDEX(Capex,1,22))))</f>
        <v>1253.1234375</v>
      </c>
      <c r="AB21" s="125" t="n">
        <f aca="false">IF(AB$5&lt;=LastHist,0,PrepayOn*IF(AND(PrepayMode&gt;=2,AB$5&lt;=PrepayEndIdx),IF(AND(PrepayMode=3,AB$5&lt;=LastHist+2),PrepayH2/2,PrepayQ),IF(PrepayBase=1,INDEX(CapNew,1,23)*IF(PrepayByCust=1,AB18*HSPre+AB19*AB20,PrepayPct),PrepayPct*INDEX(Capex,1,23))))</f>
        <v>4020.0199875</v>
      </c>
      <c r="AC21" s="125" t="n">
        <f aca="false">IF(AC$5&lt;=LastHist,0,PrepayOn*IF(AND(PrepayMode&gt;=2,AC$5&lt;=PrepayEndIdx),IF(AND(PrepayMode=3,AC$5&lt;=LastHist+2),PrepayH2/2,PrepayQ),IF(PrepayBase=1,INDEX(CapNew,1,24)*IF(PrepayByCust=1,AC18*HSPre+AC19*AC20,PrepayPct),PrepayPct*INDEX(Capex,1,24))))</f>
        <v>0</v>
      </c>
      <c r="AD21" s="125" t="n">
        <f aca="false">IF(AD$5&lt;=LastHist,0,PrepayOn*IF(AND(PrepayMode&gt;=2,AD$5&lt;=PrepayEndIdx),IF(AND(PrepayMode=3,AD$5&lt;=LastHist+2),PrepayH2/2,PrepayQ),IF(PrepayBase=1,INDEX(CapNew,1,25)*IF(PrepayByCust=1,AD18*HSPre+AD19*AD20,PrepayPct),PrepayPct*INDEX(Capex,1,25))))</f>
        <v>0</v>
      </c>
      <c r="AE21" s="125" t="n">
        <f aca="false">IF(AE$5&lt;=LastHist,0,PrepayOn*IF(AND(PrepayMode&gt;=2,AE$5&lt;=PrepayEndIdx),IF(AND(PrepayMode=3,AE$5&lt;=LastHist+2),PrepayH2/2,PrepayQ),IF(PrepayBase=1,INDEX(CapNew,1,26)*IF(PrepayByCust=1,AE18*HSPre+AE19*AE20,PrepayPct),PrepayPct*INDEX(Capex,1,26))))</f>
        <v>0</v>
      </c>
      <c r="AF21" s="125" t="n">
        <f aca="false">IF(AF$5&lt;=LastHist,0,PrepayOn*IF(AND(PrepayMode&gt;=2,AF$5&lt;=PrepayEndIdx),IF(AND(PrepayMode=3,AF$5&lt;=LastHist+2),PrepayH2/2,PrepayQ),IF(PrepayBase=1,INDEX(CapNew,1,27)*IF(PrepayByCust=1,AF18*HSPre+AF19*AF20,PrepayPct),PrepayPct*INDEX(Capex,1,27))))</f>
        <v>0</v>
      </c>
      <c r="AG21" s="125" t="n">
        <f aca="false">IF(AG$5&lt;=LastHist,0,PrepayOn*IF(AND(PrepayMode&gt;=2,AG$5&lt;=PrepayEndIdx),IF(AND(PrepayMode=3,AG$5&lt;=LastHist+2),PrepayH2/2,PrepayQ),IF(PrepayBase=1,INDEX(CapNew,1,28)*IF(PrepayByCust=1,AG18*HSPre+AG19*AG20,PrepayPct),PrepayPct*INDEX(Capex,1,28))))</f>
        <v>0</v>
      </c>
      <c r="AI21" s="125" t="n">
        <f aca="false">SUMIF($F$7:$AG$7,AI$7,$F21:$AG21)</f>
        <v>0</v>
      </c>
      <c r="AJ21" s="125" t="n">
        <f aca="false">SUMIF($F$7:$AG$7,AJ$7,$F21:$AG21)</f>
        <v>0</v>
      </c>
      <c r="AK21" s="125" t="n">
        <f aca="false">SUMIF($F$7:$AG$7,AK$7,$F21:$AG21)</f>
        <v>2400</v>
      </c>
      <c r="AL21" s="125" t="n">
        <f aca="false">SUMIF($F$7:$AG$7,AL$7,$F21:$AG21)</f>
        <v>4800</v>
      </c>
      <c r="AM21" s="125" t="n">
        <f aca="false">SUMIF($F$7:$AG$7,AM$7,$F21:$AG21)</f>
        <v>4800</v>
      </c>
      <c r="AN21" s="125" t="n">
        <f aca="false">SUMIF($F$7:$AG$7,AN$7,$F21:$AG21)</f>
        <v>8079.98904</v>
      </c>
      <c r="AO21" s="125" t="n">
        <f aca="false">SUMIF($F$7:$AG$7,AO$7,$F21:$AG21)</f>
        <v>0</v>
      </c>
    </row>
    <row r="22" customFormat="false" ht="15" hidden="false" customHeight="false" outlineLevel="0" collapsed="false">
      <c r="A22" s="107" t="s">
        <v>2465</v>
      </c>
      <c r="B22" s="22" t="s">
        <v>613</v>
      </c>
      <c r="C22" s="22" t="s">
        <v>604</v>
      </c>
      <c r="D22" s="22" t="s">
        <v>2466</v>
      </c>
      <c r="F22" s="124" t="n">
        <f aca="false">IF(F$5&lt;=LastHist,0,IF(F$5&lt;=LastHist+4,DR_Cur/4,IF(F$5&lt;=LastHist+8,(DR_24-DR_Cur)/4,IF(F$5&lt;=LastHist+8+DR_TailQ,(INDEX(H_DR,1,LastHist)-DR_24)/DR_TailQ,0))))</f>
        <v>0</v>
      </c>
      <c r="G22" s="124" t="n">
        <f aca="false">IF(G$5&lt;=LastHist,0,IF(G$5&lt;=LastHist+4,DR_Cur/4,IF(G$5&lt;=LastHist+8,(DR_24-DR_Cur)/4,IF(G$5&lt;=LastHist+8+DR_TailQ,(INDEX(H_DR,1,LastHist)-DR_24)/DR_TailQ,0))))</f>
        <v>0</v>
      </c>
      <c r="H22" s="124" t="n">
        <f aca="false">IF(H$5&lt;=LastHist,0,IF(H$5&lt;=LastHist+4,DR_Cur/4,IF(H$5&lt;=LastHist+8,(DR_24-DR_Cur)/4,IF(H$5&lt;=LastHist+8+DR_TailQ,(INDEX(H_DR,1,LastHist)-DR_24)/DR_TailQ,0))))</f>
        <v>0</v>
      </c>
      <c r="I22" s="124" t="n">
        <f aca="false">IF(I$5&lt;=LastHist,0,IF(I$5&lt;=LastHist+4,DR_Cur/4,IF(I$5&lt;=LastHist+8,(DR_24-DR_Cur)/4,IF(I$5&lt;=LastHist+8+DR_TailQ,(INDEX(H_DR,1,LastHist)-DR_24)/DR_TailQ,0))))</f>
        <v>0</v>
      </c>
      <c r="J22" s="124" t="n">
        <f aca="false">IF(J$5&lt;=LastHist,0,IF(J$5&lt;=LastHist+4,DR_Cur/4,IF(J$5&lt;=LastHist+8,(DR_24-DR_Cur)/4,IF(J$5&lt;=LastHist+8+DR_TailQ,(INDEX(H_DR,1,LastHist)-DR_24)/DR_TailQ,0))))</f>
        <v>0</v>
      </c>
      <c r="K22" s="124" t="n">
        <f aca="false">IF(K$5&lt;=LastHist,0,IF(K$5&lt;=LastHist+4,DR_Cur/4,IF(K$5&lt;=LastHist+8,(DR_24-DR_Cur)/4,IF(K$5&lt;=LastHist+8+DR_TailQ,(INDEX(H_DR,1,LastHist)-DR_24)/DR_TailQ,0))))</f>
        <v>0</v>
      </c>
      <c r="L22" s="124" t="n">
        <f aca="false">IF(L$5&lt;=LastHist,0,IF(L$5&lt;=LastHist+4,DR_Cur/4,IF(L$5&lt;=LastHist+8,(DR_24-DR_Cur)/4,IF(L$5&lt;=LastHist+8+DR_TailQ,(INDEX(H_DR,1,LastHist)-DR_24)/DR_TailQ,0))))</f>
        <v>0</v>
      </c>
      <c r="M22" s="124" t="n">
        <f aca="false">IF(M$5&lt;=LastHist,0,IF(M$5&lt;=LastHist+4,DR_Cur/4,IF(M$5&lt;=LastHist+8,(DR_24-DR_Cur)/4,IF(M$5&lt;=LastHist+8+DR_TailQ,(INDEX(H_DR,1,LastHist)-DR_24)/DR_TailQ,0))))</f>
        <v>0</v>
      </c>
      <c r="N22" s="124" t="n">
        <f aca="false">IF(N$5&lt;=LastHist,0,IF(N$5&lt;=LastHist+4,DR_Cur/4,IF(N$5&lt;=LastHist+8,(DR_24-DR_Cur)/4,IF(N$5&lt;=LastHist+8+DR_TailQ,(INDEX(H_DR,1,LastHist)-DR_24)/DR_TailQ,0))))</f>
        <v>0</v>
      </c>
      <c r="O22" s="124" t="n">
        <f aca="false">IF(O$5&lt;=LastHist,0,IF(O$5&lt;=LastHist+4,DR_Cur/4,IF(O$5&lt;=LastHist+8,(DR_24-DR_Cur)/4,IF(O$5&lt;=LastHist+8+DR_TailQ,(INDEX(H_DR,1,LastHist)-DR_24)/DR_TailQ,0))))</f>
        <v>0</v>
      </c>
      <c r="P22" s="125" t="n">
        <f aca="false">IF(P$5&lt;=LastHist,0,IF(P$5&lt;=LastHist+4,DR_Cur/4,IF(P$5&lt;=LastHist+8,(DR_24-DR_Cur)/4,IF(P$5&lt;=LastHist+8+DR_TailQ,(INDEX(H_DR,1,LastHist)-DR_24)/DR_TailQ,0))))</f>
        <v>244.85</v>
      </c>
      <c r="Q22" s="125" t="n">
        <f aca="false">IF(Q$5&lt;=LastHist,0,IF(Q$5&lt;=LastHist+4,DR_Cur/4,IF(Q$5&lt;=LastHist+8,(DR_24-DR_Cur)/4,IF(Q$5&lt;=LastHist+8+DR_TailQ,(INDEX(H_DR,1,LastHist)-DR_24)/DR_TailQ,0))))</f>
        <v>244.85</v>
      </c>
      <c r="R22" s="125" t="n">
        <f aca="false">IF(R$5&lt;=LastHist,0,IF(R$5&lt;=LastHist+4,DR_Cur/4,IF(R$5&lt;=LastHist+8,(DR_24-DR_Cur)/4,IF(R$5&lt;=LastHist+8+DR_TailQ,(INDEX(H_DR,1,LastHist)-DR_24)/DR_TailQ,0))))</f>
        <v>244.85</v>
      </c>
      <c r="S22" s="125" t="n">
        <f aca="false">IF(S$5&lt;=LastHist,0,IF(S$5&lt;=LastHist+4,DR_Cur/4,IF(S$5&lt;=LastHist+8,(DR_24-DR_Cur)/4,IF(S$5&lt;=LastHist+8+DR_TailQ,(INDEX(H_DR,1,LastHist)-DR_24)/DR_TailQ,0))))</f>
        <v>244.85</v>
      </c>
      <c r="T22" s="125" t="n">
        <f aca="false">IF(T$5&lt;=LastHist,0,IF(T$5&lt;=LastHist+4,DR_Cur/4,IF(T$5&lt;=LastHist+8,(DR_24-DR_Cur)/4,IF(T$5&lt;=LastHist+8+DR_TailQ,(INDEX(H_DR,1,LastHist)-DR_24)/DR_TailQ,0))))</f>
        <v>317.65</v>
      </c>
      <c r="U22" s="125" t="n">
        <f aca="false">IF(U$5&lt;=LastHist,0,IF(U$5&lt;=LastHist+4,DR_Cur/4,IF(U$5&lt;=LastHist+8,(DR_24-DR_Cur)/4,IF(U$5&lt;=LastHist+8+DR_TailQ,(INDEX(H_DR,1,LastHist)-DR_24)/DR_TailQ,0))))</f>
        <v>317.65</v>
      </c>
      <c r="V22" s="125" t="n">
        <f aca="false">IF(V$5&lt;=LastHist,0,IF(V$5&lt;=LastHist+4,DR_Cur/4,IF(V$5&lt;=LastHist+8,(DR_24-DR_Cur)/4,IF(V$5&lt;=LastHist+8+DR_TailQ,(INDEX(H_DR,1,LastHist)-DR_24)/DR_TailQ,0))))</f>
        <v>317.65</v>
      </c>
      <c r="W22" s="125" t="n">
        <f aca="false">IF(W$5&lt;=LastHist,0,IF(W$5&lt;=LastHist+4,DR_Cur/4,IF(W$5&lt;=LastHist+8,(DR_24-DR_Cur)/4,IF(W$5&lt;=LastHist+8+DR_TailQ,(INDEX(H_DR,1,LastHist)-DR_24)/DR_TailQ,0))))</f>
        <v>317.65</v>
      </c>
      <c r="X22" s="125" t="n">
        <f aca="false">IF(X$5&lt;=LastHist,0,IF(X$5&lt;=LastHist+4,DR_Cur/4,IF(X$5&lt;=LastHist+8,(DR_24-DR_Cur)/4,IF(X$5&lt;=LastHist+8+DR_TailQ,(INDEX(H_DR,1,LastHist)-DR_24)/DR_TailQ,0))))</f>
        <v>310.416666666667</v>
      </c>
      <c r="Y22" s="125" t="n">
        <f aca="false">IF(Y$5&lt;=LastHist,0,IF(Y$5&lt;=LastHist+4,DR_Cur/4,IF(Y$5&lt;=LastHist+8,(DR_24-DR_Cur)/4,IF(Y$5&lt;=LastHist+8+DR_TailQ,(INDEX(H_DR,1,LastHist)-DR_24)/DR_TailQ,0))))</f>
        <v>310.416666666667</v>
      </c>
      <c r="Z22" s="125" t="n">
        <f aca="false">IF(Z$5&lt;=LastHist,0,IF(Z$5&lt;=LastHist+4,DR_Cur/4,IF(Z$5&lt;=LastHist+8,(DR_24-DR_Cur)/4,IF(Z$5&lt;=LastHist+8+DR_TailQ,(INDEX(H_DR,1,LastHist)-DR_24)/DR_TailQ,0))))</f>
        <v>310.416666666667</v>
      </c>
      <c r="AA22" s="125" t="n">
        <f aca="false">IF(AA$5&lt;=LastHist,0,IF(AA$5&lt;=LastHist+4,DR_Cur/4,IF(AA$5&lt;=LastHist+8,(DR_24-DR_Cur)/4,IF(AA$5&lt;=LastHist+8+DR_TailQ,(INDEX(H_DR,1,LastHist)-DR_24)/DR_TailQ,0))))</f>
        <v>310.416666666667</v>
      </c>
      <c r="AB22" s="125" t="n">
        <f aca="false">IF(AB$5&lt;=LastHist,0,IF(AB$5&lt;=LastHist+4,DR_Cur/4,IF(AB$5&lt;=LastHist+8,(DR_24-DR_Cur)/4,IF(AB$5&lt;=LastHist+8+DR_TailQ,(INDEX(H_DR,1,LastHist)-DR_24)/DR_TailQ,0))))</f>
        <v>310.416666666667</v>
      </c>
      <c r="AC22" s="125" t="n">
        <f aca="false">IF(AC$5&lt;=LastHist,0,IF(AC$5&lt;=LastHist+4,DR_Cur/4,IF(AC$5&lt;=LastHist+8,(DR_24-DR_Cur)/4,IF(AC$5&lt;=LastHist+8+DR_TailQ,(INDEX(H_DR,1,LastHist)-DR_24)/DR_TailQ,0))))</f>
        <v>310.416666666667</v>
      </c>
      <c r="AD22" s="125" t="n">
        <f aca="false">IF(AD$5&lt;=LastHist,0,IF(AD$5&lt;=LastHist+4,DR_Cur/4,IF(AD$5&lt;=LastHist+8,(DR_24-DR_Cur)/4,IF(AD$5&lt;=LastHist+8+DR_TailQ,(INDEX(H_DR,1,LastHist)-DR_24)/DR_TailQ,0))))</f>
        <v>310.416666666667</v>
      </c>
      <c r="AE22" s="125" t="n">
        <f aca="false">IF(AE$5&lt;=LastHist,0,IF(AE$5&lt;=LastHist+4,DR_Cur/4,IF(AE$5&lt;=LastHist+8,(DR_24-DR_Cur)/4,IF(AE$5&lt;=LastHist+8+DR_TailQ,(INDEX(H_DR,1,LastHist)-DR_24)/DR_TailQ,0))))</f>
        <v>310.416666666667</v>
      </c>
      <c r="AF22" s="125" t="n">
        <f aca="false">IF(AF$5&lt;=LastHist,0,IF(AF$5&lt;=LastHist+4,DR_Cur/4,IF(AF$5&lt;=LastHist+8,(DR_24-DR_Cur)/4,IF(AF$5&lt;=LastHist+8+DR_TailQ,(INDEX(H_DR,1,LastHist)-DR_24)/DR_TailQ,0))))</f>
        <v>310.416666666667</v>
      </c>
      <c r="AG22" s="125" t="n">
        <f aca="false">IF(AG$5&lt;=LastHist,0,IF(AG$5&lt;=LastHist+4,DR_Cur/4,IF(AG$5&lt;=LastHist+8,(DR_24-DR_Cur)/4,IF(AG$5&lt;=LastHist+8+DR_TailQ,(INDEX(H_DR,1,LastHist)-DR_24)/DR_TailQ,0))))</f>
        <v>310.416666666667</v>
      </c>
      <c r="AI22" s="125" t="n">
        <f aca="false">SUMIF($F$7:$AG$7,AI$7,$F22:$AG22)</f>
        <v>0</v>
      </c>
      <c r="AJ22" s="125" t="n">
        <f aca="false">SUMIF($F$7:$AG$7,AJ$7,$F22:$AG22)</f>
        <v>0</v>
      </c>
      <c r="AK22" s="125" t="n">
        <f aca="false">SUMIF($F$7:$AG$7,AK$7,$F22:$AG22)</f>
        <v>489.7</v>
      </c>
      <c r="AL22" s="125" t="n">
        <f aca="false">SUMIF($F$7:$AG$7,AL$7,$F22:$AG22)</f>
        <v>1125</v>
      </c>
      <c r="AM22" s="125" t="n">
        <f aca="false">SUMIF($F$7:$AG$7,AM$7,$F22:$AG22)</f>
        <v>1256.13333333333</v>
      </c>
      <c r="AN22" s="125" t="n">
        <f aca="false">SUMIF($F$7:$AG$7,AN$7,$F22:$AG22)</f>
        <v>1241.66666666667</v>
      </c>
      <c r="AO22" s="125" t="n">
        <f aca="false">SUMIF($F$7:$AG$7,AO$7,$F22:$AG22)</f>
        <v>1241.66666666667</v>
      </c>
    </row>
    <row r="23" customFormat="false" ht="15" hidden="false" customHeight="false" outlineLevel="0" collapsed="false">
      <c r="A23" s="107" t="s">
        <v>2467</v>
      </c>
      <c r="B23" s="22" t="s">
        <v>613</v>
      </c>
      <c r="C23" s="22" t="s">
        <v>540</v>
      </c>
      <c r="D23" s="22" t="s">
        <v>2468</v>
      </c>
      <c r="F23" s="124" t="n">
        <f aca="false">IF(F$5&lt;=LastHist,0,SUMPRODUCT(($F$5:$AG$5+GPULead&lt;=F$5)*($F$5:$AG$5+GPULead+DR_AmortQ&gt;F$5)*$F$21:$AG$21)/DR_AmortQ)</f>
        <v>0</v>
      </c>
      <c r="G23" s="124" t="n">
        <f aca="false">IF(G$5&lt;=LastHist,0,SUMPRODUCT(($F$5:$AG$5+GPULead&lt;=G$5)*($F$5:$AG$5+GPULead+DR_AmortQ&gt;G$5)*$F$21:$AG$21)/DR_AmortQ)</f>
        <v>0</v>
      </c>
      <c r="H23" s="124" t="n">
        <f aca="false">IF(H$5&lt;=LastHist,0,SUMPRODUCT(($F$5:$AG$5+GPULead&lt;=H$5)*($F$5:$AG$5+GPULead+DR_AmortQ&gt;H$5)*$F$21:$AG$21)/DR_AmortQ)</f>
        <v>0</v>
      </c>
      <c r="I23" s="124" t="n">
        <f aca="false">IF(I$5&lt;=LastHist,0,SUMPRODUCT(($F$5:$AG$5+GPULead&lt;=I$5)*($F$5:$AG$5+GPULead+DR_AmortQ&gt;I$5)*$F$21:$AG$21)/DR_AmortQ)</f>
        <v>0</v>
      </c>
      <c r="J23" s="124" t="n">
        <f aca="false">IF(J$5&lt;=LastHist,0,SUMPRODUCT(($F$5:$AG$5+GPULead&lt;=J$5)*($F$5:$AG$5+GPULead+DR_AmortQ&gt;J$5)*$F$21:$AG$21)/DR_AmortQ)</f>
        <v>0</v>
      </c>
      <c r="K23" s="124" t="n">
        <f aca="false">IF(K$5&lt;=LastHist,0,SUMPRODUCT(($F$5:$AG$5+GPULead&lt;=K$5)*($F$5:$AG$5+GPULead+DR_AmortQ&gt;K$5)*$F$21:$AG$21)/DR_AmortQ)</f>
        <v>0</v>
      </c>
      <c r="L23" s="124" t="n">
        <f aca="false">IF(L$5&lt;=LastHist,0,SUMPRODUCT(($F$5:$AG$5+GPULead&lt;=L$5)*($F$5:$AG$5+GPULead+DR_AmortQ&gt;L$5)*$F$21:$AG$21)/DR_AmortQ)</f>
        <v>0</v>
      </c>
      <c r="M23" s="124" t="n">
        <f aca="false">IF(M$5&lt;=LastHist,0,SUMPRODUCT(($F$5:$AG$5+GPULead&lt;=M$5)*($F$5:$AG$5+GPULead+DR_AmortQ&gt;M$5)*$F$21:$AG$21)/DR_AmortQ)</f>
        <v>0</v>
      </c>
      <c r="N23" s="124" t="n">
        <f aca="false">IF(N$5&lt;=LastHist,0,SUMPRODUCT(($F$5:$AG$5+GPULead&lt;=N$5)*($F$5:$AG$5+GPULead+DR_AmortQ&gt;N$5)*$F$21:$AG$21)/DR_AmortQ)</f>
        <v>0</v>
      </c>
      <c r="O23" s="124" t="n">
        <f aca="false">IF(O$5&lt;=LastHist,0,SUMPRODUCT(($F$5:$AG$5+GPULead&lt;=O$5)*($F$5:$AG$5+GPULead+DR_AmortQ&gt;O$5)*$F$21:$AG$21)/DR_AmortQ)</f>
        <v>0</v>
      </c>
      <c r="P23" s="125" t="n">
        <f aca="false">IF(P$5&lt;=LastHist,0,SUMPRODUCT(($F$5:$AG$5+GPULead&lt;=P$5)*($F$5:$AG$5+GPULead+DR_AmortQ&gt;P$5)*$F$21:$AG$21)/DR_AmortQ)</f>
        <v>0</v>
      </c>
      <c r="Q23" s="125" t="n">
        <f aca="false">IF(Q$5&lt;=LastHist,0,SUMPRODUCT(($F$5:$AG$5+GPULead&lt;=Q$5)*($F$5:$AG$5+GPULead+DR_AmortQ&gt;Q$5)*$F$21:$AG$21)/DR_AmortQ)</f>
        <v>0</v>
      </c>
      <c r="R23" s="125" t="n">
        <f aca="false">IF(R$5&lt;=LastHist,0,SUMPRODUCT(($F$5:$AG$5+GPULead&lt;=R$5)*($F$5:$AG$5+GPULead+DR_AmortQ&gt;R$5)*$F$21:$AG$21)/DR_AmortQ)</f>
        <v>75</v>
      </c>
      <c r="S23" s="125" t="n">
        <f aca="false">IF(S$5&lt;=LastHist,0,SUMPRODUCT(($F$5:$AG$5+GPULead&lt;=S$5)*($F$5:$AG$5+GPULead+DR_AmortQ&gt;S$5)*$F$21:$AG$21)/DR_AmortQ)</f>
        <v>150</v>
      </c>
      <c r="T23" s="125" t="n">
        <f aca="false">IF(T$5&lt;=LastHist,0,SUMPRODUCT(($F$5:$AG$5+GPULead&lt;=T$5)*($F$5:$AG$5+GPULead+DR_AmortQ&gt;T$5)*$F$21:$AG$21)/DR_AmortQ)</f>
        <v>225</v>
      </c>
      <c r="U23" s="125" t="n">
        <f aca="false">IF(U$5&lt;=LastHist,0,SUMPRODUCT(($F$5:$AG$5+GPULead&lt;=U$5)*($F$5:$AG$5+GPULead+DR_AmortQ&gt;U$5)*$F$21:$AG$21)/DR_AmortQ)</f>
        <v>300</v>
      </c>
      <c r="V23" s="125" t="n">
        <f aca="false">IF(V$5&lt;=LastHist,0,SUMPRODUCT(($F$5:$AG$5+GPULead&lt;=V$5)*($F$5:$AG$5+GPULead+DR_AmortQ&gt;V$5)*$F$21:$AG$21)/DR_AmortQ)</f>
        <v>375</v>
      </c>
      <c r="W23" s="125" t="n">
        <f aca="false">IF(W$5&lt;=LastHist,0,SUMPRODUCT(($F$5:$AG$5+GPULead&lt;=W$5)*($F$5:$AG$5+GPULead+DR_AmortQ&gt;W$5)*$F$21:$AG$21)/DR_AmortQ)</f>
        <v>450</v>
      </c>
      <c r="X23" s="125" t="n">
        <f aca="false">IF(X$5&lt;=LastHist,0,SUMPRODUCT(($F$5:$AG$5+GPULead&lt;=X$5)*($F$5:$AG$5+GPULead+DR_AmortQ&gt;X$5)*$F$21:$AG$21)/DR_AmortQ)</f>
        <v>525</v>
      </c>
      <c r="Y23" s="125" t="n">
        <f aca="false">IF(Y$5&lt;=LastHist,0,SUMPRODUCT(($F$5:$AG$5+GPULead&lt;=Y$5)*($F$5:$AG$5+GPULead+DR_AmortQ&gt;Y$5)*$F$21:$AG$21)/DR_AmortQ)</f>
        <v>600</v>
      </c>
      <c r="Z23" s="125" t="n">
        <f aca="false">IF(Z$5&lt;=LastHist,0,SUMPRODUCT(($F$5:$AG$5+GPULead&lt;=Z$5)*($F$5:$AG$5+GPULead+DR_AmortQ&gt;Z$5)*$F$21:$AG$21)/DR_AmortQ)</f>
        <v>675</v>
      </c>
      <c r="AA23" s="125" t="n">
        <f aca="false">IF(AA$5&lt;=LastHist,0,SUMPRODUCT(($F$5:$AG$5+GPULead&lt;=AA$5)*($F$5:$AG$5+GPULead+DR_AmortQ&gt;AA$5)*$F$21:$AG$21)/DR_AmortQ)</f>
        <v>750</v>
      </c>
      <c r="AB23" s="125" t="n">
        <f aca="false">IF(AB$5&lt;=LastHist,0,SUMPRODUCT(($F$5:$AG$5+GPULead&lt;=AB$5)*($F$5:$AG$5+GPULead+DR_AmortQ&gt;AB$5)*$F$21:$AG$21)/DR_AmortQ)</f>
        <v>925.4278509375</v>
      </c>
      <c r="AC23" s="125" t="n">
        <f aca="false">IF(AC$5&lt;=LastHist,0,SUMPRODUCT(($F$5:$AG$5+GPULead&lt;=AC$5)*($F$5:$AG$5+GPULead+DR_AmortQ&gt;AC$5)*$F$21:$AG$21)/DR_AmortQ)</f>
        <v>1003.74806578125</v>
      </c>
      <c r="AD23" s="125" t="n">
        <f aca="false">IF(AD$5&lt;=LastHist,0,SUMPRODUCT(($F$5:$AG$5+GPULead&lt;=AD$5)*($F$5:$AG$5+GPULead+DR_AmortQ&gt;AD$5)*$F$21:$AG$21)/DR_AmortQ)</f>
        <v>1254.999315</v>
      </c>
      <c r="AE23" s="125" t="n">
        <f aca="false">IF(AE$5&lt;=LastHist,0,SUMPRODUCT(($F$5:$AG$5+GPULead&lt;=AE$5)*($F$5:$AG$5+GPULead+DR_AmortQ&gt;AE$5)*$F$21:$AG$21)/DR_AmortQ)</f>
        <v>1254.999315</v>
      </c>
      <c r="AF23" s="125" t="n">
        <f aca="false">IF(AF$5&lt;=LastHist,0,SUMPRODUCT(($F$5:$AG$5+GPULead&lt;=AF$5)*($F$5:$AG$5+GPULead+DR_AmortQ&gt;AF$5)*$F$21:$AG$21)/DR_AmortQ)</f>
        <v>1254.999315</v>
      </c>
      <c r="AG23" s="125" t="n">
        <f aca="false">IF(AG$5&lt;=LastHist,0,SUMPRODUCT(($F$5:$AG$5+GPULead&lt;=AG$5)*($F$5:$AG$5+GPULead+DR_AmortQ&gt;AG$5)*$F$21:$AG$21)/DR_AmortQ)</f>
        <v>1254.999315</v>
      </c>
      <c r="AI23" s="125" t="n">
        <f aca="false">SUMIF($F$7:$AG$7,AI$7,$F23:$AG23)</f>
        <v>0</v>
      </c>
      <c r="AJ23" s="125" t="n">
        <f aca="false">SUMIF($F$7:$AG$7,AJ$7,$F23:$AG23)</f>
        <v>0</v>
      </c>
      <c r="AK23" s="125" t="n">
        <f aca="false">SUMIF($F$7:$AG$7,AK$7,$F23:$AG23)</f>
        <v>0</v>
      </c>
      <c r="AL23" s="125" t="n">
        <f aca="false">SUMIF($F$7:$AG$7,AL$7,$F23:$AG23)</f>
        <v>750</v>
      </c>
      <c r="AM23" s="125" t="n">
        <f aca="false">SUMIF($F$7:$AG$7,AM$7,$F23:$AG23)</f>
        <v>1950</v>
      </c>
      <c r="AN23" s="125" t="n">
        <f aca="false">SUMIF($F$7:$AG$7,AN$7,$F23:$AG23)</f>
        <v>3354.17591671875</v>
      </c>
      <c r="AO23" s="125" t="n">
        <f aca="false">SUMIF($F$7:$AG$7,AO$7,$F23:$AG23)</f>
        <v>5019.99726</v>
      </c>
    </row>
    <row r="24" customFormat="false" ht="15" hidden="false" customHeight="false" outlineLevel="0" collapsed="false">
      <c r="A24" s="107" t="s">
        <v>2469</v>
      </c>
      <c r="B24" s="22" t="s">
        <v>613</v>
      </c>
      <c r="C24" s="22" t="s">
        <v>540</v>
      </c>
      <c r="D24" s="22" t="s">
        <v>2470</v>
      </c>
      <c r="F24" s="124" t="n">
        <f aca="false">IF(DRSchedMode=1,F22+F23,IF(F$5&lt;=LastHist,0,E25/DR_AmortQ))</f>
        <v>0</v>
      </c>
      <c r="G24" s="124" t="n">
        <f aca="false">IF(DRSchedMode=1,G22+G23,IF(G$5&lt;=LastHist,0,F25/DR_AmortQ))</f>
        <v>0</v>
      </c>
      <c r="H24" s="124" t="n">
        <f aca="false">IF(DRSchedMode=1,H22+H23,IF(H$5&lt;=LastHist,0,G25/DR_AmortQ))</f>
        <v>0</v>
      </c>
      <c r="I24" s="124" t="n">
        <f aca="false">IF(DRSchedMode=1,I22+I23,IF(I$5&lt;=LastHist,0,H25/DR_AmortQ))</f>
        <v>0</v>
      </c>
      <c r="J24" s="124" t="n">
        <f aca="false">IF(DRSchedMode=1,J22+J23,IF(J$5&lt;=LastHist,0,I25/DR_AmortQ))</f>
        <v>0</v>
      </c>
      <c r="K24" s="124" t="n">
        <f aca="false">IF(DRSchedMode=1,K22+K23,IF(K$5&lt;=LastHist,0,J25/DR_AmortQ))</f>
        <v>0</v>
      </c>
      <c r="L24" s="124" t="n">
        <f aca="false">IF(DRSchedMode=1,L22+L23,IF(L$5&lt;=LastHist,0,K25/DR_AmortQ))</f>
        <v>0</v>
      </c>
      <c r="M24" s="124" t="n">
        <f aca="false">IF(DRSchedMode=1,M22+M23,IF(M$5&lt;=LastHist,0,L25/DR_AmortQ))</f>
        <v>0</v>
      </c>
      <c r="N24" s="124" t="n">
        <f aca="false">IF(DRSchedMode=1,N22+N23,IF(N$5&lt;=LastHist,0,M25/DR_AmortQ))</f>
        <v>0</v>
      </c>
      <c r="O24" s="124" t="n">
        <f aca="false">IF(DRSchedMode=1,O22+O23,IF(O$5&lt;=LastHist,0,N25/DR_AmortQ))</f>
        <v>0</v>
      </c>
      <c r="P24" s="125" t="n">
        <f aca="false">IF(DRSchedMode=1,P22+P23,IF(P$5&lt;=LastHist,0,O25/DR_AmortQ))</f>
        <v>244.85</v>
      </c>
      <c r="Q24" s="125" t="n">
        <f aca="false">IF(DRSchedMode=1,Q22+Q23,IF(Q$5&lt;=LastHist,0,P25/DR_AmortQ))</f>
        <v>244.85</v>
      </c>
      <c r="R24" s="125" t="n">
        <f aca="false">IF(DRSchedMode=1,R22+R23,IF(R$5&lt;=LastHist,0,Q25/DR_AmortQ))</f>
        <v>319.85</v>
      </c>
      <c r="S24" s="125" t="n">
        <f aca="false">IF(DRSchedMode=1,S22+S23,IF(S$5&lt;=LastHist,0,R25/DR_AmortQ))</f>
        <v>394.85</v>
      </c>
      <c r="T24" s="125" t="n">
        <f aca="false">IF(DRSchedMode=1,T22+T23,IF(T$5&lt;=LastHist,0,S25/DR_AmortQ))</f>
        <v>542.65</v>
      </c>
      <c r="U24" s="125" t="n">
        <f aca="false">IF(DRSchedMode=1,U22+U23,IF(U$5&lt;=LastHist,0,T25/DR_AmortQ))</f>
        <v>617.65</v>
      </c>
      <c r="V24" s="125" t="n">
        <f aca="false">IF(DRSchedMode=1,V22+V23,IF(V$5&lt;=LastHist,0,U25/DR_AmortQ))</f>
        <v>692.65</v>
      </c>
      <c r="W24" s="125" t="n">
        <f aca="false">IF(DRSchedMode=1,W22+W23,IF(W$5&lt;=LastHist,0,V25/DR_AmortQ))</f>
        <v>767.65</v>
      </c>
      <c r="X24" s="125" t="n">
        <f aca="false">IF(DRSchedMode=1,X22+X23,IF(X$5&lt;=LastHist,0,W25/DR_AmortQ))</f>
        <v>835.416666666667</v>
      </c>
      <c r="Y24" s="125" t="n">
        <f aca="false">IF(DRSchedMode=1,Y22+Y23,IF(Y$5&lt;=LastHist,0,X25/DR_AmortQ))</f>
        <v>910.416666666667</v>
      </c>
      <c r="Z24" s="125" t="n">
        <f aca="false">IF(DRSchedMode=1,Z22+Z23,IF(Z$5&lt;=LastHist,0,Y25/DR_AmortQ))</f>
        <v>985.416666666667</v>
      </c>
      <c r="AA24" s="125" t="n">
        <f aca="false">IF(DRSchedMode=1,AA22+AA23,IF(AA$5&lt;=LastHist,0,Z25/DR_AmortQ))</f>
        <v>1060.41666666667</v>
      </c>
      <c r="AB24" s="125" t="n">
        <f aca="false">IF(DRSchedMode=1,AB22+AB23,IF(AB$5&lt;=LastHist,0,AA25/DR_AmortQ))</f>
        <v>1235.84451760417</v>
      </c>
      <c r="AC24" s="125" t="n">
        <f aca="false">IF(DRSchedMode=1,AC22+AC23,IF(AC$5&lt;=LastHist,0,AB25/DR_AmortQ))</f>
        <v>1314.16473244792</v>
      </c>
      <c r="AD24" s="125" t="n">
        <f aca="false">IF(DRSchedMode=1,AD22+AD23,IF(AD$5&lt;=LastHist,0,AC25/DR_AmortQ))</f>
        <v>1565.41598166667</v>
      </c>
      <c r="AE24" s="125" t="n">
        <f aca="false">IF(DRSchedMode=1,AE22+AE23,IF(AE$5&lt;=LastHist,0,AD25/DR_AmortQ))</f>
        <v>1565.41598166667</v>
      </c>
      <c r="AF24" s="125" t="n">
        <f aca="false">IF(DRSchedMode=1,AF22+AF23,IF(AF$5&lt;=LastHist,0,AE25/DR_AmortQ))</f>
        <v>1565.41598166667</v>
      </c>
      <c r="AG24" s="125" t="n">
        <f aca="false">IF(DRSchedMode=1,AG22+AG23,IF(AG$5&lt;=LastHist,0,AF25/DR_AmortQ))</f>
        <v>1565.41598166667</v>
      </c>
      <c r="AI24" s="125" t="n">
        <f aca="false">SUMIF($F$7:$AG$7,AI$7,$F24:$AG24)</f>
        <v>0</v>
      </c>
      <c r="AJ24" s="125" t="n">
        <f aca="false">SUMIF($F$7:$AG$7,AJ$7,$F24:$AG24)</f>
        <v>0</v>
      </c>
      <c r="AK24" s="125" t="n">
        <f aca="false">SUMIF($F$7:$AG$7,AK$7,$F24:$AG24)</f>
        <v>489.7</v>
      </c>
      <c r="AL24" s="125" t="n">
        <f aca="false">SUMIF($F$7:$AG$7,AL$7,$F24:$AG24)</f>
        <v>1875</v>
      </c>
      <c r="AM24" s="125" t="n">
        <f aca="false">SUMIF($F$7:$AG$7,AM$7,$F24:$AG24)</f>
        <v>3206.13333333333</v>
      </c>
      <c r="AN24" s="125" t="n">
        <f aca="false">SUMIF($F$7:$AG$7,AN$7,$F24:$AG24)</f>
        <v>4595.84258338542</v>
      </c>
      <c r="AO24" s="125" t="n">
        <f aca="false">SUMIF($F$7:$AG$7,AO$7,$F24:$AG24)</f>
        <v>6261.66392666667</v>
      </c>
    </row>
    <row r="25" customFormat="false" ht="15" hidden="false" customHeight="false" outlineLevel="0" collapsed="false">
      <c r="A25" s="107" t="s">
        <v>2471</v>
      </c>
      <c r="B25" s="22" t="s">
        <v>613</v>
      </c>
      <c r="C25" s="22" t="s">
        <v>604</v>
      </c>
      <c r="D25" s="22" t="s">
        <v>2472</v>
      </c>
      <c r="F25" s="124" t="n">
        <f aca="false">IF(F$5&lt;=LastHist,INDEX(H_DR,1,F$5),E25+F21-F24)</f>
        <v>0</v>
      </c>
      <c r="G25" s="124" t="n">
        <f aca="false">IF(G$5&lt;=LastHist,INDEX(H_DR,1,G$5),F25+G21-G24)</f>
        <v>0</v>
      </c>
      <c r="H25" s="124" t="n">
        <f aca="false">IF(H$5&lt;=LastHist,INDEX(H_DR,1,H$5),G25+H21-H24)</f>
        <v>0</v>
      </c>
      <c r="I25" s="124" t="n">
        <f aca="false">IF(I$5&lt;=LastHist,INDEX(H_DR,1,I$5),H25+I21-I24)</f>
        <v>0</v>
      </c>
      <c r="J25" s="124" t="n">
        <f aca="false">IF(J$5&lt;=LastHist,INDEX(H_DR,1,J$5),I25+J21-J24)</f>
        <v>0</v>
      </c>
      <c r="K25" s="124" t="n">
        <f aca="false">IF(K$5&lt;=LastHist,INDEX(H_DR,1,K$5),J25+K21-K24)</f>
        <v>0</v>
      </c>
      <c r="L25" s="124" t="n">
        <f aca="false">IF(L$5&lt;=LastHist,INDEX(H_DR,1,L$5),K25+L21-L24)</f>
        <v>0</v>
      </c>
      <c r="M25" s="124" t="n">
        <f aca="false">IF(M$5&lt;=LastHist,INDEX(H_DR,1,M$5),L25+M21-M24)</f>
        <v>1578</v>
      </c>
      <c r="N25" s="124" t="n">
        <f aca="false">IF(N$5&lt;=LastHist,INDEX(H_DR,1,N$5),M25+N21-N24)</f>
        <v>4778</v>
      </c>
      <c r="O25" s="124" t="n">
        <f aca="false">IF(O$5&lt;=LastHist,INDEX(H_DR,1,O$5),N25+O21-O24)</f>
        <v>5975</v>
      </c>
      <c r="P25" s="125" t="n">
        <f aca="false">IF(P$5&lt;=LastHist,INDEX(H_DR,1,P$5),O25+P21-P24)</f>
        <v>6930.15</v>
      </c>
      <c r="Q25" s="125" t="n">
        <f aca="false">IF(Q$5&lt;=LastHist,INDEX(H_DR,1,Q$5),P25+Q21-Q24)</f>
        <v>7885.3</v>
      </c>
      <c r="R25" s="125" t="n">
        <f aca="false">IF(R$5&lt;=LastHist,INDEX(H_DR,1,R$5),Q25+R21-R24)</f>
        <v>8765.45</v>
      </c>
      <c r="S25" s="125" t="n">
        <f aca="false">IF(S$5&lt;=LastHist,INDEX(H_DR,1,S$5),R25+S21-S24)</f>
        <v>9570.6</v>
      </c>
      <c r="T25" s="125" t="n">
        <f aca="false">IF(T$5&lt;=LastHist,INDEX(H_DR,1,T$5),S25+T21-T24)</f>
        <v>10227.95</v>
      </c>
      <c r="U25" s="125" t="n">
        <f aca="false">IF(U$5&lt;=LastHist,INDEX(H_DR,1,U$5),T25+U21-U24)</f>
        <v>10810.3</v>
      </c>
      <c r="V25" s="125" t="n">
        <f aca="false">IF(V$5&lt;=LastHist,INDEX(H_DR,1,V$5),U25+V21-V24)</f>
        <v>11317.65</v>
      </c>
      <c r="W25" s="125" t="n">
        <f aca="false">IF(W$5&lt;=LastHist,INDEX(H_DR,1,W$5),V25+W21-W24)</f>
        <v>11750</v>
      </c>
      <c r="X25" s="125" t="n">
        <f aca="false">IF(X$5&lt;=LastHist,INDEX(H_DR,1,X$5),W25+X21-X24)</f>
        <v>12114.5833333333</v>
      </c>
      <c r="Y25" s="125" t="n">
        <f aca="false">IF(Y$5&lt;=LastHist,INDEX(H_DR,1,Y$5),X25+Y21-Y24)</f>
        <v>12404.1666666667</v>
      </c>
      <c r="Z25" s="125" t="n">
        <f aca="false">IF(Z$5&lt;=LastHist,INDEX(H_DR,1,Z$5),Y25+Z21-Z24)</f>
        <v>14225.595615</v>
      </c>
      <c r="AA25" s="125" t="n">
        <f aca="false">IF(AA$5&lt;=LastHist,INDEX(H_DR,1,AA$5),Z25+AA21-AA24)</f>
        <v>14418.3023858333</v>
      </c>
      <c r="AB25" s="125" t="n">
        <f aca="false">IF(AB$5&lt;=LastHist,INDEX(H_DR,1,AB$5),AA25+AB21-AB24)</f>
        <v>17202.4778557292</v>
      </c>
      <c r="AC25" s="125" t="n">
        <f aca="false">IF(AC$5&lt;=LastHist,INDEX(H_DR,1,AC$5),AB25+AC21-AC24)</f>
        <v>15888.3131232813</v>
      </c>
      <c r="AD25" s="125" t="n">
        <f aca="false">IF(AD$5&lt;=LastHist,INDEX(H_DR,1,AD$5),AC25+AD21-AD24)</f>
        <v>14322.8971416146</v>
      </c>
      <c r="AE25" s="125" t="n">
        <f aca="false">IF(AE$5&lt;=LastHist,INDEX(H_DR,1,AE$5),AD25+AE21-AE24)</f>
        <v>12757.4811599479</v>
      </c>
      <c r="AF25" s="125" t="n">
        <f aca="false">IF(AF$5&lt;=LastHist,INDEX(H_DR,1,AF$5),AE25+AF21-AF24)</f>
        <v>11192.0651782813</v>
      </c>
      <c r="AG25" s="125" t="n">
        <f aca="false">IF(AG$5&lt;=LastHist,INDEX(H_DR,1,AG$5),AF25+AG21-AG24)</f>
        <v>9626.64919661458</v>
      </c>
      <c r="AI25" s="125" t="n">
        <f aca="false">INDEX($F25:$AG25,1,MATCH(AI$7,$F$7:$AG$7,1))</f>
        <v>0</v>
      </c>
      <c r="AJ25" s="125" t="n">
        <f aca="false">INDEX($F25:$AG25,1,MATCH(AJ$7,$F$7:$AG$7,1))</f>
        <v>1578</v>
      </c>
      <c r="AK25" s="125" t="n">
        <f aca="false">INDEX($F25:$AG25,1,MATCH(AK$7,$F$7:$AG$7,1))</f>
        <v>7885.3</v>
      </c>
      <c r="AL25" s="125" t="n">
        <f aca="false">INDEX($F25:$AG25,1,MATCH(AL$7,$F$7:$AG$7,1))</f>
        <v>10810.3</v>
      </c>
      <c r="AM25" s="125" t="n">
        <f aca="false">INDEX($F25:$AG25,1,MATCH(AM$7,$F$7:$AG$7,1))</f>
        <v>12404.1666666667</v>
      </c>
      <c r="AN25" s="125" t="n">
        <f aca="false">INDEX($F25:$AG25,1,MATCH(AN$7,$F$7:$AG$7,1))</f>
        <v>15888.3131232813</v>
      </c>
      <c r="AO25" s="125" t="n">
        <f aca="false">INDEX($F25:$AG25,1,MATCH(AO$7,$F$7:$AG$7,1))</f>
        <v>9626.64919661458</v>
      </c>
    </row>
    <row r="26" customFormat="false" ht="15" hidden="false" customHeight="false" outlineLevel="0" collapsed="false">
      <c r="A26" s="107" t="s">
        <v>2473</v>
      </c>
      <c r="B26" s="22" t="s">
        <v>613</v>
      </c>
      <c r="C26" s="22" t="s">
        <v>540</v>
      </c>
      <c r="D26" s="22"/>
      <c r="F26" s="124" t="n">
        <f aca="false">F21-F24</f>
        <v>0</v>
      </c>
      <c r="G26" s="124" t="n">
        <f aca="false">G21-G24</f>
        <v>0</v>
      </c>
      <c r="H26" s="124" t="n">
        <f aca="false">H21-H24</f>
        <v>0</v>
      </c>
      <c r="I26" s="124" t="n">
        <f aca="false">I21-I24</f>
        <v>0</v>
      </c>
      <c r="J26" s="124" t="n">
        <f aca="false">J21-J24</f>
        <v>0</v>
      </c>
      <c r="K26" s="124" t="n">
        <f aca="false">K21-K24</f>
        <v>0</v>
      </c>
      <c r="L26" s="124" t="n">
        <f aca="false">L21-L24</f>
        <v>0</v>
      </c>
      <c r="M26" s="124" t="n">
        <f aca="false">M21-M24</f>
        <v>0</v>
      </c>
      <c r="N26" s="124" t="n">
        <f aca="false">N21-N24</f>
        <v>0</v>
      </c>
      <c r="O26" s="124" t="n">
        <f aca="false">O21-O24</f>
        <v>0</v>
      </c>
      <c r="P26" s="125" t="n">
        <f aca="false">P21-P24</f>
        <v>955.15</v>
      </c>
      <c r="Q26" s="125" t="n">
        <f aca="false">Q21-Q24</f>
        <v>955.15</v>
      </c>
      <c r="R26" s="125" t="n">
        <f aca="false">R21-R24</f>
        <v>880.15</v>
      </c>
      <c r="S26" s="125" t="n">
        <f aca="false">S21-S24</f>
        <v>805.15</v>
      </c>
      <c r="T26" s="125" t="n">
        <f aca="false">T21-T24</f>
        <v>657.35</v>
      </c>
      <c r="U26" s="125" t="n">
        <f aca="false">U21-U24</f>
        <v>582.35</v>
      </c>
      <c r="V26" s="125" t="n">
        <f aca="false">V21-V24</f>
        <v>507.35</v>
      </c>
      <c r="W26" s="125" t="n">
        <f aca="false">W21-W24</f>
        <v>432.35</v>
      </c>
      <c r="X26" s="125" t="n">
        <f aca="false">X21-X24</f>
        <v>364.583333333333</v>
      </c>
      <c r="Y26" s="125" t="n">
        <f aca="false">Y21-Y24</f>
        <v>289.583333333333</v>
      </c>
      <c r="Z26" s="125" t="n">
        <f aca="false">Z21-Z24</f>
        <v>1821.42894833333</v>
      </c>
      <c r="AA26" s="125" t="n">
        <f aca="false">AA21-AA24</f>
        <v>192.706770833333</v>
      </c>
      <c r="AB26" s="125" t="n">
        <f aca="false">AB21-AB24</f>
        <v>2784.17546989583</v>
      </c>
      <c r="AC26" s="125" t="n">
        <f aca="false">AC21-AC24</f>
        <v>-1314.16473244792</v>
      </c>
      <c r="AD26" s="125" t="n">
        <f aca="false">AD21-AD24</f>
        <v>-1565.41598166667</v>
      </c>
      <c r="AE26" s="125" t="n">
        <f aca="false">AE21-AE24</f>
        <v>-1565.41598166667</v>
      </c>
      <c r="AF26" s="125" t="n">
        <f aca="false">AF21-AF24</f>
        <v>-1565.41598166667</v>
      </c>
      <c r="AG26" s="125" t="n">
        <f aca="false">AG21-AG24</f>
        <v>-1565.41598166667</v>
      </c>
      <c r="AI26" s="125" t="n">
        <f aca="false">SUMIF($F$7:$AG$7,AI$7,$F26:$AG26)</f>
        <v>0</v>
      </c>
      <c r="AJ26" s="125" t="n">
        <f aca="false">SUMIF($F$7:$AG$7,AJ$7,$F26:$AG26)</f>
        <v>0</v>
      </c>
      <c r="AK26" s="125" t="n">
        <f aca="false">SUMIF($F$7:$AG$7,AK$7,$F26:$AG26)</f>
        <v>1910.3</v>
      </c>
      <c r="AL26" s="125" t="n">
        <f aca="false">SUMIF($F$7:$AG$7,AL$7,$F26:$AG26)</f>
        <v>2925</v>
      </c>
      <c r="AM26" s="125" t="n">
        <f aca="false">SUMIF($F$7:$AG$7,AM$7,$F26:$AG26)</f>
        <v>1593.86666666667</v>
      </c>
      <c r="AN26" s="125" t="n">
        <f aca="false">SUMIF($F$7:$AG$7,AN$7,$F26:$AG26)</f>
        <v>3484.14645661458</v>
      </c>
      <c r="AO26" s="125" t="n">
        <f aca="false">SUMIF($F$7:$AG$7,AO$7,$F26:$AG26)</f>
        <v>-6261.66392666667</v>
      </c>
    </row>
    <row r="28" customFormat="false" ht="15" hidden="false" customHeight="false" outlineLevel="0" collapsed="false">
      <c r="A28" s="58" t="s">
        <v>2474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</row>
    <row r="29" customFormat="false" ht="15" hidden="false" customHeight="false" outlineLevel="0" collapsed="false">
      <c r="A29" s="107" t="s">
        <v>2475</v>
      </c>
      <c r="B29" s="22" t="s">
        <v>613</v>
      </c>
      <c r="C29" s="22" t="s">
        <v>540</v>
      </c>
      <c r="D29" s="22"/>
      <c r="F29" s="124" t="n">
        <f aca="false">0</f>
        <v>0</v>
      </c>
      <c r="G29" s="124" t="n">
        <f aca="false">IF(G$5&lt;=LastHist,0,INDEX(CF_Cash,1,1)*CashYield/4)</f>
        <v>0</v>
      </c>
      <c r="H29" s="124" t="n">
        <f aca="false">IF(H$5&lt;=LastHist,0,INDEX(CF_Cash,1,2)*CashYield/4)</f>
        <v>0</v>
      </c>
      <c r="I29" s="124" t="n">
        <f aca="false">IF(I$5&lt;=LastHist,0,INDEX(CF_Cash,1,3)*CashYield/4)</f>
        <v>0</v>
      </c>
      <c r="J29" s="124" t="n">
        <f aca="false">IF(J$5&lt;=LastHist,0,INDEX(CF_Cash,1,4)*CashYield/4)</f>
        <v>0</v>
      </c>
      <c r="K29" s="124" t="n">
        <f aca="false">IF(K$5&lt;=LastHist,0,INDEX(CF_Cash,1,5)*CashYield/4)</f>
        <v>0</v>
      </c>
      <c r="L29" s="124" t="n">
        <f aca="false">IF(L$5&lt;=LastHist,0,INDEX(CF_Cash,1,6)*CashYield/4)</f>
        <v>0</v>
      </c>
      <c r="M29" s="124" t="n">
        <f aca="false">IF(M$5&lt;=LastHist,0,INDEX(CF_Cash,1,7)*CashYield/4)</f>
        <v>0</v>
      </c>
      <c r="N29" s="124" t="n">
        <f aca="false">IF(N$5&lt;=LastHist,0,INDEX(CF_Cash,1,8)*CashYield/4)</f>
        <v>0</v>
      </c>
      <c r="O29" s="124" t="n">
        <f aca="false">IF(O$5&lt;=LastHist,0,INDEX(CF_Cash,1,9)*CashYield/4)</f>
        <v>0</v>
      </c>
      <c r="P29" s="125" t="n">
        <f aca="false">IF(P$5&lt;=LastHist,0,INDEX(CF_Cash,1,10)*CashYield/4)</f>
        <v>70.368375</v>
      </c>
      <c r="Q29" s="125" t="n">
        <f aca="false">IF(Q$5&lt;=LastHist,0,INDEX(CF_Cash,1,11)*CashYield/4)</f>
        <v>100.924802121778</v>
      </c>
      <c r="R29" s="125" t="n">
        <f aca="false">IF(R$5&lt;=LastHist,0,INDEX(CF_Cash,1,12)*CashYield/4)</f>
        <v>85.311775483341</v>
      </c>
      <c r="S29" s="125" t="n">
        <f aca="false">IF(S$5&lt;=LastHist,0,INDEX(CF_Cash,1,13)*CashYield/4)</f>
        <v>85.8456030576103</v>
      </c>
      <c r="T29" s="125" t="n">
        <f aca="false">IF(T$5&lt;=LastHist,0,INDEX(CF_Cash,1,14)*CashYield/4)</f>
        <v>19.4791314246399</v>
      </c>
      <c r="U29" s="125" t="n">
        <f aca="false">IF(U$5&lt;=LastHist,0,INDEX(CF_Cash,1,15)*CashYield/4)</f>
        <v>17.5</v>
      </c>
      <c r="V29" s="125" t="n">
        <f aca="false">IF(V$5&lt;=LastHist,0,INDEX(CF_Cash,1,16)*CashYield/4)</f>
        <v>17.5</v>
      </c>
      <c r="W29" s="125" t="n">
        <f aca="false">IF(W$5&lt;=LastHist,0,INDEX(CF_Cash,1,17)*CashYield/4)</f>
        <v>17.5</v>
      </c>
      <c r="X29" s="125" t="n">
        <f aca="false">IF(X$5&lt;=LastHist,0,INDEX(CF_Cash,1,18)*CashYield/4)</f>
        <v>17.5</v>
      </c>
      <c r="Y29" s="125" t="n">
        <f aca="false">IF(Y$5&lt;=LastHist,0,INDEX(CF_Cash,1,19)*CashYield/4)</f>
        <v>17.5</v>
      </c>
      <c r="Z29" s="125" t="n">
        <f aca="false">IF(Z$5&lt;=LastHist,0,INDEX(CF_Cash,1,20)*CashYield/4)</f>
        <v>17.5</v>
      </c>
      <c r="AA29" s="125" t="n">
        <f aca="false">IF(AA$5&lt;=LastHist,0,INDEX(CF_Cash,1,21)*CashYield/4)</f>
        <v>17.5</v>
      </c>
      <c r="AB29" s="125" t="n">
        <f aca="false">IF(AB$5&lt;=LastHist,0,INDEX(CF_Cash,1,22)*CashYield/4)</f>
        <v>17.5</v>
      </c>
      <c r="AC29" s="125" t="n">
        <f aca="false">IF(AC$5&lt;=LastHist,0,INDEX(CF_Cash,1,23)*CashYield/4)</f>
        <v>17.5</v>
      </c>
      <c r="AD29" s="125" t="n">
        <f aca="false">IF(AD$5&lt;=LastHist,0,INDEX(CF_Cash,1,24)*CashYield/4)</f>
        <v>47.4904982890022</v>
      </c>
      <c r="AE29" s="125" t="n">
        <f aca="false">IF(AE$5&lt;=LastHist,0,INDEX(CF_Cash,1,25)*CashYield/4)</f>
        <v>49.3308497858201</v>
      </c>
      <c r="AF29" s="125" t="n">
        <f aca="false">IF(AF$5&lt;=LastHist,0,INDEX(CF_Cash,1,26)*CashYield/4)</f>
        <v>89.330131848296</v>
      </c>
      <c r="AG29" s="125" t="n">
        <f aca="false">IF(AG$5&lt;=LastHist,0,INDEX(CF_Cash,1,27)*CashYield/4)</f>
        <v>89.7059695175322</v>
      </c>
      <c r="AI29" s="125" t="n">
        <f aca="false">SUMIF($F$7:$AG$7,AI$7,$F29:$AG29)</f>
        <v>0</v>
      </c>
      <c r="AJ29" s="125" t="n">
        <f aca="false">SUMIF($F$7:$AG$7,AJ$7,$F29:$AG29)</f>
        <v>0</v>
      </c>
      <c r="AK29" s="125" t="n">
        <f aca="false">SUMIF($F$7:$AG$7,AK$7,$F29:$AG29)</f>
        <v>171.293177121778</v>
      </c>
      <c r="AL29" s="125" t="n">
        <f aca="false">SUMIF($F$7:$AG$7,AL$7,$F29:$AG29)</f>
        <v>208.136509965591</v>
      </c>
      <c r="AM29" s="125" t="n">
        <f aca="false">SUMIF($F$7:$AG$7,AM$7,$F29:$AG29)</f>
        <v>70</v>
      </c>
      <c r="AN29" s="125" t="n">
        <f aca="false">SUMIF($F$7:$AG$7,AN$7,$F29:$AG29)</f>
        <v>70</v>
      </c>
      <c r="AO29" s="125" t="n">
        <f aca="false">SUMIF($F$7:$AG$7,AO$7,$F29:$AG29)</f>
        <v>275.85744944065</v>
      </c>
    </row>
    <row r="30" customFormat="false" ht="15" hidden="false" customHeight="false" outlineLevel="0" collapsed="false">
      <c r="A30" s="107" t="s">
        <v>2476</v>
      </c>
      <c r="B30" s="22" t="s">
        <v>613</v>
      </c>
      <c r="C30" s="22" t="s">
        <v>540</v>
      </c>
      <c r="D30" s="22"/>
      <c r="F30" s="124" t="n">
        <f aca="false">0</f>
        <v>0</v>
      </c>
      <c r="G30" s="124" t="n">
        <f aca="false">IF(G$5&lt;=LastHist,0,INDEX(CF_PlugBal,1,1)*(SOFR+PlugSpread)/4)</f>
        <v>0</v>
      </c>
      <c r="H30" s="124" t="n">
        <f aca="false">IF(H$5&lt;=LastHist,0,INDEX(CF_PlugBal,1,2)*(SOFR+PlugSpread)/4)</f>
        <v>0</v>
      </c>
      <c r="I30" s="124" t="n">
        <f aca="false">IF(I$5&lt;=LastHist,0,INDEX(CF_PlugBal,1,3)*(SOFR+PlugSpread)/4)</f>
        <v>0</v>
      </c>
      <c r="J30" s="124" t="n">
        <f aca="false">IF(J$5&lt;=LastHist,0,INDEX(CF_PlugBal,1,4)*(SOFR+PlugSpread)/4)</f>
        <v>0</v>
      </c>
      <c r="K30" s="124" t="n">
        <f aca="false">IF(K$5&lt;=LastHist,0,INDEX(CF_PlugBal,1,5)*(SOFR+PlugSpread)/4)</f>
        <v>0</v>
      </c>
      <c r="L30" s="124" t="n">
        <f aca="false">IF(L$5&lt;=LastHist,0,INDEX(CF_PlugBal,1,6)*(SOFR+PlugSpread)/4)</f>
        <v>0</v>
      </c>
      <c r="M30" s="124" t="n">
        <f aca="false">IF(M$5&lt;=LastHist,0,INDEX(CF_PlugBal,1,7)*(SOFR+PlugSpread)/4)</f>
        <v>0</v>
      </c>
      <c r="N30" s="124" t="n">
        <f aca="false">IF(N$5&lt;=LastHist,0,INDEX(CF_PlugBal,1,8)*(SOFR+PlugSpread)/4)</f>
        <v>0</v>
      </c>
      <c r="O30" s="124" t="n">
        <f aca="false">IF(O$5&lt;=LastHist,0,INDEX(CF_PlugBal,1,9)*(SOFR+PlugSpread)/4)</f>
        <v>0</v>
      </c>
      <c r="P30" s="125" t="n">
        <f aca="false">IF(P$5&lt;=LastHist,0,INDEX(CF_PlugBal,1,10)*(SOFR+PlugSpread)/4)</f>
        <v>0</v>
      </c>
      <c r="Q30" s="125" t="n">
        <f aca="false">IF(Q$5&lt;=LastHist,0,INDEX(CF_PlugBal,1,11)*(SOFR+PlugSpread)/4)</f>
        <v>0</v>
      </c>
      <c r="R30" s="125" t="n">
        <f aca="false">IF(R$5&lt;=LastHist,0,INDEX(CF_PlugBal,1,12)*(SOFR+PlugSpread)/4)</f>
        <v>0</v>
      </c>
      <c r="S30" s="125" t="n">
        <f aca="false">IF(S$5&lt;=LastHist,0,INDEX(CF_PlugBal,1,13)*(SOFR+PlugSpread)/4)</f>
        <v>0</v>
      </c>
      <c r="T30" s="125" t="n">
        <f aca="false">IF(T$5&lt;=LastHist,0,INDEX(CF_PlugBal,1,14)*(SOFR+PlugSpread)/4)</f>
        <v>0</v>
      </c>
      <c r="U30" s="125" t="n">
        <f aca="false">IF(U$5&lt;=LastHist,0,INDEX(CF_PlugBal,1,15)*(SOFR+PlugSpread)/4)</f>
        <v>29.0093893080236</v>
      </c>
      <c r="V30" s="125" t="n">
        <f aca="false">IF(V$5&lt;=LastHist,0,INDEX(CF_PlugBal,1,16)*(SOFR+PlugSpread)/4)</f>
        <v>61.7355604751758</v>
      </c>
      <c r="W30" s="125" t="n">
        <f aca="false">IF(W$5&lt;=LastHist,0,INDEX(CF_PlugBal,1,17)*(SOFR+PlugSpread)/4)</f>
        <v>93.6821043617758</v>
      </c>
      <c r="X30" s="125" t="n">
        <f aca="false">IF(X$5&lt;=LastHist,0,INDEX(CF_PlugBal,1,18)*(SOFR+PlugSpread)/4)</f>
        <v>102.289386638003</v>
      </c>
      <c r="Y30" s="125" t="n">
        <f aca="false">IF(Y$5&lt;=LastHist,0,INDEX(CF_PlugBal,1,19)*(SOFR+PlugSpread)/4)</f>
        <v>182.829077556431</v>
      </c>
      <c r="Z30" s="125" t="n">
        <f aca="false">IF(Z$5&lt;=LastHist,0,INDEX(CF_PlugBal,1,20)*(SOFR+PlugSpread)/4)</f>
        <v>188.679686255808</v>
      </c>
      <c r="AA30" s="125" t="n">
        <f aca="false">IF(AA$5&lt;=LastHist,0,INDEX(CF_PlugBal,1,21)*(SOFR+PlugSpread)/4)</f>
        <v>250.141910118185</v>
      </c>
      <c r="AB30" s="125" t="n">
        <f aca="false">IF(AB$5&lt;=LastHist,0,INDEX(CF_PlugBal,1,22)*(SOFR+PlugSpread)/4)</f>
        <v>261.831532885222</v>
      </c>
      <c r="AC30" s="125" t="n">
        <f aca="false">IF(AC$5&lt;=LastHist,0,INDEX(CF_PlugBal,1,23)*(SOFR+PlugSpread)/4)</f>
        <v>353.852578807047</v>
      </c>
      <c r="AD30" s="125" t="n">
        <f aca="false">IF(AD$5&lt;=LastHist,0,INDEX(CF_PlugBal,1,24)*(SOFR+PlugSpread)/4)</f>
        <v>353.852578807047</v>
      </c>
      <c r="AE30" s="125" t="n">
        <f aca="false">IF(AE$5&lt;=LastHist,0,INDEX(CF_PlugBal,1,25)*(SOFR+PlugSpread)/4)</f>
        <v>353.852578807047</v>
      </c>
      <c r="AF30" s="125" t="n">
        <f aca="false">IF(AF$5&lt;=LastHist,0,INDEX(CF_PlugBal,1,26)*(SOFR+PlugSpread)/4)</f>
        <v>353.852578807047</v>
      </c>
      <c r="AG30" s="125" t="n">
        <f aca="false">IF(AG$5&lt;=LastHist,0,INDEX(CF_PlugBal,1,27)*(SOFR+PlugSpread)/4)</f>
        <v>353.852578807047</v>
      </c>
      <c r="AI30" s="125" t="n">
        <f aca="false">SUMIF($F$7:$AG$7,AI$7,$F30:$AG30)</f>
        <v>0</v>
      </c>
      <c r="AJ30" s="125" t="n">
        <f aca="false">SUMIF($F$7:$AG$7,AJ$7,$F30:$AG30)</f>
        <v>0</v>
      </c>
      <c r="AK30" s="125" t="n">
        <f aca="false">SUMIF($F$7:$AG$7,AK$7,$F30:$AG30)</f>
        <v>0</v>
      </c>
      <c r="AL30" s="125" t="n">
        <f aca="false">SUMIF($F$7:$AG$7,AL$7,$F30:$AG30)</f>
        <v>29.0093893080236</v>
      </c>
      <c r="AM30" s="125" t="n">
        <f aca="false">SUMIF($F$7:$AG$7,AM$7,$F30:$AG30)</f>
        <v>440.536129031385</v>
      </c>
      <c r="AN30" s="125" t="n">
        <f aca="false">SUMIF($F$7:$AG$7,AN$7,$F30:$AG30)</f>
        <v>1054.50570806626</v>
      </c>
      <c r="AO30" s="125" t="n">
        <f aca="false">SUMIF($F$7:$AG$7,AO$7,$F30:$AG30)</f>
        <v>1415.41031522819</v>
      </c>
    </row>
    <row r="31" customFormat="false" ht="15" hidden="false" customHeight="false" outlineLevel="0" collapsed="false">
      <c r="A31" s="107" t="s">
        <v>2477</v>
      </c>
      <c r="B31" s="22" t="s">
        <v>613</v>
      </c>
      <c r="C31" s="22" t="s">
        <v>540</v>
      </c>
      <c r="D31" s="22" t="s">
        <v>2478</v>
      </c>
      <c r="F31" s="124" t="n">
        <f aca="false">IF(F$5&lt;=LastHist,0,-INDEX(CV_cpn,1,1)-INDEX(Sec_Int,1,1)-F30+F29)</f>
        <v>0</v>
      </c>
      <c r="G31" s="124" t="n">
        <f aca="false">IF(G$5&lt;=LastHist,0,-INDEX(CV_cpn,1,2)-INDEX(Sec_Int,1,2)-G30+G29)</f>
        <v>0</v>
      </c>
      <c r="H31" s="124" t="n">
        <f aca="false">IF(H$5&lt;=LastHist,0,-INDEX(CV_cpn,1,3)-INDEX(Sec_Int,1,3)-H30+H29)</f>
        <v>0</v>
      </c>
      <c r="I31" s="124" t="n">
        <f aca="false">IF(I$5&lt;=LastHist,0,-INDEX(CV_cpn,1,4)-INDEX(Sec_Int,1,4)-I30+I29)</f>
        <v>0</v>
      </c>
      <c r="J31" s="124" t="n">
        <f aca="false">IF(J$5&lt;=LastHist,0,-INDEX(CV_cpn,1,5)-INDEX(Sec_Int,1,5)-J30+J29)</f>
        <v>0</v>
      </c>
      <c r="K31" s="124" t="n">
        <f aca="false">IF(K$5&lt;=LastHist,0,-INDEX(CV_cpn,1,6)-INDEX(Sec_Int,1,6)-K30+K29)</f>
        <v>0</v>
      </c>
      <c r="L31" s="124" t="n">
        <f aca="false">IF(L$5&lt;=LastHist,0,-INDEX(CV_cpn,1,7)-INDEX(Sec_Int,1,7)-L30+L29)</f>
        <v>0</v>
      </c>
      <c r="M31" s="124" t="n">
        <f aca="false">IF(M$5&lt;=LastHist,0,-INDEX(CV_cpn,1,8)-INDEX(Sec_Int,1,8)-M30+M29)</f>
        <v>0</v>
      </c>
      <c r="N31" s="124" t="n">
        <f aca="false">IF(N$5&lt;=LastHist,0,-INDEX(CV_cpn,1,9)-INDEX(Sec_Int,1,9)-N30+N29)</f>
        <v>0</v>
      </c>
      <c r="O31" s="124" t="n">
        <f aca="false">IF(O$5&lt;=LastHist,0,-INDEX(CV_cpn,1,10)-INDEX(Sec_Int,1,10)-O30+O29)</f>
        <v>0</v>
      </c>
      <c r="P31" s="125" t="n">
        <f aca="false">IF(P$5&lt;=LastHist,0,-INDEX(CV_cpn,1,11)-INDEX(Sec_Int,1,11)-P30+P29)</f>
        <v>4.69259375000001</v>
      </c>
      <c r="Q31" s="125" t="n">
        <f aca="false">IF(Q$5&lt;=LastHist,0,-INDEX(CV_cpn,1,12)-INDEX(Sec_Int,1,12)-Q30+Q29)</f>
        <v>35.2490208717784</v>
      </c>
      <c r="R31" s="125" t="n">
        <f aca="false">IF(R$5&lt;=LastHist,0,-INDEX(CV_cpn,1,13)-INDEX(Sec_Int,1,13)-R30+R29)</f>
        <v>-13.964005766659</v>
      </c>
      <c r="S31" s="125" t="n">
        <f aca="false">IF(S$5&lt;=LastHist,0,-INDEX(CV_cpn,1,14)-INDEX(Sec_Int,1,14)-S30+S29)</f>
        <v>-13.4301781923897</v>
      </c>
      <c r="T31" s="125" t="n">
        <f aca="false">IF(T$5&lt;=LastHist,0,-INDEX(CV_cpn,1,15)-INDEX(Sec_Int,1,15)-T30+T29)</f>
        <v>-113.39664982536</v>
      </c>
      <c r="U31" s="125" t="n">
        <f aca="false">IF(U$5&lt;=LastHist,0,-INDEX(CV_cpn,1,16)-INDEX(Sec_Int,1,16)-U30+U29)</f>
        <v>-144.385170558024</v>
      </c>
      <c r="V31" s="125" t="n">
        <f aca="false">IF(V$5&lt;=LastHist,0,-INDEX(CV_cpn,1,17)-INDEX(Sec_Int,1,17)-V30+V29)</f>
        <v>-177.111341725176</v>
      </c>
      <c r="W31" s="125" t="n">
        <f aca="false">IF(W$5&lt;=LastHist,0,-INDEX(CV_cpn,1,18)-INDEX(Sec_Int,1,18)-W30+W29)</f>
        <v>-209.057885611776</v>
      </c>
      <c r="X31" s="125" t="n">
        <f aca="false">IF(X$5&lt;=LastHist,0,-INDEX(CV_cpn,1,19)-INDEX(Sec_Int,1,19)-X30+X29)</f>
        <v>-217.665167888003</v>
      </c>
      <c r="Y31" s="125" t="n">
        <f aca="false">IF(Y$5&lt;=LastHist,0,-INDEX(CV_cpn,1,20)-INDEX(Sec_Int,1,20)-Y30+Y29)</f>
        <v>-298.204858806431</v>
      </c>
      <c r="Z31" s="125" t="n">
        <f aca="false">IF(Z$5&lt;=LastHist,0,-INDEX(CV_cpn,1,21)-INDEX(Sec_Int,1,21)-Z30+Z29)</f>
        <v>-304.055467505808</v>
      </c>
      <c r="AA31" s="125" t="n">
        <f aca="false">IF(AA$5&lt;=LastHist,0,-INDEX(CV_cpn,1,22)-INDEX(Sec_Int,1,22)-AA30+AA29)</f>
        <v>-365.080191368185</v>
      </c>
      <c r="AB31" s="125" t="n">
        <f aca="false">IF(AB$5&lt;=LastHist,0,-INDEX(CV_cpn,1,23)-INDEX(Sec_Int,1,23)-AB30+AB29)</f>
        <v>-376.769814135222</v>
      </c>
      <c r="AC31" s="125" t="n">
        <f aca="false">IF(AC$5&lt;=LastHist,0,-INDEX(CV_cpn,1,24)-INDEX(Sec_Int,1,24)-AC30+AC29)</f>
        <v>-468.790860057047</v>
      </c>
      <c r="AD31" s="125" t="n">
        <f aca="false">IF(AD$5&lt;=LastHist,0,-INDEX(CV_cpn,1,25)-INDEX(Sec_Int,1,25)-AD30+AD29)</f>
        <v>-434.487861768045</v>
      </c>
      <c r="AE31" s="125" t="n">
        <f aca="false">IF(AE$5&lt;=LastHist,0,-INDEX(CV_cpn,1,26)-INDEX(Sec_Int,1,26)-AE30+AE29)</f>
        <v>-432.647510271227</v>
      </c>
      <c r="AF31" s="125" t="n">
        <f aca="false">IF(AF$5&lt;=LastHist,0,-INDEX(CV_cpn,1,27)-INDEX(Sec_Int,1,27)-AF30+AF29)</f>
        <v>-383.895103208751</v>
      </c>
      <c r="AG31" s="125" t="n">
        <f aca="false">IF(AG$5&lt;=LastHist,0,-INDEX(CV_cpn,1,28)-INDEX(Sec_Int,1,28)-AG30+AG29)</f>
        <v>-383.519265539515</v>
      </c>
      <c r="AI31" s="125" t="n">
        <f aca="false">SUMIF($F$7:$AG$7,AI$7,$F31:$AG31)</f>
        <v>0</v>
      </c>
      <c r="AJ31" s="125" t="n">
        <f aca="false">SUMIF($F$7:$AG$7,AJ$7,$F31:$AG31)</f>
        <v>0</v>
      </c>
      <c r="AK31" s="125" t="n">
        <f aca="false">SUMIF($F$7:$AG$7,AK$7,$F31:$AG31)</f>
        <v>39.9416146217784</v>
      </c>
      <c r="AL31" s="125" t="n">
        <f aca="false">SUMIF($F$7:$AG$7,AL$7,$F31:$AG31)</f>
        <v>-285.176004342432</v>
      </c>
      <c r="AM31" s="125" t="n">
        <f aca="false">SUMIF($F$7:$AG$7,AM$7,$F31:$AG31)</f>
        <v>-902.039254031385</v>
      </c>
      <c r="AN31" s="125" t="n">
        <f aca="false">SUMIF($F$7:$AG$7,AN$7,$F31:$AG31)</f>
        <v>-1514.69633306626</v>
      </c>
      <c r="AO31" s="125" t="n">
        <f aca="false">SUMIF($F$7:$AG$7,AO$7,$F31:$AG31)</f>
        <v>-1634.54974078754</v>
      </c>
    </row>
    <row r="32" customFormat="false" ht="15" hidden="false" customHeight="false" outlineLevel="0" collapsed="false">
      <c r="A32" s="3" t="s">
        <v>2479</v>
      </c>
      <c r="B32" s="22" t="s">
        <v>613</v>
      </c>
      <c r="C32" s="22" t="s">
        <v>540</v>
      </c>
      <c r="D32" s="22"/>
      <c r="F32" s="126" t="n">
        <f aca="false">F11+F12+F31+F26</f>
        <v>0</v>
      </c>
      <c r="G32" s="126" t="n">
        <f aca="false">G11+G12+G31+G26</f>
        <v>0</v>
      </c>
      <c r="H32" s="126" t="n">
        <f aca="false">H11+H12+H31+H26</f>
        <v>0</v>
      </c>
      <c r="I32" s="126" t="n">
        <f aca="false">I11+I12+I31+I26</f>
        <v>0</v>
      </c>
      <c r="J32" s="126" t="n">
        <f aca="false">J11+J12+J31+J26</f>
        <v>0</v>
      </c>
      <c r="K32" s="126" t="n">
        <f aca="false">K11+K12+K31+K26</f>
        <v>0</v>
      </c>
      <c r="L32" s="126" t="n">
        <f aca="false">L11+L12+L31+L26</f>
        <v>0</v>
      </c>
      <c r="M32" s="126" t="n">
        <f aca="false">M11+M12+M31+M26</f>
        <v>0</v>
      </c>
      <c r="N32" s="126" t="n">
        <f aca="false">N11+N12+N31+N26</f>
        <v>0</v>
      </c>
      <c r="O32" s="126" t="n">
        <f aca="false">O11+O12+O31+O26</f>
        <v>0</v>
      </c>
      <c r="P32" s="99" t="n">
        <f aca="false">P11+P12+P31+P26</f>
        <v>1223.40220278543</v>
      </c>
      <c r="Q32" s="99" t="n">
        <f aca="false">Q11+Q12+Q31+Q26</f>
        <v>1312.43024397221</v>
      </c>
      <c r="R32" s="99" t="n">
        <f aca="false">R11+R12+R31+R26</f>
        <v>1370.06797242834</v>
      </c>
      <c r="S32" s="99" t="n">
        <f aca="false">S11+S12+S31+S26</f>
        <v>1502.68448282511</v>
      </c>
      <c r="T32" s="99" t="n">
        <f aca="false">T11+T12+T31+T26</f>
        <v>1579.61411810364</v>
      </c>
      <c r="U32" s="99" t="n">
        <f aca="false">U11+U12+U31+U26</f>
        <v>1900.92111389887</v>
      </c>
      <c r="V32" s="99" t="n">
        <f aca="false">V11+V12+V31+V26</f>
        <v>2602.49423381038</v>
      </c>
      <c r="W32" s="99" t="n">
        <f aca="false">W11+W12+W31+W26</f>
        <v>3046.37132507258</v>
      </c>
      <c r="X32" s="99" t="n">
        <f aca="false">X11+X12+X31+X26</f>
        <v>3334.20579879371</v>
      </c>
      <c r="Y32" s="99" t="n">
        <f aca="false">Y11+Y12+Y31+Y26</f>
        <v>3463.99967459823</v>
      </c>
      <c r="Z32" s="99" t="n">
        <f aca="false">Z11+Z12+Z31+Z26</f>
        <v>5676.21310271044</v>
      </c>
      <c r="AA32" s="99" t="n">
        <f aca="false">AA11+AA12+AA31+AA26</f>
        <v>4474.6981980073</v>
      </c>
      <c r="AB32" s="99" t="n">
        <f aca="false">AB11+AB12+AB31+AB26</f>
        <v>7606.85942009735</v>
      </c>
      <c r="AC32" s="99" t="n">
        <f aca="false">AC11+AC12+AC31+AC26</f>
        <v>3904.76810962795</v>
      </c>
      <c r="AD32" s="99" t="n">
        <f aca="false">AD11+AD12+AD31+AD26</f>
        <v>4593.92112324351</v>
      </c>
      <c r="AE32" s="99" t="n">
        <f aca="false">AE11+AE12+AE31+AE26</f>
        <v>5158.16828255905</v>
      </c>
      <c r="AF32" s="99" t="n">
        <f aca="false">AF11+AF12+AF31+AF26</f>
        <v>5169.39727336639</v>
      </c>
      <c r="AG32" s="99" t="n">
        <f aca="false">AG11+AG12+AG31+AG26</f>
        <v>5275.07173128917</v>
      </c>
      <c r="AI32" s="99" t="n">
        <f aca="false">SUMIF($F$7:$AG$7,AI$7,$F32:$AG32)</f>
        <v>0</v>
      </c>
      <c r="AJ32" s="99" t="n">
        <f aca="false">SUMIF($F$7:$AG$7,AJ$7,$F32:$AG32)</f>
        <v>0</v>
      </c>
      <c r="AK32" s="99" t="n">
        <f aca="false">SUMIF($F$7:$AG$7,AK$7,$F32:$AG32)</f>
        <v>2535.83244675763</v>
      </c>
      <c r="AL32" s="99" t="n">
        <f aca="false">SUMIF($F$7:$AG$7,AL$7,$F32:$AG32)</f>
        <v>6353.28768725596</v>
      </c>
      <c r="AM32" s="99" t="n">
        <f aca="false">SUMIF($F$7:$AG$7,AM$7,$F32:$AG32)</f>
        <v>12447.0710322749</v>
      </c>
      <c r="AN32" s="99" t="n">
        <f aca="false">SUMIF($F$7:$AG$7,AN$7,$F32:$AG32)</f>
        <v>21662.538830443</v>
      </c>
      <c r="AO32" s="99" t="n">
        <f aca="false">SUMIF($F$7:$AG$7,AO$7,$F32:$AG32)</f>
        <v>20196.5584104581</v>
      </c>
    </row>
    <row r="33" customFormat="false" ht="15" hidden="false" customHeight="false" outlineLevel="0" collapsed="false">
      <c r="A33" s="107" t="s">
        <v>2480</v>
      </c>
      <c r="B33" s="22" t="s">
        <v>613</v>
      </c>
      <c r="C33" s="22" t="s">
        <v>2154</v>
      </c>
      <c r="D33" s="22"/>
      <c r="F33" s="124" t="n">
        <f aca="false">IF(F$5&lt;=LastHist,0,-INDEX(Capex,1,1)+INDEX(CapResid,1,1))</f>
        <v>0</v>
      </c>
      <c r="G33" s="124" t="n">
        <f aca="false">IF(G$5&lt;=LastHist,0,-INDEX(Capex,1,2)+INDEX(CapResid,1,2))</f>
        <v>0</v>
      </c>
      <c r="H33" s="124" t="n">
        <f aca="false">IF(H$5&lt;=LastHist,0,-INDEX(Capex,1,3)+INDEX(CapResid,1,3))</f>
        <v>0</v>
      </c>
      <c r="I33" s="124" t="n">
        <f aca="false">IF(I$5&lt;=LastHist,0,-INDEX(Capex,1,4)+INDEX(CapResid,1,4))</f>
        <v>0</v>
      </c>
      <c r="J33" s="124" t="n">
        <f aca="false">IF(J$5&lt;=LastHist,0,-INDEX(Capex,1,5)+INDEX(CapResid,1,5))</f>
        <v>0</v>
      </c>
      <c r="K33" s="124" t="n">
        <f aca="false">IF(K$5&lt;=LastHist,0,-INDEX(Capex,1,6)+INDEX(CapResid,1,6))</f>
        <v>0</v>
      </c>
      <c r="L33" s="124" t="n">
        <f aca="false">IF(L$5&lt;=LastHist,0,-INDEX(Capex,1,7)+INDEX(CapResid,1,7))</f>
        <v>0</v>
      </c>
      <c r="M33" s="124" t="n">
        <f aca="false">IF(M$5&lt;=LastHist,0,-INDEX(Capex,1,8)+INDEX(CapResid,1,8))</f>
        <v>0</v>
      </c>
      <c r="N33" s="124" t="n">
        <f aca="false">IF(N$5&lt;=LastHist,0,-INDEX(Capex,1,9)+INDEX(CapResid,1,9))</f>
        <v>0</v>
      </c>
      <c r="O33" s="124" t="n">
        <f aca="false">IF(O$5&lt;=LastHist,0,-INDEX(Capex,1,10)+INDEX(CapResid,1,10))</f>
        <v>0</v>
      </c>
      <c r="P33" s="125" t="n">
        <f aca="false">IF(P$5&lt;=LastHist,0,-INDEX(Capex,1,11)+INDEX(CapResid,1,11))</f>
        <v>-3411.23910315362</v>
      </c>
      <c r="Q33" s="125" t="n">
        <f aca="false">IF(Q$5&lt;=LastHist,0,-INDEX(Capex,1,12)+INDEX(CapResid,1,12))</f>
        <v>-6076.17795017791</v>
      </c>
      <c r="R33" s="125" t="n">
        <f aca="false">IF(R$5&lt;=LastHist,0,-INDEX(Capex,1,13)+INDEX(CapResid,1,13))</f>
        <v>-7631.1460633193</v>
      </c>
      <c r="S33" s="125" t="n">
        <f aca="false">IF(S$5&lt;=LastHist,0,-INDEX(Capex,1,14)+INDEX(CapResid,1,14))</f>
        <v>-9087.42409802173</v>
      </c>
      <c r="T33" s="125" t="n">
        <f aca="false">IF(T$5&lt;=LastHist,0,-INDEX(Capex,1,15)+INDEX(CapResid,1,15))</f>
        <v>-11443.2463012155</v>
      </c>
      <c r="U33" s="125" t="n">
        <f aca="false">IF(U$5&lt;=LastHist,0,-INDEX(Capex,1,16)+INDEX(CapResid,1,16))</f>
        <v>-5641.05496157341</v>
      </c>
      <c r="V33" s="125" t="n">
        <f aca="false">IF(V$5&lt;=LastHist,0,-INDEX(Capex,1,17)+INDEX(CapResid,1,17))</f>
        <v>-6253.52782085037</v>
      </c>
      <c r="W33" s="125" t="n">
        <f aca="false">IF(W$5&lt;=LastHist,0,-INDEX(Capex,1,18)+INDEX(CapResid,1,18))</f>
        <v>-4030.06072806992</v>
      </c>
      <c r="X33" s="125" t="n">
        <f aca="false">IF(X$5&lt;=LastHist,0,-INDEX(Capex,1,19)+INDEX(CapResid,1,19))</f>
        <v>-12538.741903757</v>
      </c>
      <c r="Y33" s="125" t="n">
        <f aca="false">IF(Y$5&lt;=LastHist,0,-INDEX(Capex,1,20)+INDEX(CapResid,1,20))</f>
        <v>-4132.64066881269</v>
      </c>
      <c r="Z33" s="125" t="n">
        <f aca="false">IF(Z$5&lt;=LastHist,0,-INDEX(Capex,1,21)+INDEX(CapResid,1,21))</f>
        <v>-12700.4672584107</v>
      </c>
      <c r="AA33" s="125" t="n">
        <f aca="false">IF(AA$5&lt;=LastHist,0,-INDEX(Capex,1,22)+INDEX(CapResid,1,22))</f>
        <v>-5810.65508566871</v>
      </c>
      <c r="AB33" s="125" t="n">
        <f aca="false">IF(AB$5&lt;=LastHist,0,-INDEX(Capex,1,23)+INDEX(CapResid,1,23))</f>
        <v>-18123.5503825917</v>
      </c>
      <c r="AC33" s="125" t="n">
        <f aca="false">IF(AC$5&lt;=LastHist,0,-INDEX(Capex,1,24)+INDEX(CapResid,1,24))</f>
        <v>-477.282590884843</v>
      </c>
      <c r="AD33" s="125" t="n">
        <f aca="false">IF(AD$5&lt;=LastHist,0,-INDEX(Capex,1,25)+INDEX(CapResid,1,25))</f>
        <v>-588.59523789289</v>
      </c>
      <c r="AE33" s="125" t="n">
        <f aca="false">IF(AE$5&lt;=LastHist,0,-INDEX(Capex,1,26)+INDEX(CapResid,1,26))</f>
        <v>-586.821761133233</v>
      </c>
      <c r="AF33" s="125" t="n">
        <f aca="false">IF(AF$5&lt;=LastHist,0,-INDEX(Capex,1,27)+INDEX(CapResid,1,27))</f>
        <v>-902.444396882245</v>
      </c>
      <c r="AG33" s="125" t="n">
        <f aca="false">IF(AG$5&lt;=LastHist,0,-INDEX(Capex,1,28)+INDEX(CapResid,1,28))</f>
        <v>-1687.14475655085</v>
      </c>
      <c r="AI33" s="125" t="n">
        <f aca="false">SUMIF($F$7:$AG$7,AI$7,$F33:$AG33)</f>
        <v>0</v>
      </c>
      <c r="AJ33" s="125" t="n">
        <f aca="false">SUMIF($F$7:$AG$7,AJ$7,$F33:$AG33)</f>
        <v>0</v>
      </c>
      <c r="AK33" s="125" t="n">
        <f aca="false">SUMIF($F$7:$AG$7,AK$7,$F33:$AG33)</f>
        <v>-9487.41705333152</v>
      </c>
      <c r="AL33" s="125" t="n">
        <f aca="false">SUMIF($F$7:$AG$7,AL$7,$F33:$AG33)</f>
        <v>-33802.8714241299</v>
      </c>
      <c r="AM33" s="125" t="n">
        <f aca="false">SUMIF($F$7:$AG$7,AM$7,$F33:$AG33)</f>
        <v>-26954.97112149</v>
      </c>
      <c r="AN33" s="125" t="n">
        <f aca="false">SUMIF($F$7:$AG$7,AN$7,$F33:$AG33)</f>
        <v>-37111.9553175559</v>
      </c>
      <c r="AO33" s="125" t="n">
        <f aca="false">SUMIF($F$7:$AG$7,AO$7,$F33:$AG33)</f>
        <v>-3765.00615245922</v>
      </c>
    </row>
    <row r="34" customFormat="false" ht="15" hidden="false" customHeight="false" outlineLevel="0" collapsed="false">
      <c r="A34" s="107" t="s">
        <v>2481</v>
      </c>
      <c r="B34" s="22" t="s">
        <v>613</v>
      </c>
      <c r="C34" s="22" t="s">
        <v>604</v>
      </c>
      <c r="D34" s="22"/>
      <c r="F34" s="124" t="n">
        <f aca="false">IF(F$5&lt;=LastHist,0,-CLT1Prepay/3*AND(F$5&gt;=12,F$5&lt;=14)-InferizeOn*InferizeAmt*(F$5=12))</f>
        <v>0</v>
      </c>
      <c r="G34" s="124" t="n">
        <f aca="false">IF(G$5&lt;=LastHist,0,-CLT1Prepay/3*AND(G$5&gt;=12,G$5&lt;=14)-InferizeOn*InferizeAmt*(G$5=12))</f>
        <v>0</v>
      </c>
      <c r="H34" s="124" t="n">
        <f aca="false">IF(H$5&lt;=LastHist,0,-CLT1Prepay/3*AND(H$5&gt;=12,H$5&lt;=14)-InferizeOn*InferizeAmt*(H$5=12))</f>
        <v>0</v>
      </c>
      <c r="I34" s="124" t="n">
        <f aca="false">IF(I$5&lt;=LastHist,0,-CLT1Prepay/3*AND(I$5&gt;=12,I$5&lt;=14)-InferizeOn*InferizeAmt*(I$5=12))</f>
        <v>0</v>
      </c>
      <c r="J34" s="124" t="n">
        <f aca="false">IF(J$5&lt;=LastHist,0,-CLT1Prepay/3*AND(J$5&gt;=12,J$5&lt;=14)-InferizeOn*InferizeAmt*(J$5=12))</f>
        <v>0</v>
      </c>
      <c r="K34" s="124" t="n">
        <f aca="false">IF(K$5&lt;=LastHist,0,-CLT1Prepay/3*AND(K$5&gt;=12,K$5&lt;=14)-InferizeOn*InferizeAmt*(K$5=12))</f>
        <v>0</v>
      </c>
      <c r="L34" s="124" t="n">
        <f aca="false">IF(L$5&lt;=LastHist,0,-CLT1Prepay/3*AND(L$5&gt;=12,L$5&lt;=14)-InferizeOn*InferizeAmt*(L$5=12))</f>
        <v>0</v>
      </c>
      <c r="M34" s="124" t="n">
        <f aca="false">IF(M$5&lt;=LastHist,0,-CLT1Prepay/3*AND(M$5&gt;=12,M$5&lt;=14)-InferizeOn*InferizeAmt*(M$5=12))</f>
        <v>0</v>
      </c>
      <c r="N34" s="124" t="n">
        <f aca="false">IF(N$5&lt;=LastHist,0,-CLT1Prepay/3*AND(N$5&gt;=12,N$5&lt;=14)-InferizeOn*InferizeAmt*(N$5=12))</f>
        <v>0</v>
      </c>
      <c r="O34" s="124" t="n">
        <f aca="false">IF(O$5&lt;=LastHist,0,-CLT1Prepay/3*AND(O$5&gt;=12,O$5&lt;=14)-InferizeOn*InferizeAmt*(O$5=12))</f>
        <v>0</v>
      </c>
      <c r="P34" s="125" t="n">
        <f aca="false">IF(P$5&lt;=LastHist,0,-CLT1Prepay/3*AND(P$5&gt;=12,P$5&lt;=14)-InferizeOn*InferizeAmt*(P$5=12))</f>
        <v>-0</v>
      </c>
      <c r="Q34" s="125" t="n">
        <f aca="false">IF(Q$5&lt;=LastHist,0,-CLT1Prepay/3*AND(Q$5&gt;=12,Q$5&lt;=14)-InferizeOn*InferizeAmt*(Q$5=12))</f>
        <v>-0</v>
      </c>
      <c r="R34" s="125" t="n">
        <f aca="false">IF(R$5&lt;=LastHist,0,-CLT1Prepay/3*AND(R$5&gt;=12,R$5&lt;=14)-InferizeOn*InferizeAmt*(R$5=12))</f>
        <v>-0</v>
      </c>
      <c r="S34" s="125" t="n">
        <f aca="false">IF(S$5&lt;=LastHist,0,-CLT1Prepay/3*AND(S$5&gt;=12,S$5&lt;=14)-InferizeOn*InferizeAmt*(S$5=12))</f>
        <v>-0</v>
      </c>
      <c r="T34" s="125" t="n">
        <f aca="false">IF(T$5&lt;=LastHist,0,-CLT1Prepay/3*AND(T$5&gt;=12,T$5&lt;=14)-InferizeOn*InferizeAmt*(T$5=12))</f>
        <v>-0</v>
      </c>
      <c r="U34" s="125" t="n">
        <f aca="false">IF(U$5&lt;=LastHist,0,-CLT1Prepay/3*AND(U$5&gt;=12,U$5&lt;=14)-InferizeOn*InferizeAmt*(U$5=12))</f>
        <v>-0</v>
      </c>
      <c r="V34" s="125" t="n">
        <f aca="false">IF(V$5&lt;=LastHist,0,-CLT1Prepay/3*AND(V$5&gt;=12,V$5&lt;=14)-InferizeOn*InferizeAmt*(V$5=12))</f>
        <v>-0</v>
      </c>
      <c r="W34" s="125" t="n">
        <f aca="false">IF(W$5&lt;=LastHist,0,-CLT1Prepay/3*AND(W$5&gt;=12,W$5&lt;=14)-InferizeOn*InferizeAmt*(W$5=12))</f>
        <v>-0</v>
      </c>
      <c r="X34" s="125" t="n">
        <f aca="false">IF(X$5&lt;=LastHist,0,-CLT1Prepay/3*AND(X$5&gt;=12,X$5&lt;=14)-InferizeOn*InferizeAmt*(X$5=12))</f>
        <v>-0</v>
      </c>
      <c r="Y34" s="125" t="n">
        <f aca="false">IF(Y$5&lt;=LastHist,0,-CLT1Prepay/3*AND(Y$5&gt;=12,Y$5&lt;=14)-InferizeOn*InferizeAmt*(Y$5=12))</f>
        <v>-0</v>
      </c>
      <c r="Z34" s="125" t="n">
        <f aca="false">IF(Z$5&lt;=LastHist,0,-CLT1Prepay/3*AND(Z$5&gt;=12,Z$5&lt;=14)-InferizeOn*InferizeAmt*(Z$5=12))</f>
        <v>-0</v>
      </c>
      <c r="AA34" s="125" t="n">
        <f aca="false">IF(AA$5&lt;=LastHist,0,-CLT1Prepay/3*AND(AA$5&gt;=12,AA$5&lt;=14)-InferizeOn*InferizeAmt*(AA$5=12))</f>
        <v>-0</v>
      </c>
      <c r="AB34" s="125" t="n">
        <f aca="false">IF(AB$5&lt;=LastHist,0,-CLT1Prepay/3*AND(AB$5&gt;=12,AB$5&lt;=14)-InferizeOn*InferizeAmt*(AB$5=12))</f>
        <v>-0</v>
      </c>
      <c r="AC34" s="125" t="n">
        <f aca="false">IF(AC$5&lt;=LastHist,0,-CLT1Prepay/3*AND(AC$5&gt;=12,AC$5&lt;=14)-InferizeOn*InferizeAmt*(AC$5=12))</f>
        <v>-0</v>
      </c>
      <c r="AD34" s="125" t="n">
        <f aca="false">IF(AD$5&lt;=LastHist,0,-CLT1Prepay/3*AND(AD$5&gt;=12,AD$5&lt;=14)-InferizeOn*InferizeAmt*(AD$5=12))</f>
        <v>-0</v>
      </c>
      <c r="AE34" s="125" t="n">
        <f aca="false">IF(AE$5&lt;=LastHist,0,-CLT1Prepay/3*AND(AE$5&gt;=12,AE$5&lt;=14)-InferizeOn*InferizeAmt*(AE$5=12))</f>
        <v>-0</v>
      </c>
      <c r="AF34" s="125" t="n">
        <f aca="false">IF(AF$5&lt;=LastHist,0,-CLT1Prepay/3*AND(AF$5&gt;=12,AF$5&lt;=14)-InferizeOn*InferizeAmt*(AF$5=12))</f>
        <v>-0</v>
      </c>
      <c r="AG34" s="125" t="n">
        <f aca="false">IF(AG$5&lt;=LastHist,0,-CLT1Prepay/3*AND(AG$5&gt;=12,AG$5&lt;=14)-InferizeOn*InferizeAmt*(AG$5=12))</f>
        <v>-0</v>
      </c>
      <c r="AI34" s="125" t="n">
        <f aca="false">SUMIF($F$7:$AG$7,AI$7,$F34:$AG34)</f>
        <v>0</v>
      </c>
      <c r="AJ34" s="125" t="n">
        <f aca="false">SUMIF($F$7:$AG$7,AJ$7,$F34:$AG34)</f>
        <v>0</v>
      </c>
      <c r="AK34" s="125" t="n">
        <f aca="false">SUMIF($F$7:$AG$7,AK$7,$F34:$AG34)</f>
        <v>0</v>
      </c>
      <c r="AL34" s="125" t="n">
        <f aca="false">SUMIF($F$7:$AG$7,AL$7,$F34:$AG34)</f>
        <v>0</v>
      </c>
      <c r="AM34" s="125" t="n">
        <f aca="false">SUMIF($F$7:$AG$7,AM$7,$F34:$AG34)</f>
        <v>0</v>
      </c>
      <c r="AN34" s="125" t="n">
        <f aca="false">SUMIF($F$7:$AG$7,AN$7,$F34:$AG34)</f>
        <v>0</v>
      </c>
      <c r="AO34" s="125" t="n">
        <f aca="false">SUMIF($F$7:$AG$7,AO$7,$F34:$AG34)</f>
        <v>0</v>
      </c>
    </row>
    <row r="35" customFormat="false" ht="15" hidden="false" customHeight="false" outlineLevel="0" collapsed="false">
      <c r="A35" s="3" t="s">
        <v>2482</v>
      </c>
      <c r="B35" s="22" t="s">
        <v>613</v>
      </c>
      <c r="C35" s="22" t="s">
        <v>540</v>
      </c>
      <c r="D35" s="22"/>
      <c r="F35" s="126" t="n">
        <f aca="false">F32+F33+F34</f>
        <v>0</v>
      </c>
      <c r="G35" s="126" t="n">
        <f aca="false">G32+G33+G34</f>
        <v>0</v>
      </c>
      <c r="H35" s="126" t="n">
        <f aca="false">H32+H33+H34</f>
        <v>0</v>
      </c>
      <c r="I35" s="126" t="n">
        <f aca="false">I32+I33+I34</f>
        <v>0</v>
      </c>
      <c r="J35" s="126" t="n">
        <f aca="false">J32+J33+J34</f>
        <v>0</v>
      </c>
      <c r="K35" s="126" t="n">
        <f aca="false">K32+K33+K34</f>
        <v>0</v>
      </c>
      <c r="L35" s="126" t="n">
        <f aca="false">L32+L33+L34</f>
        <v>0</v>
      </c>
      <c r="M35" s="126" t="n">
        <f aca="false">M32+M33+M34</f>
        <v>0</v>
      </c>
      <c r="N35" s="126" t="n">
        <f aca="false">N32+N33+N34</f>
        <v>0</v>
      </c>
      <c r="O35" s="126" t="n">
        <f aca="false">O32+O33+O34</f>
        <v>0</v>
      </c>
      <c r="P35" s="99" t="n">
        <f aca="false">P32+P33+P34</f>
        <v>-2187.83690036819</v>
      </c>
      <c r="Q35" s="99" t="n">
        <f aca="false">Q32+Q33+Q34</f>
        <v>-4763.7477062057</v>
      </c>
      <c r="R35" s="99" t="n">
        <f aca="false">R32+R33+R34</f>
        <v>-6261.07809089097</v>
      </c>
      <c r="S35" s="99" t="n">
        <f aca="false">S32+S33+S34</f>
        <v>-7584.73961519661</v>
      </c>
      <c r="T35" s="99" t="n">
        <f aca="false">T32+T33+T34</f>
        <v>-9863.63218311185</v>
      </c>
      <c r="U35" s="99" t="n">
        <f aca="false">U32+U33+U34</f>
        <v>-3740.13384767454</v>
      </c>
      <c r="V35" s="99" t="n">
        <f aca="false">V32+V33+V34</f>
        <v>-3651.03358703999</v>
      </c>
      <c r="W35" s="99" t="n">
        <f aca="false">W32+W33+W34</f>
        <v>-983.689402997338</v>
      </c>
      <c r="X35" s="99" t="n">
        <f aca="false">X32+X33+X34</f>
        <v>-9204.53610496325</v>
      </c>
      <c r="Y35" s="99" t="n">
        <f aca="false">Y32+Y33+Y34</f>
        <v>-668.640994214466</v>
      </c>
      <c r="Z35" s="99" t="n">
        <f aca="false">Z32+Z33+Z34</f>
        <v>-7024.25415570024</v>
      </c>
      <c r="AA35" s="99" t="n">
        <f aca="false">AA32+AA33+AA34</f>
        <v>-1335.95688766142</v>
      </c>
      <c r="AB35" s="99" t="n">
        <f aca="false">AB32+AB33+AB34</f>
        <v>-10516.6909624943</v>
      </c>
      <c r="AC35" s="99" t="n">
        <f aca="false">AC32+AC33+AC34</f>
        <v>3427.4855187431</v>
      </c>
      <c r="AD35" s="99" t="n">
        <f aca="false">AD32+AD33+AD34</f>
        <v>4005.32588535062</v>
      </c>
      <c r="AE35" s="99" t="n">
        <f aca="false">AE32+AE33+AE34</f>
        <v>4571.34652142581</v>
      </c>
      <c r="AF35" s="99" t="n">
        <f aca="false">AF32+AF33+AF34</f>
        <v>4266.95287648414</v>
      </c>
      <c r="AG35" s="99" t="n">
        <f aca="false">AG32+AG33+AG34</f>
        <v>3587.92697473832</v>
      </c>
      <c r="AI35" s="99" t="n">
        <f aca="false">SUMIF($F$7:$AG$7,AI$7,$F35:$AG35)</f>
        <v>0</v>
      </c>
      <c r="AJ35" s="99" t="n">
        <f aca="false">SUMIF($F$7:$AG$7,AJ$7,$F35:$AG35)</f>
        <v>0</v>
      </c>
      <c r="AK35" s="99" t="n">
        <f aca="false">SUMIF($F$7:$AG$7,AK$7,$F35:$AG35)</f>
        <v>-6951.58460657389</v>
      </c>
      <c r="AL35" s="99" t="n">
        <f aca="false">SUMIF($F$7:$AG$7,AL$7,$F35:$AG35)</f>
        <v>-27449.583736874</v>
      </c>
      <c r="AM35" s="99" t="n">
        <f aca="false">SUMIF($F$7:$AG$7,AM$7,$F35:$AG35)</f>
        <v>-14507.9000892151</v>
      </c>
      <c r="AN35" s="99" t="n">
        <f aca="false">SUMIF($F$7:$AG$7,AN$7,$F35:$AG35)</f>
        <v>-15449.4164871129</v>
      </c>
      <c r="AO35" s="99" t="n">
        <f aca="false">SUMIF($F$7:$AG$7,AO$7,$F35:$AG35)</f>
        <v>16431.5522579989</v>
      </c>
    </row>
    <row r="36" customFormat="false" ht="15" hidden="false" customHeight="false" outlineLevel="0" collapsed="false">
      <c r="A36" s="107" t="s">
        <v>2483</v>
      </c>
      <c r="B36" s="22" t="s">
        <v>613</v>
      </c>
      <c r="C36" s="22" t="s">
        <v>540</v>
      </c>
      <c r="D36" s="22" t="s">
        <v>2484</v>
      </c>
      <c r="F36" s="124" t="n">
        <f aca="false">IF(F$5&lt;=LastHist,0,INDEX(PL_EBITDA,1,1)-MAX(0,INDEX(PL_EBIT,1,1)+CapIntFix*INDEX(Dep_CI,1,1))*TaxRate+F26-INDEX(Capex,1,1)+INDEX(CapResid,1,1))</f>
        <v>0</v>
      </c>
      <c r="G36" s="124" t="n">
        <f aca="false">IF(G$5&lt;=LastHist,0,INDEX(PL_EBITDA,1,2)-MAX(0,INDEX(PL_EBIT,1,2)+CapIntFix*INDEX(Dep_CI,1,2))*TaxRate+G26-INDEX(Capex,1,2)+INDEX(CapResid,1,2))</f>
        <v>0</v>
      </c>
      <c r="H36" s="124" t="n">
        <f aca="false">IF(H$5&lt;=LastHist,0,INDEX(PL_EBITDA,1,3)-MAX(0,INDEX(PL_EBIT,1,3)+CapIntFix*INDEX(Dep_CI,1,3))*TaxRate+H26-INDEX(Capex,1,3)+INDEX(CapResid,1,3))</f>
        <v>0</v>
      </c>
      <c r="I36" s="124" t="n">
        <f aca="false">IF(I$5&lt;=LastHist,0,INDEX(PL_EBITDA,1,4)-MAX(0,INDEX(PL_EBIT,1,4)+CapIntFix*INDEX(Dep_CI,1,4))*TaxRate+I26-INDEX(Capex,1,4)+INDEX(CapResid,1,4))</f>
        <v>0</v>
      </c>
      <c r="J36" s="124" t="n">
        <f aca="false">IF(J$5&lt;=LastHist,0,INDEX(PL_EBITDA,1,5)-MAX(0,INDEX(PL_EBIT,1,5)+CapIntFix*INDEX(Dep_CI,1,5))*TaxRate+J26-INDEX(Capex,1,5)+INDEX(CapResid,1,5))</f>
        <v>0</v>
      </c>
      <c r="K36" s="124" t="n">
        <f aca="false">IF(K$5&lt;=LastHist,0,INDEX(PL_EBITDA,1,6)-MAX(0,INDEX(PL_EBIT,1,6)+CapIntFix*INDEX(Dep_CI,1,6))*TaxRate+K26-INDEX(Capex,1,6)+INDEX(CapResid,1,6))</f>
        <v>0</v>
      </c>
      <c r="L36" s="124" t="n">
        <f aca="false">IF(L$5&lt;=LastHist,0,INDEX(PL_EBITDA,1,7)-MAX(0,INDEX(PL_EBIT,1,7)+CapIntFix*INDEX(Dep_CI,1,7))*TaxRate+L26-INDEX(Capex,1,7)+INDEX(CapResid,1,7))</f>
        <v>0</v>
      </c>
      <c r="M36" s="124" t="n">
        <f aca="false">IF(M$5&lt;=LastHist,0,INDEX(PL_EBITDA,1,8)-MAX(0,INDEX(PL_EBIT,1,8)+CapIntFix*INDEX(Dep_CI,1,8))*TaxRate+M26-INDEX(Capex,1,8)+INDEX(CapResid,1,8))</f>
        <v>0</v>
      </c>
      <c r="N36" s="124" t="n">
        <f aca="false">IF(N$5&lt;=LastHist,0,INDEX(PL_EBITDA,1,9)-MAX(0,INDEX(PL_EBIT,1,9)+CapIntFix*INDEX(Dep_CI,1,9))*TaxRate+N26-INDEX(Capex,1,9)+INDEX(CapResid,1,9))</f>
        <v>0</v>
      </c>
      <c r="O36" s="124" t="n">
        <f aca="false">IF(O$5&lt;=LastHist,0,INDEX(PL_EBITDA,1,10)-MAX(0,INDEX(PL_EBIT,1,10)+CapIntFix*INDEX(Dep_CI,1,10))*TaxRate+O26-INDEX(Capex,1,10)+INDEX(CapResid,1,10))</f>
        <v>0</v>
      </c>
      <c r="P36" s="125" t="n">
        <f aca="false">IF(P$5&lt;=LastHist,0,INDEX(PL_EBITDA,1,11)-MAX(0,INDEX(PL_EBIT,1,11)+CapIntFix*INDEX(Dep_CI,1,11))*TaxRate+P26-INDEX(Capex,1,11)+INDEX(CapResid,1,11))</f>
        <v>-2192.52949411819</v>
      </c>
      <c r="Q36" s="125" t="n">
        <f aca="false">IF(Q$5&lt;=LastHist,0,INDEX(PL_EBITDA,1,12)-MAX(0,INDEX(PL_EBIT,1,12)+CapIntFix*INDEX(Dep_CI,1,12))*TaxRate+Q26-INDEX(Capex,1,12)+INDEX(CapResid,1,12))</f>
        <v>-4798.99672707748</v>
      </c>
      <c r="R36" s="125" t="n">
        <f aca="false">IF(R$5&lt;=LastHist,0,INDEX(PL_EBITDA,1,13)-MAX(0,INDEX(PL_EBIT,1,13)+CapIntFix*INDEX(Dep_CI,1,13))*TaxRate+R26-INDEX(Capex,1,13)+INDEX(CapResid,1,13))</f>
        <v>-6247.11408512431</v>
      </c>
      <c r="S36" s="125" t="n">
        <f aca="false">IF(S$5&lt;=LastHist,0,INDEX(PL_EBITDA,1,14)-MAX(0,INDEX(PL_EBIT,1,14)+CapIntFix*INDEX(Dep_CI,1,14))*TaxRate+S26-INDEX(Capex,1,14)+INDEX(CapResid,1,14))</f>
        <v>-7571.30943700422</v>
      </c>
      <c r="T36" s="125" t="n">
        <f aca="false">IF(T$5&lt;=LastHist,0,INDEX(PL_EBITDA,1,15)-MAX(0,INDEX(PL_EBIT,1,15)+CapIntFix*INDEX(Dep_CI,1,15))*TaxRate+T26-INDEX(Capex,1,15)+INDEX(CapResid,1,15))</f>
        <v>-9750.23553328649</v>
      </c>
      <c r="U36" s="125" t="n">
        <f aca="false">IF(U$5&lt;=LastHist,0,INDEX(PL_EBITDA,1,16)-MAX(0,INDEX(PL_EBIT,1,16)+CapIntFix*INDEX(Dep_CI,1,16))*TaxRate+U26-INDEX(Capex,1,16)+INDEX(CapResid,1,16))</f>
        <v>-3595.74867711652</v>
      </c>
      <c r="V36" s="125" t="n">
        <f aca="false">IF(V$5&lt;=LastHist,0,INDEX(PL_EBITDA,1,17)-MAX(0,INDEX(PL_EBIT,1,17)+CapIntFix*INDEX(Dep_CI,1,17))*TaxRate+V26-INDEX(Capex,1,17)+INDEX(CapResid,1,17))</f>
        <v>-3473.92224531482</v>
      </c>
      <c r="W36" s="125" t="n">
        <f aca="false">IF(W$5&lt;=LastHist,0,INDEX(PL_EBITDA,1,18)-MAX(0,INDEX(PL_EBIT,1,18)+CapIntFix*INDEX(Dep_CI,1,18))*TaxRate+W26-INDEX(Capex,1,18)+INDEX(CapResid,1,18))</f>
        <v>-793.507468202699</v>
      </c>
      <c r="X36" s="125" t="n">
        <f aca="false">IF(X$5&lt;=LastHist,0,INDEX(PL_EBITDA,1,19)-MAX(0,INDEX(PL_EBIT,1,19)+CapIntFix*INDEX(Dep_CI,1,19))*TaxRate+X26-INDEX(Capex,1,19)+INDEX(CapResid,1,19))</f>
        <v>-9012.72973139309</v>
      </c>
      <c r="Y36" s="125" t="n">
        <f aca="false">IF(Y$5&lt;=LastHist,0,INDEX(PL_EBITDA,1,20)-MAX(0,INDEX(PL_EBIT,1,20)+CapIntFix*INDEX(Dep_CI,1,20))*TaxRate+Y26-INDEX(Capex,1,20)+INDEX(CapResid,1,20))</f>
        <v>-438.830740013798</v>
      </c>
      <c r="Z36" s="125" t="n">
        <f aca="false">IF(Z$5&lt;=LastHist,0,INDEX(PL_EBITDA,1,21)-MAX(0,INDEX(PL_EBIT,1,21)+CapIntFix*INDEX(Dep_CI,1,21))*TaxRate+Z26-INDEX(Capex,1,21)+INDEX(CapResid,1,21))</f>
        <v>-6795.65093199434</v>
      </c>
      <c r="AA36" s="125" t="n">
        <f aca="false">IF(AA$5&lt;=LastHist,0,INDEX(PL_EBITDA,1,22)-MAX(0,INDEX(PL_EBIT,1,22)+CapIntFix*INDEX(Dep_CI,1,22))*TaxRate+AA26-INDEX(Capex,1,22)+INDEX(CapResid,1,22))</f>
        <v>-1100.89014791822</v>
      </c>
      <c r="AB36" s="125" t="n">
        <f aca="false">IF(AB$5&lt;=LastHist,0,INDEX(PL_EBITDA,1,23)-MAX(0,INDEX(PL_EBIT,1,23)+CapIntFix*INDEX(Dep_CI,1,23))*TaxRate+AB26-INDEX(Capex,1,23)+INDEX(CapResid,1,23))</f>
        <v>-10274.5599375288</v>
      </c>
      <c r="AC36" s="125" t="n">
        <f aca="false">IF(AC$5&lt;=LastHist,0,INDEX(PL_EBITDA,1,24)-MAX(0,INDEX(PL_EBIT,1,24)+CapIntFix*INDEX(Dep_CI,1,24))*TaxRate+AC26-INDEX(Capex,1,24)+INDEX(CapResid,1,24))</f>
        <v>3736.28674491174</v>
      </c>
      <c r="AD36" s="125" t="n">
        <f aca="false">IF(AD$5&lt;=LastHist,0,INDEX(PL_EBITDA,1,25)-MAX(0,INDEX(PL_EBIT,1,25)+CapIntFix*INDEX(Dep_CI,1,25))*TaxRate+AD26-INDEX(Capex,1,25)+INDEX(CapResid,1,25))</f>
        <v>4290.65186286761</v>
      </c>
      <c r="AE36" s="125" t="n">
        <f aca="false">IF(AE$5&lt;=LastHist,0,INDEX(PL_EBITDA,1,26)-MAX(0,INDEX(PL_EBIT,1,26)+CapIntFix*INDEX(Dep_CI,1,26))*TaxRate+AE26-INDEX(Capex,1,26)+INDEX(CapResid,1,26))</f>
        <v>4853.83793114991</v>
      </c>
      <c r="AF36" s="125" t="n">
        <f aca="false">IF(AF$5&lt;=LastHist,0,INDEX(PL_EBITDA,1,27)-MAX(0,INDEX(PL_EBIT,1,27)+CapIntFix*INDEX(Dep_CI,1,27))*TaxRate+AF26-INDEX(Capex,1,27)+INDEX(CapResid,1,27))</f>
        <v>4517.30671643489</v>
      </c>
      <c r="AG36" s="125" t="n">
        <f aca="false">IF(AG$5&lt;=LastHist,0,INDEX(PL_EBITDA,1,28)-MAX(0,INDEX(PL_EBIT,1,28)+CapIntFix*INDEX(Dep_CI,1,28))*TaxRate+AG26-INDEX(Capex,1,28)+INDEX(CapResid,1,28))</f>
        <v>3836.76484543041</v>
      </c>
      <c r="AI36" s="125" t="n">
        <f aca="false">SUMIF($F$7:$AG$7,AI$7,$F36:$AG36)</f>
        <v>0</v>
      </c>
      <c r="AJ36" s="125" t="n">
        <f aca="false">SUMIF($F$7:$AG$7,AJ$7,$F36:$AG36)</f>
        <v>0</v>
      </c>
      <c r="AK36" s="125" t="n">
        <f aca="false">SUMIF($F$7:$AG$7,AK$7,$F36:$AG36)</f>
        <v>-6991.52622119567</v>
      </c>
      <c r="AL36" s="125" t="n">
        <f aca="false">SUMIF($F$7:$AG$7,AL$7,$F36:$AG36)</f>
        <v>-27164.4077325315</v>
      </c>
      <c r="AM36" s="125" t="n">
        <f aca="false">SUMIF($F$7:$AG$7,AM$7,$F36:$AG36)</f>
        <v>-13718.9901849244</v>
      </c>
      <c r="AN36" s="125" t="n">
        <f aca="false">SUMIF($F$7:$AG$7,AN$7,$F36:$AG36)</f>
        <v>-14434.8142725296</v>
      </c>
      <c r="AO36" s="125" t="n">
        <f aca="false">SUMIF($F$7:$AG$7,AO$7,$F36:$AG36)</f>
        <v>17498.5613558828</v>
      </c>
    </row>
    <row r="38" customFormat="false" ht="15" hidden="false" customHeight="false" outlineLevel="0" collapsed="false">
      <c r="A38" s="58" t="s">
        <v>2485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</row>
    <row r="39" customFormat="false" ht="15" hidden="false" customHeight="false" outlineLevel="0" collapsed="false">
      <c r="A39" s="107" t="s">
        <v>2486</v>
      </c>
      <c r="B39" s="22" t="s">
        <v>613</v>
      </c>
      <c r="C39" s="22" t="s">
        <v>2244</v>
      </c>
      <c r="D39" s="22" t="s">
        <v>2487</v>
      </c>
      <c r="F39" s="124" t="n">
        <f aca="false">(IF(F$5=11,AugNet,0)+(1-FP_Fee)*(MAX(0,INDEX(CVo_8,1,1)-CVo_8_E)+MAX(0,INDEX(CVo_9,1,1)-CVo_9_E)+MAX(0,INDEX(CVo_10,1,1)-CVo_10_E)+MAX(0,INDEX(CVo_11,1,1)-CVo_11_E)))*(F$5&gt;LastHist)</f>
        <v>0</v>
      </c>
      <c r="G39" s="124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39" s="124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39" s="124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39" s="124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39" s="124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39" s="124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39" s="124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39" s="124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39" s="124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39" s="125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39" s="125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39" s="125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39" s="125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39" s="125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39" s="125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39" s="125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39" s="125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39" s="125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39" s="125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39" s="125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39" s="125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39" s="125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39" s="125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39" s="125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39" s="125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39" s="125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39" s="125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39" s="125" t="n">
        <f aca="false">SUMIF($F$7:$AG$7,AI$7,$F39:$AG39)</f>
        <v>0</v>
      </c>
      <c r="AJ39" s="125" t="n">
        <f aca="false">SUMIF($F$7:$AG$7,AJ$7,$F39:$AG39)</f>
        <v>0</v>
      </c>
      <c r="AK39" s="125" t="n">
        <f aca="false">SUMIF($F$7:$AG$7,AK$7,$F39:$AG39)</f>
        <v>5680</v>
      </c>
      <c r="AL39" s="125" t="n">
        <f aca="false">SUMIF($F$7:$AG$7,AL$7,$F39:$AG39)</f>
        <v>12644.1739130435</v>
      </c>
      <c r="AM39" s="125" t="n">
        <f aca="false">SUMIF($F$7:$AG$7,AM$7,$F39:$AG39)</f>
        <v>0</v>
      </c>
      <c r="AN39" s="125" t="n">
        <f aca="false">SUMIF($F$7:$AG$7,AN$7,$F39:$AG39)</f>
        <v>0</v>
      </c>
      <c r="AO39" s="125" t="n">
        <f aca="false">SUMIF($F$7:$AG$7,AO$7,$F39:$AG39)</f>
        <v>0</v>
      </c>
    </row>
    <row r="40" customFormat="false" ht="15" hidden="false" customHeight="false" outlineLevel="0" collapsed="false">
      <c r="A40" s="107" t="s">
        <v>2488</v>
      </c>
      <c r="B40" s="22" t="s">
        <v>613</v>
      </c>
      <c r="C40" s="22" t="s">
        <v>540</v>
      </c>
      <c r="D40" s="22"/>
      <c r="F40" s="124" t="n">
        <f aca="false">(1-FP_Fee)*(MAX(0,INDEX(CVo_8,1,1)-CVo_8_E)+MAX(0,INDEX(CVo_9,1,1)-CVo_9_E)+MAX(0,INDEX(CVo_10,1,1)-CVo_10_E)+MAX(0,INDEX(CVo_11,1,1)-CVo_11_E))*(F$5&gt;LastHist)</f>
        <v>0</v>
      </c>
      <c r="G40" s="124" t="n">
        <f aca="false">(1-FP_Fee)*(MAX(0,INDEX(CVo_8,1,2)-INDEX(CVo_8,1,1))+MAX(0,INDEX(CVo_9,1,2)-INDEX(CVo_9,1,1))+MAX(0,INDEX(CVo_10,1,2)-INDEX(CVo_10,1,1))+MAX(0,INDEX(CVo_11,1,2)-INDEX(CVo_11,1,1)))*(G$5&gt;LastHist)</f>
        <v>0</v>
      </c>
      <c r="H40" s="124" t="n">
        <f aca="false">(1-FP_Fee)*(MAX(0,INDEX(CVo_8,1,3)-INDEX(CVo_8,1,2))+MAX(0,INDEX(CVo_9,1,3)-INDEX(CVo_9,1,2))+MAX(0,INDEX(CVo_10,1,3)-INDEX(CVo_10,1,2))+MAX(0,INDEX(CVo_11,1,3)-INDEX(CVo_11,1,2)))*(H$5&gt;LastHist)</f>
        <v>0</v>
      </c>
      <c r="I40" s="124" t="n">
        <f aca="false">(1-FP_Fee)*(MAX(0,INDEX(CVo_8,1,4)-INDEX(CVo_8,1,3))+MAX(0,INDEX(CVo_9,1,4)-INDEX(CVo_9,1,3))+MAX(0,INDEX(CVo_10,1,4)-INDEX(CVo_10,1,3))+MAX(0,INDEX(CVo_11,1,4)-INDEX(CVo_11,1,3)))*(I$5&gt;LastHist)</f>
        <v>0</v>
      </c>
      <c r="J40" s="124" t="n">
        <f aca="false">(1-FP_Fee)*(MAX(0,INDEX(CVo_8,1,5)-INDEX(CVo_8,1,4))+MAX(0,INDEX(CVo_9,1,5)-INDEX(CVo_9,1,4))+MAX(0,INDEX(CVo_10,1,5)-INDEX(CVo_10,1,4))+MAX(0,INDEX(CVo_11,1,5)-INDEX(CVo_11,1,4)))*(J$5&gt;LastHist)</f>
        <v>0</v>
      </c>
      <c r="K40" s="124" t="n">
        <f aca="false">(1-FP_Fee)*(MAX(0,INDEX(CVo_8,1,6)-INDEX(CVo_8,1,5))+MAX(0,INDEX(CVo_9,1,6)-INDEX(CVo_9,1,5))+MAX(0,INDEX(CVo_10,1,6)-INDEX(CVo_10,1,5))+MAX(0,INDEX(CVo_11,1,6)-INDEX(CVo_11,1,5)))*(K$5&gt;LastHist)</f>
        <v>0</v>
      </c>
      <c r="L40" s="124" t="n">
        <f aca="false">(1-FP_Fee)*(MAX(0,INDEX(CVo_8,1,7)-INDEX(CVo_8,1,6))+MAX(0,INDEX(CVo_9,1,7)-INDEX(CVo_9,1,6))+MAX(0,INDEX(CVo_10,1,7)-INDEX(CVo_10,1,6))+MAX(0,INDEX(CVo_11,1,7)-INDEX(CVo_11,1,6)))*(L$5&gt;LastHist)</f>
        <v>0</v>
      </c>
      <c r="M40" s="124" t="n">
        <f aca="false">(1-FP_Fee)*(MAX(0,INDEX(CVo_8,1,8)-INDEX(CVo_8,1,7))+MAX(0,INDEX(CVo_9,1,8)-INDEX(CVo_9,1,7))+MAX(0,INDEX(CVo_10,1,8)-INDEX(CVo_10,1,7))+MAX(0,INDEX(CVo_11,1,8)-INDEX(CVo_11,1,7)))*(M$5&gt;LastHist)</f>
        <v>0</v>
      </c>
      <c r="N40" s="124" t="n">
        <f aca="false">(1-FP_Fee)*(MAX(0,INDEX(CVo_8,1,9)-INDEX(CVo_8,1,8))+MAX(0,INDEX(CVo_9,1,9)-INDEX(CVo_9,1,8))+MAX(0,INDEX(CVo_10,1,9)-INDEX(CVo_10,1,8))+MAX(0,INDEX(CVo_11,1,9)-INDEX(CVo_11,1,8)))*(N$5&gt;LastHist)</f>
        <v>0</v>
      </c>
      <c r="O40" s="124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0" s="125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0" s="125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0" s="125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0" s="125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0" s="125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0" s="125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0" s="125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0" s="125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0" s="125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0" s="125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0" s="125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0" s="125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0" s="125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0" s="125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0" s="125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0" s="125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0" s="125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0" s="125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0</v>
      </c>
      <c r="AL40" s="125" t="n">
        <f aca="false">SUMIF($F$7:$AG$7,AL$7,$F40:$AG40)</f>
        <v>12644.1739130435</v>
      </c>
      <c r="AM40" s="125" t="n">
        <f aca="false">SUMIF($F$7:$AG$7,AM$7,$F40:$AG40)</f>
        <v>0</v>
      </c>
      <c r="AN40" s="125" t="n">
        <f aca="false">SUMIF($F$7:$AG$7,AN$7,$F40:$AG40)</f>
        <v>0</v>
      </c>
      <c r="AO40" s="125" t="n">
        <f aca="false">SUMIF($F$7:$AG$7,AO$7,$F40:$AG40)</f>
        <v>0</v>
      </c>
    </row>
    <row r="41" customFormat="false" ht="15" hidden="false" customHeight="false" outlineLevel="0" collapsed="false">
      <c r="A41" s="107" t="s">
        <v>2489</v>
      </c>
      <c r="B41" s="22" t="s">
        <v>613</v>
      </c>
      <c r="C41" s="22" t="s">
        <v>2244</v>
      </c>
      <c r="D41" s="22"/>
      <c r="F41" s="124" t="n">
        <f aca="false">IF(F$5&lt;=LastHist,0,-INDEX(CV_rep,1,1))</f>
        <v>0</v>
      </c>
      <c r="G41" s="124" t="n">
        <f aca="false">IF(G$5&lt;=LastHist,0,-INDEX(CV_rep,1,2))</f>
        <v>0</v>
      </c>
      <c r="H41" s="124" t="n">
        <f aca="false">IF(H$5&lt;=LastHist,0,-INDEX(CV_rep,1,3))</f>
        <v>0</v>
      </c>
      <c r="I41" s="124" t="n">
        <f aca="false">IF(I$5&lt;=LastHist,0,-INDEX(CV_rep,1,4))</f>
        <v>0</v>
      </c>
      <c r="J41" s="124" t="n">
        <f aca="false">IF(J$5&lt;=LastHist,0,-INDEX(CV_rep,1,5))</f>
        <v>0</v>
      </c>
      <c r="K41" s="124" t="n">
        <f aca="false">IF(K$5&lt;=LastHist,0,-INDEX(CV_rep,1,6))</f>
        <v>0</v>
      </c>
      <c r="L41" s="124" t="n">
        <f aca="false">IF(L$5&lt;=LastHist,0,-INDEX(CV_rep,1,7))</f>
        <v>0</v>
      </c>
      <c r="M41" s="124" t="n">
        <f aca="false">IF(M$5&lt;=LastHist,0,-INDEX(CV_rep,1,8))</f>
        <v>0</v>
      </c>
      <c r="N41" s="124" t="n">
        <f aca="false">IF(N$5&lt;=LastHist,0,-INDEX(CV_rep,1,9))</f>
        <v>0</v>
      </c>
      <c r="O41" s="124" t="n">
        <f aca="false">IF(O$5&lt;=LastHist,0,-INDEX(CV_rep,1,10))</f>
        <v>0</v>
      </c>
      <c r="P41" s="125" t="n">
        <f aca="false">IF(P$5&lt;=LastHist,0,-INDEX(CV_rep,1,11))</f>
        <v>-0</v>
      </c>
      <c r="Q41" s="125" t="n">
        <f aca="false">IF(Q$5&lt;=LastHist,0,-INDEX(CV_rep,1,12))</f>
        <v>-0</v>
      </c>
      <c r="R41" s="125" t="n">
        <f aca="false">IF(R$5&lt;=LastHist,0,-INDEX(CV_rep,1,13))</f>
        <v>-0</v>
      </c>
      <c r="S41" s="125" t="n">
        <f aca="false">IF(S$5&lt;=LastHist,0,-INDEX(CV_rep,1,14))</f>
        <v>-0</v>
      </c>
      <c r="T41" s="125" t="n">
        <f aca="false">IF(T$5&lt;=LastHist,0,-INDEX(CV_rep,1,15))</f>
        <v>-0</v>
      </c>
      <c r="U41" s="125" t="n">
        <f aca="false">IF(U$5&lt;=LastHist,0,-INDEX(CV_rep,1,16))</f>
        <v>-0</v>
      </c>
      <c r="V41" s="125" t="n">
        <f aca="false">IF(V$5&lt;=LastHist,0,-INDEX(CV_rep,1,17))</f>
        <v>-0</v>
      </c>
      <c r="W41" s="125" t="n">
        <f aca="false">IF(W$5&lt;=LastHist,0,-INDEX(CV_rep,1,18))</f>
        <v>-0</v>
      </c>
      <c r="X41" s="125" t="n">
        <f aca="false">IF(X$5&lt;=LastHist,0,-INDEX(CV_rep,1,19))</f>
        <v>-0</v>
      </c>
      <c r="Y41" s="125" t="n">
        <f aca="false">IF(Y$5&lt;=LastHist,0,-INDEX(CV_rep,1,20))</f>
        <v>-0</v>
      </c>
      <c r="Z41" s="125" t="n">
        <f aca="false">IF(Z$5&lt;=LastHist,0,-INDEX(CV_rep,1,21))</f>
        <v>-0</v>
      </c>
      <c r="AA41" s="125" t="n">
        <f aca="false">IF(AA$5&lt;=LastHist,0,-INDEX(CV_rep,1,22))</f>
        <v>-0</v>
      </c>
      <c r="AB41" s="125" t="n">
        <f aca="false">IF(AB$5&lt;=LastHist,0,-INDEX(CV_rep,1,23))</f>
        <v>-0</v>
      </c>
      <c r="AC41" s="125" t="n">
        <f aca="false">IF(AC$5&lt;=LastHist,0,-INDEX(CV_rep,1,24))</f>
        <v>-0</v>
      </c>
      <c r="AD41" s="125" t="n">
        <f aca="false">IF(AD$5&lt;=LastHist,0,-INDEX(CV_rep,1,25))</f>
        <v>-3795</v>
      </c>
      <c r="AE41" s="125" t="n">
        <f aca="false">IF(AE$5&lt;=LastHist,0,-INDEX(CV_rep,1,26))</f>
        <v>-0</v>
      </c>
      <c r="AF41" s="125" t="n">
        <f aca="false">IF(AF$5&lt;=LastHist,0,-INDEX(CV_rep,1,27))</f>
        <v>-4224</v>
      </c>
      <c r="AG41" s="125" t="n">
        <f aca="false">IF(AG$5&lt;=LastHist,0,-INDEX(CV_rep,1,28))</f>
        <v>-0</v>
      </c>
      <c r="AI41" s="125" t="n">
        <f aca="false">SUMIF($F$7:$AG$7,AI$7,$F41:$AG41)</f>
        <v>0</v>
      </c>
      <c r="AJ41" s="125" t="n">
        <f aca="false">SUMIF($F$7:$AG$7,AJ$7,$F41:$AG41)</f>
        <v>0</v>
      </c>
      <c r="AK41" s="125" t="n">
        <f aca="false">SUMIF($F$7:$AG$7,AK$7,$F41:$AG41)</f>
        <v>0</v>
      </c>
      <c r="AL41" s="125" t="n">
        <f aca="false">SUMIF($F$7:$AG$7,AL$7,$F41:$AG41)</f>
        <v>0</v>
      </c>
      <c r="AM41" s="125" t="n">
        <f aca="false">SUMIF($F$7:$AG$7,AM$7,$F41:$AG41)</f>
        <v>0</v>
      </c>
      <c r="AN41" s="125" t="n">
        <f aca="false">SUMIF($F$7:$AG$7,AN$7,$F41:$AG41)</f>
        <v>0</v>
      </c>
      <c r="AO41" s="125" t="n">
        <f aca="false">SUMIF($F$7:$AG$7,AO$7,$F41:$AG41)</f>
        <v>-8019</v>
      </c>
    </row>
    <row r="42" customFormat="false" ht="15" hidden="false" customHeight="false" outlineLevel="0" collapsed="false">
      <c r="A42" s="107" t="s">
        <v>2490</v>
      </c>
      <c r="B42" s="22" t="s">
        <v>613</v>
      </c>
      <c r="C42" s="22" t="s">
        <v>2244</v>
      </c>
      <c r="D42" s="22"/>
      <c r="F42" s="124" t="n">
        <f aca="false">IF(F$5&lt;=LastHist,0,INDEX(Sec_Flow,1,1))</f>
        <v>0</v>
      </c>
      <c r="G42" s="124" t="n">
        <f aca="false">IF(G$5&lt;=LastHist,0,INDEX(Sec_Flow,1,2))</f>
        <v>0</v>
      </c>
      <c r="H42" s="124" t="n">
        <f aca="false">IF(H$5&lt;=LastHist,0,INDEX(Sec_Flow,1,3))</f>
        <v>0</v>
      </c>
      <c r="I42" s="124" t="n">
        <f aca="false">IF(I$5&lt;=LastHist,0,INDEX(Sec_Flow,1,4))</f>
        <v>0</v>
      </c>
      <c r="J42" s="124" t="n">
        <f aca="false">IF(J$5&lt;=LastHist,0,INDEX(Sec_Flow,1,5))</f>
        <v>0</v>
      </c>
      <c r="K42" s="124" t="n">
        <f aca="false">IF(K$5&lt;=LastHist,0,INDEX(Sec_Flow,1,6))</f>
        <v>0</v>
      </c>
      <c r="L42" s="124" t="n">
        <f aca="false">IF(L$5&lt;=LastHist,0,INDEX(Sec_Flow,1,7))</f>
        <v>0</v>
      </c>
      <c r="M42" s="124" t="n">
        <f aca="false">IF(M$5&lt;=LastHist,0,INDEX(Sec_Flow,1,8))</f>
        <v>0</v>
      </c>
      <c r="N42" s="124" t="n">
        <f aca="false">IF(N$5&lt;=LastHist,0,INDEX(Sec_Flow,1,9))</f>
        <v>0</v>
      </c>
      <c r="O42" s="124" t="n">
        <f aca="false">IF(O$5&lt;=LastHist,0,INDEX(Sec_Flow,1,10))</f>
        <v>0</v>
      </c>
      <c r="P42" s="125" t="n">
        <f aca="false">IF(P$5&lt;=LastHist,0,INDEX(Sec_Flow,1,11))</f>
        <v>0</v>
      </c>
      <c r="Q42" s="125" t="n">
        <f aca="false">IF(Q$5&lt;=LastHist,0,INDEX(Sec_Flow,1,12))</f>
        <v>0</v>
      </c>
      <c r="R42" s="125" t="n">
        <f aca="false">IF(R$5&lt;=LastHist,0,INDEX(Sec_Flow,1,13))</f>
        <v>0</v>
      </c>
      <c r="S42" s="125" t="n">
        <f aca="false">IF(S$5&lt;=LastHist,0,INDEX(Sec_Flow,1,14))</f>
        <v>0</v>
      </c>
      <c r="T42" s="125" t="n">
        <f aca="false">IF(T$5&lt;=LastHist,0,INDEX(Sec_Flow,1,15))</f>
        <v>0</v>
      </c>
      <c r="U42" s="125" t="n">
        <f aca="false">IF(U$5&lt;=LastHist,0,INDEX(Sec_Flow,1,16))</f>
        <v>0</v>
      </c>
      <c r="V42" s="125" t="n">
        <f aca="false">IF(V$5&lt;=LastHist,0,INDEX(Sec_Flow,1,17))</f>
        <v>0</v>
      </c>
      <c r="W42" s="125" t="n">
        <f aca="false">IF(W$5&lt;=LastHist,0,INDEX(Sec_Flow,1,18))</f>
        <v>0</v>
      </c>
      <c r="X42" s="125" t="n">
        <f aca="false">IF(X$5&lt;=LastHist,0,INDEX(Sec_Flow,1,19))</f>
        <v>0</v>
      </c>
      <c r="Y42" s="125" t="n">
        <f aca="false">IF(Y$5&lt;=LastHist,0,INDEX(Sec_Flow,1,20))</f>
        <v>0</v>
      </c>
      <c r="Z42" s="125" t="n">
        <f aca="false">IF(Z$5&lt;=LastHist,0,INDEX(Sec_Flow,1,21))</f>
        <v>0</v>
      </c>
      <c r="AA42" s="125" t="n">
        <f aca="false">IF(AA$5&lt;=LastHist,0,INDEX(Sec_Flow,1,22))</f>
        <v>0</v>
      </c>
      <c r="AB42" s="125" t="n">
        <f aca="false">IF(AB$5&lt;=LastHist,0,INDEX(Sec_Flow,1,23))</f>
        <v>0</v>
      </c>
      <c r="AC42" s="125" t="n">
        <f aca="false">IF(AC$5&lt;=LastHist,0,INDEX(Sec_Flow,1,24))</f>
        <v>0</v>
      </c>
      <c r="AD42" s="125" t="n">
        <f aca="false">IF(AD$5&lt;=LastHist,0,INDEX(Sec_Flow,1,25))</f>
        <v>0</v>
      </c>
      <c r="AE42" s="125" t="n">
        <f aca="false">IF(AE$5&lt;=LastHist,0,INDEX(Sec_Flow,1,26))</f>
        <v>0</v>
      </c>
      <c r="AF42" s="125" t="n">
        <f aca="false">IF(AF$5&lt;=LastHist,0,INDEX(Sec_Flow,1,27))</f>
        <v>0</v>
      </c>
      <c r="AG42" s="125" t="n">
        <f aca="false">IF(AG$5&lt;=LastHist,0,INDEX(Sec_Flow,1,28))</f>
        <v>-0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2491</v>
      </c>
      <c r="B43" s="22" t="s">
        <v>613</v>
      </c>
      <c r="C43" s="22" t="s">
        <v>604</v>
      </c>
      <c r="D43" s="22"/>
      <c r="F43" s="124" t="n">
        <f aca="false">(IF(F$5=11,ATM_Q3*SharePx,0)+IF(F$5=FP_ATMIdx,FP_ATMProc,0))*(F$5&gt;LastHist)</f>
        <v>0</v>
      </c>
      <c r="G43" s="124" t="n">
        <f aca="false">(IF(G$5=11,ATM_Q3*SharePx,0)+IF(G$5=FP_ATMIdx,FP_ATMProc,0))*(G$5&gt;LastHist)</f>
        <v>0</v>
      </c>
      <c r="H43" s="124" t="n">
        <f aca="false">(IF(H$5=11,ATM_Q3*SharePx,0)+IF(H$5=FP_ATMIdx,FP_ATMProc,0))*(H$5&gt;LastHist)</f>
        <v>0</v>
      </c>
      <c r="I43" s="124" t="n">
        <f aca="false">(IF(I$5=11,ATM_Q3*SharePx,0)+IF(I$5=FP_ATMIdx,FP_ATMProc,0))*(I$5&gt;LastHist)</f>
        <v>0</v>
      </c>
      <c r="J43" s="124" t="n">
        <f aca="false">(IF(J$5=11,ATM_Q3*SharePx,0)+IF(J$5=FP_ATMIdx,FP_ATMProc,0))*(J$5&gt;LastHist)</f>
        <v>0</v>
      </c>
      <c r="K43" s="124" t="n">
        <f aca="false">(IF(K$5=11,ATM_Q3*SharePx,0)+IF(K$5=FP_ATMIdx,FP_ATMProc,0))*(K$5&gt;LastHist)</f>
        <v>0</v>
      </c>
      <c r="L43" s="124" t="n">
        <f aca="false">(IF(L$5=11,ATM_Q3*SharePx,0)+IF(L$5=FP_ATMIdx,FP_ATMProc,0))*(L$5&gt;LastHist)</f>
        <v>0</v>
      </c>
      <c r="M43" s="124" t="n">
        <f aca="false">(IF(M$5=11,ATM_Q3*SharePx,0)+IF(M$5=FP_ATMIdx,FP_ATMProc,0))*(M$5&gt;LastHist)</f>
        <v>0</v>
      </c>
      <c r="N43" s="124" t="n">
        <f aca="false">(IF(N$5=11,ATM_Q3*SharePx,0)+IF(N$5=FP_ATMIdx,FP_ATMProc,0))*(N$5&gt;LastHist)</f>
        <v>0</v>
      </c>
      <c r="O43" s="124" t="n">
        <f aca="false">(IF(O$5=11,ATM_Q3*SharePx,0)+IF(O$5=FP_ATMIdx,FP_ATMProc,0))*(O$5&gt;LastHist)</f>
        <v>0</v>
      </c>
      <c r="P43" s="125" t="n">
        <f aca="false">(IF(P$5=11,ATM_Q3*SharePx,0)+IF(P$5=FP_ATMIdx,FP_ATMProc,0))*(P$5&gt;LastHist)</f>
        <v>0</v>
      </c>
      <c r="Q43" s="125" t="n">
        <f aca="false">(IF(Q$5=11,ATM_Q3*SharePx,0)+IF(Q$5=FP_ATMIdx,FP_ATMProc,0))*(Q$5&gt;LastHist)</f>
        <v>2979.40180467</v>
      </c>
      <c r="R43" s="125" t="n">
        <f aca="false">(IF(R$5=11,ATM_Q3*SharePx,0)+IF(R$5=FP_ATMIdx,FP_ATMProc,0))*(R$5&gt;LastHist)</f>
        <v>0</v>
      </c>
      <c r="S43" s="125" t="n">
        <f aca="false">(IF(S$5=11,ATM_Q3*SharePx,0)+IF(S$5=FP_ATMIdx,FP_ATMProc,0))*(S$5&gt;LastHist)</f>
        <v>0</v>
      </c>
      <c r="T43" s="125" t="n">
        <f aca="false">(IF(T$5=11,ATM_Q3*SharePx,0)+IF(T$5=FP_ATMIdx,FP_ATMProc,0))*(T$5&gt;LastHist)</f>
        <v>0</v>
      </c>
      <c r="U43" s="125" t="n">
        <f aca="false">(IF(U$5=11,ATM_Q3*SharePx,0)+IF(U$5=FP_ATMIdx,FP_ATMProc,0))*(U$5&gt;LastHist)</f>
        <v>0</v>
      </c>
      <c r="V43" s="125" t="n">
        <f aca="false">(IF(V$5=11,ATM_Q3*SharePx,0)+IF(V$5=FP_ATMIdx,FP_ATMProc,0))*(V$5&gt;LastHist)</f>
        <v>0</v>
      </c>
      <c r="W43" s="125" t="n">
        <f aca="false">(IF(W$5=11,ATM_Q3*SharePx,0)+IF(W$5=FP_ATMIdx,FP_ATMProc,0))*(W$5&gt;LastHist)</f>
        <v>0</v>
      </c>
      <c r="X43" s="125" t="n">
        <f aca="false">(IF(X$5=11,ATM_Q3*SharePx,0)+IF(X$5=FP_ATMIdx,FP_ATMProc,0))*(X$5&gt;LastHist)</f>
        <v>0</v>
      </c>
      <c r="Y43" s="125" t="n">
        <f aca="false">(IF(Y$5=11,ATM_Q3*SharePx,0)+IF(Y$5=FP_ATMIdx,FP_ATMProc,0))*(Y$5&gt;LastHist)</f>
        <v>0</v>
      </c>
      <c r="Z43" s="125" t="n">
        <f aca="false">(IF(Z$5=11,ATM_Q3*SharePx,0)+IF(Z$5=FP_ATMIdx,FP_ATMProc,0))*(Z$5&gt;LastHist)</f>
        <v>0</v>
      </c>
      <c r="AA43" s="125" t="n">
        <f aca="false">(IF(AA$5=11,ATM_Q3*SharePx,0)+IF(AA$5=FP_ATMIdx,FP_ATMProc,0))*(AA$5&gt;LastHist)</f>
        <v>0</v>
      </c>
      <c r="AB43" s="125" t="n">
        <f aca="false">(IF(AB$5=11,ATM_Q3*SharePx,0)+IF(AB$5=FP_ATMIdx,FP_ATMProc,0))*(AB$5&gt;LastHist)</f>
        <v>0</v>
      </c>
      <c r="AC43" s="125" t="n">
        <f aca="false">(IF(AC$5=11,ATM_Q3*SharePx,0)+IF(AC$5=FP_ATMIdx,FP_ATMProc,0))*(AC$5&gt;LastHist)</f>
        <v>0</v>
      </c>
      <c r="AD43" s="125" t="n">
        <f aca="false">(IF(AD$5=11,ATM_Q3*SharePx,0)+IF(AD$5=FP_ATMIdx,FP_ATMProc,0))*(AD$5&gt;LastHist)</f>
        <v>0</v>
      </c>
      <c r="AE43" s="125" t="n">
        <f aca="false">(IF(AE$5=11,ATM_Q3*SharePx,0)+IF(AE$5=FP_ATMIdx,FP_ATMProc,0))*(AE$5&gt;LastHist)</f>
        <v>0</v>
      </c>
      <c r="AF43" s="125" t="n">
        <f aca="false">(IF(AF$5=11,ATM_Q3*SharePx,0)+IF(AF$5=FP_ATMIdx,FP_ATMProc,0))*(AF$5&gt;LastHist)</f>
        <v>0</v>
      </c>
      <c r="AG43" s="125" t="n">
        <f aca="false">(IF(AG$5=11,ATM_Q3*SharePx,0)+IF(AG$5=FP_ATMIdx,FP_ATMProc,0))*(AG$5&gt;LastHist)</f>
        <v>0</v>
      </c>
      <c r="AI43" s="125" t="n">
        <f aca="false">SUMIF($F$7:$AG$7,AI$7,$F43:$AG43)</f>
        <v>0</v>
      </c>
      <c r="AJ43" s="125" t="n">
        <f aca="false">SUMIF($F$7:$AG$7,AJ$7,$F43:$AG43)</f>
        <v>0</v>
      </c>
      <c r="AK43" s="125" t="n">
        <f aca="false">SUMIF($F$7:$AG$7,AK$7,$F43:$AG43)</f>
        <v>2979.40180467</v>
      </c>
      <c r="AL43" s="125" t="n">
        <f aca="false">SUMIF($F$7:$AG$7,AL$7,$F43:$AG43)</f>
        <v>0</v>
      </c>
      <c r="AM43" s="125" t="n">
        <f aca="false">SUMIF($F$7:$AG$7,AM$7,$F43:$AG43)</f>
        <v>0</v>
      </c>
      <c r="AN43" s="125" t="n">
        <f aca="false">SUMIF($F$7:$AG$7,AN$7,$F43:$AG43)</f>
        <v>0</v>
      </c>
      <c r="AO43" s="125" t="n">
        <f aca="false">SUMIF($F$7:$AG$7,AO$7,$F43:$AG43)</f>
        <v>0</v>
      </c>
    </row>
    <row r="44" customFormat="false" ht="15" hidden="false" customHeight="false" outlineLevel="0" collapsed="false">
      <c r="A44" s="107" t="s">
        <v>2492</v>
      </c>
      <c r="B44" s="22" t="s">
        <v>613</v>
      </c>
      <c r="C44" s="22" t="s">
        <v>540</v>
      </c>
      <c r="D44" s="22"/>
      <c r="F44" s="124" t="n">
        <f aca="false">IF(F$5&lt;=LastHist,0,E49+F35+F39+F41+F42+F43)</f>
        <v>0</v>
      </c>
      <c r="G44" s="124" t="n">
        <f aca="false">IF(G$5&lt;=LastHist,0,F49+G35+G39+G41+G42+G43)</f>
        <v>0</v>
      </c>
      <c r="H44" s="124" t="n">
        <f aca="false">IF(H$5&lt;=LastHist,0,G49+H35+H39+H41+H42+H43)</f>
        <v>0</v>
      </c>
      <c r="I44" s="124" t="n">
        <f aca="false">IF(I$5&lt;=LastHist,0,H49+I35+I39+I41+I42+I43)</f>
        <v>0</v>
      </c>
      <c r="J44" s="124" t="n">
        <f aca="false">IF(J$5&lt;=LastHist,0,I49+J35+J39+J41+J42+J43)</f>
        <v>0</v>
      </c>
      <c r="K44" s="124" t="n">
        <f aca="false">IF(K$5&lt;=LastHist,0,J49+K35+K39+K41+K42+K43)</f>
        <v>0</v>
      </c>
      <c r="L44" s="124" t="n">
        <f aca="false">IF(L$5&lt;=LastHist,0,K49+L35+L39+L41+L42+L43)</f>
        <v>0</v>
      </c>
      <c r="M44" s="124" t="n">
        <f aca="false">IF(M$5&lt;=LastHist,0,L49+M35+M39+M41+M42+M43)</f>
        <v>0</v>
      </c>
      <c r="N44" s="124" t="n">
        <f aca="false">IF(N$5&lt;=LastHist,0,M49+N35+N39+N41+N42+N43)</f>
        <v>0</v>
      </c>
      <c r="O44" s="124" t="n">
        <f aca="false">IF(O$5&lt;=LastHist,0,N49+O35+O39+O41+O42+O43)</f>
        <v>0</v>
      </c>
      <c r="P44" s="125" t="n">
        <f aca="false">IF(P$5&lt;=LastHist,0,O49+P35+P39+P41+P42+P43)</f>
        <v>11534.2630996318</v>
      </c>
      <c r="Q44" s="125" t="n">
        <f aca="false">IF(Q$5&lt;=LastHist,0,P49+Q35+Q39+Q41+Q42+Q43)</f>
        <v>9749.91719809611</v>
      </c>
      <c r="R44" s="125" t="n">
        <f aca="false">IF(R$5&lt;=LastHist,0,Q49+R35+R39+R41+R42+R43)</f>
        <v>9810.92606372689</v>
      </c>
      <c r="S44" s="125" t="n">
        <f aca="false">IF(S$5&lt;=LastHist,0,R49+S35+S39+S41+S42+S43)</f>
        <v>2226.18644853027</v>
      </c>
      <c r="T44" s="125" t="n">
        <f aca="false">IF(T$5&lt;=LastHist,0,S49+T35+T39+T41+T42+T43)</f>
        <v>-1315.35877805984</v>
      </c>
      <c r="U44" s="125" t="n">
        <f aca="false">IF(U$5&lt;=LastHist,0,T49+U35+U39+U41+U42+U43)</f>
        <v>-1740.13384767454</v>
      </c>
      <c r="V44" s="125" t="n">
        <f aca="false">IF(V$5&lt;=LastHist,0,U49+V35+V39+V41+V42+V43)</f>
        <v>-1651.03358703999</v>
      </c>
      <c r="W44" s="125" t="n">
        <f aca="false">IF(W$5&lt;=LastHist,0,V49+W35+W39+W41+W42+W43)</f>
        <v>1016.31059700266</v>
      </c>
      <c r="X44" s="125" t="n">
        <f aca="false">IF(X$5&lt;=LastHist,0,W49+X35+X39+X41+X42+X43)</f>
        <v>-7204.53610496325</v>
      </c>
      <c r="Y44" s="125" t="n">
        <f aca="false">IF(Y$5&lt;=LastHist,0,X49+Y35+Y39+Y41+Y42+Y43)</f>
        <v>1331.35900578553</v>
      </c>
      <c r="Z44" s="125" t="n">
        <f aca="false">IF(Z$5&lt;=LastHist,0,Y49+Z35+Z39+Z41+Z42+Z43)</f>
        <v>-5024.25415570024</v>
      </c>
      <c r="AA44" s="125" t="n">
        <f aca="false">IF(AA$5&lt;=LastHist,0,Z49+AA35+AA39+AA41+AA42+AA43)</f>
        <v>664.043112338582</v>
      </c>
      <c r="AB44" s="125" t="n">
        <f aca="false">IF(AB$5&lt;=LastHist,0,AA49+AB35+AB39+AB41+AB42+AB43)</f>
        <v>-8516.69096249432</v>
      </c>
      <c r="AC44" s="125" t="n">
        <f aca="false">IF(AC$5&lt;=LastHist,0,AB49+AC35+AC39+AC41+AC42+AC43)</f>
        <v>5427.4855187431</v>
      </c>
      <c r="AD44" s="125" t="n">
        <f aca="false">IF(AD$5&lt;=LastHist,0,AC49+AD35+AD39+AD41+AD42+AD43)</f>
        <v>5637.81140409372</v>
      </c>
      <c r="AE44" s="125" t="n">
        <f aca="false">IF(AE$5&lt;=LastHist,0,AD49+AE35+AE39+AE41+AE42+AE43)</f>
        <v>10209.1579255195</v>
      </c>
      <c r="AF44" s="125" t="n">
        <f aca="false">IF(AF$5&lt;=LastHist,0,AE49+AF35+AF39+AF41+AF42+AF43)</f>
        <v>10252.1108020037</v>
      </c>
      <c r="AG44" s="125" t="n">
        <f aca="false">IF(AG$5&lt;=LastHist,0,AF49+AG35+AG39+AG41+AG42+AG43)</f>
        <v>13840.037776742</v>
      </c>
      <c r="AI44" s="125" t="n">
        <f aca="false">SUMIF($F$7:$AG$7,AI$7,$F44:$AG44)</f>
        <v>0</v>
      </c>
      <c r="AJ44" s="125" t="n">
        <f aca="false">SUMIF($F$7:$AG$7,AJ$7,$F44:$AG44)</f>
        <v>0</v>
      </c>
      <c r="AK44" s="125" t="n">
        <f aca="false">SUMIF($F$7:$AG$7,AK$7,$F44:$AG44)</f>
        <v>21284.1802977279</v>
      </c>
      <c r="AL44" s="125" t="n">
        <f aca="false">SUMIF($F$7:$AG$7,AL$7,$F44:$AG44)</f>
        <v>8981.61988652278</v>
      </c>
      <c r="AM44" s="125" t="n">
        <f aca="false">SUMIF($F$7:$AG$7,AM$7,$F44:$AG44)</f>
        <v>-6507.90008921505</v>
      </c>
      <c r="AN44" s="125" t="n">
        <f aca="false">SUMIF($F$7:$AG$7,AN$7,$F44:$AG44)</f>
        <v>-7449.41648711287</v>
      </c>
      <c r="AO44" s="125" t="n">
        <f aca="false">SUMIF($F$7:$AG$7,AO$7,$F44:$AG44)</f>
        <v>39939.1179083589</v>
      </c>
    </row>
    <row r="45" customFormat="false" ht="15" hidden="false" customHeight="false" outlineLevel="0" collapsed="false">
      <c r="A45" s="107" t="s">
        <v>2493</v>
      </c>
      <c r="B45" s="22" t="s">
        <v>613</v>
      </c>
      <c r="C45" s="22" t="s">
        <v>540</v>
      </c>
      <c r="D45" s="22"/>
      <c r="F45" s="124" t="n">
        <f aca="false">IF(F$5&lt;=LastHist,0,MAX(0,MinCash-F44))</f>
        <v>0</v>
      </c>
      <c r="G45" s="124" t="n">
        <f aca="false">IF(G$5&lt;=LastHist,0,MAX(0,MinCash-G44))</f>
        <v>0</v>
      </c>
      <c r="H45" s="124" t="n">
        <f aca="false">IF(H$5&lt;=LastHist,0,MAX(0,MinCash-H44))</f>
        <v>0</v>
      </c>
      <c r="I45" s="124" t="n">
        <f aca="false">IF(I$5&lt;=LastHist,0,MAX(0,MinCash-I44))</f>
        <v>0</v>
      </c>
      <c r="J45" s="124" t="n">
        <f aca="false">IF(J$5&lt;=LastHist,0,MAX(0,MinCash-J44))</f>
        <v>0</v>
      </c>
      <c r="K45" s="124" t="n">
        <f aca="false">IF(K$5&lt;=LastHist,0,MAX(0,MinCash-K44))</f>
        <v>0</v>
      </c>
      <c r="L45" s="124" t="n">
        <f aca="false">IF(L$5&lt;=LastHist,0,MAX(0,MinCash-L44))</f>
        <v>0</v>
      </c>
      <c r="M45" s="124" t="n">
        <f aca="false">IF(M$5&lt;=LastHist,0,MAX(0,MinCash-M44))</f>
        <v>0</v>
      </c>
      <c r="N45" s="124" t="n">
        <f aca="false">IF(N$5&lt;=LastHist,0,MAX(0,MinCash-N44))</f>
        <v>0</v>
      </c>
      <c r="O45" s="124" t="n">
        <f aca="false">IF(O$5&lt;=LastHist,0,MAX(0,MinCash-O44))</f>
        <v>0</v>
      </c>
      <c r="P45" s="125" t="n">
        <f aca="false">IF(P$5&lt;=LastHist,0,MAX(0,MinCash-P44))</f>
        <v>0</v>
      </c>
      <c r="Q45" s="125" t="n">
        <f aca="false">IF(Q$5&lt;=LastHist,0,MAX(0,MinCash-Q44))</f>
        <v>0</v>
      </c>
      <c r="R45" s="125" t="n">
        <f aca="false">IF(R$5&lt;=LastHist,0,MAX(0,MinCash-R44))</f>
        <v>0</v>
      </c>
      <c r="S45" s="125" t="n">
        <f aca="false">IF(S$5&lt;=LastHist,0,MAX(0,MinCash-S44))</f>
        <v>0</v>
      </c>
      <c r="T45" s="125" t="n">
        <f aca="false">IF(T$5&lt;=LastHist,0,MAX(0,MinCash-T44))</f>
        <v>3315.35877805984</v>
      </c>
      <c r="U45" s="125" t="n">
        <f aca="false">IF(U$5&lt;=LastHist,0,MAX(0,MinCash-U44))</f>
        <v>3740.13384767454</v>
      </c>
      <c r="V45" s="125" t="n">
        <f aca="false">IF(V$5&lt;=LastHist,0,MAX(0,MinCash-V44))</f>
        <v>3651.03358703999</v>
      </c>
      <c r="W45" s="125" t="n">
        <f aca="false">IF(W$5&lt;=LastHist,0,MAX(0,MinCash-W44))</f>
        <v>983.689402997338</v>
      </c>
      <c r="X45" s="125" t="n">
        <f aca="false">IF(X$5&lt;=LastHist,0,MAX(0,MinCash-X44))</f>
        <v>9204.53610496325</v>
      </c>
      <c r="Y45" s="125" t="n">
        <f aca="false">IF(Y$5&lt;=LastHist,0,MAX(0,MinCash-Y44))</f>
        <v>668.640994214466</v>
      </c>
      <c r="Z45" s="125" t="n">
        <f aca="false">IF(Z$5&lt;=LastHist,0,MAX(0,MinCash-Z44))</f>
        <v>7024.25415570024</v>
      </c>
      <c r="AA45" s="125" t="n">
        <f aca="false">IF(AA$5&lt;=LastHist,0,MAX(0,MinCash-AA44))</f>
        <v>1335.95688766142</v>
      </c>
      <c r="AB45" s="125" t="n">
        <f aca="false">IF(AB$5&lt;=LastHist,0,MAX(0,MinCash-AB44))</f>
        <v>10516.6909624943</v>
      </c>
      <c r="AC45" s="125" t="n">
        <f aca="false">IF(AC$5&lt;=LastHist,0,MAX(0,MinCash-AC44))</f>
        <v>0</v>
      </c>
      <c r="AD45" s="125" t="n">
        <f aca="false">IF(AD$5&lt;=LastHist,0,MAX(0,MinCash-AD44))</f>
        <v>0</v>
      </c>
      <c r="AE45" s="125" t="n">
        <f aca="false">IF(AE$5&lt;=LastHist,0,MAX(0,MinCash-AE44))</f>
        <v>0</v>
      </c>
      <c r="AF45" s="125" t="n">
        <f aca="false">IF(AF$5&lt;=LastHist,0,MAX(0,MinCash-AF44))</f>
        <v>0</v>
      </c>
      <c r="AG45" s="125" t="n">
        <f aca="false">IF(AG$5&lt;=LastHist,0,MAX(0,MinCash-AG44))</f>
        <v>0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0</v>
      </c>
      <c r="AL45" s="125" t="n">
        <f aca="false">SUMIF($F$7:$AG$7,AL$7,$F45:$AG45)</f>
        <v>7055.49262573438</v>
      </c>
      <c r="AM45" s="125" t="n">
        <f aca="false">SUMIF($F$7:$AG$7,AM$7,$F45:$AG45)</f>
        <v>14507.9000892151</v>
      </c>
      <c r="AN45" s="125" t="n">
        <f aca="false">SUMIF($F$7:$AG$7,AN$7,$F45:$AG45)</f>
        <v>18876.902005856</v>
      </c>
      <c r="AO45" s="125" t="n">
        <f aca="false">SUMIF($F$7:$AG$7,AO$7,$F45:$AG45)</f>
        <v>0</v>
      </c>
    </row>
    <row r="46" customFormat="false" ht="15" hidden="false" customHeight="false" outlineLevel="0" collapsed="false">
      <c r="A46" s="107" t="s">
        <v>2494</v>
      </c>
      <c r="B46" s="22" t="s">
        <v>613</v>
      </c>
      <c r="C46" s="22" t="s">
        <v>540</v>
      </c>
      <c r="D46" s="22"/>
      <c r="F46" s="124" t="n">
        <f aca="false">F45*PlugDebtSh</f>
        <v>0</v>
      </c>
      <c r="G46" s="124" t="n">
        <f aca="false">G45*PlugDebtSh</f>
        <v>0</v>
      </c>
      <c r="H46" s="124" t="n">
        <f aca="false">H45*PlugDebtSh</f>
        <v>0</v>
      </c>
      <c r="I46" s="124" t="n">
        <f aca="false">I45*PlugDebtSh</f>
        <v>0</v>
      </c>
      <c r="J46" s="124" t="n">
        <f aca="false">J45*PlugDebtSh</f>
        <v>0</v>
      </c>
      <c r="K46" s="124" t="n">
        <f aca="false">K45*PlugDebtSh</f>
        <v>0</v>
      </c>
      <c r="L46" s="124" t="n">
        <f aca="false">L45*PlugDebtSh</f>
        <v>0</v>
      </c>
      <c r="M46" s="124" t="n">
        <f aca="false">M45*PlugDebtSh</f>
        <v>0</v>
      </c>
      <c r="N46" s="124" t="n">
        <f aca="false">N45*PlugDebtSh</f>
        <v>0</v>
      </c>
      <c r="O46" s="124" t="n">
        <f aca="false">O45*PlugDebtSh</f>
        <v>0</v>
      </c>
      <c r="P46" s="125" t="n">
        <f aca="false">P45*PlugDebtSh</f>
        <v>0</v>
      </c>
      <c r="Q46" s="125" t="n">
        <f aca="false">Q45*PlugDebtSh</f>
        <v>0</v>
      </c>
      <c r="R46" s="125" t="n">
        <f aca="false">R45*PlugDebtSh</f>
        <v>0</v>
      </c>
      <c r="S46" s="125" t="n">
        <f aca="false">S45*PlugDebtSh</f>
        <v>0</v>
      </c>
      <c r="T46" s="125" t="n">
        <f aca="false">T45*PlugDebtSh</f>
        <v>1657.67938902992</v>
      </c>
      <c r="U46" s="125" t="n">
        <f aca="false">U45*PlugDebtSh</f>
        <v>1870.06692383727</v>
      </c>
      <c r="V46" s="125" t="n">
        <f aca="false">V45*PlugDebtSh</f>
        <v>1825.51679352</v>
      </c>
      <c r="W46" s="125" t="n">
        <f aca="false">W45*PlugDebtSh</f>
        <v>491.844701498669</v>
      </c>
      <c r="X46" s="125" t="n">
        <f aca="false">X45*PlugDebtSh</f>
        <v>4602.26805248163</v>
      </c>
      <c r="Y46" s="125" t="n">
        <f aca="false">Y45*PlugDebtSh</f>
        <v>334.320497107233</v>
      </c>
      <c r="Z46" s="125" t="n">
        <f aca="false">Z45*PlugDebtSh</f>
        <v>3512.12707785012</v>
      </c>
      <c r="AA46" s="125" t="n">
        <f aca="false">AA45*PlugDebtSh</f>
        <v>667.978443830709</v>
      </c>
      <c r="AB46" s="125" t="n">
        <f aca="false">AB45*PlugDebtSh</f>
        <v>5258.34548124716</v>
      </c>
      <c r="AC46" s="125" t="n">
        <f aca="false">AC45*PlugDebtSh</f>
        <v>0</v>
      </c>
      <c r="AD46" s="125" t="n">
        <f aca="false">AD45*PlugDebtSh</f>
        <v>0</v>
      </c>
      <c r="AE46" s="125" t="n">
        <f aca="false">AE45*PlugDebtSh</f>
        <v>0</v>
      </c>
      <c r="AF46" s="125" t="n">
        <f aca="false">AF45*PlugDebtSh</f>
        <v>0</v>
      </c>
      <c r="AG46" s="125" t="n">
        <f aca="false">AG45*PlugDebtSh</f>
        <v>0</v>
      </c>
      <c r="AI46" s="125" t="n">
        <f aca="false">SUMIF($F$7:$AG$7,AI$7,$F46:$AG46)</f>
        <v>0</v>
      </c>
      <c r="AJ46" s="125" t="n">
        <f aca="false">SUMIF($F$7:$AG$7,AJ$7,$F46:$AG46)</f>
        <v>0</v>
      </c>
      <c r="AK46" s="125" t="n">
        <f aca="false">SUMIF($F$7:$AG$7,AK$7,$F46:$AG46)</f>
        <v>0</v>
      </c>
      <c r="AL46" s="125" t="n">
        <f aca="false">SUMIF($F$7:$AG$7,AL$7,$F46:$AG46)</f>
        <v>3527.74631286719</v>
      </c>
      <c r="AM46" s="125" t="n">
        <f aca="false">SUMIF($F$7:$AG$7,AM$7,$F46:$AG46)</f>
        <v>7253.95004460753</v>
      </c>
      <c r="AN46" s="125" t="n">
        <f aca="false">SUMIF($F$7:$AG$7,AN$7,$F46:$AG46)</f>
        <v>9438.45100292799</v>
      </c>
      <c r="AO46" s="125" t="n">
        <f aca="false">SUMIF($F$7:$AG$7,AO$7,$F46:$AG46)</f>
        <v>0</v>
      </c>
    </row>
    <row r="47" customFormat="false" ht="15" hidden="false" customHeight="false" outlineLevel="0" collapsed="false">
      <c r="A47" s="107" t="s">
        <v>2495</v>
      </c>
      <c r="B47" s="22" t="s">
        <v>613</v>
      </c>
      <c r="C47" s="22" t="s">
        <v>540</v>
      </c>
      <c r="D47" s="22"/>
      <c r="F47" s="124" t="n">
        <f aca="false">F45*(1-PlugDebtSh)</f>
        <v>0</v>
      </c>
      <c r="G47" s="124" t="n">
        <f aca="false">G45*(1-PlugDebtSh)</f>
        <v>0</v>
      </c>
      <c r="H47" s="124" t="n">
        <f aca="false">H45*(1-PlugDebtSh)</f>
        <v>0</v>
      </c>
      <c r="I47" s="124" t="n">
        <f aca="false">I45*(1-PlugDebtSh)</f>
        <v>0</v>
      </c>
      <c r="J47" s="124" t="n">
        <f aca="false">J45*(1-PlugDebtSh)</f>
        <v>0</v>
      </c>
      <c r="K47" s="124" t="n">
        <f aca="false">K45*(1-PlugDebtSh)</f>
        <v>0</v>
      </c>
      <c r="L47" s="124" t="n">
        <f aca="false">L45*(1-PlugDebtSh)</f>
        <v>0</v>
      </c>
      <c r="M47" s="124" t="n">
        <f aca="false">M45*(1-PlugDebtSh)</f>
        <v>0</v>
      </c>
      <c r="N47" s="124" t="n">
        <f aca="false">N45*(1-PlugDebtSh)</f>
        <v>0</v>
      </c>
      <c r="O47" s="124" t="n">
        <f aca="false">O45*(1-PlugDebtSh)</f>
        <v>0</v>
      </c>
      <c r="P47" s="125" t="n">
        <f aca="false">P45*(1-PlugDebtSh)</f>
        <v>0</v>
      </c>
      <c r="Q47" s="125" t="n">
        <f aca="false">Q45*(1-PlugDebtSh)</f>
        <v>0</v>
      </c>
      <c r="R47" s="125" t="n">
        <f aca="false">R45*(1-PlugDebtSh)</f>
        <v>0</v>
      </c>
      <c r="S47" s="125" t="n">
        <f aca="false">S45*(1-PlugDebtSh)</f>
        <v>0</v>
      </c>
      <c r="T47" s="125" t="n">
        <f aca="false">T45*(1-PlugDebtSh)</f>
        <v>1657.67938902992</v>
      </c>
      <c r="U47" s="125" t="n">
        <f aca="false">U45*(1-PlugDebtSh)</f>
        <v>1870.06692383727</v>
      </c>
      <c r="V47" s="125" t="n">
        <f aca="false">V45*(1-PlugDebtSh)</f>
        <v>1825.51679352</v>
      </c>
      <c r="W47" s="125" t="n">
        <f aca="false">W45*(1-PlugDebtSh)</f>
        <v>491.844701498669</v>
      </c>
      <c r="X47" s="125" t="n">
        <f aca="false">X45*(1-PlugDebtSh)</f>
        <v>4602.26805248163</v>
      </c>
      <c r="Y47" s="125" t="n">
        <f aca="false">Y45*(1-PlugDebtSh)</f>
        <v>334.320497107233</v>
      </c>
      <c r="Z47" s="125" t="n">
        <f aca="false">Z45*(1-PlugDebtSh)</f>
        <v>3512.12707785012</v>
      </c>
      <c r="AA47" s="125" t="n">
        <f aca="false">AA45*(1-PlugDebtSh)</f>
        <v>667.978443830709</v>
      </c>
      <c r="AB47" s="125" t="n">
        <f aca="false">AB45*(1-PlugDebtSh)</f>
        <v>5258.34548124716</v>
      </c>
      <c r="AC47" s="125" t="n">
        <f aca="false">AC45*(1-PlugDebtSh)</f>
        <v>0</v>
      </c>
      <c r="AD47" s="125" t="n">
        <f aca="false">AD45*(1-PlugDebtSh)</f>
        <v>0</v>
      </c>
      <c r="AE47" s="125" t="n">
        <f aca="false">AE45*(1-PlugDebtSh)</f>
        <v>0</v>
      </c>
      <c r="AF47" s="125" t="n">
        <f aca="false">AF45*(1-PlugDebtSh)</f>
        <v>0</v>
      </c>
      <c r="AG47" s="125" t="n">
        <f aca="false">AG45*(1-PlugDebtSh)</f>
        <v>0</v>
      </c>
      <c r="AI47" s="125" t="n">
        <f aca="false">SUMIF($F$7:$AG$7,AI$7,$F47:$AG47)</f>
        <v>0</v>
      </c>
      <c r="AJ47" s="125" t="n">
        <f aca="false">SUMIF($F$7:$AG$7,AJ$7,$F47:$AG47)</f>
        <v>0</v>
      </c>
      <c r="AK47" s="125" t="n">
        <f aca="false">SUMIF($F$7:$AG$7,AK$7,$F47:$AG47)</f>
        <v>0</v>
      </c>
      <c r="AL47" s="125" t="n">
        <f aca="false">SUMIF($F$7:$AG$7,AL$7,$F47:$AG47)</f>
        <v>3527.74631286719</v>
      </c>
      <c r="AM47" s="125" t="n">
        <f aca="false">SUMIF($F$7:$AG$7,AM$7,$F47:$AG47)</f>
        <v>7253.95004460753</v>
      </c>
      <c r="AN47" s="125" t="n">
        <f aca="false">SUMIF($F$7:$AG$7,AN$7,$F47:$AG47)</f>
        <v>9438.45100292799</v>
      </c>
      <c r="AO47" s="125" t="n">
        <f aca="false">SUMIF($F$7:$AG$7,AO$7,$F47:$AG47)</f>
        <v>0</v>
      </c>
    </row>
    <row r="48" customFormat="false" ht="15" hidden="false" customHeight="false" outlineLevel="0" collapsed="false">
      <c r="A48" s="107" t="s">
        <v>2496</v>
      </c>
      <c r="B48" s="22" t="s">
        <v>635</v>
      </c>
      <c r="C48" s="22" t="s">
        <v>540</v>
      </c>
      <c r="D48" s="22" t="s">
        <v>2497</v>
      </c>
      <c r="F48" s="140" t="n">
        <f aca="false">F47/(SharePx*(1-EqDisc))</f>
        <v>0</v>
      </c>
      <c r="G48" s="140" t="n">
        <f aca="false">G47/(SharePx*(1-EqDisc))</f>
        <v>0</v>
      </c>
      <c r="H48" s="140" t="n">
        <f aca="false">H47/(SharePx*(1-EqDisc))</f>
        <v>0</v>
      </c>
      <c r="I48" s="140" t="n">
        <f aca="false">I47/(SharePx*(1-EqDisc))</f>
        <v>0</v>
      </c>
      <c r="J48" s="140" t="n">
        <f aca="false">J47/(SharePx*(1-EqDisc))</f>
        <v>0</v>
      </c>
      <c r="K48" s="140" t="n">
        <f aca="false">K47/(SharePx*(1-EqDisc))</f>
        <v>0</v>
      </c>
      <c r="L48" s="140" t="n">
        <f aca="false">L47/(SharePx*(1-EqDisc))</f>
        <v>0</v>
      </c>
      <c r="M48" s="140" t="n">
        <f aca="false">M47/(SharePx*(1-EqDisc))</f>
        <v>0</v>
      </c>
      <c r="N48" s="140" t="n">
        <f aca="false">N47/(SharePx*(1-EqDisc))</f>
        <v>0</v>
      </c>
      <c r="O48" s="140" t="n">
        <f aca="false">O47/(SharePx*(1-EqDisc))</f>
        <v>0</v>
      </c>
      <c r="P48" s="47" t="n">
        <f aca="false">P47/(SharePx*(1-EqDisc))</f>
        <v>0</v>
      </c>
      <c r="Q48" s="47" t="n">
        <f aca="false">Q47/(SharePx*(1-EqDisc))</f>
        <v>0</v>
      </c>
      <c r="R48" s="47" t="n">
        <f aca="false">R47/(SharePx*(1-EqDisc))</f>
        <v>0</v>
      </c>
      <c r="S48" s="47" t="n">
        <f aca="false">S47/(SharePx*(1-EqDisc))</f>
        <v>0</v>
      </c>
      <c r="T48" s="47" t="n">
        <f aca="false">T47/(SharePx*(1-EqDisc))</f>
        <v>7.03821022092247</v>
      </c>
      <c r="U48" s="47" t="n">
        <f aca="false">U47/(SharePx*(1-EqDisc))</f>
        <v>7.93996970962095</v>
      </c>
      <c r="V48" s="47" t="n">
        <f aca="false">V47/(SharePx*(1-EqDisc))</f>
        <v>7.75081782378737</v>
      </c>
      <c r="W48" s="47" t="n">
        <f aca="false">W47/(SharePx*(1-EqDisc))</f>
        <v>2.08828463942011</v>
      </c>
      <c r="X48" s="47" t="n">
        <f aca="false">X47/(SharePx*(1-EqDisc))</f>
        <v>19.5404070659025</v>
      </c>
      <c r="Y48" s="47" t="n">
        <f aca="false">Y47/(SharePx*(1-EqDisc))</f>
        <v>1.41946503972702</v>
      </c>
      <c r="Z48" s="47" t="n">
        <f aca="false">Z47/(SharePx*(1-EqDisc))</f>
        <v>14.9118634520569</v>
      </c>
      <c r="AA48" s="47" t="n">
        <f aca="false">AA47/(SharePx*(1-EqDisc))</f>
        <v>2.83611700901731</v>
      </c>
      <c r="AB48" s="47" t="n">
        <f aca="false">AB47/(SharePx*(1-EqDisc))</f>
        <v>22.3259944933702</v>
      </c>
      <c r="AC48" s="47" t="n">
        <f aca="false">AC47/(SharePx*(1-EqDisc))</f>
        <v>0</v>
      </c>
      <c r="AD48" s="47" t="n">
        <f aca="false">AD47/(SharePx*(1-EqDisc))</f>
        <v>0</v>
      </c>
      <c r="AE48" s="47" t="n">
        <f aca="false">AE47/(SharePx*(1-EqDisc))</f>
        <v>0</v>
      </c>
      <c r="AF48" s="47" t="n">
        <f aca="false">AF47/(SharePx*(1-EqDisc))</f>
        <v>0</v>
      </c>
      <c r="AG48" s="47" t="n">
        <f aca="false">AG47/(SharePx*(1-EqDisc))</f>
        <v>0</v>
      </c>
      <c r="AI48" s="47" t="n">
        <f aca="false">SUMIF($F$7:$AG$7,AI$7,$F48:$AG48)</f>
        <v>0</v>
      </c>
      <c r="AJ48" s="47" t="n">
        <f aca="false">SUMIF($F$7:$AG$7,AJ$7,$F48:$AG48)</f>
        <v>0</v>
      </c>
      <c r="AK48" s="47" t="n">
        <f aca="false">SUMIF($F$7:$AG$7,AK$7,$F48:$AG48)</f>
        <v>0</v>
      </c>
      <c r="AL48" s="47" t="n">
        <f aca="false">SUMIF($F$7:$AG$7,AL$7,$F48:$AG48)</f>
        <v>14.9781799305434</v>
      </c>
      <c r="AM48" s="47" t="n">
        <f aca="false">SUMIF($F$7:$AG$7,AM$7,$F48:$AG48)</f>
        <v>30.798974568837</v>
      </c>
      <c r="AN48" s="47" t="n">
        <f aca="false">SUMIF($F$7:$AG$7,AN$7,$F48:$AG48)</f>
        <v>40.0739749544444</v>
      </c>
      <c r="AO48" s="47" t="n">
        <f aca="false">SUMIF($F$7:$AG$7,AO$7,$F48:$AG48)</f>
        <v>0</v>
      </c>
    </row>
    <row r="49" customFormat="false" ht="15" hidden="false" customHeight="false" outlineLevel="0" collapsed="false">
      <c r="A49" s="3" t="s">
        <v>2498</v>
      </c>
      <c r="B49" s="22" t="s">
        <v>613</v>
      </c>
      <c r="C49" s="22" t="s">
        <v>2499</v>
      </c>
      <c r="D49" s="22" t="s">
        <v>2500</v>
      </c>
      <c r="E49" s="0" t="n">
        <f aca="false">0</f>
        <v>0</v>
      </c>
      <c r="F49" s="126" t="n">
        <f aca="false">IF(F$5&lt;=LastHist,INDEX(H_Cash,1,F$5),F44+F45)</f>
        <v>2288.2</v>
      </c>
      <c r="G49" s="126" t="n">
        <f aca="false">IF(G$5&lt;=LastHist,INDEX(H_Cash,1,G$5),G44+G45)</f>
        <v>2288.2</v>
      </c>
      <c r="H49" s="126" t="n">
        <f aca="false">IF(H$5&lt;=LastHist,INDEX(H_Cash,1,H$5),H44+H45)</f>
        <v>2288.2</v>
      </c>
      <c r="I49" s="126" t="n">
        <f aca="false">IF(I$5&lt;=LastHist,INDEX(H_Cash,1,I$5),I44+I45)</f>
        <v>2434.7</v>
      </c>
      <c r="J49" s="126" t="n">
        <f aca="false">IF(J$5&lt;=LastHist,INDEX(H_Cash,1,J$5),J44+J45)</f>
        <v>1447</v>
      </c>
      <c r="K49" s="126" t="n">
        <f aca="false">IF(K$5&lt;=LastHist,INDEX(H_Cash,1,K$5),K44+K45)</f>
        <v>1679.3</v>
      </c>
      <c r="L49" s="126" t="n">
        <f aca="false">IF(L$5&lt;=LastHist,INDEX(H_Cash,1,L$5),L44+L45)</f>
        <v>4794.8</v>
      </c>
      <c r="M49" s="126" t="n">
        <f aca="false">IF(M$5&lt;=LastHist,INDEX(H_Cash,1,M$5),M44+M45)</f>
        <v>3678.1</v>
      </c>
      <c r="N49" s="126" t="n">
        <f aca="false">IF(N$5&lt;=LastHist,INDEX(H_Cash,1,N$5),N44+N45)</f>
        <v>9298.2</v>
      </c>
      <c r="O49" s="126" t="n">
        <f aca="false">IF(O$5&lt;=LastHist,INDEX(H_Cash,1,O$5),O44+O45)</f>
        <v>8042.1</v>
      </c>
      <c r="P49" s="99" t="n">
        <f aca="false">IF(P$5&lt;=LastHist,INDEX(H_Cash,1,P$5),P44+P45)</f>
        <v>11534.2630996318</v>
      </c>
      <c r="Q49" s="99" t="n">
        <f aca="false">IF(Q$5&lt;=LastHist,INDEX(H_Cash,1,Q$5),Q44+Q45)</f>
        <v>9749.91719809611</v>
      </c>
      <c r="R49" s="99" t="n">
        <f aca="false">IF(R$5&lt;=LastHist,INDEX(H_Cash,1,R$5),R44+R45)</f>
        <v>9810.92606372689</v>
      </c>
      <c r="S49" s="99" t="n">
        <f aca="false">IF(S$5&lt;=LastHist,INDEX(H_Cash,1,S$5),S44+S45)</f>
        <v>2226.18644853027</v>
      </c>
      <c r="T49" s="99" t="n">
        <f aca="false">IF(T$5&lt;=LastHist,INDEX(H_Cash,1,T$5),T44+T45)</f>
        <v>2000</v>
      </c>
      <c r="U49" s="99" t="n">
        <f aca="false">IF(U$5&lt;=LastHist,INDEX(H_Cash,1,U$5),U44+U45)</f>
        <v>2000</v>
      </c>
      <c r="V49" s="99" t="n">
        <f aca="false">IF(V$5&lt;=LastHist,INDEX(H_Cash,1,V$5),V44+V45)</f>
        <v>2000</v>
      </c>
      <c r="W49" s="99" t="n">
        <f aca="false">IF(W$5&lt;=LastHist,INDEX(H_Cash,1,W$5),W44+W45)</f>
        <v>2000</v>
      </c>
      <c r="X49" s="99" t="n">
        <f aca="false">IF(X$5&lt;=LastHist,INDEX(H_Cash,1,X$5),X44+X45)</f>
        <v>2000</v>
      </c>
      <c r="Y49" s="99" t="n">
        <f aca="false">IF(Y$5&lt;=LastHist,INDEX(H_Cash,1,Y$5),Y44+Y45)</f>
        <v>2000</v>
      </c>
      <c r="Z49" s="99" t="n">
        <f aca="false">IF(Z$5&lt;=LastHist,INDEX(H_Cash,1,Z$5),Z44+Z45)</f>
        <v>2000</v>
      </c>
      <c r="AA49" s="99" t="n">
        <f aca="false">IF(AA$5&lt;=LastHist,INDEX(H_Cash,1,AA$5),AA44+AA45)</f>
        <v>2000</v>
      </c>
      <c r="AB49" s="99" t="n">
        <f aca="false">IF(AB$5&lt;=LastHist,INDEX(H_Cash,1,AB$5),AB44+AB45)</f>
        <v>2000</v>
      </c>
      <c r="AC49" s="99" t="n">
        <f aca="false">IF(AC$5&lt;=LastHist,INDEX(H_Cash,1,AC$5),AC44+AC45)</f>
        <v>5427.4855187431</v>
      </c>
      <c r="AD49" s="99" t="n">
        <f aca="false">IF(AD$5&lt;=LastHist,INDEX(H_Cash,1,AD$5),AD44+AD45)</f>
        <v>5637.81140409372</v>
      </c>
      <c r="AE49" s="99" t="n">
        <f aca="false">IF(AE$5&lt;=LastHist,INDEX(H_Cash,1,AE$5),AE44+AE45)</f>
        <v>10209.1579255195</v>
      </c>
      <c r="AF49" s="99" t="n">
        <f aca="false">IF(AF$5&lt;=LastHist,INDEX(H_Cash,1,AF$5),AF44+AF45)</f>
        <v>10252.1108020037</v>
      </c>
      <c r="AG49" s="99" t="n">
        <f aca="false">IF(AG$5&lt;=LastHist,INDEX(H_Cash,1,AG$5),AG44+AG45)</f>
        <v>13840.037776742</v>
      </c>
      <c r="AI49" s="99" t="n">
        <f aca="false">INDEX($F49:$AG49,1,MATCH(AI$7,$F$7:$AG$7,1))</f>
        <v>2434.7</v>
      </c>
      <c r="AJ49" s="99" t="n">
        <f aca="false">INDEX($F49:$AG49,1,MATCH(AJ$7,$F$7:$AG$7,1))</f>
        <v>3678.1</v>
      </c>
      <c r="AK49" s="99" t="n">
        <f aca="false">INDEX($F49:$AG49,1,MATCH(AK$7,$F$7:$AG$7,1))</f>
        <v>9749.91719809611</v>
      </c>
      <c r="AL49" s="99" t="n">
        <f aca="false">INDEX($F49:$AG49,1,MATCH(AL$7,$F$7:$AG$7,1))</f>
        <v>2000</v>
      </c>
      <c r="AM49" s="99" t="n">
        <f aca="false">INDEX($F49:$AG49,1,MATCH(AM$7,$F$7:$AG$7,1))</f>
        <v>2000</v>
      </c>
      <c r="AN49" s="99" t="n">
        <f aca="false">INDEX($F49:$AG49,1,MATCH(AN$7,$F$7:$AG$7,1))</f>
        <v>5427.4855187431</v>
      </c>
      <c r="AO49" s="99" t="n">
        <f aca="false">INDEX($F49:$AG49,1,MATCH(AO$7,$F$7:$AG$7,1))</f>
        <v>13840.037776742</v>
      </c>
    </row>
    <row r="51" customFormat="false" ht="15" hidden="false" customHeight="false" outlineLevel="0" collapsed="false">
      <c r="A51" s="58" t="s">
        <v>2501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</row>
    <row r="52" customFormat="false" ht="15" hidden="false" customHeight="false" outlineLevel="0" collapsed="false">
      <c r="A52" s="107" t="s">
        <v>2502</v>
      </c>
      <c r="B52" s="22" t="s">
        <v>613</v>
      </c>
      <c r="C52" s="22" t="s">
        <v>540</v>
      </c>
      <c r="D52" s="22"/>
      <c r="E52" s="125" t="n">
        <f aca="false">0</f>
        <v>0</v>
      </c>
      <c r="F52" s="124" t="n">
        <f aca="false">E52+F46</f>
        <v>0</v>
      </c>
      <c r="G52" s="124" t="n">
        <f aca="false">F52+G46</f>
        <v>0</v>
      </c>
      <c r="H52" s="124" t="n">
        <f aca="false">G52+H46</f>
        <v>0</v>
      </c>
      <c r="I52" s="124" t="n">
        <f aca="false">H52+I46</f>
        <v>0</v>
      </c>
      <c r="J52" s="124" t="n">
        <f aca="false">I52+J46</f>
        <v>0</v>
      </c>
      <c r="K52" s="124" t="n">
        <f aca="false">J52+K46</f>
        <v>0</v>
      </c>
      <c r="L52" s="124" t="n">
        <f aca="false">K52+L46</f>
        <v>0</v>
      </c>
      <c r="M52" s="124" t="n">
        <f aca="false">L52+M46</f>
        <v>0</v>
      </c>
      <c r="N52" s="124" t="n">
        <f aca="false">M52+N46</f>
        <v>0</v>
      </c>
      <c r="O52" s="124" t="n">
        <f aca="false">N52+O46</f>
        <v>0</v>
      </c>
      <c r="P52" s="125" t="n">
        <f aca="false">O52+P46</f>
        <v>0</v>
      </c>
      <c r="Q52" s="125" t="n">
        <f aca="false">P52+Q46</f>
        <v>0</v>
      </c>
      <c r="R52" s="125" t="n">
        <f aca="false">Q52+R46</f>
        <v>0</v>
      </c>
      <c r="S52" s="125" t="n">
        <f aca="false">R52+S46</f>
        <v>0</v>
      </c>
      <c r="T52" s="125" t="n">
        <f aca="false">S52+T46</f>
        <v>1657.67938902992</v>
      </c>
      <c r="U52" s="125" t="n">
        <f aca="false">T52+U46</f>
        <v>3527.74631286719</v>
      </c>
      <c r="V52" s="125" t="n">
        <f aca="false">U52+V46</f>
        <v>5353.26310638719</v>
      </c>
      <c r="W52" s="125" t="n">
        <f aca="false">V52+W46</f>
        <v>5845.10780788586</v>
      </c>
      <c r="X52" s="125" t="n">
        <f aca="false">W52+X46</f>
        <v>10447.3758603675</v>
      </c>
      <c r="Y52" s="125" t="n">
        <f aca="false">X52+Y46</f>
        <v>10781.6963574747</v>
      </c>
      <c r="Z52" s="125" t="n">
        <f aca="false">Y52+Z46</f>
        <v>14293.8234353248</v>
      </c>
      <c r="AA52" s="125" t="n">
        <f aca="false">Z52+AA46</f>
        <v>14961.8018791555</v>
      </c>
      <c r="AB52" s="125" t="n">
        <f aca="false">AA52+AB46</f>
        <v>20220.1473604027</v>
      </c>
      <c r="AC52" s="125" t="n">
        <f aca="false">AB52+AC46</f>
        <v>20220.1473604027</v>
      </c>
      <c r="AD52" s="125" t="n">
        <f aca="false">AC52+AD46</f>
        <v>20220.1473604027</v>
      </c>
      <c r="AE52" s="125" t="n">
        <f aca="false">AD52+AE46</f>
        <v>20220.1473604027</v>
      </c>
      <c r="AF52" s="125" t="n">
        <f aca="false">AE52+AF46</f>
        <v>20220.1473604027</v>
      </c>
      <c r="AG52" s="125" t="n">
        <f aca="false">AF52+AG46</f>
        <v>20220.1473604027</v>
      </c>
      <c r="AI52" s="125" t="n">
        <f aca="false">INDEX($F52:$AG52,1,MATCH(AI$7,$F$7:$AG$7,1))</f>
        <v>0</v>
      </c>
      <c r="AJ52" s="125" t="n">
        <f aca="false">INDEX($F52:$AG52,1,MATCH(AJ$7,$F$7:$AG$7,1))</f>
        <v>0</v>
      </c>
      <c r="AK52" s="125" t="n">
        <f aca="false">INDEX($F52:$AG52,1,MATCH(AK$7,$F$7:$AG$7,1))</f>
        <v>0</v>
      </c>
      <c r="AL52" s="125" t="n">
        <f aca="false">INDEX($F52:$AG52,1,MATCH(AL$7,$F$7:$AG$7,1))</f>
        <v>3527.74631286719</v>
      </c>
      <c r="AM52" s="125" t="n">
        <f aca="false">INDEX($F52:$AG52,1,MATCH(AM$7,$F$7:$AG$7,1))</f>
        <v>10781.6963574747</v>
      </c>
      <c r="AN52" s="125" t="n">
        <f aca="false">INDEX($F52:$AG52,1,MATCH(AN$7,$F$7:$AG$7,1))</f>
        <v>20220.1473604027</v>
      </c>
      <c r="AO52" s="125" t="n">
        <f aca="false">INDEX($F52:$AG52,1,MATCH(AO$7,$F$7:$AG$7,1))</f>
        <v>20220.1473604027</v>
      </c>
    </row>
    <row r="53" customFormat="false" ht="15" hidden="false" customHeight="false" outlineLevel="0" collapsed="false">
      <c r="A53" s="107" t="s">
        <v>2503</v>
      </c>
      <c r="B53" s="22" t="s">
        <v>613</v>
      </c>
      <c r="C53" s="22" t="s">
        <v>540</v>
      </c>
      <c r="D53" s="22"/>
      <c r="F53" s="124" t="n">
        <f aca="false">INDEX(CV_bal,1,1)+INDEX(Sec_Bal,1,1)+F52</f>
        <v>0</v>
      </c>
      <c r="G53" s="124" t="n">
        <f aca="false">INDEX(CV_bal,1,2)+INDEX(Sec_Bal,1,2)+G52</f>
        <v>0</v>
      </c>
      <c r="H53" s="124" t="n">
        <f aca="false">INDEX(CV_bal,1,3)+INDEX(Sec_Bal,1,3)+H52</f>
        <v>0</v>
      </c>
      <c r="I53" s="124" t="n">
        <f aca="false">INDEX(CV_bal,1,4)+INDEX(Sec_Bal,1,4)+I52</f>
        <v>0</v>
      </c>
      <c r="J53" s="124" t="n">
        <f aca="false">INDEX(CV_bal,1,5)+INDEX(Sec_Bal,1,5)+J52</f>
        <v>0</v>
      </c>
      <c r="K53" s="124" t="n">
        <f aca="false">INDEX(CV_bal,1,6)+INDEX(Sec_Bal,1,6)+K52</f>
        <v>977.717696391198</v>
      </c>
      <c r="L53" s="124" t="n">
        <f aca="false">INDEX(CV_bal,1,7)+INDEX(Sec_Bal,1,7)+L52</f>
        <v>4153.55863884143</v>
      </c>
      <c r="M53" s="124" t="n">
        <f aca="false">INDEX(CV_bal,1,8)+INDEX(Sec_Bal,1,8)+M52</f>
        <v>4184.0439892422</v>
      </c>
      <c r="N53" s="124" t="n">
        <f aca="false">INDEX(CV_bal,1,9)+INDEX(Sec_Bal,1,9)+N52</f>
        <v>8556.00126497794</v>
      </c>
      <c r="O53" s="124" t="n">
        <f aca="false">INDEX(CV_bal,1,10)+INDEX(Sec_Bal,1,10)+O52</f>
        <v>8624.49645117217</v>
      </c>
      <c r="P53" s="125" t="n">
        <f aca="false">INDEX(CV_bal,1,11)+INDEX(Sec_Bal,1,11)+P52</f>
        <v>13618.5823768008</v>
      </c>
      <c r="Q53" s="125" t="n">
        <f aca="false">INDEX(CV_bal,1,12)+INDEX(Sec_Bal,1,12)+Q52</f>
        <v>13723.9597745188</v>
      </c>
      <c r="R53" s="125" t="n">
        <f aca="false">INDEX(CV_bal,1,13)+INDEX(Sec_Bal,1,13)+R52</f>
        <v>20251.0967009347</v>
      </c>
      <c r="S53" s="125" t="n">
        <f aca="false">INDEX(CV_bal,1,14)+INDEX(Sec_Bal,1,14)+S52</f>
        <v>20403.963827577</v>
      </c>
      <c r="T53" s="125" t="n">
        <f aca="false">INDEX(CV_bal,1,15)+INDEX(Sec_Bal,1,15)+T52</f>
        <v>28641.2642988286</v>
      </c>
      <c r="U53" s="125" t="n">
        <f aca="false">INDEX(CV_bal,1,16)+INDEX(Sec_Bal,1,16)+U52</f>
        <v>30714.9594190794</v>
      </c>
      <c r="V53" s="125" t="n">
        <f aca="false">INDEX(CV_bal,1,17)+INDEX(Sec_Bal,1,17)+V52</f>
        <v>32741.8910590519</v>
      </c>
      <c r="W53" s="125" t="n">
        <f aca="false">INDEX(CV_bal,1,18)+INDEX(Sec_Bal,1,18)+W52</f>
        <v>33435.1506070031</v>
      </c>
      <c r="X53" s="125" t="n">
        <f aca="false">INDEX(CV_bal,1,19)+INDEX(Sec_Bal,1,19)+X52</f>
        <v>38241.0468558983</v>
      </c>
      <c r="Y53" s="125" t="n">
        <f aca="false">INDEX(CV_bal,1,20)+INDEX(Sec_Bal,1,20)+Y52</f>
        <v>38778.9955494191</v>
      </c>
      <c r="Z53" s="125" t="n">
        <f aca="false">INDEX(CV_bal,1,21)+INDEX(Sec_Bal,1,21)+Z52</f>
        <v>42490.3241237608</v>
      </c>
      <c r="AA53" s="125" t="n">
        <f aca="false">INDEX(CV_bal,1,22)+INDEX(Sec_Bal,1,22)+AA52</f>
        <v>43256.6001353892</v>
      </c>
      <c r="AB53" s="125" t="n">
        <f aca="false">INDEX(CV_bal,1,23)+INDEX(Sec_Bal,1,23)+AB52</f>
        <v>48717.6069290417</v>
      </c>
      <c r="AC53" s="125" t="n">
        <f aca="false">INDEX(CV_bal,1,24)+INDEX(Sec_Bal,1,24)+AC52</f>
        <v>48920.268241447</v>
      </c>
      <c r="AD53" s="125" t="n">
        <f aca="false">INDEX(CV_bal,1,25)+INDEX(Sec_Bal,1,25)+AD52</f>
        <v>45311.5805214563</v>
      </c>
      <c r="AE53" s="125" t="n">
        <f aca="false">INDEX(CV_bal,1,26)+INDEX(Sec_Bal,1,26)+AE52</f>
        <v>45487.3379706927</v>
      </c>
      <c r="AF53" s="125" t="n">
        <f aca="false">INDEX(CV_bal,1,27)+INDEX(Sec_Bal,1,27)+AF52</f>
        <v>39606.5077772849</v>
      </c>
      <c r="AG53" s="125" t="n">
        <f aca="false">INDEX(CV_bal,1,28)+INDEX(Sec_Bal,1,28)+AG52</f>
        <v>39744.58148639</v>
      </c>
      <c r="AI53" s="125" t="n">
        <f aca="false">INDEX($F53:$AG53,1,MATCH(AI$7,$F$7:$AG$7,1))</f>
        <v>0</v>
      </c>
      <c r="AJ53" s="125" t="n">
        <f aca="false">INDEX($F53:$AG53,1,MATCH(AJ$7,$F$7:$AG$7,1))</f>
        <v>4184.0439892422</v>
      </c>
      <c r="AK53" s="125" t="n">
        <f aca="false">INDEX($F53:$AG53,1,MATCH(AK$7,$F$7:$AG$7,1))</f>
        <v>13723.9597745188</v>
      </c>
      <c r="AL53" s="125" t="n">
        <f aca="false">INDEX($F53:$AG53,1,MATCH(AL$7,$F$7:$AG$7,1))</f>
        <v>30714.9594190794</v>
      </c>
      <c r="AM53" s="125" t="n">
        <f aca="false">INDEX($F53:$AG53,1,MATCH(AM$7,$F$7:$AG$7,1))</f>
        <v>38778.9955494191</v>
      </c>
      <c r="AN53" s="125" t="n">
        <f aca="false">INDEX($F53:$AG53,1,MATCH(AN$7,$F$7:$AG$7,1))</f>
        <v>48920.268241447</v>
      </c>
      <c r="AO53" s="125" t="n">
        <f aca="false">INDEX($F53:$AG53,1,MATCH(AO$7,$F$7:$AG$7,1))</f>
        <v>39744.58148639</v>
      </c>
    </row>
    <row r="54" customFormat="false" ht="15" hidden="false" customHeight="false" outlineLevel="0" collapsed="false">
      <c r="A54" s="107" t="s">
        <v>2504</v>
      </c>
      <c r="B54" s="22" t="s">
        <v>613</v>
      </c>
      <c r="C54" s="22" t="s">
        <v>540</v>
      </c>
      <c r="D54" s="22"/>
      <c r="F54" s="124" t="n">
        <f aca="false">INDEX(CV_debt,1,1)+INDEX(Sec_Bal,1,1)+F52</f>
        <v>0</v>
      </c>
      <c r="G54" s="124" t="n">
        <f aca="false">INDEX(CV_debt,1,2)+INDEX(Sec_Bal,1,2)+G52</f>
        <v>0</v>
      </c>
      <c r="H54" s="124" t="n">
        <f aca="false">INDEX(CV_debt,1,3)+INDEX(Sec_Bal,1,3)+H52</f>
        <v>0</v>
      </c>
      <c r="I54" s="124" t="n">
        <f aca="false">INDEX(CV_debt,1,4)+INDEX(Sec_Bal,1,4)+I52</f>
        <v>0</v>
      </c>
      <c r="J54" s="124" t="n">
        <f aca="false">INDEX(CV_debt,1,5)+INDEX(Sec_Bal,1,5)+J52</f>
        <v>0</v>
      </c>
      <c r="K54" s="124" t="n">
        <f aca="false">INDEX(CV_debt,1,6)+INDEX(Sec_Bal,1,6)+K52</f>
        <v>977.717696391198</v>
      </c>
      <c r="L54" s="124" t="n">
        <f aca="false">INDEX(CV_debt,1,7)+INDEX(Sec_Bal,1,7)+L52</f>
        <v>4153.55863884143</v>
      </c>
      <c r="M54" s="124" t="n">
        <f aca="false">INDEX(CV_debt,1,8)+INDEX(Sec_Bal,1,8)+M52</f>
        <v>4184.0439892422</v>
      </c>
      <c r="N54" s="124" t="n">
        <f aca="false">INDEX(CV_debt,1,9)+INDEX(Sec_Bal,1,9)+N52</f>
        <v>8556.00126497794</v>
      </c>
      <c r="O54" s="124" t="n">
        <f aca="false">INDEX(CV_debt,1,10)+INDEX(Sec_Bal,1,10)+O52</f>
        <v>8624.49645117217</v>
      </c>
      <c r="P54" s="125" t="n">
        <f aca="false">INDEX(CV_debt,1,11)+INDEX(Sec_Bal,1,11)+P52</f>
        <v>13618.5823768008</v>
      </c>
      <c r="Q54" s="125" t="n">
        <f aca="false">INDEX(CV_debt,1,12)+INDEX(Sec_Bal,1,12)+Q52</f>
        <v>13723.9597745188</v>
      </c>
      <c r="R54" s="125" t="n">
        <f aca="false">INDEX(CV_debt,1,13)+INDEX(Sec_Bal,1,13)+R52</f>
        <v>20251.0967009347</v>
      </c>
      <c r="S54" s="125" t="n">
        <f aca="false">INDEX(CV_debt,1,14)+INDEX(Sec_Bal,1,14)+S52</f>
        <v>20403.963827577</v>
      </c>
      <c r="T54" s="125" t="n">
        <f aca="false">INDEX(CV_debt,1,15)+INDEX(Sec_Bal,1,15)+T52</f>
        <v>28641.2642988286</v>
      </c>
      <c r="U54" s="125" t="n">
        <f aca="false">INDEX(CV_debt,1,16)+INDEX(Sec_Bal,1,16)+U52</f>
        <v>30714.9594190794</v>
      </c>
      <c r="V54" s="125" t="n">
        <f aca="false">INDEX(CV_debt,1,17)+INDEX(Sec_Bal,1,17)+V52</f>
        <v>32741.8910590519</v>
      </c>
      <c r="W54" s="125" t="n">
        <f aca="false">INDEX(CV_debt,1,18)+INDEX(Sec_Bal,1,18)+W52</f>
        <v>33435.1506070031</v>
      </c>
      <c r="X54" s="125" t="n">
        <f aca="false">INDEX(CV_debt,1,19)+INDEX(Sec_Bal,1,19)+X52</f>
        <v>38241.0468558983</v>
      </c>
      <c r="Y54" s="125" t="n">
        <f aca="false">INDEX(CV_debt,1,20)+INDEX(Sec_Bal,1,20)+Y52</f>
        <v>38778.9955494191</v>
      </c>
      <c r="Z54" s="125" t="n">
        <f aca="false">INDEX(CV_debt,1,21)+INDEX(Sec_Bal,1,21)+Z52</f>
        <v>42490.3241237608</v>
      </c>
      <c r="AA54" s="125" t="n">
        <f aca="false">INDEX(CV_debt,1,22)+INDEX(Sec_Bal,1,22)+AA52</f>
        <v>43256.6001353892</v>
      </c>
      <c r="AB54" s="125" t="n">
        <f aca="false">INDEX(CV_debt,1,23)+INDEX(Sec_Bal,1,23)+AB52</f>
        <v>48717.6069290417</v>
      </c>
      <c r="AC54" s="125" t="n">
        <f aca="false">INDEX(CV_debt,1,24)+INDEX(Sec_Bal,1,24)+AC52</f>
        <v>48920.268241447</v>
      </c>
      <c r="AD54" s="125" t="n">
        <f aca="false">INDEX(CV_debt,1,25)+INDEX(Sec_Bal,1,25)+AD52</f>
        <v>45311.5805214563</v>
      </c>
      <c r="AE54" s="125" t="n">
        <f aca="false">INDEX(CV_debt,1,26)+INDEX(Sec_Bal,1,26)+AE52</f>
        <v>45487.3379706927</v>
      </c>
      <c r="AF54" s="125" t="n">
        <f aca="false">INDEX(CV_debt,1,27)+INDEX(Sec_Bal,1,27)+AF52</f>
        <v>39606.5077772849</v>
      </c>
      <c r="AG54" s="125" t="n">
        <f aca="false">INDEX(CV_debt,1,28)+INDEX(Sec_Bal,1,28)+AG52</f>
        <v>39744.58148639</v>
      </c>
      <c r="AI54" s="125" t="n">
        <f aca="false">INDEX($F54:$AG54,1,MATCH(AI$7,$F$7:$AG$7,1))</f>
        <v>0</v>
      </c>
      <c r="AJ54" s="125" t="n">
        <f aca="false">INDEX($F54:$AG54,1,MATCH(AJ$7,$F$7:$AG$7,1))</f>
        <v>4184.0439892422</v>
      </c>
      <c r="AK54" s="125" t="n">
        <f aca="false">INDEX($F54:$AG54,1,MATCH(AK$7,$F$7:$AG$7,1))</f>
        <v>13723.9597745188</v>
      </c>
      <c r="AL54" s="125" t="n">
        <f aca="false">INDEX($F54:$AG54,1,MATCH(AL$7,$F$7:$AG$7,1))</f>
        <v>30714.9594190794</v>
      </c>
      <c r="AM54" s="125" t="n">
        <f aca="false">INDEX($F54:$AG54,1,MATCH(AM$7,$F$7:$AG$7,1))</f>
        <v>38778.9955494191</v>
      </c>
      <c r="AN54" s="125" t="n">
        <f aca="false">INDEX($F54:$AG54,1,MATCH(AN$7,$F$7:$AG$7,1))</f>
        <v>48920.268241447</v>
      </c>
      <c r="AO54" s="125" t="n">
        <f aca="false">INDEX($F54:$AG54,1,MATCH(AO$7,$F$7:$AG$7,1))</f>
        <v>39744.58148639</v>
      </c>
    </row>
    <row r="55" customFormat="false" ht="15" hidden="false" customHeight="false" outlineLevel="0" collapsed="false">
      <c r="A55" s="3" t="s">
        <v>2505</v>
      </c>
      <c r="B55" s="22" t="s">
        <v>613</v>
      </c>
      <c r="C55" s="22" t="s">
        <v>540</v>
      </c>
      <c r="D55" s="22"/>
      <c r="F55" s="126" t="n">
        <f aca="false">F54-F49</f>
        <v>-2288.2</v>
      </c>
      <c r="G55" s="126" t="n">
        <f aca="false">G54-G49</f>
        <v>-2288.2</v>
      </c>
      <c r="H55" s="126" t="n">
        <f aca="false">H54-H49</f>
        <v>-2288.2</v>
      </c>
      <c r="I55" s="126" t="n">
        <f aca="false">I54-I49</f>
        <v>-2434.7</v>
      </c>
      <c r="J55" s="126" t="n">
        <f aca="false">J54-J49</f>
        <v>-1447</v>
      </c>
      <c r="K55" s="126" t="n">
        <f aca="false">K54-K49</f>
        <v>-701.582303608802</v>
      </c>
      <c r="L55" s="126" t="n">
        <f aca="false">L54-L49</f>
        <v>-641.241361158571</v>
      </c>
      <c r="M55" s="126" t="n">
        <f aca="false">M54-M49</f>
        <v>505.943989242197</v>
      </c>
      <c r="N55" s="126" t="n">
        <f aca="false">N54-N49</f>
        <v>-742.198735022057</v>
      </c>
      <c r="O55" s="126" t="n">
        <f aca="false">O54-O49</f>
        <v>582.396451172164</v>
      </c>
      <c r="P55" s="99" t="n">
        <f aca="false">P54-P49</f>
        <v>2084.31927716894</v>
      </c>
      <c r="Q55" s="99" t="n">
        <f aca="false">Q54-Q49</f>
        <v>3974.04257642269</v>
      </c>
      <c r="R55" s="99" t="n">
        <f aca="false">R54-R49</f>
        <v>10440.1706372079</v>
      </c>
      <c r="S55" s="99" t="n">
        <f aca="false">S54-S49</f>
        <v>18177.7773790467</v>
      </c>
      <c r="T55" s="99" t="n">
        <f aca="false">T54-T49</f>
        <v>26641.2642988286</v>
      </c>
      <c r="U55" s="99" t="n">
        <f aca="false">U54-U49</f>
        <v>28714.9594190794</v>
      </c>
      <c r="V55" s="99" t="n">
        <f aca="false">V54-V49</f>
        <v>30741.8910590519</v>
      </c>
      <c r="W55" s="99" t="n">
        <f aca="false">W54-W49</f>
        <v>31435.1506070031</v>
      </c>
      <c r="X55" s="99" t="n">
        <f aca="false">X54-X49</f>
        <v>36241.0468558983</v>
      </c>
      <c r="Y55" s="99" t="n">
        <f aca="false">Y54-Y49</f>
        <v>36778.9955494191</v>
      </c>
      <c r="Z55" s="99" t="n">
        <f aca="false">Z54-Z49</f>
        <v>40490.3241237608</v>
      </c>
      <c r="AA55" s="99" t="n">
        <f aca="false">AA54-AA49</f>
        <v>41256.6001353892</v>
      </c>
      <c r="AB55" s="99" t="n">
        <f aca="false">AB54-AB49</f>
        <v>46717.6069290417</v>
      </c>
      <c r="AC55" s="99" t="n">
        <f aca="false">AC54-AC49</f>
        <v>43492.7827227039</v>
      </c>
      <c r="AD55" s="99" t="n">
        <f aca="false">AD54-AD49</f>
        <v>39673.7691173626</v>
      </c>
      <c r="AE55" s="99" t="n">
        <f aca="false">AE54-AE49</f>
        <v>35278.1800451732</v>
      </c>
      <c r="AF55" s="99" t="n">
        <f aca="false">AF54-AF49</f>
        <v>29354.3969752812</v>
      </c>
      <c r="AG55" s="99" t="n">
        <f aca="false">AG54-AG49</f>
        <v>25904.543709648</v>
      </c>
      <c r="AI55" s="99" t="n">
        <f aca="false">INDEX($F55:$AG55,1,MATCH(AI$7,$F$7:$AG$7,1))</f>
        <v>-2434.7</v>
      </c>
      <c r="AJ55" s="99" t="n">
        <f aca="false">INDEX($F55:$AG55,1,MATCH(AJ$7,$F$7:$AG$7,1))</f>
        <v>505.943989242197</v>
      </c>
      <c r="AK55" s="99" t="n">
        <f aca="false">INDEX($F55:$AG55,1,MATCH(AK$7,$F$7:$AG$7,1))</f>
        <v>3974.04257642269</v>
      </c>
      <c r="AL55" s="99" t="n">
        <f aca="false">INDEX($F55:$AG55,1,MATCH(AL$7,$F$7:$AG$7,1))</f>
        <v>28714.9594190794</v>
      </c>
      <c r="AM55" s="99" t="n">
        <f aca="false">INDEX($F55:$AG55,1,MATCH(AM$7,$F$7:$AG$7,1))</f>
        <v>36778.9955494191</v>
      </c>
      <c r="AN55" s="99" t="n">
        <f aca="false">INDEX($F55:$AG55,1,MATCH(AN$7,$F$7:$AG$7,1))</f>
        <v>43492.7827227039</v>
      </c>
      <c r="AO55" s="99" t="n">
        <f aca="false">INDEX($F55:$AG55,1,MATCH(AO$7,$F$7:$AG$7,1))</f>
        <v>25904.543709648</v>
      </c>
    </row>
    <row r="57" customFormat="false" ht="15" hidden="false" customHeight="false" outlineLevel="0" collapsed="false">
      <c r="A57" s="58" t="s">
        <v>2506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</row>
    <row r="58" customFormat="false" ht="15" hidden="false" customHeight="false" outlineLevel="0" collapsed="false">
      <c r="A58" s="107" t="s">
        <v>2507</v>
      </c>
      <c r="B58" s="22" t="s">
        <v>613</v>
      </c>
      <c r="C58" s="22" t="s">
        <v>540</v>
      </c>
      <c r="D58" s="22" t="s">
        <v>1038</v>
      </c>
      <c r="O58" s="112" t="n">
        <f aca="false">CS_Cash</f>
        <v>8042.1</v>
      </c>
    </row>
    <row r="59" customFormat="false" ht="15" hidden="false" customHeight="false" outlineLevel="0" collapsed="false">
      <c r="A59" s="107" t="s">
        <v>2508</v>
      </c>
      <c r="B59" s="22" t="s">
        <v>613</v>
      </c>
      <c r="C59" s="22" t="s">
        <v>540</v>
      </c>
      <c r="D59" s="22"/>
      <c r="P59" s="109" t="n">
        <f aca="false">AugGross</f>
        <v>5750</v>
      </c>
      <c r="Q59" s="109" t="n">
        <f aca="false">0</f>
        <v>0</v>
      </c>
      <c r="R59" s="109" t="n">
        <f aca="false">0</f>
        <v>0</v>
      </c>
      <c r="S59" s="109" t="n">
        <f aca="false">0</f>
        <v>0</v>
      </c>
      <c r="T59" s="109" t="n">
        <f aca="false">0</f>
        <v>0</v>
      </c>
      <c r="U59" s="109" t="n">
        <f aca="false">0</f>
        <v>0</v>
      </c>
      <c r="V59" s="109" t="n">
        <f aca="false">0</f>
        <v>0</v>
      </c>
      <c r="W59" s="109" t="n">
        <f aca="false">0</f>
        <v>0</v>
      </c>
      <c r="X59" s="109" t="n">
        <f aca="false">0</f>
        <v>0</v>
      </c>
      <c r="Y59" s="109" t="n">
        <f aca="false">0</f>
        <v>0</v>
      </c>
      <c r="Z59" s="109" t="n">
        <f aca="false">0</f>
        <v>0</v>
      </c>
      <c r="AA59" s="109" t="n">
        <f aca="false">0</f>
        <v>0</v>
      </c>
      <c r="AB59" s="109" t="n">
        <f aca="false">0</f>
        <v>0</v>
      </c>
      <c r="AC59" s="109" t="n">
        <f aca="false">0</f>
        <v>0</v>
      </c>
      <c r="AD59" s="109" t="n">
        <f aca="false">0</f>
        <v>0</v>
      </c>
      <c r="AE59" s="109" t="n">
        <f aca="false">0</f>
        <v>0</v>
      </c>
      <c r="AF59" s="109" t="n">
        <f aca="false">0</f>
        <v>0</v>
      </c>
      <c r="AG59" s="109" t="n">
        <f aca="false">0</f>
        <v>0</v>
      </c>
      <c r="AI59" s="109" t="n">
        <f aca="false">SUMIF($F$7:$AG$7,AI$7,$F59:$AG59)</f>
        <v>0</v>
      </c>
      <c r="AJ59" s="109" t="n">
        <f aca="false">SUMIF($F$7:$AG$7,AJ$7,$F59:$AG59)</f>
        <v>0</v>
      </c>
      <c r="AK59" s="109" t="n">
        <f aca="false">SUMIF($F$7:$AG$7,AK$7,$F59:$AG59)</f>
        <v>5750</v>
      </c>
      <c r="AL59" s="109" t="n">
        <f aca="false">SUMIF($F$7:$AG$7,AL$7,$F59:$AG59)</f>
        <v>0</v>
      </c>
      <c r="AM59" s="109" t="n">
        <f aca="false">SUMIF($F$7:$AG$7,AM$7,$F59:$AG59)</f>
        <v>0</v>
      </c>
      <c r="AN59" s="109" t="n">
        <f aca="false">SUMIF($F$7:$AG$7,AN$7,$F59:$AG59)</f>
        <v>0</v>
      </c>
      <c r="AO59" s="109" t="n">
        <f aca="false">SUMIF($F$7:$AG$7,AO$7,$F59:$AG59)</f>
        <v>0</v>
      </c>
    </row>
    <row r="60" customFormat="false" ht="15" hidden="false" customHeight="false" outlineLevel="0" collapsed="false">
      <c r="A60" s="107" t="s">
        <v>2509</v>
      </c>
      <c r="B60" s="22" t="s">
        <v>613</v>
      </c>
      <c r="C60" s="22" t="s">
        <v>540</v>
      </c>
      <c r="D60" s="22"/>
      <c r="P60" s="109" t="n">
        <f aca="false">SecAmt*LoanOn</f>
        <v>0</v>
      </c>
      <c r="Q60" s="109" t="n">
        <f aca="false">0</f>
        <v>0</v>
      </c>
      <c r="R60" s="109" t="n">
        <f aca="false">0</f>
        <v>0</v>
      </c>
      <c r="S60" s="109" t="n">
        <f aca="false">0</f>
        <v>0</v>
      </c>
      <c r="T60" s="109" t="n">
        <f aca="false">0</f>
        <v>0</v>
      </c>
      <c r="U60" s="109" t="n">
        <f aca="false">0</f>
        <v>0</v>
      </c>
      <c r="V60" s="109" t="n">
        <f aca="false">0</f>
        <v>0</v>
      </c>
      <c r="W60" s="109" t="n">
        <f aca="false">0</f>
        <v>0</v>
      </c>
      <c r="X60" s="109" t="n">
        <f aca="false">0</f>
        <v>0</v>
      </c>
      <c r="Y60" s="109" t="n">
        <f aca="false">0</f>
        <v>0</v>
      </c>
      <c r="Z60" s="109" t="n">
        <f aca="false">0</f>
        <v>0</v>
      </c>
      <c r="AA60" s="109" t="n">
        <f aca="false">0</f>
        <v>0</v>
      </c>
      <c r="AB60" s="109" t="n">
        <f aca="false">0</f>
        <v>0</v>
      </c>
      <c r="AC60" s="109" t="n">
        <f aca="false">0</f>
        <v>0</v>
      </c>
      <c r="AD60" s="109" t="n">
        <f aca="false">0</f>
        <v>0</v>
      </c>
      <c r="AE60" s="109" t="n">
        <f aca="false">0</f>
        <v>0</v>
      </c>
      <c r="AF60" s="109" t="n">
        <f aca="false">0</f>
        <v>0</v>
      </c>
      <c r="AG60" s="109" t="n">
        <f aca="false">0</f>
        <v>0</v>
      </c>
      <c r="AI60" s="109" t="n">
        <f aca="false">SUMIF($F$7:$AG$7,AI$7,$F60:$AG60)</f>
        <v>0</v>
      </c>
      <c r="AJ60" s="109" t="n">
        <f aca="false">SUMIF($F$7:$AG$7,AJ$7,$F60:$AG60)</f>
        <v>0</v>
      </c>
      <c r="AK60" s="109" t="n">
        <f aca="false">SUMIF($F$7:$AG$7,AK$7,$F60:$AG60)</f>
        <v>0</v>
      </c>
      <c r="AL60" s="109" t="n">
        <f aca="false">SUMIF($F$7:$AG$7,AL$7,$F60:$AG60)</f>
        <v>0</v>
      </c>
      <c r="AM60" s="109" t="n">
        <f aca="false">SUMIF($F$7:$AG$7,AM$7,$F60:$AG60)</f>
        <v>0</v>
      </c>
      <c r="AN60" s="109" t="n">
        <f aca="false">SUMIF($F$7:$AG$7,AN$7,$F60:$AG60)</f>
        <v>0</v>
      </c>
      <c r="AO60" s="109" t="n">
        <f aca="false">SUMIF($F$7:$AG$7,AO$7,$F60:$AG60)</f>
        <v>0</v>
      </c>
    </row>
    <row r="61" customFormat="false" ht="15" hidden="false" customHeight="false" outlineLevel="0" collapsed="false">
      <c r="A61" s="107" t="s">
        <v>2510</v>
      </c>
      <c r="B61" s="22" t="s">
        <v>613</v>
      </c>
      <c r="C61" s="22" t="s">
        <v>540</v>
      </c>
      <c r="D61" s="22"/>
      <c r="P61" s="109" t="n">
        <f aca="false">IF(FP_On=0,ATMOn*ATM_Rem*SharePx*(P$5=11),0)+INDEX(CF_ATM,1,11)</f>
        <v>0</v>
      </c>
      <c r="Q61" s="109" t="n">
        <f aca="false">IF(FP_On=0,ATMOn*ATM_Rem*SharePx*(Q$5=11),0)+INDEX(CF_ATM,1,12)</f>
        <v>2979.40180467</v>
      </c>
      <c r="R61" s="109" t="n">
        <f aca="false">IF(FP_On=0,ATMOn*ATM_Rem*SharePx*(R$5=11),0)+INDEX(CF_ATM,1,13)</f>
        <v>0</v>
      </c>
      <c r="S61" s="109" t="n">
        <f aca="false">IF(FP_On=0,ATMOn*ATM_Rem*SharePx*(S$5=11),0)+INDEX(CF_ATM,1,14)</f>
        <v>0</v>
      </c>
      <c r="T61" s="109" t="n">
        <f aca="false">IF(FP_On=0,ATMOn*ATM_Rem*SharePx*(T$5=11),0)+INDEX(CF_ATM,1,15)</f>
        <v>0</v>
      </c>
      <c r="U61" s="109" t="n">
        <f aca="false">IF(FP_On=0,ATMOn*ATM_Rem*SharePx*(U$5=11),0)+INDEX(CF_ATM,1,16)</f>
        <v>0</v>
      </c>
      <c r="V61" s="109" t="n">
        <f aca="false">IF(FP_On=0,ATMOn*ATM_Rem*SharePx*(V$5=11),0)+INDEX(CF_ATM,1,17)</f>
        <v>0</v>
      </c>
      <c r="W61" s="109" t="n">
        <f aca="false">IF(FP_On=0,ATMOn*ATM_Rem*SharePx*(W$5=11),0)+INDEX(CF_ATM,1,18)</f>
        <v>0</v>
      </c>
      <c r="X61" s="109" t="n">
        <f aca="false">IF(FP_On=0,ATMOn*ATM_Rem*SharePx*(X$5=11),0)+INDEX(CF_ATM,1,19)</f>
        <v>0</v>
      </c>
      <c r="Y61" s="109" t="n">
        <f aca="false">IF(FP_On=0,ATMOn*ATM_Rem*SharePx*(Y$5=11),0)+INDEX(CF_ATM,1,20)</f>
        <v>0</v>
      </c>
      <c r="Z61" s="109" t="n">
        <f aca="false">IF(FP_On=0,ATMOn*ATM_Rem*SharePx*(Z$5=11),0)+INDEX(CF_ATM,1,21)</f>
        <v>0</v>
      </c>
      <c r="AA61" s="109" t="n">
        <f aca="false">IF(FP_On=0,ATMOn*ATM_Rem*SharePx*(AA$5=11),0)+INDEX(CF_ATM,1,22)</f>
        <v>0</v>
      </c>
      <c r="AB61" s="109" t="n">
        <f aca="false">IF(FP_On=0,ATMOn*ATM_Rem*SharePx*(AB$5=11),0)+INDEX(CF_ATM,1,23)</f>
        <v>0</v>
      </c>
      <c r="AC61" s="109" t="n">
        <f aca="false">IF(FP_On=0,ATMOn*ATM_Rem*SharePx*(AC$5=11),0)+INDEX(CF_ATM,1,24)</f>
        <v>0</v>
      </c>
      <c r="AD61" s="109" t="n">
        <f aca="false">IF(FP_On=0,ATMOn*ATM_Rem*SharePx*(AD$5=11),0)+INDEX(CF_ATM,1,25)</f>
        <v>0</v>
      </c>
      <c r="AE61" s="109" t="n">
        <f aca="false">IF(FP_On=0,ATMOn*ATM_Rem*SharePx*(AE$5=11),0)+INDEX(CF_ATM,1,26)</f>
        <v>0</v>
      </c>
      <c r="AF61" s="109" t="n">
        <f aca="false">IF(FP_On=0,ATMOn*ATM_Rem*SharePx*(AF$5=11),0)+INDEX(CF_ATM,1,27)</f>
        <v>0</v>
      </c>
      <c r="AG61" s="109" t="n">
        <f aca="false">IF(FP_On=0,ATMOn*ATM_Rem*SharePx*(AG$5=11),0)+INDEX(CF_ATM,1,28)</f>
        <v>0</v>
      </c>
      <c r="AI61" s="109" t="n">
        <f aca="false">SUMIF($F$7:$AG$7,AI$7,$F61:$AG61)</f>
        <v>0</v>
      </c>
      <c r="AJ61" s="109" t="n">
        <f aca="false">SUMIF($F$7:$AG$7,AJ$7,$F61:$AG61)</f>
        <v>0</v>
      </c>
      <c r="AK61" s="109" t="n">
        <f aca="false">SUMIF($F$7:$AG$7,AK$7,$F61:$AG61)</f>
        <v>2979.40180467</v>
      </c>
      <c r="AL61" s="109" t="n">
        <f aca="false">SUMIF($F$7:$AG$7,AL$7,$F61:$AG61)</f>
        <v>0</v>
      </c>
      <c r="AM61" s="109" t="n">
        <f aca="false">SUMIF($F$7:$AG$7,AM$7,$F61:$AG61)</f>
        <v>0</v>
      </c>
      <c r="AN61" s="109" t="n">
        <f aca="false">SUMIF($F$7:$AG$7,AN$7,$F61:$AG61)</f>
        <v>0</v>
      </c>
      <c r="AO61" s="109" t="n">
        <f aca="false">SUMIF($F$7:$AG$7,AO$7,$F61:$AG61)</f>
        <v>0</v>
      </c>
    </row>
    <row r="62" customFormat="false" ht="15" hidden="false" customHeight="false" outlineLevel="0" collapsed="false">
      <c r="A62" s="107" t="s">
        <v>2511</v>
      </c>
      <c r="B62" s="22" t="s">
        <v>613</v>
      </c>
      <c r="C62" s="22" t="s">
        <v>540</v>
      </c>
      <c r="D62" s="22"/>
      <c r="P62" s="109" t="n">
        <f aca="false">INDEX(CF_FPConv,1,11)</f>
        <v>0</v>
      </c>
      <c r="Q62" s="109" t="n">
        <f aca="false">INDEX(CF_FPConv,1,12)</f>
        <v>0</v>
      </c>
      <c r="R62" s="109" t="n">
        <f aca="false">INDEX(CF_FPConv,1,13)</f>
        <v>6322.08695652174</v>
      </c>
      <c r="S62" s="109" t="n">
        <f aca="false">INDEX(CF_FPConv,1,14)</f>
        <v>0</v>
      </c>
      <c r="T62" s="109" t="n">
        <f aca="false">INDEX(CF_FPConv,1,15)</f>
        <v>6322.08695652174</v>
      </c>
      <c r="U62" s="109" t="n">
        <f aca="false">INDEX(CF_FPConv,1,16)</f>
        <v>0</v>
      </c>
      <c r="V62" s="109" t="n">
        <f aca="false">INDEX(CF_FPConv,1,17)</f>
        <v>0</v>
      </c>
      <c r="W62" s="109" t="n">
        <f aca="false">INDEX(CF_FPConv,1,18)</f>
        <v>0</v>
      </c>
      <c r="X62" s="109" t="n">
        <f aca="false">INDEX(CF_FPConv,1,19)</f>
        <v>0</v>
      </c>
      <c r="Y62" s="109" t="n">
        <f aca="false">INDEX(CF_FPConv,1,20)</f>
        <v>0</v>
      </c>
      <c r="Z62" s="109" t="n">
        <f aca="false">INDEX(CF_FPConv,1,21)</f>
        <v>0</v>
      </c>
      <c r="AA62" s="109" t="n">
        <f aca="false">INDEX(CF_FPConv,1,22)</f>
        <v>0</v>
      </c>
      <c r="AB62" s="109" t="n">
        <f aca="false">INDEX(CF_FPConv,1,23)</f>
        <v>0</v>
      </c>
      <c r="AC62" s="109" t="n">
        <f aca="false">INDEX(CF_FPConv,1,24)</f>
        <v>0</v>
      </c>
      <c r="AD62" s="109" t="n">
        <f aca="false">INDEX(CF_FPConv,1,25)</f>
        <v>0</v>
      </c>
      <c r="AE62" s="109" t="n">
        <f aca="false">INDEX(CF_FPConv,1,26)</f>
        <v>0</v>
      </c>
      <c r="AF62" s="109" t="n">
        <f aca="false">INDEX(CF_FPConv,1,27)</f>
        <v>0</v>
      </c>
      <c r="AG62" s="109" t="n">
        <f aca="false">INDEX(CF_FPConv,1,28)</f>
        <v>0</v>
      </c>
      <c r="AI62" s="109" t="n">
        <f aca="false">SUMIF($F$7:$AG$7,AI$7,$F62:$AG62)</f>
        <v>0</v>
      </c>
      <c r="AJ62" s="109" t="n">
        <f aca="false">SUMIF($F$7:$AG$7,AJ$7,$F62:$AG62)</f>
        <v>0</v>
      </c>
      <c r="AK62" s="109" t="n">
        <f aca="false">SUMIF($F$7:$AG$7,AK$7,$F62:$AG62)</f>
        <v>0</v>
      </c>
      <c r="AL62" s="109" t="n">
        <f aca="false">SUMIF($F$7:$AG$7,AL$7,$F62:$AG62)</f>
        <v>12644.1739130435</v>
      </c>
      <c r="AM62" s="109" t="n">
        <f aca="false">SUMIF($F$7:$AG$7,AM$7,$F62:$AG62)</f>
        <v>0</v>
      </c>
      <c r="AN62" s="109" t="n">
        <f aca="false">SUMIF($F$7:$AG$7,AN$7,$F62:$AG62)</f>
        <v>0</v>
      </c>
      <c r="AO62" s="109" t="n">
        <f aca="false">SUMIF($F$7:$AG$7,AO$7,$F62:$AG62)</f>
        <v>0</v>
      </c>
    </row>
    <row r="63" customFormat="false" ht="15" hidden="false" customHeight="false" outlineLevel="0" collapsed="false">
      <c r="A63" s="107" t="s">
        <v>2512</v>
      </c>
      <c r="B63" s="22" t="s">
        <v>613</v>
      </c>
      <c r="C63" s="22" t="s">
        <v>540</v>
      </c>
      <c r="D63" s="22"/>
      <c r="P63" s="109" t="n">
        <f aca="false">INDEX(CF_FCF,1,11)+INDEX(CF_PlugIntRow,1,11)</f>
        <v>-2187.83690036819</v>
      </c>
      <c r="Q63" s="109" t="n">
        <f aca="false">INDEX(CF_FCF,1,12)+INDEX(CF_PlugIntRow,1,12)</f>
        <v>-4763.7477062057</v>
      </c>
      <c r="R63" s="109" t="n">
        <f aca="false">INDEX(CF_FCF,1,13)+INDEX(CF_PlugIntRow,1,13)</f>
        <v>-6261.07809089097</v>
      </c>
      <c r="S63" s="109" t="n">
        <f aca="false">INDEX(CF_FCF,1,14)+INDEX(CF_PlugIntRow,1,14)</f>
        <v>-7584.73961519661</v>
      </c>
      <c r="T63" s="109" t="n">
        <f aca="false">INDEX(CF_FCF,1,15)+INDEX(CF_PlugIntRow,1,15)</f>
        <v>-9863.63218311185</v>
      </c>
      <c r="U63" s="109" t="n">
        <f aca="false">INDEX(CF_FCF,1,16)+INDEX(CF_PlugIntRow,1,16)</f>
        <v>-3711.12445836652</v>
      </c>
      <c r="V63" s="109" t="n">
        <f aca="false">INDEX(CF_FCF,1,17)+INDEX(CF_PlugIntRow,1,17)</f>
        <v>-3589.29802656482</v>
      </c>
      <c r="W63" s="109" t="n">
        <f aca="false">INDEX(CF_FCF,1,18)+INDEX(CF_PlugIntRow,1,18)</f>
        <v>-890.007298635562</v>
      </c>
      <c r="X63" s="109" t="n">
        <f aca="false">INDEX(CF_FCF,1,19)+INDEX(CF_PlugIntRow,1,19)</f>
        <v>-9102.24671832525</v>
      </c>
      <c r="Y63" s="109" t="n">
        <f aca="false">INDEX(CF_FCF,1,20)+INDEX(CF_PlugIntRow,1,20)</f>
        <v>-485.811916658035</v>
      </c>
      <c r="Z63" s="109" t="n">
        <f aca="false">INDEX(CF_FCF,1,21)+INDEX(CF_PlugIntRow,1,21)</f>
        <v>-6835.57446944443</v>
      </c>
      <c r="AA63" s="109" t="n">
        <f aca="false">INDEX(CF_FCF,1,22)+INDEX(CF_PlugIntRow,1,22)</f>
        <v>-1085.81497754323</v>
      </c>
      <c r="AB63" s="109" t="n">
        <f aca="false">INDEX(CF_FCF,1,23)+INDEX(CF_PlugIntRow,1,23)</f>
        <v>-10254.8594296091</v>
      </c>
      <c r="AC63" s="109" t="n">
        <f aca="false">INDEX(CF_FCF,1,24)+INDEX(CF_PlugIntRow,1,24)</f>
        <v>3781.33809755015</v>
      </c>
      <c r="AD63" s="109" t="n">
        <f aca="false">INDEX(CF_FCF,1,25)+INDEX(CF_PlugIntRow,1,25)</f>
        <v>4359.17846415767</v>
      </c>
      <c r="AE63" s="109" t="n">
        <f aca="false">INDEX(CF_FCF,1,26)+INDEX(CF_PlugIntRow,1,26)</f>
        <v>4925.19910023286</v>
      </c>
      <c r="AF63" s="109" t="n">
        <f aca="false">INDEX(CF_FCF,1,27)+INDEX(CF_PlugIntRow,1,27)</f>
        <v>4620.80545529119</v>
      </c>
      <c r="AG63" s="109" t="n">
        <f aca="false">INDEX(CF_FCF,1,28)+INDEX(CF_PlugIntRow,1,28)</f>
        <v>3941.77955354537</v>
      </c>
      <c r="AI63" s="109" t="n">
        <f aca="false">SUMIF($F$7:$AG$7,AI$7,$F63:$AG63)</f>
        <v>0</v>
      </c>
      <c r="AJ63" s="109" t="n">
        <f aca="false">SUMIF($F$7:$AG$7,AJ$7,$F63:$AG63)</f>
        <v>0</v>
      </c>
      <c r="AK63" s="109" t="n">
        <f aca="false">SUMIF($F$7:$AG$7,AK$7,$F63:$AG63)</f>
        <v>-6951.58460657389</v>
      </c>
      <c r="AL63" s="109" t="n">
        <f aca="false">SUMIF($F$7:$AG$7,AL$7,$F63:$AG63)</f>
        <v>-27420.5743475659</v>
      </c>
      <c r="AM63" s="109" t="n">
        <f aca="false">SUMIF($F$7:$AG$7,AM$7,$F63:$AG63)</f>
        <v>-14067.3639601837</v>
      </c>
      <c r="AN63" s="109" t="n">
        <f aca="false">SUMIF($F$7:$AG$7,AN$7,$F63:$AG63)</f>
        <v>-14394.9107790466</v>
      </c>
      <c r="AO63" s="109" t="n">
        <f aca="false">SUMIF($F$7:$AG$7,AO$7,$F63:$AG63)</f>
        <v>17846.9625732271</v>
      </c>
    </row>
    <row r="64" customFormat="false" ht="15" hidden="false" customHeight="false" outlineLevel="0" collapsed="false">
      <c r="A64" s="107" t="s">
        <v>2513</v>
      </c>
      <c r="B64" s="22" t="s">
        <v>613</v>
      </c>
      <c r="C64" s="22" t="s">
        <v>540</v>
      </c>
      <c r="D64" s="22"/>
      <c r="P64" s="109" t="n">
        <f aca="false">0</f>
        <v>0</v>
      </c>
      <c r="Q64" s="109" t="n">
        <f aca="false">-INDEX(CV_rep,1,12)+MIN(0,INDEX(Sec_Flow,1,12))</f>
        <v>0</v>
      </c>
      <c r="R64" s="109" t="n">
        <f aca="false">-INDEX(CV_rep,1,13)+MIN(0,INDEX(Sec_Flow,1,13))</f>
        <v>0</v>
      </c>
      <c r="S64" s="109" t="n">
        <f aca="false">-INDEX(CV_rep,1,14)+MIN(0,INDEX(Sec_Flow,1,14))</f>
        <v>0</v>
      </c>
      <c r="T64" s="109" t="n">
        <f aca="false">-INDEX(CV_rep,1,15)+MIN(0,INDEX(Sec_Flow,1,15))</f>
        <v>0</v>
      </c>
      <c r="U64" s="109" t="n">
        <f aca="false">-INDEX(CV_rep,1,16)+MIN(0,INDEX(Sec_Flow,1,16))</f>
        <v>0</v>
      </c>
      <c r="V64" s="109" t="n">
        <f aca="false">-INDEX(CV_rep,1,17)+MIN(0,INDEX(Sec_Flow,1,17))</f>
        <v>0</v>
      </c>
      <c r="W64" s="109" t="n">
        <f aca="false">-INDEX(CV_rep,1,18)+MIN(0,INDEX(Sec_Flow,1,18))</f>
        <v>0</v>
      </c>
      <c r="X64" s="109" t="n">
        <f aca="false">-INDEX(CV_rep,1,19)+MIN(0,INDEX(Sec_Flow,1,19))</f>
        <v>0</v>
      </c>
      <c r="Y64" s="109" t="n">
        <f aca="false">-INDEX(CV_rep,1,20)+MIN(0,INDEX(Sec_Flow,1,20))</f>
        <v>0</v>
      </c>
      <c r="Z64" s="109" t="n">
        <f aca="false">-INDEX(CV_rep,1,21)+MIN(0,INDEX(Sec_Flow,1,21))</f>
        <v>0</v>
      </c>
      <c r="AA64" s="109" t="n">
        <f aca="false">-INDEX(CV_rep,1,22)+MIN(0,INDEX(Sec_Flow,1,22))</f>
        <v>0</v>
      </c>
      <c r="AB64" s="109" t="n">
        <f aca="false">-INDEX(CV_rep,1,23)+MIN(0,INDEX(Sec_Flow,1,23))</f>
        <v>0</v>
      </c>
      <c r="AC64" s="109" t="n">
        <f aca="false">-INDEX(CV_rep,1,24)+MIN(0,INDEX(Sec_Flow,1,24))</f>
        <v>0</v>
      </c>
      <c r="AD64" s="109" t="n">
        <f aca="false">-INDEX(CV_rep,1,25)+MIN(0,INDEX(Sec_Flow,1,25))</f>
        <v>-3795</v>
      </c>
      <c r="AE64" s="109" t="n">
        <f aca="false">-INDEX(CV_rep,1,26)+MIN(0,INDEX(Sec_Flow,1,26))</f>
        <v>0</v>
      </c>
      <c r="AF64" s="109" t="n">
        <f aca="false">-INDEX(CV_rep,1,27)+MIN(0,INDEX(Sec_Flow,1,27))</f>
        <v>-4224</v>
      </c>
      <c r="AG64" s="109" t="n">
        <f aca="false">-INDEX(CV_rep,1,28)+MIN(0,INDEX(Sec_Flow,1,28))</f>
        <v>-0</v>
      </c>
      <c r="AI64" s="109" t="n">
        <f aca="false">SUMIF($F$7:$AG$7,AI$7,$F64:$AG64)</f>
        <v>0</v>
      </c>
      <c r="AJ64" s="109" t="n">
        <f aca="false">SUMIF($F$7:$AG$7,AJ$7,$F64:$AG64)</f>
        <v>0</v>
      </c>
      <c r="AK64" s="109" t="n">
        <f aca="false">SUMIF($F$7:$AG$7,AK$7,$F64:$AG64)</f>
        <v>0</v>
      </c>
      <c r="AL64" s="109" t="n">
        <f aca="false">SUMIF($F$7:$AG$7,AL$7,$F64:$AG64)</f>
        <v>0</v>
      </c>
      <c r="AM64" s="109" t="n">
        <f aca="false">SUMIF($F$7:$AG$7,AM$7,$F64:$AG64)</f>
        <v>0</v>
      </c>
      <c r="AN64" s="109" t="n">
        <f aca="false">SUMIF($F$7:$AG$7,AN$7,$F64:$AG64)</f>
        <v>0</v>
      </c>
      <c r="AO64" s="109" t="n">
        <f aca="false">SUMIF($F$7:$AG$7,AO$7,$F64:$AG64)</f>
        <v>-8019</v>
      </c>
    </row>
    <row r="65" customFormat="false" ht="15" hidden="false" customHeight="false" outlineLevel="0" collapsed="false">
      <c r="A65" s="3" t="s">
        <v>2514</v>
      </c>
      <c r="B65" s="22" t="s">
        <v>613</v>
      </c>
      <c r="C65" s="22" t="s">
        <v>540</v>
      </c>
      <c r="D65" s="22"/>
      <c r="O65" s="114" t="n">
        <f aca="false">CS_Cash</f>
        <v>8042.1</v>
      </c>
      <c r="P65" s="115" t="n">
        <f aca="false">O65+P59+P60+P61+P62+P63+P64</f>
        <v>11604.2630996318</v>
      </c>
      <c r="Q65" s="115" t="n">
        <f aca="false">P65+Q59+Q60+Q61+Q62+Q63+Q64</f>
        <v>9819.91719809611</v>
      </c>
      <c r="R65" s="115" t="n">
        <f aca="false">Q65+R59+R60+R61+R62+R63+R64</f>
        <v>9880.92606372689</v>
      </c>
      <c r="S65" s="115" t="n">
        <f aca="false">R65+S59+S60+S61+S62+S63+S64</f>
        <v>2296.18644853027</v>
      </c>
      <c r="T65" s="115" t="n">
        <f aca="false">S65+T59+T60+T61+T62+T63+T64</f>
        <v>-1245.35877805984</v>
      </c>
      <c r="U65" s="115" t="n">
        <f aca="false">T65+U59+U60+U61+U62+U63+U64</f>
        <v>-4956.48323642636</v>
      </c>
      <c r="V65" s="115" t="n">
        <f aca="false">U65+V59+V60+V61+V62+V63+V64</f>
        <v>-8545.78126299118</v>
      </c>
      <c r="W65" s="115" t="n">
        <f aca="false">V65+W59+W60+W61+W62+W63+W64</f>
        <v>-9435.78856162674</v>
      </c>
      <c r="X65" s="115" t="n">
        <f aca="false">W65+X59+X60+X61+X62+X63+X64</f>
        <v>-18538.035279952</v>
      </c>
      <c r="Y65" s="115" t="n">
        <f aca="false">X65+Y59+Y60+Y61+Y62+Y63+Y64</f>
        <v>-19023.84719661</v>
      </c>
      <c r="Z65" s="115" t="n">
        <f aca="false">Y65+Z59+Z60+Z61+Z62+Z63+Z64</f>
        <v>-25859.4216660545</v>
      </c>
      <c r="AA65" s="115" t="n">
        <f aca="false">Z65+AA59+AA60+AA61+AA62+AA63+AA64</f>
        <v>-26945.2366435977</v>
      </c>
      <c r="AB65" s="115" t="n">
        <f aca="false">AA65+AB59+AB60+AB61+AB62+AB63+AB64</f>
        <v>-37200.0960732068</v>
      </c>
      <c r="AC65" s="115" t="n">
        <f aca="false">AB65+AC59+AC60+AC61+AC62+AC63+AC64</f>
        <v>-33418.7579756566</v>
      </c>
      <c r="AD65" s="115" t="n">
        <f aca="false">AC65+AD59+AD60+AD61+AD62+AD63+AD64</f>
        <v>-32854.579511499</v>
      </c>
      <c r="AE65" s="115" t="n">
        <f aca="false">AD65+AE59+AE60+AE61+AE62+AE63+AE64</f>
        <v>-27929.3804112661</v>
      </c>
      <c r="AF65" s="115" t="n">
        <f aca="false">AE65+AF59+AF60+AF61+AF62+AF63+AF64</f>
        <v>-27532.5749559749</v>
      </c>
      <c r="AG65" s="115" t="n">
        <f aca="false">AF65+AG59+AG60+AG61+AG62+AG63+AG64</f>
        <v>-23590.7954024296</v>
      </c>
      <c r="AI65" s="115" t="n">
        <f aca="false">INDEX($F65:$AG65,1,MATCH(AI$7,$F$7:$AG$7,1))</f>
        <v>0</v>
      </c>
      <c r="AJ65" s="115" t="n">
        <f aca="false">INDEX($F65:$AG65,1,MATCH(AJ$7,$F$7:$AG$7,1))</f>
        <v>0</v>
      </c>
      <c r="AK65" s="115" t="n">
        <f aca="false">INDEX($F65:$AG65,1,MATCH(AK$7,$F$7:$AG$7,1))</f>
        <v>9819.91719809611</v>
      </c>
      <c r="AL65" s="115" t="n">
        <f aca="false">INDEX($F65:$AG65,1,MATCH(AL$7,$F$7:$AG$7,1))</f>
        <v>-4956.48323642636</v>
      </c>
      <c r="AM65" s="115" t="n">
        <f aca="false">INDEX($F65:$AG65,1,MATCH(AM$7,$F$7:$AG$7,1))</f>
        <v>-19023.84719661</v>
      </c>
      <c r="AN65" s="115" t="n">
        <f aca="false">INDEX($F65:$AG65,1,MATCH(AN$7,$F$7:$AG$7,1))</f>
        <v>-33418.7579756566</v>
      </c>
      <c r="AO65" s="115" t="n">
        <f aca="false">INDEX($F65:$AG65,1,MATCH(AO$7,$F$7:$AG$7,1))</f>
        <v>-23590.7954024296</v>
      </c>
    </row>
    <row r="66" customFormat="false" ht="15" hidden="false" customHeight="false" outlineLevel="0" collapsed="false">
      <c r="A66" s="0" t="s">
        <v>2515</v>
      </c>
      <c r="E66" s="5" t="n">
        <f aca="false">CS_Cash+AugGross+SecAmt*LoanOn+ATMOn*ATM_Rem*SharePx*(FP_On=0)</f>
        <v>13792.1</v>
      </c>
    </row>
    <row r="67" customFormat="false" ht="15" hidden="false" customHeight="false" outlineLevel="0" collapsed="false">
      <c r="A67" s="0" t="s">
        <v>9</v>
      </c>
      <c r="E67" s="4" t="str">
        <f aca="false">IFERROR(INDEX(Q_Lab,1,MATCH(TRUE(),INDEX($F$65:$AG$65&lt;0,0),0)),"none to Q4'30")</f>
        <v>Q3'27</v>
      </c>
    </row>
    <row r="68" customFormat="false" ht="15" hidden="false" customHeight="false" outlineLevel="0" collapsed="false">
      <c r="A68" s="0" t="s">
        <v>2516</v>
      </c>
      <c r="E68" s="33" t="n">
        <f aca="false">SUMPRODUCT((Q_Yr=2026)*(Q_Idx&gt;LastHist)*CF_Prepay)</f>
        <v>2400</v>
      </c>
      <c r="F68" s="33" t="n">
        <f aca="false">Prepay26-(DR_Open-DR_YE25)</f>
        <v>4602.3</v>
      </c>
    </row>
    <row r="70" customFormat="false" ht="15" hidden="false" customHeight="false" outlineLevel="0" collapsed="false">
      <c r="A70" s="3" t="s">
        <v>2517</v>
      </c>
      <c r="E70" s="3" t="s">
        <v>2518</v>
      </c>
      <c r="F70" s="3" t="s">
        <v>2519</v>
      </c>
      <c r="G70" s="3" t="s">
        <v>2520</v>
      </c>
      <c r="H70" s="3" t="s">
        <v>2521</v>
      </c>
    </row>
    <row r="71" customFormat="false" ht="15" hidden="false" customHeight="false" outlineLevel="0" collapsed="false">
      <c r="A71" s="0" t="s">
        <v>351</v>
      </c>
      <c r="E71" s="30" t="n">
        <f aca="false">Liq_Start/1000</f>
        <v>13.7921</v>
      </c>
      <c r="F71" s="30" t="n">
        <f aca="false">INDEX(Liq,1,13)/1000</f>
        <v>9.88092606372689</v>
      </c>
      <c r="G71" s="30" t="n">
        <f aca="false">INDEX(Liq,1,14)/1000</f>
        <v>2.29618644853027</v>
      </c>
      <c r="H71" s="30" t="n">
        <f aca="false">INDEX(Liq,1,16)/1000</f>
        <v>-4.95648323642636</v>
      </c>
    </row>
    <row r="72" customFormat="false" ht="15" hidden="false" customHeight="false" outlineLevel="0" collapsed="false">
      <c r="A72" s="0" t="s">
        <v>2522</v>
      </c>
      <c r="E72" s="30" t="n">
        <f aca="false">Sk_Start</f>
        <v>14.6</v>
      </c>
      <c r="F72" s="30" t="n">
        <f aca="false">Sk_Q127</f>
        <v>1.1</v>
      </c>
      <c r="G72" s="30" t="n">
        <f aca="false">Sk_Q227</f>
        <v>-2.7</v>
      </c>
      <c r="H72" s="30" t="n">
        <f aca="false">Sk_YE27</f>
        <v>-9.9</v>
      </c>
    </row>
    <row r="73" customFormat="false" ht="15" hidden="false" customHeight="false" outlineLevel="0" collapsed="false">
      <c r="A73" s="0" t="s">
        <v>2523</v>
      </c>
      <c r="E73" s="144" t="n">
        <f aca="false">E71-E72</f>
        <v>-0.8079</v>
      </c>
      <c r="F73" s="144" t="n">
        <f aca="false">F71-F72</f>
        <v>8.78092606372689</v>
      </c>
      <c r="G73" s="144" t="n">
        <f aca="false">G71-G72</f>
        <v>4.99618644853027</v>
      </c>
      <c r="H73" s="144" t="n">
        <f aca="false">H71-H72</f>
        <v>4.94351676357364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2451</v>
      </c>
    </row>
    <row r="2" customFormat="false" ht="15" hidden="false" customHeight="false" outlineLevel="0" collapsed="false">
      <c r="A2" s="22" t="s">
        <v>2524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9" customFormat="false" ht="15" hidden="false" customHeight="false" outlineLevel="0" collapsed="false">
      <c r="A9" s="107" t="s">
        <v>2525</v>
      </c>
      <c r="B9" s="22" t="s">
        <v>635</v>
      </c>
      <c r="C9" s="22" t="s">
        <v>604</v>
      </c>
      <c r="D9" s="22" t="s">
        <v>2526</v>
      </c>
      <c r="F9" s="140" t="n">
        <f aca="false">IF(F$5&lt;=LastHist,INDEX(H_Shares,1,F$5),E9*(1+SBCsh)+IF(F$5=ExchIdx,ExchShares,0)+IF(F$5=11,ATM_Q3,0)+IF(F$5=FP_ATMIdx,FP_ATMSh,0)+INDEX(CF_EqSh,1,1)+INDEX(CV_csh,1,1))</f>
        <v>199.34</v>
      </c>
      <c r="G9" s="140" t="n">
        <f aca="false">IF(G$5&lt;=LastHist,INDEX(H_Shares,1,G$5),F9*(1+SBCsh)+IF(G$5=ExchIdx,ExchShares,0)+IF(G$5=11,ATM_Q3,0)+IF(G$5=FP_ATMIdx,FP_ATMSh,0)+INDEX(CF_EqSh,1,2)+INDEX(CV_csh,1,2))</f>
        <v>199.34</v>
      </c>
      <c r="H9" s="140" t="n">
        <f aca="false">IF(H$5&lt;=LastHist,INDEX(H_Shares,1,H$5),G9*(1+SBCsh)+IF(H$5=ExchIdx,ExchShares,0)+IF(H$5=11,ATM_Q3,0)+IF(H$5=FP_ATMIdx,FP_ATMSh,0)+INDEX(CF_EqSh,1,3)+INDEX(CV_csh,1,3))</f>
        <v>199.340118</v>
      </c>
      <c r="I9" s="140" t="n">
        <f aca="false">IF(I$5&lt;=LastHist,INDEX(H_Shares,1,I$5),H9*(1+SBCsh)+IF(I$5=ExchIdx,ExchShares,0)+IF(I$5=11,ATM_Q3,0)+IF(I$5=FP_ATMIdx,FP_ATMSh,0)+INDEX(CF_EqSh,1,4)+INDEX(CV_csh,1,4))</f>
        <v>235.7536</v>
      </c>
      <c r="J9" s="140" t="n">
        <f aca="false">IF(J$5&lt;=LastHist,INDEX(H_Shares,1,J$5),I9*(1+SBCsh)+IF(J$5=ExchIdx,ExchShares,0)+IF(J$5=11,ATM_Q3,0)+IF(J$5=FP_ATMIdx,FP_ATMSh,0)+INDEX(CF_EqSh,1,5)+INDEX(CV_csh,1,5))</f>
        <v>238.108831</v>
      </c>
      <c r="K9" s="140" t="n">
        <f aca="false">IF(K$5&lt;=LastHist,INDEX(H_Shares,1,K$5),J9*(1+SBCsh)+IF(K$5=ExchIdx,ExchShares,0)+IF(K$5=11,ATM_Q3,0)+IF(K$5=FP_ATMIdx,FP_ATMSh,0)+INDEX(CF_EqSh,1,6)+INDEX(CV_csh,1,6))</f>
        <v>238.705092</v>
      </c>
      <c r="L9" s="140" t="n">
        <f aca="false">IF(L$5&lt;=LastHist,INDEX(H_Shares,1,L$5),K9*(1+SBCsh)+IF(L$5=ExchIdx,ExchShares,0)+IF(L$5=11,ATM_Q3,0)+IF(L$5=FP_ATMIdx,FP_ATMSh,0)+INDEX(CF_EqSh,1,7)+INDEX(CV_csh,1,7))</f>
        <v>251.807222</v>
      </c>
      <c r="M9" s="140" t="n">
        <f aca="false">IF(M$5&lt;=LastHist,INDEX(H_Shares,1,M$5),L9*(1+SBCsh)+IF(M$5=ExchIdx,ExchShares,0)+IF(M$5=11,ATM_Q3,0)+IF(M$5=FP_ATMIdx,FP_ATMSh,0)+INDEX(CF_EqSh,1,8)+INDEX(CV_csh,1,8))</f>
        <v>253.016971</v>
      </c>
      <c r="N9" s="140" t="n">
        <f aca="false">IF(N$5&lt;=LastHist,INDEX(H_Shares,1,N$5),M9*(1+SBCsh)+IF(N$5=ExchIdx,ExchShares,0)+IF(N$5=11,ATM_Q3,0)+IF(N$5=FP_ATMIdx,FP_ATMSh,0)+INDEX(CF_EqSh,1,9)+INDEX(CV_csh,1,9))</f>
        <v>253.898194</v>
      </c>
      <c r="O9" s="140" t="n">
        <f aca="false">IF(O$5&lt;=LastHist,INDEX(H_Shares,1,O$5),N9*(1+SBCsh)+IF(O$5=ExchIdx,ExchShares,0)+IF(O$5=11,ATM_Q3,0)+IF(O$5=FP_ATMIdx,FP_ATMSh,0)+INDEX(CF_EqSh,1,10)+INDEX(CV_csh,1,10))</f>
        <v>271.855218</v>
      </c>
      <c r="P9" s="47" t="n">
        <f aca="false">IF(P$5&lt;=LastHist,INDEX(H_Shares,1,P$5),O9*(1+SBCsh)+IF(P$5=ExchIdx,ExchShares,0)+IF(P$5=11,ATM_Q3,0)+IF(P$5=FP_ATMIdx,FP_ATMSh,0)+INDEX(CF_EqSh,1,11)+INDEX(CV_csh,1,11))</f>
        <v>287.625218</v>
      </c>
      <c r="Q9" s="47" t="n">
        <f aca="false">IF(Q$5&lt;=LastHist,INDEX(H_Shares,1,Q$5),P9*(1+SBCsh)+IF(Q$5=ExchIdx,ExchShares,0)+IF(Q$5=11,ATM_Q3,0)+IF(Q$5=FP_ATMIdx,FP_ATMSh,0)+INDEX(CF_EqSh,1,12)+INDEX(CV_csh,1,12))</f>
        <v>299.895725</v>
      </c>
      <c r="R9" s="47" t="n">
        <f aca="false">IF(R$5&lt;=LastHist,INDEX(H_Shares,1,R$5),Q9*(1+SBCsh)+IF(R$5=ExchIdx,ExchShares,0)+IF(R$5=11,ATM_Q3,0)+IF(R$5=FP_ATMIdx,FP_ATMSh,0)+INDEX(CF_EqSh,1,13)+INDEX(CV_csh,1,13))</f>
        <v>299.895725</v>
      </c>
      <c r="S9" s="47" t="n">
        <f aca="false">IF(S$5&lt;=LastHist,INDEX(H_Shares,1,S$5),R9*(1+SBCsh)+IF(S$5=ExchIdx,ExchShares,0)+IF(S$5=11,ATM_Q3,0)+IF(S$5=FP_ATMIdx,FP_ATMSh,0)+INDEX(CF_EqSh,1,14)+INDEX(CV_csh,1,14))</f>
        <v>299.895725</v>
      </c>
      <c r="T9" s="47" t="n">
        <f aca="false">IF(T$5&lt;=LastHist,INDEX(H_Shares,1,T$5),S9*(1+SBCsh)+IF(T$5=ExchIdx,ExchShares,0)+IF(T$5=11,ATM_Q3,0)+IF(T$5=FP_ATMIdx,FP_ATMSh,0)+INDEX(CF_EqSh,1,15)+INDEX(CV_csh,1,15))</f>
        <v>306.933935220922</v>
      </c>
      <c r="U9" s="47" t="n">
        <f aca="false">IF(U$5&lt;=LastHist,INDEX(H_Shares,1,U$5),T9*(1+SBCsh)+IF(U$5=ExchIdx,ExchShares,0)+IF(U$5=11,ATM_Q3,0)+IF(U$5=FP_ATMIdx,FP_ATMSh,0)+INDEX(CF_EqSh,1,16)+INDEX(CV_csh,1,16))</f>
        <v>314.873904930543</v>
      </c>
      <c r="V9" s="47" t="n">
        <f aca="false">IF(V$5&lt;=LastHist,INDEX(H_Shares,1,V$5),U9*(1+SBCsh)+IF(V$5=ExchIdx,ExchShares,0)+IF(V$5=11,ATM_Q3,0)+IF(V$5=FP_ATMIdx,FP_ATMSh,0)+INDEX(CF_EqSh,1,17)+INDEX(CV_csh,1,17))</f>
        <v>322.624722754331</v>
      </c>
      <c r="W9" s="47" t="n">
        <f aca="false">IF(W$5&lt;=LastHist,INDEX(H_Shares,1,W$5),V9*(1+SBCsh)+IF(W$5=ExchIdx,ExchShares,0)+IF(W$5=11,ATM_Q3,0)+IF(W$5=FP_ATMIdx,FP_ATMSh,0)+INDEX(CF_EqSh,1,18)+INDEX(CV_csh,1,18))</f>
        <v>324.713007393751</v>
      </c>
      <c r="X9" s="47" t="n">
        <f aca="false">IF(X$5&lt;=LastHist,INDEX(H_Shares,1,X$5),W9*(1+SBCsh)+IF(X$5=ExchIdx,ExchShares,0)+IF(X$5=11,ATM_Q3,0)+IF(X$5=FP_ATMIdx,FP_ATMSh,0)+INDEX(CF_EqSh,1,19)+INDEX(CV_csh,1,19))</f>
        <v>344.253414459653</v>
      </c>
      <c r="Y9" s="47" t="n">
        <f aca="false">IF(Y$5&lt;=LastHist,INDEX(H_Shares,1,Y$5),X9*(1+SBCsh)+IF(Y$5=ExchIdx,ExchShares,0)+IF(Y$5=11,ATM_Q3,0)+IF(Y$5=FP_ATMIdx,FP_ATMSh,0)+INDEX(CF_EqSh,1,20)+INDEX(CV_csh,1,20))</f>
        <v>345.67287949938</v>
      </c>
      <c r="Z9" s="47" t="n">
        <f aca="false">IF(Z$5&lt;=LastHist,INDEX(H_Shares,1,Z$5),Y9*(1+SBCsh)+IF(Z$5=ExchIdx,ExchShares,0)+IF(Z$5=11,ATM_Q3,0)+IF(Z$5=FP_ATMIdx,FP_ATMSh,0)+INDEX(CF_EqSh,1,21)+INDEX(CV_csh,1,21))</f>
        <v>360.584742951437</v>
      </c>
      <c r="AA9" s="47" t="n">
        <f aca="false">IF(AA$5&lt;=LastHist,INDEX(H_Shares,1,AA$5),Z9*(1+SBCsh)+IF(AA$5=ExchIdx,ExchShares,0)+IF(AA$5=11,ATM_Q3,0)+IF(AA$5=FP_ATMIdx,FP_ATMSh,0)+INDEX(CF_EqSh,1,22)+INDEX(CV_csh,1,22))</f>
        <v>365.121536210455</v>
      </c>
      <c r="AB9" s="47" t="n">
        <f aca="false">IF(AB$5&lt;=LastHist,INDEX(H_Shares,1,AB$5),AA9*(1+SBCsh)+IF(AB$5=ExchIdx,ExchShares,0)+IF(AB$5=11,ATM_Q3,0)+IF(AB$5=FP_ATMIdx,FP_ATMSh,0)+INDEX(CF_EqSh,1,23)+INDEX(CV_csh,1,23))</f>
        <v>387.447530703825</v>
      </c>
      <c r="AC9" s="47" t="n">
        <f aca="false">IF(AC$5&lt;=LastHist,INDEX(H_Shares,1,AC$5),AB9*(1+SBCsh)+IF(AC$5=ExchIdx,ExchShares,0)+IF(AC$5=11,ATM_Q3,0)+IF(AC$5=FP_ATMIdx,FP_ATMSh,0)+INDEX(CF_EqSh,1,24)+INDEX(CV_csh,1,24))</f>
        <v>387.447530703825</v>
      </c>
      <c r="AD9" s="47" t="n">
        <f aca="false">IF(AD$5&lt;=LastHist,INDEX(H_Shares,1,AD$5),AC9*(1+SBCsh)+IF(AD$5=ExchIdx,ExchShares,0)+IF(AD$5=11,ATM_Q3,0)+IF(AD$5=FP_ATMIdx,FP_ATMSh,0)+INDEX(CF_EqSh,1,25)+INDEX(CV_csh,1,25))</f>
        <v>387.447530703825</v>
      </c>
      <c r="AE9" s="47" t="n">
        <f aca="false">IF(AE$5&lt;=LastHist,INDEX(H_Shares,1,AE$5),AD9*(1+SBCsh)+IF(AE$5=ExchIdx,ExchShares,0)+IF(AE$5=11,ATM_Q3,0)+IF(AE$5=FP_ATMIdx,FP_ATMSh,0)+INDEX(CF_EqSh,1,26)+INDEX(CV_csh,1,26))</f>
        <v>387.447530703825</v>
      </c>
      <c r="AF9" s="47" t="n">
        <f aca="false">IF(AF$5&lt;=LastHist,INDEX(H_Shares,1,AF$5),AE9*(1+SBCsh)+IF(AF$5=ExchIdx,ExchShares,0)+IF(AF$5=11,ATM_Q3,0)+IF(AF$5=FP_ATMIdx,FP_ATMSh,0)+INDEX(CF_EqSh,1,27)+INDEX(CV_csh,1,27))</f>
        <v>398.843915703825</v>
      </c>
      <c r="AG9" s="47" t="n">
        <f aca="false">IF(AG$5&lt;=LastHist,INDEX(H_Shares,1,AG$5),AF9*(1+SBCsh)+IF(AG$5=ExchIdx,ExchShares,0)+IF(AG$5=11,ATM_Q3,0)+IF(AG$5=FP_ATMIdx,FP_ATMSh,0)+INDEX(CF_EqSh,1,28)+INDEX(CV_csh,1,28))</f>
        <v>398.843915703825</v>
      </c>
      <c r="AI9" s="47" t="n">
        <f aca="false">INDEX($F9:$AG9,1,MATCH(AI$7,$F$7:$AG$7,1))</f>
        <v>235.7536</v>
      </c>
      <c r="AJ9" s="47" t="n">
        <f aca="false">INDEX($F9:$AG9,1,MATCH(AJ$7,$F$7:$AG$7,1))</f>
        <v>253.016971</v>
      </c>
      <c r="AK9" s="47" t="n">
        <f aca="false">INDEX($F9:$AG9,1,MATCH(AK$7,$F$7:$AG$7,1))</f>
        <v>299.895725</v>
      </c>
      <c r="AL9" s="47" t="n">
        <f aca="false">INDEX($F9:$AG9,1,MATCH(AL$7,$F$7:$AG$7,1))</f>
        <v>314.873904930543</v>
      </c>
      <c r="AM9" s="47" t="n">
        <f aca="false">INDEX($F9:$AG9,1,MATCH(AM$7,$F$7:$AG$7,1))</f>
        <v>345.67287949938</v>
      </c>
      <c r="AN9" s="47" t="n">
        <f aca="false">INDEX($F9:$AG9,1,MATCH(AN$7,$F$7:$AG$7,1))</f>
        <v>387.447530703825</v>
      </c>
      <c r="AO9" s="47" t="n">
        <f aca="false">INDEX($F9:$AG9,1,MATCH(AO$7,$F$7:$AG$7,1))</f>
        <v>398.843915703825</v>
      </c>
    </row>
    <row r="10" customFormat="false" ht="15" hidden="false" customHeight="false" outlineLevel="0" collapsed="false">
      <c r="A10" s="107" t="s">
        <v>1089</v>
      </c>
      <c r="B10" s="22" t="s">
        <v>635</v>
      </c>
      <c r="C10" s="22" t="s">
        <v>604</v>
      </c>
      <c r="D10" s="22"/>
      <c r="F10" s="140" t="n">
        <f aca="false">IF(F$5&gt;=NVDA_Idx,NVDA_W,0)</f>
        <v>0</v>
      </c>
      <c r="G10" s="140" t="n">
        <f aca="false">IF(G$5&gt;=NVDA_Idx,NVDA_W,0)</f>
        <v>0</v>
      </c>
      <c r="H10" s="140" t="n">
        <f aca="false">IF(H$5&gt;=NVDA_Idx,NVDA_W,0)</f>
        <v>0</v>
      </c>
      <c r="I10" s="140" t="n">
        <f aca="false">IF(I$5&gt;=NVDA_Idx,NVDA_W,0)</f>
        <v>0</v>
      </c>
      <c r="J10" s="140" t="n">
        <f aca="false">IF(J$5&gt;=NVDA_Idx,NVDA_W,0)</f>
        <v>0</v>
      </c>
      <c r="K10" s="140" t="n">
        <f aca="false">IF(K$5&gt;=NVDA_Idx,NVDA_W,0)</f>
        <v>0</v>
      </c>
      <c r="L10" s="140" t="n">
        <f aca="false">IF(L$5&gt;=NVDA_Idx,NVDA_W,0)</f>
        <v>0</v>
      </c>
      <c r="M10" s="140" t="n">
        <f aca="false">IF(M$5&gt;=NVDA_Idx,NVDA_W,0)</f>
        <v>0</v>
      </c>
      <c r="N10" s="140" t="n">
        <f aca="false">IF(N$5&gt;=NVDA_Idx,NVDA_W,0)</f>
        <v>21.065936</v>
      </c>
      <c r="O10" s="140" t="n">
        <f aca="false">IF(O$5&gt;=NVDA_Idx,NVDA_W,0)</f>
        <v>21.065936</v>
      </c>
      <c r="P10" s="47" t="n">
        <f aca="false">IF(P$5&gt;=NVDA_Idx,NVDA_W,0)</f>
        <v>21.065936</v>
      </c>
      <c r="Q10" s="47" t="n">
        <f aca="false">IF(Q$5&gt;=NVDA_Idx,NVDA_W,0)</f>
        <v>21.065936</v>
      </c>
      <c r="R10" s="47" t="n">
        <f aca="false">IF(R$5&gt;=NVDA_Idx,NVDA_W,0)</f>
        <v>21.065936</v>
      </c>
      <c r="S10" s="47" t="n">
        <f aca="false">IF(S$5&gt;=NVDA_Idx,NVDA_W,0)</f>
        <v>21.065936</v>
      </c>
      <c r="T10" s="47" t="n">
        <f aca="false">IF(T$5&gt;=NVDA_Idx,NVDA_W,0)</f>
        <v>21.065936</v>
      </c>
      <c r="U10" s="47" t="n">
        <f aca="false">IF(U$5&gt;=NVDA_Idx,NVDA_W,0)</f>
        <v>21.065936</v>
      </c>
      <c r="V10" s="47" t="n">
        <f aca="false">IF(V$5&gt;=NVDA_Idx,NVDA_W,0)</f>
        <v>21.065936</v>
      </c>
      <c r="W10" s="47" t="n">
        <f aca="false">IF(W$5&gt;=NVDA_Idx,NVDA_W,0)</f>
        <v>21.065936</v>
      </c>
      <c r="X10" s="47" t="n">
        <f aca="false">IF(X$5&gt;=NVDA_Idx,NVDA_W,0)</f>
        <v>21.065936</v>
      </c>
      <c r="Y10" s="47" t="n">
        <f aca="false">IF(Y$5&gt;=NVDA_Idx,NVDA_W,0)</f>
        <v>21.065936</v>
      </c>
      <c r="Z10" s="47" t="n">
        <f aca="false">IF(Z$5&gt;=NVDA_Idx,NVDA_W,0)</f>
        <v>21.065936</v>
      </c>
      <c r="AA10" s="47" t="n">
        <f aca="false">IF(AA$5&gt;=NVDA_Idx,NVDA_W,0)</f>
        <v>21.065936</v>
      </c>
      <c r="AB10" s="47" t="n">
        <f aca="false">IF(AB$5&gt;=NVDA_Idx,NVDA_W,0)</f>
        <v>21.065936</v>
      </c>
      <c r="AC10" s="47" t="n">
        <f aca="false">IF(AC$5&gt;=NVDA_Idx,NVDA_W,0)</f>
        <v>21.065936</v>
      </c>
      <c r="AD10" s="47" t="n">
        <f aca="false">IF(AD$5&gt;=NVDA_Idx,NVDA_W,0)</f>
        <v>21.065936</v>
      </c>
      <c r="AE10" s="47" t="n">
        <f aca="false">IF(AE$5&gt;=NVDA_Idx,NVDA_W,0)</f>
        <v>21.065936</v>
      </c>
      <c r="AF10" s="47" t="n">
        <f aca="false">IF(AF$5&gt;=NVDA_Idx,NVDA_W,0)</f>
        <v>21.065936</v>
      </c>
      <c r="AG10" s="47" t="n">
        <f aca="false">IF(AG$5&gt;=NVDA_Idx,NVDA_W,0)</f>
        <v>21.065936</v>
      </c>
      <c r="AI10" s="47" t="n">
        <f aca="false">INDEX($F10:$AG10,1,MATCH(AI$7,$F$7:$AG$7,1))</f>
        <v>0</v>
      </c>
      <c r="AJ10" s="47" t="n">
        <f aca="false">INDEX($F10:$AG10,1,MATCH(AJ$7,$F$7:$AG$7,1))</f>
        <v>0</v>
      </c>
      <c r="AK10" s="47" t="n">
        <f aca="false">INDEX($F10:$AG10,1,MATCH(AK$7,$F$7:$AG$7,1))</f>
        <v>21.065936</v>
      </c>
      <c r="AL10" s="47" t="n">
        <f aca="false">INDEX($F10:$AG10,1,MATCH(AL$7,$F$7:$AG$7,1))</f>
        <v>21.065936</v>
      </c>
      <c r="AM10" s="47" t="n">
        <f aca="false">INDEX($F10:$AG10,1,MATCH(AM$7,$F$7:$AG$7,1))</f>
        <v>21.065936</v>
      </c>
      <c r="AN10" s="47" t="n">
        <f aca="false">INDEX($F10:$AG10,1,MATCH(AN$7,$F$7:$AG$7,1))</f>
        <v>21.065936</v>
      </c>
      <c r="AO10" s="47" t="n">
        <f aca="false">INDEX($F10:$AG10,1,MATCH(AO$7,$F$7:$AG$7,1))</f>
        <v>21.065936</v>
      </c>
    </row>
    <row r="11" customFormat="false" ht="15" hidden="false" customHeight="false" outlineLevel="0" collapsed="false">
      <c r="A11" s="3" t="s">
        <v>2527</v>
      </c>
      <c r="B11" s="22" t="s">
        <v>635</v>
      </c>
      <c r="C11" s="22" t="s">
        <v>540</v>
      </c>
      <c r="D11" s="22"/>
      <c r="F11" s="141" t="n">
        <f aca="false">F9+F10</f>
        <v>199.34</v>
      </c>
      <c r="G11" s="141" t="n">
        <f aca="false">G9+G10</f>
        <v>199.34</v>
      </c>
      <c r="H11" s="141" t="n">
        <f aca="false">H9+H10</f>
        <v>199.340118</v>
      </c>
      <c r="I11" s="141" t="n">
        <f aca="false">I9+I10</f>
        <v>235.7536</v>
      </c>
      <c r="J11" s="141" t="n">
        <f aca="false">J9+J10</f>
        <v>238.108831</v>
      </c>
      <c r="K11" s="141" t="n">
        <f aca="false">K9+K10</f>
        <v>238.705092</v>
      </c>
      <c r="L11" s="141" t="n">
        <f aca="false">L9+L10</f>
        <v>251.807222</v>
      </c>
      <c r="M11" s="141" t="n">
        <f aca="false">M9+M10</f>
        <v>253.016971</v>
      </c>
      <c r="N11" s="141" t="n">
        <f aca="false">N9+N10</f>
        <v>274.96413</v>
      </c>
      <c r="O11" s="141" t="n">
        <f aca="false">O9+O10</f>
        <v>292.921154</v>
      </c>
      <c r="P11" s="64" t="n">
        <f aca="false">P9+P10</f>
        <v>308.691154</v>
      </c>
      <c r="Q11" s="64" t="n">
        <f aca="false">Q9+Q10</f>
        <v>320.961661</v>
      </c>
      <c r="R11" s="64" t="n">
        <f aca="false">R9+R10</f>
        <v>320.961661</v>
      </c>
      <c r="S11" s="64" t="n">
        <f aca="false">S9+S10</f>
        <v>320.961661</v>
      </c>
      <c r="T11" s="64" t="n">
        <f aca="false">T9+T10</f>
        <v>327.999871220922</v>
      </c>
      <c r="U11" s="64" t="n">
        <f aca="false">U9+U10</f>
        <v>335.939840930543</v>
      </c>
      <c r="V11" s="64" t="n">
        <f aca="false">V9+V10</f>
        <v>343.690658754331</v>
      </c>
      <c r="W11" s="64" t="n">
        <f aca="false">W9+W10</f>
        <v>345.778943393751</v>
      </c>
      <c r="X11" s="64" t="n">
        <f aca="false">X9+X10</f>
        <v>365.319350459653</v>
      </c>
      <c r="Y11" s="64" t="n">
        <f aca="false">Y9+Y10</f>
        <v>366.73881549938</v>
      </c>
      <c r="Z11" s="64" t="n">
        <f aca="false">Z9+Z10</f>
        <v>381.650678951437</v>
      </c>
      <c r="AA11" s="64" t="n">
        <f aca="false">AA9+AA10</f>
        <v>386.187472210455</v>
      </c>
      <c r="AB11" s="64" t="n">
        <f aca="false">AB9+AB10</f>
        <v>408.513466703825</v>
      </c>
      <c r="AC11" s="64" t="n">
        <f aca="false">AC9+AC10</f>
        <v>408.513466703825</v>
      </c>
      <c r="AD11" s="64" t="n">
        <f aca="false">AD9+AD10</f>
        <v>408.513466703825</v>
      </c>
      <c r="AE11" s="64" t="n">
        <f aca="false">AE9+AE10</f>
        <v>408.513466703825</v>
      </c>
      <c r="AF11" s="64" t="n">
        <f aca="false">AF9+AF10</f>
        <v>419.909851703825</v>
      </c>
      <c r="AG11" s="64" t="n">
        <f aca="false">AG9+AG10</f>
        <v>419.909851703825</v>
      </c>
      <c r="AI11" s="64" t="n">
        <f aca="false">INDEX($F11:$AG11,1,MATCH(AI$7,$F$7:$AG$7,1))</f>
        <v>235.7536</v>
      </c>
      <c r="AJ11" s="64" t="n">
        <f aca="false">INDEX($F11:$AG11,1,MATCH(AJ$7,$F$7:$AG$7,1))</f>
        <v>253.016971</v>
      </c>
      <c r="AK11" s="64" t="n">
        <f aca="false">INDEX($F11:$AG11,1,MATCH(AK$7,$F$7:$AG$7,1))</f>
        <v>320.961661</v>
      </c>
      <c r="AL11" s="64" t="n">
        <f aca="false">INDEX($F11:$AG11,1,MATCH(AL$7,$F$7:$AG$7,1))</f>
        <v>335.939840930543</v>
      </c>
      <c r="AM11" s="64" t="n">
        <f aca="false">INDEX($F11:$AG11,1,MATCH(AM$7,$F$7:$AG$7,1))</f>
        <v>366.73881549938</v>
      </c>
      <c r="AN11" s="64" t="n">
        <f aca="false">INDEX($F11:$AG11,1,MATCH(AN$7,$F$7:$AG$7,1))</f>
        <v>408.513466703825</v>
      </c>
      <c r="AO11" s="64" t="n">
        <f aca="false">INDEX($F11:$AG11,1,MATCH(AO$7,$F$7:$AG$7,1))</f>
        <v>419.909851703825</v>
      </c>
    </row>
    <row r="12" customFormat="false" ht="15" hidden="false" customHeight="false" outlineLevel="0" collapsed="false">
      <c r="A12" s="107" t="s">
        <v>2528</v>
      </c>
      <c r="B12" s="22" t="s">
        <v>635</v>
      </c>
      <c r="C12" s="22" t="s">
        <v>604</v>
      </c>
      <c r="D12" s="22"/>
      <c r="F12" s="140" t="n">
        <f aca="false">Options*MAX(0,1-OptK/DilPx)</f>
        <v>0</v>
      </c>
      <c r="G12" s="140" t="n">
        <f aca="false">Options*MAX(0,1-OptK/DilPx)</f>
        <v>0</v>
      </c>
      <c r="H12" s="140" t="n">
        <f aca="false">Options*MAX(0,1-OptK/DilPx)</f>
        <v>0</v>
      </c>
      <c r="I12" s="140" t="n">
        <f aca="false">Options*MAX(0,1-OptK/DilPx)</f>
        <v>0</v>
      </c>
      <c r="J12" s="140" t="n">
        <f aca="false">Options*MAX(0,1-OptK/DilPx)</f>
        <v>0</v>
      </c>
      <c r="K12" s="140" t="n">
        <f aca="false">Options*MAX(0,1-OptK/DilPx)</f>
        <v>0</v>
      </c>
      <c r="L12" s="140" t="n">
        <f aca="false">Options*MAX(0,1-OptK/DilPx)</f>
        <v>0</v>
      </c>
      <c r="M12" s="140" t="n">
        <f aca="false">Options*MAX(0,1-OptK/DilPx)</f>
        <v>0</v>
      </c>
      <c r="N12" s="140" t="n">
        <f aca="false">Options*MAX(0,1-OptK/DilPx)</f>
        <v>0</v>
      </c>
      <c r="O12" s="140" t="n">
        <f aca="false">Options*MAX(0,1-OptK/DilPx)</f>
        <v>0</v>
      </c>
      <c r="P12" s="47" t="n">
        <f aca="false">Options*MAX(0,1-OptK/DilPx)</f>
        <v>0</v>
      </c>
      <c r="Q12" s="47" t="n">
        <f aca="false">Options*MAX(0,1-OptK/DilPx)</f>
        <v>0</v>
      </c>
      <c r="R12" s="47" t="n">
        <f aca="false">Options*MAX(0,1-OptK/DilPx)</f>
        <v>0</v>
      </c>
      <c r="S12" s="47" t="n">
        <f aca="false">Options*MAX(0,1-OptK/DilPx)</f>
        <v>0</v>
      </c>
      <c r="T12" s="47" t="n">
        <f aca="false">Options*MAX(0,1-OptK/DilPx)</f>
        <v>0</v>
      </c>
      <c r="U12" s="47" t="n">
        <f aca="false">Options*MAX(0,1-OptK/DilPx)</f>
        <v>0</v>
      </c>
      <c r="V12" s="47" t="n">
        <f aca="false">Options*MAX(0,1-OptK/DilPx)</f>
        <v>0</v>
      </c>
      <c r="W12" s="47" t="n">
        <f aca="false">Options*MAX(0,1-OptK/DilPx)</f>
        <v>0</v>
      </c>
      <c r="X12" s="47" t="n">
        <f aca="false">Options*MAX(0,1-OptK/DilPx)</f>
        <v>0</v>
      </c>
      <c r="Y12" s="47" t="n">
        <f aca="false">Options*MAX(0,1-OptK/DilPx)</f>
        <v>0</v>
      </c>
      <c r="Z12" s="47" t="n">
        <f aca="false">Options*MAX(0,1-OptK/DilPx)</f>
        <v>0</v>
      </c>
      <c r="AA12" s="47" t="n">
        <f aca="false">Options*MAX(0,1-OptK/DilPx)</f>
        <v>0</v>
      </c>
      <c r="AB12" s="47" t="n">
        <f aca="false">Options*MAX(0,1-OptK/DilPx)</f>
        <v>0</v>
      </c>
      <c r="AC12" s="47" t="n">
        <f aca="false">Options*MAX(0,1-OptK/DilPx)</f>
        <v>0</v>
      </c>
      <c r="AD12" s="47" t="n">
        <f aca="false">Options*MAX(0,1-OptK/DilPx)</f>
        <v>0</v>
      </c>
      <c r="AE12" s="47" t="n">
        <f aca="false">Options*MAX(0,1-OptK/DilPx)</f>
        <v>0</v>
      </c>
      <c r="AF12" s="47" t="n">
        <f aca="false">Options*MAX(0,1-OptK/DilPx)</f>
        <v>0</v>
      </c>
      <c r="AG12" s="47" t="n">
        <f aca="false">Options*MAX(0,1-OptK/DilPx)</f>
        <v>0</v>
      </c>
      <c r="AI12" s="47" t="n">
        <f aca="false">INDEX($F12:$AG12,1,MATCH(AI$7,$F$7:$AG$7,1))</f>
        <v>0</v>
      </c>
      <c r="AJ12" s="47" t="n">
        <f aca="false">INDEX($F12:$AG12,1,MATCH(AJ$7,$F$7:$AG$7,1))</f>
        <v>0</v>
      </c>
      <c r="AK12" s="47" t="n">
        <f aca="false">INDEX($F12:$AG12,1,MATCH(AK$7,$F$7:$AG$7,1))</f>
        <v>0</v>
      </c>
      <c r="AL12" s="47" t="n">
        <f aca="false">INDEX($F12:$AG12,1,MATCH(AL$7,$F$7:$AG$7,1))</f>
        <v>0</v>
      </c>
      <c r="AM12" s="47" t="n">
        <f aca="false">INDEX($F12:$AG12,1,MATCH(AM$7,$F$7:$AG$7,1))</f>
        <v>0</v>
      </c>
      <c r="AN12" s="47" t="n">
        <f aca="false">INDEX($F12:$AG12,1,MATCH(AN$7,$F$7:$AG$7,1))</f>
        <v>0</v>
      </c>
      <c r="AO12" s="47" t="n">
        <f aca="false">INDEX($F12:$AG12,1,MATCH(AO$7,$F$7:$AG$7,1))</f>
        <v>0</v>
      </c>
    </row>
    <row r="13" customFormat="false" ht="15" hidden="false" customHeight="false" outlineLevel="0" collapsed="false">
      <c r="A13" s="107" t="s">
        <v>2529</v>
      </c>
      <c r="B13" s="22" t="s">
        <v>635</v>
      </c>
      <c r="C13" s="22" t="s">
        <v>604</v>
      </c>
      <c r="D13" s="22"/>
      <c r="F13" s="140" t="n">
        <f aca="false">RSU+EigenIn*Eigen</f>
        <v>6.234091</v>
      </c>
      <c r="G13" s="140" t="n">
        <f aca="false">RSU+EigenIn*Eigen</f>
        <v>6.234091</v>
      </c>
      <c r="H13" s="140" t="n">
        <f aca="false">RSU+EigenIn*Eigen</f>
        <v>6.234091</v>
      </c>
      <c r="I13" s="140" t="n">
        <f aca="false">RSU+EigenIn*Eigen</f>
        <v>6.234091</v>
      </c>
      <c r="J13" s="140" t="n">
        <f aca="false">RSU+EigenIn*Eigen</f>
        <v>6.234091</v>
      </c>
      <c r="K13" s="140" t="n">
        <f aca="false">RSU+EigenIn*Eigen</f>
        <v>6.234091</v>
      </c>
      <c r="L13" s="140" t="n">
        <f aca="false">RSU+EigenIn*Eigen</f>
        <v>6.234091</v>
      </c>
      <c r="M13" s="140" t="n">
        <f aca="false">RSU+EigenIn*Eigen</f>
        <v>6.234091</v>
      </c>
      <c r="N13" s="140" t="n">
        <f aca="false">RSU+EigenIn*Eigen</f>
        <v>6.234091</v>
      </c>
      <c r="O13" s="140" t="n">
        <f aca="false">RSU+EigenIn*Eigen</f>
        <v>6.234091</v>
      </c>
      <c r="P13" s="47" t="n">
        <f aca="false">RSU+EigenIn*Eigen</f>
        <v>6.234091</v>
      </c>
      <c r="Q13" s="47" t="n">
        <f aca="false">RSU+EigenIn*Eigen</f>
        <v>6.234091</v>
      </c>
      <c r="R13" s="47" t="n">
        <f aca="false">RSU+EigenIn*Eigen</f>
        <v>6.234091</v>
      </c>
      <c r="S13" s="47" t="n">
        <f aca="false">RSU+EigenIn*Eigen</f>
        <v>6.234091</v>
      </c>
      <c r="T13" s="47" t="n">
        <f aca="false">RSU+EigenIn*Eigen</f>
        <v>6.234091</v>
      </c>
      <c r="U13" s="47" t="n">
        <f aca="false">RSU+EigenIn*Eigen</f>
        <v>6.234091</v>
      </c>
      <c r="V13" s="47" t="n">
        <f aca="false">RSU+EigenIn*Eigen</f>
        <v>6.234091</v>
      </c>
      <c r="W13" s="47" t="n">
        <f aca="false">RSU+EigenIn*Eigen</f>
        <v>6.234091</v>
      </c>
      <c r="X13" s="47" t="n">
        <f aca="false">RSU+EigenIn*Eigen</f>
        <v>6.234091</v>
      </c>
      <c r="Y13" s="47" t="n">
        <f aca="false">RSU+EigenIn*Eigen</f>
        <v>6.234091</v>
      </c>
      <c r="Z13" s="47" t="n">
        <f aca="false">RSU+EigenIn*Eigen</f>
        <v>6.234091</v>
      </c>
      <c r="AA13" s="47" t="n">
        <f aca="false">RSU+EigenIn*Eigen</f>
        <v>6.234091</v>
      </c>
      <c r="AB13" s="47" t="n">
        <f aca="false">RSU+EigenIn*Eigen</f>
        <v>6.234091</v>
      </c>
      <c r="AC13" s="47" t="n">
        <f aca="false">RSU+EigenIn*Eigen</f>
        <v>6.234091</v>
      </c>
      <c r="AD13" s="47" t="n">
        <f aca="false">RSU+EigenIn*Eigen</f>
        <v>6.234091</v>
      </c>
      <c r="AE13" s="47" t="n">
        <f aca="false">RSU+EigenIn*Eigen</f>
        <v>6.234091</v>
      </c>
      <c r="AF13" s="47" t="n">
        <f aca="false">RSU+EigenIn*Eigen</f>
        <v>6.234091</v>
      </c>
      <c r="AG13" s="47" t="n">
        <f aca="false">RSU+EigenIn*Eigen</f>
        <v>6.234091</v>
      </c>
      <c r="AI13" s="47" t="n">
        <f aca="false">INDEX($F13:$AG13,1,MATCH(AI$7,$F$7:$AG$7,1))</f>
        <v>6.234091</v>
      </c>
      <c r="AJ13" s="47" t="n">
        <f aca="false">INDEX($F13:$AG13,1,MATCH(AJ$7,$F$7:$AG$7,1))</f>
        <v>6.234091</v>
      </c>
      <c r="AK13" s="47" t="n">
        <f aca="false">INDEX($F13:$AG13,1,MATCH(AK$7,$F$7:$AG$7,1))</f>
        <v>6.234091</v>
      </c>
      <c r="AL13" s="47" t="n">
        <f aca="false">INDEX($F13:$AG13,1,MATCH(AL$7,$F$7:$AG$7,1))</f>
        <v>6.234091</v>
      </c>
      <c r="AM13" s="47" t="n">
        <f aca="false">INDEX($F13:$AG13,1,MATCH(AM$7,$F$7:$AG$7,1))</f>
        <v>6.234091</v>
      </c>
      <c r="AN13" s="47" t="n">
        <f aca="false">INDEX($F13:$AG13,1,MATCH(AN$7,$F$7:$AG$7,1))</f>
        <v>6.234091</v>
      </c>
      <c r="AO13" s="47" t="n">
        <f aca="false">INDEX($F13:$AG13,1,MATCH(AO$7,$F$7:$AG$7,1))</f>
        <v>6.234091</v>
      </c>
    </row>
    <row r="14" customFormat="false" ht="15" hidden="false" customHeight="false" outlineLevel="0" collapsed="false">
      <c r="A14" s="107" t="s">
        <v>2530</v>
      </c>
      <c r="B14" s="22" t="s">
        <v>635</v>
      </c>
      <c r="C14" s="22" t="s">
        <v>2244</v>
      </c>
      <c r="D14" s="22"/>
      <c r="F14" s="140" t="n">
        <f aca="false">INDEX(CV_dil,1,1)</f>
        <v>0</v>
      </c>
      <c r="G14" s="140" t="n">
        <f aca="false">INDEX(CV_dil,1,2)</f>
        <v>0</v>
      </c>
      <c r="H14" s="140" t="n">
        <f aca="false">INDEX(CV_dil,1,3)</f>
        <v>0</v>
      </c>
      <c r="I14" s="140" t="n">
        <f aca="false">INDEX(CV_dil,1,4)</f>
        <v>0</v>
      </c>
      <c r="J14" s="140" t="n">
        <f aca="false">INDEX(CV_dil,1,5)</f>
        <v>0</v>
      </c>
      <c r="K14" s="140" t="n">
        <f aca="false">INDEX(CV_dil,1,6)</f>
        <v>0</v>
      </c>
      <c r="L14" s="140" t="n">
        <f aca="false">INDEX(CV_dil,1,7)</f>
        <v>0</v>
      </c>
      <c r="M14" s="140" t="n">
        <f aca="false">INDEX(CV_dil,1,8)</f>
        <v>0</v>
      </c>
      <c r="N14" s="140" t="n">
        <f aca="false">INDEX(CV_dil,1,9)</f>
        <v>0</v>
      </c>
      <c r="O14" s="140" t="n">
        <f aca="false">INDEX(CV_dil,1,10)</f>
        <v>0</v>
      </c>
      <c r="P14" s="47" t="n">
        <f aca="false">INDEX(CV_dil,1,11)</f>
        <v>0</v>
      </c>
      <c r="Q14" s="47" t="n">
        <f aca="false">INDEX(CV_dil,1,12)</f>
        <v>0</v>
      </c>
      <c r="R14" s="47" t="n">
        <f aca="false">INDEX(CV_dil,1,13)</f>
        <v>0</v>
      </c>
      <c r="S14" s="47" t="n">
        <f aca="false">INDEX(CV_dil,1,14)</f>
        <v>0</v>
      </c>
      <c r="T14" s="47" t="n">
        <f aca="false">INDEX(CV_dil,1,15)</f>
        <v>0</v>
      </c>
      <c r="U14" s="47" t="n">
        <f aca="false">INDEX(CV_dil,1,16)</f>
        <v>0</v>
      </c>
      <c r="V14" s="47" t="n">
        <f aca="false">INDEX(CV_dil,1,17)</f>
        <v>0</v>
      </c>
      <c r="W14" s="47" t="n">
        <f aca="false">INDEX(CV_dil,1,18)</f>
        <v>0</v>
      </c>
      <c r="X14" s="47" t="n">
        <f aca="false">INDEX(CV_dil,1,19)</f>
        <v>0</v>
      </c>
      <c r="Y14" s="47" t="n">
        <f aca="false">INDEX(CV_dil,1,20)</f>
        <v>0</v>
      </c>
      <c r="Z14" s="47" t="n">
        <f aca="false">INDEX(CV_dil,1,21)</f>
        <v>0</v>
      </c>
      <c r="AA14" s="47" t="n">
        <f aca="false">INDEX(CV_dil,1,22)</f>
        <v>0</v>
      </c>
      <c r="AB14" s="47" t="n">
        <f aca="false">INDEX(CV_dil,1,23)</f>
        <v>0</v>
      </c>
      <c r="AC14" s="47" t="n">
        <f aca="false">INDEX(CV_dil,1,24)</f>
        <v>0</v>
      </c>
      <c r="AD14" s="47" t="n">
        <f aca="false">INDEX(CV_dil,1,25)</f>
        <v>0</v>
      </c>
      <c r="AE14" s="47" t="n">
        <f aca="false">INDEX(CV_dil,1,26)</f>
        <v>0</v>
      </c>
      <c r="AF14" s="47" t="n">
        <f aca="false">INDEX(CV_dil,1,27)</f>
        <v>0</v>
      </c>
      <c r="AG14" s="47" t="n">
        <f aca="false">INDEX(CV_dil,1,28)</f>
        <v>0</v>
      </c>
      <c r="AI14" s="47" t="n">
        <f aca="false">INDEX($F14:$AG14,1,MATCH(AI$7,$F$7:$AG$7,1))</f>
        <v>0</v>
      </c>
      <c r="AJ14" s="47" t="n">
        <f aca="false">INDEX($F14:$AG14,1,MATCH(AJ$7,$F$7:$AG$7,1))</f>
        <v>0</v>
      </c>
      <c r="AK14" s="47" t="n">
        <f aca="false">INDEX($F14:$AG14,1,MATCH(AK$7,$F$7:$AG$7,1))</f>
        <v>0</v>
      </c>
      <c r="AL14" s="47" t="n">
        <f aca="false">INDEX($F14:$AG14,1,MATCH(AL$7,$F$7:$AG$7,1))</f>
        <v>0</v>
      </c>
      <c r="AM14" s="47" t="n">
        <f aca="false">INDEX($F14:$AG14,1,MATCH(AM$7,$F$7:$AG$7,1))</f>
        <v>0</v>
      </c>
      <c r="AN14" s="47" t="n">
        <f aca="false">INDEX($F14:$AG14,1,MATCH(AN$7,$F$7:$AG$7,1))</f>
        <v>0</v>
      </c>
      <c r="AO14" s="47" t="n">
        <f aca="false">INDEX($F14:$AG14,1,MATCH(AO$7,$F$7:$AG$7,1))</f>
        <v>0</v>
      </c>
    </row>
    <row r="15" customFormat="false" ht="15" hidden="false" customHeight="false" outlineLevel="0" collapsed="false">
      <c r="A15" s="3" t="s">
        <v>2531</v>
      </c>
      <c r="B15" s="22" t="s">
        <v>635</v>
      </c>
      <c r="C15" s="22" t="s">
        <v>540</v>
      </c>
      <c r="D15" s="22"/>
      <c r="F15" s="141" t="n">
        <f aca="false">F11+F12+F13+F14</f>
        <v>205.574091</v>
      </c>
      <c r="G15" s="141" t="n">
        <f aca="false">G11+G12+G13+G14</f>
        <v>205.574091</v>
      </c>
      <c r="H15" s="141" t="n">
        <f aca="false">H11+H12+H13+H14</f>
        <v>205.574209</v>
      </c>
      <c r="I15" s="141" t="n">
        <f aca="false">I11+I12+I13+I14</f>
        <v>241.987691</v>
      </c>
      <c r="J15" s="141" t="n">
        <f aca="false">J11+J12+J13+J14</f>
        <v>244.342922</v>
      </c>
      <c r="K15" s="141" t="n">
        <f aca="false">K11+K12+K13+K14</f>
        <v>244.939183</v>
      </c>
      <c r="L15" s="141" t="n">
        <f aca="false">L11+L12+L13+L14</f>
        <v>258.041313</v>
      </c>
      <c r="M15" s="141" t="n">
        <f aca="false">M11+M12+M13+M14</f>
        <v>259.251062</v>
      </c>
      <c r="N15" s="141" t="n">
        <f aca="false">N11+N12+N13+N14</f>
        <v>281.198221</v>
      </c>
      <c r="O15" s="141" t="n">
        <f aca="false">O11+O12+O13+O14</f>
        <v>299.155245</v>
      </c>
      <c r="P15" s="64" t="n">
        <f aca="false">P11+P12+P13+P14</f>
        <v>314.925245</v>
      </c>
      <c r="Q15" s="64" t="n">
        <f aca="false">Q11+Q12+Q13+Q14</f>
        <v>327.195752</v>
      </c>
      <c r="R15" s="64" t="n">
        <f aca="false">R11+R12+R13+R14</f>
        <v>327.195752</v>
      </c>
      <c r="S15" s="64" t="n">
        <f aca="false">S11+S12+S13+S14</f>
        <v>327.195752</v>
      </c>
      <c r="T15" s="64" t="n">
        <f aca="false">T11+T12+T13+T14</f>
        <v>334.233962220922</v>
      </c>
      <c r="U15" s="64" t="n">
        <f aca="false">U11+U12+U13+U14</f>
        <v>342.173931930543</v>
      </c>
      <c r="V15" s="64" t="n">
        <f aca="false">V11+V12+V13+V14</f>
        <v>349.924749754331</v>
      </c>
      <c r="W15" s="64" t="n">
        <f aca="false">W11+W12+W13+W14</f>
        <v>352.013034393751</v>
      </c>
      <c r="X15" s="64" t="n">
        <f aca="false">X11+X12+X13+X14</f>
        <v>371.553441459653</v>
      </c>
      <c r="Y15" s="64" t="n">
        <f aca="false">Y11+Y12+Y13+Y14</f>
        <v>372.97290649938</v>
      </c>
      <c r="Z15" s="64" t="n">
        <f aca="false">Z11+Z12+Z13+Z14</f>
        <v>387.884769951437</v>
      </c>
      <c r="AA15" s="64" t="n">
        <f aca="false">AA11+AA12+AA13+AA14</f>
        <v>392.421563210455</v>
      </c>
      <c r="AB15" s="64" t="n">
        <f aca="false">AB11+AB12+AB13+AB14</f>
        <v>414.747557703825</v>
      </c>
      <c r="AC15" s="64" t="n">
        <f aca="false">AC11+AC12+AC13+AC14</f>
        <v>414.747557703825</v>
      </c>
      <c r="AD15" s="64" t="n">
        <f aca="false">AD11+AD12+AD13+AD14</f>
        <v>414.747557703825</v>
      </c>
      <c r="AE15" s="64" t="n">
        <f aca="false">AE11+AE12+AE13+AE14</f>
        <v>414.747557703825</v>
      </c>
      <c r="AF15" s="64" t="n">
        <f aca="false">AF11+AF12+AF13+AF14</f>
        <v>426.143942703825</v>
      </c>
      <c r="AG15" s="64" t="n">
        <f aca="false">AG11+AG12+AG13+AG14</f>
        <v>426.143942703825</v>
      </c>
      <c r="AI15" s="64" t="n">
        <f aca="false">INDEX($F15:$AG15,1,MATCH(AI$7,$F$7:$AG$7,1))</f>
        <v>241.987691</v>
      </c>
      <c r="AJ15" s="64" t="n">
        <f aca="false">INDEX($F15:$AG15,1,MATCH(AJ$7,$F$7:$AG$7,1))</f>
        <v>259.251062</v>
      </c>
      <c r="AK15" s="64" t="n">
        <f aca="false">INDEX($F15:$AG15,1,MATCH(AK$7,$F$7:$AG$7,1))</f>
        <v>327.195752</v>
      </c>
      <c r="AL15" s="64" t="n">
        <f aca="false">INDEX($F15:$AG15,1,MATCH(AL$7,$F$7:$AG$7,1))</f>
        <v>342.173931930543</v>
      </c>
      <c r="AM15" s="64" t="n">
        <f aca="false">INDEX($F15:$AG15,1,MATCH(AM$7,$F$7:$AG$7,1))</f>
        <v>372.97290649938</v>
      </c>
      <c r="AN15" s="64" t="n">
        <f aca="false">INDEX($F15:$AG15,1,MATCH(AN$7,$F$7:$AG$7,1))</f>
        <v>414.747557703825</v>
      </c>
      <c r="AO15" s="64" t="n">
        <f aca="false">INDEX($F15:$AG15,1,MATCH(AO$7,$F$7:$AG$7,1))</f>
        <v>426.143942703825</v>
      </c>
    </row>
    <row r="16" customFormat="false" ht="15" hidden="false" customHeight="false" outlineLevel="0" collapsed="false">
      <c r="A16" s="107" t="s">
        <v>2532</v>
      </c>
      <c r="B16" s="22" t="s">
        <v>619</v>
      </c>
      <c r="C16" s="22"/>
      <c r="D16" s="22"/>
      <c r="F16" s="128" t="n">
        <f aca="false">F14/F11</f>
        <v>0</v>
      </c>
      <c r="G16" s="128" t="n">
        <f aca="false">G14/G11</f>
        <v>0</v>
      </c>
      <c r="H16" s="128" t="n">
        <f aca="false">H14/H11</f>
        <v>0</v>
      </c>
      <c r="I16" s="128" t="n">
        <f aca="false">I14/I11</f>
        <v>0</v>
      </c>
      <c r="J16" s="128" t="n">
        <f aca="false">J14/J11</f>
        <v>0</v>
      </c>
      <c r="K16" s="128" t="n">
        <f aca="false">K14/K11</f>
        <v>0</v>
      </c>
      <c r="L16" s="128" t="n">
        <f aca="false">L14/L11</f>
        <v>0</v>
      </c>
      <c r="M16" s="128" t="n">
        <f aca="false">M14/M11</f>
        <v>0</v>
      </c>
      <c r="N16" s="128" t="n">
        <f aca="false">N14/N11</f>
        <v>0</v>
      </c>
      <c r="O16" s="128" t="n">
        <f aca="false">O14/O11</f>
        <v>0</v>
      </c>
      <c r="P16" s="27" t="n">
        <f aca="false">P14/P11</f>
        <v>0</v>
      </c>
      <c r="Q16" s="27" t="n">
        <f aca="false">Q14/Q11</f>
        <v>0</v>
      </c>
      <c r="R16" s="27" t="n">
        <f aca="false">R14/R11</f>
        <v>0</v>
      </c>
      <c r="S16" s="27" t="n">
        <f aca="false">S14/S11</f>
        <v>0</v>
      </c>
      <c r="T16" s="27" t="n">
        <f aca="false">T14/T11</f>
        <v>0</v>
      </c>
      <c r="U16" s="27" t="n">
        <f aca="false">U14/U11</f>
        <v>0</v>
      </c>
      <c r="V16" s="27" t="n">
        <f aca="false">V14/V11</f>
        <v>0</v>
      </c>
      <c r="W16" s="27" t="n">
        <f aca="false">W14/W11</f>
        <v>0</v>
      </c>
      <c r="X16" s="27" t="n">
        <f aca="false">X14/X11</f>
        <v>0</v>
      </c>
      <c r="Y16" s="27" t="n">
        <f aca="false">Y14/Y11</f>
        <v>0</v>
      </c>
      <c r="Z16" s="27" t="n">
        <f aca="false">Z14/Z11</f>
        <v>0</v>
      </c>
      <c r="AA16" s="27" t="n">
        <f aca="false">AA14/AA11</f>
        <v>0</v>
      </c>
      <c r="AB16" s="27" t="n">
        <f aca="false">AB14/AB11</f>
        <v>0</v>
      </c>
      <c r="AC16" s="27" t="n">
        <f aca="false">AC14/AC11</f>
        <v>0</v>
      </c>
      <c r="AD16" s="27" t="n">
        <f aca="false">AD14/AD11</f>
        <v>0</v>
      </c>
      <c r="AE16" s="27" t="n">
        <f aca="false">AE14/AE11</f>
        <v>0</v>
      </c>
      <c r="AF16" s="27" t="n">
        <f aca="false">AF14/AF11</f>
        <v>0</v>
      </c>
      <c r="AG16" s="27" t="n">
        <f aca="false">AG14/AG11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1174</v>
      </c>
    </row>
    <row r="2" customFormat="false" ht="15" hidden="false" customHeight="false" outlineLevel="0" collapsed="false">
      <c r="A2" s="22" t="s">
        <v>2533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2534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107" t="s">
        <v>2535</v>
      </c>
      <c r="B11" s="22" t="s">
        <v>613</v>
      </c>
      <c r="C11" s="22" t="s">
        <v>2443</v>
      </c>
      <c r="D11" s="22"/>
      <c r="F11" s="124" t="n">
        <f aca="false">INDEX(CF_UFCF,1,1)</f>
        <v>0</v>
      </c>
      <c r="G11" s="124" t="n">
        <f aca="false">INDEX(CF_UFCF,1,2)</f>
        <v>0</v>
      </c>
      <c r="H11" s="124" t="n">
        <f aca="false">INDEX(CF_UFCF,1,3)</f>
        <v>0</v>
      </c>
      <c r="I11" s="124" t="n">
        <f aca="false">INDEX(CF_UFCF,1,4)</f>
        <v>0</v>
      </c>
      <c r="J11" s="124" t="n">
        <f aca="false">INDEX(CF_UFCF,1,5)</f>
        <v>0</v>
      </c>
      <c r="K11" s="124" t="n">
        <f aca="false">INDEX(CF_UFCF,1,6)</f>
        <v>0</v>
      </c>
      <c r="L11" s="124" t="n">
        <f aca="false">INDEX(CF_UFCF,1,7)</f>
        <v>0</v>
      </c>
      <c r="M11" s="124" t="n">
        <f aca="false">INDEX(CF_UFCF,1,8)</f>
        <v>0</v>
      </c>
      <c r="N11" s="124" t="n">
        <f aca="false">INDEX(CF_UFCF,1,9)</f>
        <v>0</v>
      </c>
      <c r="O11" s="124" t="n">
        <f aca="false">INDEX(CF_UFCF,1,10)</f>
        <v>0</v>
      </c>
      <c r="P11" s="125" t="n">
        <f aca="false">INDEX(CF_UFCF,1,11)</f>
        <v>-2192.52949411819</v>
      </c>
      <c r="Q11" s="125" t="n">
        <f aca="false">INDEX(CF_UFCF,1,12)</f>
        <v>-4798.99672707748</v>
      </c>
      <c r="R11" s="125" t="n">
        <f aca="false">INDEX(CF_UFCF,1,13)</f>
        <v>-6247.11408512431</v>
      </c>
      <c r="S11" s="125" t="n">
        <f aca="false">INDEX(CF_UFCF,1,14)</f>
        <v>-7571.30943700422</v>
      </c>
      <c r="T11" s="125" t="n">
        <f aca="false">INDEX(CF_UFCF,1,15)</f>
        <v>-9750.23553328649</v>
      </c>
      <c r="U11" s="125" t="n">
        <f aca="false">INDEX(CF_UFCF,1,16)</f>
        <v>-3595.74867711652</v>
      </c>
      <c r="V11" s="125" t="n">
        <f aca="false">INDEX(CF_UFCF,1,17)</f>
        <v>-3473.92224531482</v>
      </c>
      <c r="W11" s="125" t="n">
        <f aca="false">INDEX(CF_UFCF,1,18)</f>
        <v>-793.507468202699</v>
      </c>
      <c r="X11" s="125" t="n">
        <f aca="false">INDEX(CF_UFCF,1,19)</f>
        <v>-9012.72973139309</v>
      </c>
      <c r="Y11" s="125" t="n">
        <f aca="false">INDEX(CF_UFCF,1,20)</f>
        <v>-438.830740013798</v>
      </c>
      <c r="Z11" s="125" t="n">
        <f aca="false">INDEX(CF_UFCF,1,21)</f>
        <v>-6795.65093199434</v>
      </c>
      <c r="AA11" s="125" t="n">
        <f aca="false">INDEX(CF_UFCF,1,22)</f>
        <v>-1100.89014791822</v>
      </c>
      <c r="AB11" s="125" t="n">
        <f aca="false">INDEX(CF_UFCF,1,23)</f>
        <v>-10274.5599375288</v>
      </c>
      <c r="AC11" s="125" t="n">
        <f aca="false">INDEX(CF_UFCF,1,24)</f>
        <v>3736.28674491174</v>
      </c>
      <c r="AD11" s="125" t="n">
        <f aca="false">INDEX(CF_UFCF,1,25)</f>
        <v>4290.65186286761</v>
      </c>
      <c r="AE11" s="125" t="n">
        <f aca="false">INDEX(CF_UFCF,1,26)</f>
        <v>4853.83793114991</v>
      </c>
      <c r="AF11" s="125" t="n">
        <f aca="false">INDEX(CF_UFCF,1,27)</f>
        <v>4517.30671643489</v>
      </c>
      <c r="AG11" s="125" t="n">
        <f aca="false">INDEX(CF_UFCF,1,28)</f>
        <v>3836.76484543041</v>
      </c>
      <c r="AI11" s="125" t="n">
        <f aca="false">SUMIF($F$7:$AG$7,AI$7,$F11:$AG11)</f>
        <v>0</v>
      </c>
      <c r="AJ11" s="125" t="n">
        <f aca="false">SUMIF($F$7:$AG$7,AJ$7,$F11:$AG11)</f>
        <v>0</v>
      </c>
      <c r="AK11" s="125" t="n">
        <f aca="false">SUMIF($F$7:$AG$7,AK$7,$F11:$AG11)</f>
        <v>-6991.52622119567</v>
      </c>
      <c r="AL11" s="125" t="n">
        <f aca="false">SUMIF($F$7:$AG$7,AL$7,$F11:$AG11)</f>
        <v>-27164.4077325315</v>
      </c>
      <c r="AM11" s="125" t="n">
        <f aca="false">SUMIF($F$7:$AG$7,AM$7,$F11:$AG11)</f>
        <v>-13718.9901849244</v>
      </c>
      <c r="AN11" s="125" t="n">
        <f aca="false">SUMIF($F$7:$AG$7,AN$7,$F11:$AG11)</f>
        <v>-14434.8142725296</v>
      </c>
      <c r="AO11" s="125" t="n">
        <f aca="false">SUMIF($F$7:$AG$7,AO$7,$F11:$AG11)</f>
        <v>17498.5613558828</v>
      </c>
    </row>
    <row r="12" customFormat="false" ht="15" hidden="false" customHeight="false" outlineLevel="0" collapsed="false">
      <c r="A12" s="107" t="s">
        <v>2536</v>
      </c>
      <c r="B12" s="22" t="s">
        <v>737</v>
      </c>
      <c r="C12" s="22" t="s">
        <v>540</v>
      </c>
      <c r="D12" s="22"/>
      <c r="F12" s="127" t="n">
        <f aca="false">IF(F$4&gt;ValDate,1/(1+WACC)^((F$4-ValDate)/365.25),0)</f>
        <v>0</v>
      </c>
      <c r="G12" s="127" t="n">
        <f aca="false">IF(G$4&gt;ValDate,1/(1+WACC)^((G$4-ValDate)/365.25),0)</f>
        <v>0</v>
      </c>
      <c r="H12" s="127" t="n">
        <f aca="false">IF(H$4&gt;ValDate,1/(1+WACC)^((H$4-ValDate)/365.25),0)</f>
        <v>0</v>
      </c>
      <c r="I12" s="127" t="n">
        <f aca="false">IF(I$4&gt;ValDate,1/(1+WACC)^((I$4-ValDate)/365.25),0)</f>
        <v>0</v>
      </c>
      <c r="J12" s="127" t="n">
        <f aca="false">IF(J$4&gt;ValDate,1/(1+WACC)^((J$4-ValDate)/365.25),0)</f>
        <v>0</v>
      </c>
      <c r="K12" s="127" t="n">
        <f aca="false">IF(K$4&gt;ValDate,1/(1+WACC)^((K$4-ValDate)/365.25),0)</f>
        <v>0</v>
      </c>
      <c r="L12" s="127" t="n">
        <f aca="false">IF(L$4&gt;ValDate,1/(1+WACC)^((L$4-ValDate)/365.25),0)</f>
        <v>0</v>
      </c>
      <c r="M12" s="127" t="n">
        <f aca="false">IF(M$4&gt;ValDate,1/(1+WACC)^((M$4-ValDate)/365.25),0)</f>
        <v>0</v>
      </c>
      <c r="N12" s="127" t="n">
        <f aca="false">IF(N$4&gt;ValDate,1/(1+WACC)^((N$4-ValDate)/365.25),0)</f>
        <v>0</v>
      </c>
      <c r="O12" s="127" t="n">
        <f aca="false">IF(O$4&gt;ValDate,1/(1+WACC)^((O$4-ValDate)/365.25),0)</f>
        <v>0</v>
      </c>
      <c r="P12" s="55" t="n">
        <f aca="false">IF(P$4&gt;ValDate,1/(1+WACC)^((P$4-ValDate)/365.25),0)</f>
        <v>0</v>
      </c>
      <c r="Q12" s="55" t="n">
        <f aca="false">IF(Q$4&gt;ValDate,1/(1+WACC)^((Q$4-ValDate)/365.25),0)</f>
        <v>0.975169917110395</v>
      </c>
      <c r="R12" s="55" t="n">
        <f aca="false">IF(R$4&gt;ValDate,1/(1+WACC)^((R$4-ValDate)/365.25),0)</f>
        <v>0.950413103878456</v>
      </c>
      <c r="S12" s="55" t="n">
        <f aca="false">IF(S$4&gt;ValDate,1/(1+WACC)^((S$4-ValDate)/365.25),0)</f>
        <v>0.926020174017693</v>
      </c>
      <c r="T12" s="55" t="n">
        <f aca="false">IF(T$4&gt;ValDate,1/(1+WACC)^((T$4-ValDate)/365.25),0)</f>
        <v>0.901995546596339</v>
      </c>
      <c r="U12" s="55" t="n">
        <f aca="false">IF(U$4&gt;ValDate,1/(1+WACC)^((U$4-ValDate)/365.25),0)</f>
        <v>0.878594213071736</v>
      </c>
      <c r="V12" s="55" t="n">
        <f aca="false">IF(V$4&gt;ValDate,1/(1+WACC)^((V$4-ValDate)/365.25),0)</f>
        <v>0.856044558686635</v>
      </c>
      <c r="W12" s="55" t="n">
        <f aca="false">IF(W$4&gt;ValDate,1/(1+WACC)^((W$4-ValDate)/365.25),0)</f>
        <v>0.834073654884364</v>
      </c>
      <c r="X12" s="55" t="n">
        <f aca="false">IF(X$4&gt;ValDate,1/(1+WACC)^((X$4-ValDate)/365.25),0)</f>
        <v>0.812434483986365</v>
      </c>
      <c r="Y12" s="55" t="n">
        <f aca="false">IF(Y$4&gt;ValDate,1/(1+WACC)^((Y$4-ValDate)/365.25),0)</f>
        <v>0.791356718804048</v>
      </c>
      <c r="Z12" s="55" t="n">
        <f aca="false">IF(Z$4&gt;ValDate,1/(1+WACC)^((Z$4-ValDate)/365.25),0)</f>
        <v>0.771266404138348</v>
      </c>
      <c r="AA12" s="55" t="n">
        <f aca="false">IF(AA$4&gt;ValDate,1/(1+WACC)^((AA$4-ValDate)/365.25),0)</f>
        <v>0.751471383190788</v>
      </c>
      <c r="AB12" s="55" t="n">
        <f aca="false">IF(AB$4&gt;ValDate,1/(1+WACC)^((AB$4-ValDate)/365.25),0)</f>
        <v>0.731975242063928</v>
      </c>
      <c r="AC12" s="55" t="n">
        <f aca="false">IF(AC$4&gt;ValDate,1/(1+WACC)^((AC$4-ValDate)/365.25),0)</f>
        <v>0.712984907980876</v>
      </c>
      <c r="AD12" s="55" t="n">
        <f aca="false">IF(AD$4&gt;ValDate,1/(1+WACC)^((AD$4-ValDate)/365.25),0)</f>
        <v>0.694884232504362</v>
      </c>
      <c r="AE12" s="55" t="n">
        <f aca="false">IF(AE$4&gt;ValDate,1/(1+WACC)^((AE$4-ValDate)/365.25),0)</f>
        <v>0.677049606407923</v>
      </c>
      <c r="AF12" s="55" t="n">
        <f aca="false">IF(AF$4&gt;ValDate,1/(1+WACC)^((AF$4-ValDate)/365.25),0)</f>
        <v>0.659484260645365</v>
      </c>
      <c r="AG12" s="55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7" t="s">
        <v>2537</v>
      </c>
      <c r="B13" s="22" t="s">
        <v>613</v>
      </c>
      <c r="C13" s="22" t="s">
        <v>540</v>
      </c>
      <c r="D13" s="22"/>
      <c r="F13" s="124" t="n">
        <f aca="false">F11*F12</f>
        <v>0</v>
      </c>
      <c r="G13" s="124" t="n">
        <f aca="false">G11*G12</f>
        <v>0</v>
      </c>
      <c r="H13" s="124" t="n">
        <f aca="false">H11*H12</f>
        <v>0</v>
      </c>
      <c r="I13" s="124" t="n">
        <f aca="false">I11*I12</f>
        <v>0</v>
      </c>
      <c r="J13" s="124" t="n">
        <f aca="false">J11*J12</f>
        <v>0</v>
      </c>
      <c r="K13" s="124" t="n">
        <f aca="false">K11*K12</f>
        <v>0</v>
      </c>
      <c r="L13" s="124" t="n">
        <f aca="false">L11*L12</f>
        <v>0</v>
      </c>
      <c r="M13" s="124" t="n">
        <f aca="false">M11*M12</f>
        <v>0</v>
      </c>
      <c r="N13" s="124" t="n">
        <f aca="false">N11*N12</f>
        <v>0</v>
      </c>
      <c r="O13" s="124" t="n">
        <f aca="false">O11*O12</f>
        <v>0</v>
      </c>
      <c r="P13" s="125" t="n">
        <f aca="false">P11*P12</f>
        <v>-0</v>
      </c>
      <c r="Q13" s="125" t="n">
        <f aca="false">Q11*Q12</f>
        <v>-4679.8372405572</v>
      </c>
      <c r="R13" s="125" t="n">
        <f aca="false">R11*R12</f>
        <v>-5937.33908792581</v>
      </c>
      <c r="S13" s="125" t="n">
        <f aca="false">S11*S12</f>
        <v>-7011.18528239646</v>
      </c>
      <c r="T13" s="125" t="n">
        <f aca="false">T11*T12</f>
        <v>-8794.66902928979</v>
      </c>
      <c r="U13" s="125" t="n">
        <f aca="false">U11*U12</f>
        <v>-3159.20397937492</v>
      </c>
      <c r="V13" s="125" t="n">
        <f aca="false">V11*V12</f>
        <v>-2973.83223540221</v>
      </c>
      <c r="W13" s="125" t="n">
        <f aca="false">W11*W12</f>
        <v>-661.843674181864</v>
      </c>
      <c r="X13" s="125" t="n">
        <f aca="false">X11*X12</f>
        <v>-7322.25242863291</v>
      </c>
      <c r="Y13" s="125" t="n">
        <f aca="false">Y11*Y12</f>
        <v>-347.271654527672</v>
      </c>
      <c r="Z13" s="125" t="n">
        <f aca="false">Z11*Z12</f>
        <v>-5241.25725809869</v>
      </c>
      <c r="AA13" s="125" t="n">
        <f aca="false">AA11*AA12</f>
        <v>-827.287442197213</v>
      </c>
      <c r="AB13" s="125" t="n">
        <f aca="false">AB11*AB12</f>
        <v>-7520.72349737299</v>
      </c>
      <c r="AC13" s="125" t="n">
        <f aca="false">AC11*AC12</f>
        <v>2663.91606101107</v>
      </c>
      <c r="AD13" s="125" t="n">
        <f aca="false">AD11*AD12</f>
        <v>2981.50632667217</v>
      </c>
      <c r="AE13" s="125" t="n">
        <f aca="false">AE11*AE12</f>
        <v>3286.2890608529</v>
      </c>
      <c r="AF13" s="125" t="n">
        <f aca="false">AF11*AF12</f>
        <v>2979.0926799964</v>
      </c>
      <c r="AG13" s="125" t="n">
        <f aca="false">AG11*AG12</f>
        <v>2464.64039588945</v>
      </c>
      <c r="AI13" s="125" t="n">
        <f aca="false">SUMIF($F$7:$AG$7,AI$7,$F13:$AG13)</f>
        <v>0</v>
      </c>
      <c r="AJ13" s="125" t="n">
        <f aca="false">SUMIF($F$7:$AG$7,AJ$7,$F13:$AG13)</f>
        <v>0</v>
      </c>
      <c r="AK13" s="125" t="n">
        <f aca="false">SUMIF($F$7:$AG$7,AK$7,$F13:$AG13)</f>
        <v>-4679.8372405572</v>
      </c>
      <c r="AL13" s="125" t="n">
        <f aca="false">SUMIF($F$7:$AG$7,AL$7,$F13:$AG13)</f>
        <v>-24902.397378987</v>
      </c>
      <c r="AM13" s="125" t="n">
        <f aca="false">SUMIF($F$7:$AG$7,AM$7,$F13:$AG13)</f>
        <v>-11305.1999927447</v>
      </c>
      <c r="AN13" s="125" t="n">
        <f aca="false">SUMIF($F$7:$AG$7,AN$7,$F13:$AG13)</f>
        <v>-10925.3521366578</v>
      </c>
      <c r="AO13" s="125" t="n">
        <f aca="false">SUMIF($F$7:$AG$7,AO$7,$F13:$AG13)</f>
        <v>11711.5284634109</v>
      </c>
    </row>
    <row r="16" customFormat="false" ht="15" hidden="false" customHeight="false" outlineLevel="0" collapsed="false">
      <c r="A16" s="58" t="s">
        <v>2538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</row>
    <row r="17" customFormat="false" ht="15" hidden="false" customHeight="false" outlineLevel="0" collapsed="false">
      <c r="A17" s="107" t="s">
        <v>2539</v>
      </c>
      <c r="D17" s="22"/>
      <c r="E17" s="145" t="n">
        <f aca="false">IF(TGMode=1,MIN(TGCap,TermRR*TermRONC),TG)</f>
        <v>0.03</v>
      </c>
    </row>
    <row r="18" customFormat="false" ht="15" hidden="false" customHeight="false" outlineLevel="0" collapsed="false">
      <c r="A18" s="107" t="s">
        <v>2540</v>
      </c>
      <c r="D18" s="22"/>
      <c r="E18" s="109" t="n">
        <f aca="false">SUMIF(Q_Yr,2030,PL_Rev)</f>
        <v>43708.5848229607</v>
      </c>
    </row>
    <row r="19" customFormat="false" ht="15" hidden="false" customHeight="false" outlineLevel="0" collapsed="false">
      <c r="A19" s="107" t="s">
        <v>2541</v>
      </c>
      <c r="D19" s="22"/>
      <c r="E19" s="109" t="n">
        <f aca="false">SUMIF(Q_Yr,2030,PL_EBITDA)</f>
        <v>29025.6932142834</v>
      </c>
    </row>
    <row r="20" customFormat="false" ht="15" hidden="false" customHeight="false" outlineLevel="0" collapsed="false">
      <c r="A20" s="107" t="s">
        <v>2542</v>
      </c>
      <c r="D20" s="22"/>
      <c r="E20" s="109" t="n">
        <f aca="false">SUMIF(Q_Yr,2030,PL_DA)</f>
        <v>21819.5750589557</v>
      </c>
    </row>
    <row r="21" customFormat="false" ht="15" hidden="false" customHeight="false" outlineLevel="0" collapsed="false">
      <c r="A21" s="107" t="s">
        <v>2543</v>
      </c>
      <c r="D21" s="22"/>
      <c r="E21" s="55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07" t="s">
        <v>2544</v>
      </c>
      <c r="D22" s="22"/>
      <c r="E22" s="109" t="n">
        <f aca="false">4*INDEX(PL_EBITDA,1,28)</f>
        <v>30105.0497404053</v>
      </c>
    </row>
    <row r="23" customFormat="false" ht="15" hidden="false" customHeight="false" outlineLevel="0" collapsed="false">
      <c r="A23" s="107" t="s">
        <v>2545</v>
      </c>
      <c r="D23" s="22"/>
      <c r="E23" s="109" t="n">
        <f aca="false">IF(TermBase=0,V_EB30,V_EBX*IF(TermBase=1,V_TScale,1))*(1+V_g)</f>
        <v>31008.2012326174</v>
      </c>
    </row>
    <row r="24" customFormat="false" ht="15" hidden="false" customHeight="false" outlineLevel="0" collapsed="false">
      <c r="A24" s="107" t="s">
        <v>2546</v>
      </c>
      <c r="D24" s="22"/>
      <c r="E24" s="109" t="n">
        <f aca="false">IF(TermBase=0,V_DA30-CapIntFix*SUMIF(Q_Yr,2030,Dep_CI),4*(INDEX(PL_DA,1,28)-CapIntFix*INDEX(Dep_CI,1,28))*IF(TermBase=1,V_TScale,1))*(1+V_g)</f>
        <v>22173.3734272866</v>
      </c>
    </row>
    <row r="25" customFormat="false" ht="15" hidden="false" customHeight="false" outlineLevel="0" collapsed="false">
      <c r="A25" s="107" t="s">
        <v>2547</v>
      </c>
      <c r="D25" s="22" t="s">
        <v>2548</v>
      </c>
      <c r="E25" s="109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19224.56163</v>
      </c>
    </row>
    <row r="26" customFormat="false" ht="15" hidden="false" customHeight="false" outlineLevel="0" collapsed="false">
      <c r="A26" s="107" t="s">
        <v>2549</v>
      </c>
      <c r="D26" s="22"/>
      <c r="E26" s="109" t="n">
        <f aca="false">V_GRepl*GPU_Resid*(1-TaxRate)</f>
        <v>2139.693709419</v>
      </c>
    </row>
    <row r="27" customFormat="false" ht="15" hidden="false" customHeight="false" outlineLevel="0" collapsed="false">
      <c r="A27" s="107" t="s">
        <v>2550</v>
      </c>
      <c r="D27" s="22"/>
      <c r="E27" s="109" t="n">
        <f aca="false">SUM(CapShell)/Life_Shell+SUM(CapPow)/Life_Pow+SUMIF(Q_Yr,2030,CapMaint)</f>
        <v>2690.29703395922</v>
      </c>
    </row>
    <row r="28" customFormat="false" ht="15" hidden="false" customHeight="false" outlineLevel="0" collapsed="false">
      <c r="A28" s="107" t="s">
        <v>2551</v>
      </c>
      <c r="D28" s="22"/>
      <c r="E28" s="109" t="n">
        <f aca="false">IF(TGMode=1,IF(TermRONC&gt;0,V_g/TermRONC,0)*V_NOPAT,TG*INDEX(NBV,1,28))</f>
        <v>1564.85885802117</v>
      </c>
    </row>
    <row r="29" customFormat="false" ht="15" hidden="false" customHeight="false" outlineLevel="0" collapsed="false">
      <c r="A29" s="107" t="s">
        <v>2552</v>
      </c>
      <c r="D29" s="22"/>
      <c r="E29" s="109" t="n">
        <f aca="false">(V_GRepl-V_GResid+V_NonGPU)*(1+V_g)+V_GrowCx</f>
        <v>21933.2787611976</v>
      </c>
    </row>
    <row r="30" customFormat="false" ht="15" hidden="false" customHeight="false" outlineLevel="0" collapsed="false">
      <c r="A30" s="3" t="s">
        <v>2553</v>
      </c>
      <c r="D30" s="22"/>
      <c r="E30" s="115" t="n">
        <f aca="false">IF(TermMode=1,IF(ReplPxOn=1,V_CXReq,MAX(V_DAT*MaintRatio,V_CXReq)),V_DAT*MaintRatio)</f>
        <v>22173.3734272866</v>
      </c>
    </row>
    <row r="31" customFormat="false" ht="15" hidden="false" customHeight="false" outlineLevel="0" collapsed="false">
      <c r="A31" s="107" t="s">
        <v>2554</v>
      </c>
      <c r="D31" s="22"/>
      <c r="E31" s="31" t="str">
        <f aca="false">IF(V_CXT&gt;=(V_GRepl-V_GResid)*(1+V_g)-0.01,"OK","FLAG: below GPU replacement")</f>
        <v>OK</v>
      </c>
    </row>
    <row r="32" customFormat="false" ht="15" hidden="false" customHeight="false" outlineLevel="0" collapsed="false">
      <c r="A32" s="107" t="s">
        <v>2555</v>
      </c>
      <c r="D32" s="22"/>
      <c r="E32" s="109" t="n">
        <f aca="false">MAX(0,V_EBT-IF(TermMode=1,IF(ReplPxOn=1,(V_GRepl+V_NonGPU)*(1+V_g),MAX(V_DAT,(V_GRepl+V_NonGPU)*(1+V_g))),V_DAT))*TaxRate</f>
        <v>2176.46137665478</v>
      </c>
    </row>
    <row r="33" customFormat="false" ht="15" hidden="false" customHeight="false" outlineLevel="0" collapsed="false">
      <c r="A33" s="107" t="s">
        <v>2556</v>
      </c>
      <c r="D33" s="22"/>
      <c r="E33" s="109" t="n">
        <f aca="false">IF(TermMode=1,IF(ReplPxOn=1,(V_GRepl+V_NonGPU)*(1+V_g),MAX(V_DAT,(V_GRepl+V_NonGPU)*(1+V_g))),V_DAT)</f>
        <v>22572.304423878</v>
      </c>
    </row>
    <row r="34" customFormat="false" ht="15" hidden="false" customHeight="false" outlineLevel="0" collapsed="false">
      <c r="A34" s="107" t="s">
        <v>2557</v>
      </c>
      <c r="D34" s="22"/>
      <c r="E34" s="109" t="n">
        <f aca="false">V_EBT-V_Dss-V_TXT</f>
        <v>6259.43543208467</v>
      </c>
    </row>
    <row r="35" customFormat="false" ht="15" hidden="false" customHeight="false" outlineLevel="0" collapsed="false">
      <c r="A35" s="107" t="s">
        <v>2558</v>
      </c>
      <c r="D35" s="22"/>
      <c r="E35" s="27" t="n">
        <f aca="false">IF(V_NOPAT&lt;&gt;0,V_GrowCx/V_NOPAT,0)</f>
        <v>0.25</v>
      </c>
    </row>
    <row r="36" customFormat="false" ht="15" hidden="false" customHeight="false" outlineLevel="0" collapsed="false">
      <c r="A36" s="107" t="s">
        <v>2559</v>
      </c>
      <c r="D36" s="22"/>
      <c r="E36" s="27" t="n">
        <f aca="false">IFERROR(V_NOPAT/INDEX(NBV,1,28),0)</f>
        <v>0.0908733571455923</v>
      </c>
    </row>
    <row r="37" customFormat="false" ht="15" hidden="false" customHeight="false" outlineLevel="0" collapsed="false">
      <c r="A37" s="3" t="s">
        <v>2560</v>
      </c>
      <c r="D37" s="22"/>
      <c r="E37" s="115" t="n">
        <f aca="false">V_EBT-V_TXT-V_CXT</f>
        <v>6658.36642867604</v>
      </c>
    </row>
    <row r="38" customFormat="false" ht="15" hidden="false" customHeight="false" outlineLevel="0" collapsed="false">
      <c r="A38" s="107" t="s">
        <v>2561</v>
      </c>
      <c r="D38" s="22"/>
      <c r="E38" s="109" t="n">
        <f aca="false">V_UFT/(WACC-V_g)</f>
        <v>83229.5803584505</v>
      </c>
    </row>
    <row r="39" customFormat="false" ht="15" hidden="false" customHeight="false" outlineLevel="0" collapsed="false">
      <c r="A39" s="107" t="s">
        <v>2562</v>
      </c>
      <c r="D39" s="22"/>
      <c r="E39" s="109" t="n">
        <f aca="false">V_EBT*ExitMult</f>
        <v>434114.817256644</v>
      </c>
    </row>
    <row r="40" customFormat="false" ht="15" hidden="false" customHeight="false" outlineLevel="0" collapsed="false">
      <c r="A40" s="107" t="s">
        <v>2563</v>
      </c>
      <c r="D40" s="22"/>
      <c r="E40" s="45" t="n">
        <f aca="false">IF(V_EBT&lt;&gt;0,V_TVG/V_EBT,0)</f>
        <v>2.6841150743985</v>
      </c>
    </row>
    <row r="41" customFormat="false" ht="15" hidden="false" customHeight="false" outlineLevel="0" collapsed="false">
      <c r="A41" s="107" t="s">
        <v>2564</v>
      </c>
      <c r="D41" s="22"/>
      <c r="E41" s="25" t="n">
        <f aca="false">IF(V_Rev30&lt;&gt;0,V_EB30/V_Rev30,0)</f>
        <v>0.664073049535931</v>
      </c>
    </row>
    <row r="42" customFormat="false" ht="15" hidden="false" customHeight="false" outlineLevel="0" collapsed="false">
      <c r="A42" s="107" t="s">
        <v>2565</v>
      </c>
      <c r="D42" s="22"/>
      <c r="E42" s="109" t="n">
        <f aca="false">DCFWeight*V_TVG+(1-DCFWeight)*V_TVM</f>
        <v>83229.5803584505</v>
      </c>
    </row>
    <row r="43" customFormat="false" ht="15" hidden="false" customHeight="false" outlineLevel="0" collapsed="false">
      <c r="A43" s="107" t="s">
        <v>2566</v>
      </c>
      <c r="D43" s="22"/>
      <c r="E43" s="109" t="n">
        <f aca="false">MAX(0,V_EBT-MAX(0,V_EBT-V_DAT)*TaxRate)*SUMPRODUCT((ROW($A$1:$A$10)&lt;=LQ_N/4)*(1-(ROW($A$1:$A$10)-1)/(LQ_N/4))/(1+WACC)^ROW($A$1:$A$10))</f>
        <v>68118.789418354</v>
      </c>
    </row>
    <row r="44" customFormat="false" ht="15" hidden="false" customHeight="false" outlineLevel="0" collapsed="false">
      <c r="A44" s="3" t="s">
        <v>2567</v>
      </c>
      <c r="D44" s="22"/>
      <c r="E44" s="115" t="n">
        <f aca="false">IF(TVFloor=1,MAX(V_TVB,V_TVRO),V_TVB)</f>
        <v>83229.5803584505</v>
      </c>
    </row>
    <row r="45" customFormat="false" ht="15" hidden="false" customHeight="false" outlineLevel="0" collapsed="false">
      <c r="A45" s="107" t="s">
        <v>2568</v>
      </c>
      <c r="D45" s="22"/>
      <c r="E45" s="31" t="str">
        <f aca="false">IF(AND(TVFloor=1,V_TVRO&gt;V_TVB),"RUN-OFF (reinvestment value-destroying)","Going concern")</f>
        <v>Going concern</v>
      </c>
    </row>
    <row r="46" customFormat="false" ht="15" hidden="false" customHeight="false" outlineLevel="0" collapsed="false">
      <c r="A46" s="107" t="s">
        <v>2569</v>
      </c>
      <c r="D46" s="22"/>
      <c r="E46" s="55" t="n">
        <f aca="false">INDEX($F$12:$AG$12,1,28)</f>
        <v>0.64237462945503</v>
      </c>
    </row>
    <row r="47" customFormat="false" ht="15" hidden="false" customHeight="false" outlineLevel="0" collapsed="false">
      <c r="A47" s="107" t="s">
        <v>2570</v>
      </c>
      <c r="D47" s="22"/>
      <c r="E47" s="109" t="n">
        <f aca="false">V_TV*V_DF28</f>
        <v>53464.5708424573</v>
      </c>
    </row>
    <row r="48" customFormat="false" ht="15" hidden="false" customHeight="false" outlineLevel="0" collapsed="false">
      <c r="A48" s="107" t="s">
        <v>2571</v>
      </c>
      <c r="D48" s="22"/>
      <c r="E48" s="109" t="n">
        <f aca="false">SUM($F$13:$AG$13)</f>
        <v>-40101.2582855358</v>
      </c>
    </row>
    <row r="49" customFormat="false" ht="15" hidden="false" customHeight="false" outlineLevel="0" collapsed="false">
      <c r="A49" s="107" t="s">
        <v>2572</v>
      </c>
      <c r="D49" s="22"/>
      <c r="E49" s="109" t="n">
        <f aca="false">INDEX(CF_DRBal,1,28)</f>
        <v>9626.64919661458</v>
      </c>
    </row>
    <row r="50" customFormat="false" ht="15" hidden="false" customHeight="false" outlineLevel="0" collapsed="false">
      <c r="A50" s="107" t="s">
        <v>2573</v>
      </c>
      <c r="D50" s="22"/>
      <c r="E50" s="109" t="n">
        <f aca="false">V_DR30*SUMPRODUCT((ROW($A$1:$A$120)&lt;=MAX(1,ROUND(DR_AmortQ/2,0)))/MAX(1,ROUND(DR_AmortQ/2,0))/(1+WACC)^(ROW($A$1:$A$120)/4))</f>
        <v>8575.56038378005</v>
      </c>
    </row>
    <row r="51" customFormat="false" ht="15" hidden="false" customHeight="false" outlineLevel="0" collapsed="false">
      <c r="A51" s="107" t="s">
        <v>2574</v>
      </c>
      <c r="D51" s="22" t="s">
        <v>2575</v>
      </c>
      <c r="E51" s="109" t="n">
        <f aca="false">-DRTermOn*V_DRPV*V_DF28</f>
        <v>-5508.72242389994</v>
      </c>
    </row>
    <row r="52" customFormat="false" ht="15" hidden="false" customHeight="false" outlineLevel="0" collapsed="false">
      <c r="A52" s="3" t="s">
        <v>2576</v>
      </c>
      <c r="D52" s="22"/>
      <c r="E52" s="115" t="n">
        <f aca="false">V_PVF+V_PVTV+V_DRAdj</f>
        <v>7854.59013302158</v>
      </c>
    </row>
    <row r="53" customFormat="false" ht="15" hidden="false" customHeight="false" outlineLevel="0" collapsed="false">
      <c r="A53" s="107" t="s">
        <v>2577</v>
      </c>
      <c r="D53" s="22" t="s">
        <v>2578</v>
      </c>
      <c r="E53" s="109" t="n">
        <f aca="false">0</f>
        <v>0</v>
      </c>
    </row>
    <row r="54" customFormat="false" ht="15" hidden="false" customHeight="false" outlineLevel="0" collapsed="false">
      <c r="A54" s="107" t="s">
        <v>2579</v>
      </c>
      <c r="D54" s="22" t="s">
        <v>2580</v>
      </c>
      <c r="E54" s="27" t="n">
        <f aca="false">(182.8-106.5)*2/AVERAGE(1577.5,4778.3,5975.2)</f>
        <v>0.0371259427459249</v>
      </c>
    </row>
    <row r="55" customFormat="false" ht="15" hidden="false" customHeight="false" outlineLevel="0" collapsed="false">
      <c r="A55" s="107" t="s">
        <v>2581</v>
      </c>
      <c r="D55" s="22"/>
      <c r="E55" s="25" t="n">
        <f aca="false">IF(V_EV&lt;&gt;0,V_PVTV/V_EV,0)</f>
        <v>6.80679321734258</v>
      </c>
    </row>
    <row r="56" customFormat="false" ht="15" hidden="false" customHeight="false" outlineLevel="0" collapsed="false">
      <c r="A56" s="107" t="s">
        <v>2582</v>
      </c>
      <c r="D56" s="22" t="s">
        <v>2583</v>
      </c>
      <c r="E56" s="109" t="n">
        <v>-1448.85130595877</v>
      </c>
    </row>
    <row r="57" customFormat="false" ht="15" hidden="false" customHeight="false" outlineLevel="0" collapsed="false">
      <c r="A57" s="107" t="s">
        <v>2584</v>
      </c>
      <c r="D57" s="22"/>
      <c r="E57" s="23" t="n">
        <v>0.01</v>
      </c>
    </row>
    <row r="58" customFormat="false" ht="15" hidden="false" customHeight="false" outlineLevel="0" collapsed="false">
      <c r="A58" s="107" t="s">
        <v>2585</v>
      </c>
      <c r="D58" s="22"/>
      <c r="E58" s="109" t="n">
        <v>7854.59013302158</v>
      </c>
    </row>
    <row r="59" customFormat="false" ht="15" hidden="false" customHeight="false" outlineLevel="0" collapsed="false">
      <c r="A59" s="107" t="s">
        <v>2586</v>
      </c>
      <c r="D59" s="22"/>
      <c r="E59" s="109" t="n">
        <v>125122.521479841</v>
      </c>
    </row>
    <row r="60" customFormat="false" ht="15" hidden="false" customHeight="false" outlineLevel="0" collapsed="false">
      <c r="A60" s="107" t="s">
        <v>2587</v>
      </c>
      <c r="D60" s="22"/>
      <c r="E60" s="109" t="n">
        <v>-32518.9990253506</v>
      </c>
    </row>
    <row r="61" customFormat="false" ht="15" hidden="false" customHeight="false" outlineLevel="0" collapsed="false">
      <c r="A61" s="107" t="s">
        <v>2588</v>
      </c>
      <c r="D61" s="22"/>
      <c r="E61" s="55" t="n">
        <v>0.750319556751226</v>
      </c>
    </row>
    <row r="62" customFormat="false" ht="15" hidden="false" customHeight="false" outlineLevel="0" collapsed="false">
      <c r="A62" s="107" t="s">
        <v>2589</v>
      </c>
      <c r="D62" s="22"/>
      <c r="E62" s="55" t="n">
        <v>0.750319556751226</v>
      </c>
    </row>
    <row r="63" customFormat="false" ht="15" hidden="false" customHeight="false" outlineLevel="0" collapsed="false">
      <c r="A63" s="107" t="s">
        <v>2590</v>
      </c>
      <c r="D63" s="22"/>
      <c r="E63" s="55" t="n">
        <v>0.750319556751226</v>
      </c>
    </row>
    <row r="65" customFormat="false" ht="15" hidden="false" customHeight="false" outlineLevel="0" collapsed="false">
      <c r="A65" s="58" t="s">
        <v>2591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</row>
    <row r="66" customFormat="false" ht="15" hidden="false" customHeight="false" outlineLevel="0" collapsed="false">
      <c r="A66" s="107" t="s">
        <v>2592</v>
      </c>
      <c r="D66" s="22"/>
      <c r="E66" s="24" t="n">
        <f aca="false">MATCH(ValDate,Q_End,1)</f>
        <v>11</v>
      </c>
    </row>
    <row r="67" customFormat="false" ht="15" hidden="false" customHeight="false" outlineLevel="0" collapsed="false">
      <c r="A67" s="107" t="s">
        <v>2593</v>
      </c>
      <c r="D67" s="22"/>
      <c r="E67" s="31" t="str">
        <f aca="false">INDEX(Q_Lab,1,V_Q)</f>
        <v>Q3'26</v>
      </c>
    </row>
    <row r="68" customFormat="false" ht="15" hidden="false" customHeight="false" outlineLevel="0" collapsed="false">
      <c r="A68" s="107" t="s">
        <v>2594</v>
      </c>
      <c r="D68" s="22" t="s">
        <v>2595</v>
      </c>
      <c r="E68" s="109" t="n">
        <f aca="false">INDEX(CF_NetDebt,1,V_Q)</f>
        <v>2084.31927716894</v>
      </c>
    </row>
    <row r="69" customFormat="false" ht="15" hidden="false" customHeight="false" outlineLevel="0" collapsed="false">
      <c r="A69" s="107" t="s">
        <v>2596</v>
      </c>
      <c r="D69" s="22"/>
      <c r="E69" s="109" t="n">
        <f aca="false">(CH_Lo+SOTPPt*(CH_Hi-CH_Lo))*(1-SOTP_Disc)</f>
        <v>2144.1375</v>
      </c>
    </row>
    <row r="70" customFormat="false" ht="15" hidden="false" customHeight="false" outlineLevel="0" collapsed="false">
      <c r="A70" s="107" t="s">
        <v>2597</v>
      </c>
      <c r="D70" s="22"/>
      <c r="E70" s="109" t="n">
        <f aca="false">(TO_Lo+SOTPPt*(TO_Hi-TO_Lo))*(1-SOTP_Disc)</f>
        <v>97.95</v>
      </c>
    </row>
    <row r="71" customFormat="false" ht="15" hidden="false" customHeight="false" outlineLevel="0" collapsed="false">
      <c r="A71" s="107" t="s">
        <v>2598</v>
      </c>
      <c r="D71" s="22"/>
      <c r="E71" s="109" t="n">
        <f aca="false">(AV_Lo+AVPt*(AV_Hi-AV_Lo))*(1-SOTP_Disc)</f>
        <v>0</v>
      </c>
    </row>
    <row r="72" customFormat="false" ht="15" hidden="false" customHeight="false" outlineLevel="0" collapsed="false">
      <c r="A72" s="107" t="s">
        <v>2599</v>
      </c>
      <c r="D72" s="22"/>
      <c r="E72" s="109" t="n">
        <f aca="false">Other_Val*(1-SOTP_Disc)</f>
        <v>12.225</v>
      </c>
    </row>
    <row r="73" customFormat="false" ht="15" hidden="false" customHeight="false" outlineLevel="0" collapsed="false">
      <c r="A73" s="107" t="s">
        <v>2600</v>
      </c>
      <c r="D73" s="22" t="s">
        <v>2601</v>
      </c>
      <c r="E73" s="109" t="n">
        <f aca="false">IF(AND(AVBurnOn=1,V_AV&gt;0),-AVBurnQ*(SUM($F$12:$AG$12)+4*(1+V_g)/(WACC-V_g)*V_DF28),0)</f>
        <v>0</v>
      </c>
    </row>
    <row r="74" customFormat="false" ht="15" hidden="false" customHeight="false" outlineLevel="0" collapsed="false">
      <c r="A74" s="3" t="s">
        <v>2602</v>
      </c>
      <c r="D74" s="22"/>
      <c r="E74" s="115" t="n">
        <f aca="false">V_CH+V_TO+V_AV+V_OT+V_AVAdd</f>
        <v>2254.3125</v>
      </c>
    </row>
    <row r="75" customFormat="false" ht="15" hidden="false" customHeight="false" outlineLevel="0" collapsed="false">
      <c r="A75" s="107" t="s">
        <v>2603</v>
      </c>
      <c r="D75" s="22"/>
      <c r="E75" s="109" t="n">
        <f aca="false">OffBS_Energy+OffBS_Lease+OpLease</f>
        <v>18995</v>
      </c>
    </row>
    <row r="76" customFormat="false" ht="15" hidden="false" customHeight="false" outlineLevel="0" collapsed="false">
      <c r="A76" s="107" t="s">
        <v>2604</v>
      </c>
      <c r="D76" s="22"/>
      <c r="E76" s="36" t="n">
        <f aca="false">INDEX(Sh_Dil,1,V_Q)</f>
        <v>314.925245</v>
      </c>
    </row>
    <row r="78" customFormat="false" ht="15" hidden="false" customHeight="false" outlineLevel="0" collapsed="false">
      <c r="A78" s="58" t="s">
        <v>2605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</row>
    <row r="79" customFormat="false" ht="15" hidden="false" customHeight="false" outlineLevel="0" collapsed="false">
      <c r="A79" s="3" t="s">
        <v>2606</v>
      </c>
      <c r="E79" s="3" t="s">
        <v>2607</v>
      </c>
      <c r="F79" s="3" t="s">
        <v>2400</v>
      </c>
      <c r="G79" s="3" t="s">
        <v>2608</v>
      </c>
      <c r="H79" s="3" t="s">
        <v>2609</v>
      </c>
      <c r="I79" s="3" t="s">
        <v>2610</v>
      </c>
      <c r="J79" s="3" t="s">
        <v>2611</v>
      </c>
    </row>
    <row r="80" customFormat="false" ht="15" hidden="false" customHeight="false" outlineLevel="0" collapsed="false">
      <c r="A80" s="0" t="s">
        <v>2265</v>
      </c>
      <c r="E80" s="36" t="n">
        <f aca="false">INDEX(CVo_0,1,V_Q)</f>
        <v>87.5</v>
      </c>
      <c r="F80" s="36" t="n">
        <f aca="false">IF(CVDebtBasis=3,INDEX(CVc_0,1,V_Q),INDEX(CVb_0,1,V_Q))</f>
        <v>91.5428546743205</v>
      </c>
      <c r="G80" s="49" t="n">
        <f aca="false">INDEX(CV_Rate,1)</f>
        <v>19.4363</v>
      </c>
      <c r="H80" s="23" t="n">
        <f aca="false">INDEX(CV_Px,1)</f>
        <v>51.4501216795378</v>
      </c>
      <c r="I80" s="36" t="n">
        <f aca="false">INDEX(CVo_0,1,FP_PostQ)</f>
        <v>87.5</v>
      </c>
      <c r="J80" s="36" t="n">
        <f aca="false">IF(CVDebtBasis=3,INDEX(CVc_0,1,FP_PostQ),INDEX(CVb_0,1,FP_PostQ))</f>
        <v>96.8251397141519</v>
      </c>
    </row>
    <row r="81" customFormat="false" ht="15" hidden="false" customHeight="false" outlineLevel="0" collapsed="false">
      <c r="A81" s="0" t="s">
        <v>2268</v>
      </c>
      <c r="E81" s="36" t="n">
        <f aca="false">INDEX(CVo_1,1,V_Q)</f>
        <v>87.5</v>
      </c>
      <c r="F81" s="36" t="n">
        <f aca="false">IF(CVDebtBasis=3,INDEX(CVc_1,1,V_Q),INDEX(CVb_1,1,V_Q))</f>
        <v>90.3641810308848</v>
      </c>
      <c r="G81" s="49" t="n">
        <f aca="false">INDEX(CV_Rate,2)</f>
        <v>19.4363</v>
      </c>
      <c r="H81" s="23" t="n">
        <f aca="false">INDEX(CV_Px,2)</f>
        <v>51.4501216795378</v>
      </c>
      <c r="I81" s="36" t="n">
        <f aca="false">INDEX(CVo_1,1,FP_PostQ)</f>
        <v>87.5</v>
      </c>
      <c r="J81" s="36" t="n">
        <f aca="false">IF(CVDebtBasis=3,INDEX(CVc_1,1,FP_PostQ),INDEX(CVb_1,1,FP_PostQ))</f>
        <v>94.8734225375626</v>
      </c>
    </row>
    <row r="82" customFormat="false" ht="15" hidden="false" customHeight="false" outlineLevel="0" collapsed="false">
      <c r="A82" s="0" t="s">
        <v>2270</v>
      </c>
      <c r="E82" s="36" t="n">
        <f aca="false">INDEX(CVo_2,1,V_Q)</f>
        <v>1581.25</v>
      </c>
      <c r="F82" s="36" t="n">
        <f aca="false">IF(CVDebtBasis=3,INDEX(CVc_2,1,V_Q),INDEX(CVb_2,1,V_Q))</f>
        <v>1601.9719522513</v>
      </c>
      <c r="G82" s="49" t="n">
        <f aca="false">INDEX(CV_Rate,3)</f>
        <v>7.2072</v>
      </c>
      <c r="H82" s="23" t="n">
        <f aca="false">INDEX(CV_Px,3)</f>
        <v>138.750138750139</v>
      </c>
      <c r="I82" s="36" t="n">
        <f aca="false">INDEX(CVo_2,1,FP_PostQ)</f>
        <v>1581.25</v>
      </c>
      <c r="J82" s="36" t="n">
        <f aca="false">IF(CVDebtBasis=3,INDEX(CVc_2,1,FP_PostQ),INDEX(CVb_2,1,FP_PostQ))</f>
        <v>1670.38464611102</v>
      </c>
    </row>
    <row r="83" customFormat="false" ht="15" hidden="false" customHeight="false" outlineLevel="0" collapsed="false">
      <c r="A83" s="0" t="s">
        <v>2272</v>
      </c>
      <c r="E83" s="36" t="n">
        <f aca="false">INDEX(CVo_3,1,V_Q)</f>
        <v>1581.25</v>
      </c>
      <c r="F83" s="36" t="n">
        <f aca="false">IF(CVDebtBasis=3,INDEX(CVc_3,1,V_Q),INDEX(CVb_3,1,V_Q))</f>
        <v>1584.8698840541</v>
      </c>
      <c r="G83" s="49" t="n">
        <f aca="false">INDEX(CV_Rate,4)</f>
        <v>7.2072</v>
      </c>
      <c r="H83" s="23" t="n">
        <f aca="false">INDEX(CV_Px,4)</f>
        <v>138.750138750139</v>
      </c>
      <c r="I83" s="36" t="n">
        <f aca="false">INDEX(CVo_3,1,FP_PostQ)</f>
        <v>1581.25</v>
      </c>
      <c r="J83" s="36" t="n">
        <f aca="false">IF(CVDebtBasis=3,INDEX(CVc_3,1,FP_PostQ),INDEX(CVb_3,1,FP_PostQ))</f>
        <v>1633.90084431468</v>
      </c>
    </row>
    <row r="84" customFormat="false" ht="15" hidden="false" customHeight="false" outlineLevel="0" collapsed="false">
      <c r="A84" s="0" t="s">
        <v>2273</v>
      </c>
      <c r="E84" s="36" t="n">
        <f aca="false">INDEX(CVo_4,1,V_Q)</f>
        <v>2587.5</v>
      </c>
      <c r="F84" s="36" t="n">
        <f aca="false">IF(CVDebtBasis=3,INDEX(CVc_4,1,V_Q),INDEX(CVb_4,1,V_Q))</f>
        <v>2616.23716786649</v>
      </c>
      <c r="G84" s="49" t="n">
        <f aca="false">INDEX(CV_Rate,5)</f>
        <v>5.4579</v>
      </c>
      <c r="H84" s="23" t="n">
        <f aca="false">INDEX(CV_Px,5)</f>
        <v>183.220652631965</v>
      </c>
      <c r="I84" s="36" t="n">
        <f aca="false">INDEX(CVo_4,1,FP_PostQ)</f>
        <v>2587.5</v>
      </c>
      <c r="J84" s="36" t="n">
        <f aca="false">IF(CVDebtBasis=3,INDEX(CVc_4,1,FP_PostQ),INDEX(CVb_4,1,FP_PostQ))</f>
        <v>2753.52334751309</v>
      </c>
    </row>
    <row r="85" customFormat="false" ht="15" hidden="false" customHeight="false" outlineLevel="0" collapsed="false">
      <c r="A85" s="0" t="s">
        <v>2275</v>
      </c>
      <c r="E85" s="36" t="n">
        <f aca="false">INDEX(CVo_5,1,V_Q)</f>
        <v>1750</v>
      </c>
      <c r="F85" s="36" t="n">
        <f aca="false">IF(CVDebtBasis=3,INDEX(CVc_5,1,V_Q),INDEX(CVb_5,1,V_Q))</f>
        <v>1758.04115571429</v>
      </c>
      <c r="G85" s="49" t="n">
        <f aca="false">INDEX(CV_Rate,6)</f>
        <v>5.546</v>
      </c>
      <c r="H85" s="23" t="n">
        <f aca="false">INDEX(CV_Px,6)</f>
        <v>180.310133429499</v>
      </c>
      <c r="I85" s="36" t="n">
        <f aca="false">INDEX(CVo_5,1,FP_PostQ)</f>
        <v>1750</v>
      </c>
      <c r="J85" s="36" t="n">
        <f aca="false">IF(CVDebtBasis=3,INDEX(CVc_5,1,FP_PostQ),INDEX(CVb_5,1,FP_PostQ))</f>
        <v>1824.31562214286</v>
      </c>
    </row>
    <row r="86" customFormat="false" ht="15" hidden="false" customHeight="false" outlineLevel="0" collapsed="false">
      <c r="A86" s="0" t="s">
        <v>2277</v>
      </c>
      <c r="E86" s="36" t="n">
        <f aca="false">INDEX(CVo_6,1,V_Q)</f>
        <v>3450</v>
      </c>
      <c r="F86" s="36" t="n">
        <f aca="false">IF(CVDebtBasis=3,INDEX(CVc_6,1,V_Q),INDEX(CVb_6,1,V_Q))</f>
        <v>3460.04327301338</v>
      </c>
      <c r="G86" s="49" t="n">
        <f aca="false">INDEX(CV_Rate,7)</f>
        <v>3.1902</v>
      </c>
      <c r="H86" s="23" t="n">
        <f aca="false">INDEX(CV_Px,7)</f>
        <v>313.459971161683</v>
      </c>
      <c r="I86" s="36" t="n">
        <f aca="false">INDEX(CVo_6,1,FP_PostQ)</f>
        <v>3450</v>
      </c>
      <c r="J86" s="36" t="n">
        <f aca="false">IF(CVDebtBasis=3,INDEX(CVc_6,1,FP_PostQ),INDEX(CVb_6,1,FP_PostQ))</f>
        <v>3584.09126671912</v>
      </c>
    </row>
    <row r="87" customFormat="false" ht="15" hidden="false" customHeight="false" outlineLevel="0" collapsed="false">
      <c r="A87" s="0" t="s">
        <v>2279</v>
      </c>
      <c r="E87" s="36" t="n">
        <f aca="false">INDEX(CVo_7,1,V_Q)</f>
        <v>2300</v>
      </c>
      <c r="F87" s="36" t="n">
        <f aca="false">IF(CVDebtBasis=3,INDEX(CVc_7,1,V_Q),INDEX(CVb_7,1,V_Q))</f>
        <v>2307.78733528551</v>
      </c>
      <c r="G87" s="49" t="n">
        <f aca="false">INDEX(CV_Rate,8)</f>
        <v>3.0802</v>
      </c>
      <c r="H87" s="23" t="n">
        <f aca="false">INDEX(CV_Px,8)</f>
        <v>324.654243230959</v>
      </c>
      <c r="I87" s="36" t="n">
        <f aca="false">INDEX(CVo_7,1,FP_PostQ)</f>
        <v>2300</v>
      </c>
      <c r="J87" s="36" t="n">
        <f aca="false">IF(CVDebtBasis=3,INDEX(CVc_7,1,FP_PostQ),INDEX(CVb_7,1,FP_PostQ))</f>
        <v>2403.97144948756</v>
      </c>
    </row>
    <row r="88" customFormat="false" ht="15" hidden="false" customHeight="false" outlineLevel="0" collapsed="false">
      <c r="A88" s="0" t="s">
        <v>2281</v>
      </c>
      <c r="E88" s="36" t="n">
        <f aca="false">INDEX(CVo_8,1,V_Q)</f>
        <v>0</v>
      </c>
      <c r="F88" s="36" t="n">
        <f aca="false">IF(CVDebtBasis=3,INDEX(CVc_8,1,V_Q),INDEX(CVb_8,1,V_Q))</f>
        <v>0</v>
      </c>
      <c r="G88" s="49" t="n">
        <f aca="false">INDEX(CV_Rate,9)</f>
        <v>2.94174751569422</v>
      </c>
      <c r="H88" s="23" t="n">
        <f aca="false">INDEX(CV_Px,9)</f>
        <v>339.934</v>
      </c>
      <c r="I88" s="36" t="n">
        <f aca="false">INDEX(CVo_8,1,FP_PostQ)</f>
        <v>3840</v>
      </c>
      <c r="J88" s="36" t="n">
        <f aca="false">IF(CVDebtBasis=3,INDEX(CVc_8,1,FP_PostQ),INDEX(CVb_8,1,FP_PostQ))</f>
        <v>3936.22552858262</v>
      </c>
    </row>
    <row r="89" customFormat="false" ht="15" hidden="false" customHeight="false" outlineLevel="0" collapsed="false">
      <c r="A89" s="0" t="s">
        <v>2283</v>
      </c>
      <c r="E89" s="36" t="n">
        <f aca="false">INDEX(CVo_9,1,V_Q)</f>
        <v>0</v>
      </c>
      <c r="F89" s="36" t="n">
        <f aca="false">IF(CVDebtBasis=3,INDEX(CVc_9,1,V_Q),INDEX(CVb_9,1,V_Q))</f>
        <v>0</v>
      </c>
      <c r="G89" s="49" t="n">
        <f aca="false">INDEX(CV_Rate,10)</f>
        <v>2.84030794618753</v>
      </c>
      <c r="H89" s="23" t="n">
        <f aca="false">INDEX(CV_Px,10)</f>
        <v>352.0745</v>
      </c>
      <c r="I89" s="36" t="n">
        <f aca="false">INDEX(CVo_9,1,FP_PostQ)</f>
        <v>2560</v>
      </c>
      <c r="J89" s="36" t="n">
        <f aca="false">IF(CVDebtBasis=3,INDEX(CVc_9,1,FP_PostQ),INDEX(CVb_9,1,FP_PostQ))</f>
        <v>2634.79912344777</v>
      </c>
    </row>
    <row r="90" customFormat="false" ht="15" hidden="false" customHeight="false" outlineLevel="0" collapsed="false">
      <c r="A90" s="0" t="s">
        <v>2284</v>
      </c>
      <c r="E90" s="36" t="n">
        <f aca="false">INDEX(CVo_10,1,V_Q)</f>
        <v>0</v>
      </c>
      <c r="F90" s="36" t="n">
        <f aca="false">IF(CVDebtBasis=3,INDEX(CVc_10,1,V_Q),INDEX(CVb_10,1,V_Q))</f>
        <v>0</v>
      </c>
      <c r="G90" s="49" t="n">
        <f aca="false">INDEX(CV_Rate,11)</f>
        <v>2.94174751569422</v>
      </c>
      <c r="H90" s="23" t="n">
        <f aca="false">INDEX(CV_Px,11)</f>
        <v>339.934</v>
      </c>
      <c r="I90" s="36" t="n">
        <f aca="false">INDEX(CVo_10,1,FP_PostQ)</f>
        <v>3840</v>
      </c>
      <c r="J90" s="36" t="n">
        <f aca="false">IF(CVDebtBasis=3,INDEX(CVc_10,1,FP_PostQ),INDEX(CVb_10,1,FP_PostQ))</f>
        <v>3881.7</v>
      </c>
    </row>
    <row r="91" customFormat="false" ht="15" hidden="false" customHeight="false" outlineLevel="0" collapsed="false">
      <c r="A91" s="0" t="s">
        <v>2285</v>
      </c>
      <c r="E91" s="36" t="n">
        <f aca="false">INDEX(CVo_11,1,V_Q)</f>
        <v>0</v>
      </c>
      <c r="F91" s="36" t="n">
        <f aca="false">IF(CVDebtBasis=3,INDEX(CVc_11,1,V_Q),INDEX(CVb_11,1,V_Q))</f>
        <v>0</v>
      </c>
      <c r="G91" s="49" t="n">
        <f aca="false">INDEX(CV_Rate,12)</f>
        <v>2.84030794618753</v>
      </c>
      <c r="H91" s="23" t="n">
        <f aca="false">INDEX(CV_Px,12)</f>
        <v>352.0745</v>
      </c>
      <c r="I91" s="36" t="n">
        <f aca="false">INDEX(CVo_11,1,FP_PostQ)</f>
        <v>2560</v>
      </c>
      <c r="J91" s="36" t="n">
        <f aca="false">IF(CVDebtBasis=3,INDEX(CVc_11,1,FP_PostQ),INDEX(CVb_11,1,FP_PostQ))</f>
        <v>2592.45530828165</v>
      </c>
    </row>
    <row r="92" customFormat="false" ht="15" hidden="false" customHeight="false" outlineLevel="0" collapsed="false">
      <c r="A92" s="107" t="s">
        <v>2612</v>
      </c>
      <c r="D92" s="22"/>
      <c r="E92" s="109" t="n">
        <f aca="false">INDEX(CF_Cash,1,V_Q)</f>
        <v>11534.2630996318</v>
      </c>
    </row>
    <row r="93" customFormat="false" ht="15" hidden="false" customHeight="false" outlineLevel="0" collapsed="false">
      <c r="A93" s="107" t="s">
        <v>2613</v>
      </c>
      <c r="D93" s="22"/>
      <c r="E93" s="109" t="n">
        <f aca="false">INDEX(Sec_Bal,1,V_Q)+INDEX(CF_PlugBal,1,V_Q)+DRRefPct*INDEX(CF_DRBal,1,V_Q)</f>
        <v>0</v>
      </c>
    </row>
    <row r="94" customFormat="false" ht="15" hidden="false" customHeight="false" outlineLevel="0" collapsed="false">
      <c r="A94" s="107" t="s">
        <v>2614</v>
      </c>
      <c r="D94" s="22" t="s">
        <v>2615</v>
      </c>
      <c r="E94" s="47" t="n">
        <f aca="false">INDEX(Sh_EconBasic,1,V_Q)</f>
        <v>308.691154</v>
      </c>
    </row>
    <row r="95" customFormat="false" ht="15" hidden="false" customHeight="false" outlineLevel="0" collapsed="false">
      <c r="A95" s="107" t="s">
        <v>2616</v>
      </c>
      <c r="D95" s="22"/>
      <c r="E95" s="47" t="n">
        <f aca="false">RSU+EigenIn*Eigen</f>
        <v>6.234091</v>
      </c>
    </row>
    <row r="96" customFormat="false" ht="15" hidden="false" customHeight="false" outlineLevel="0" collapsed="false">
      <c r="A96" s="3" t="s">
        <v>2617</v>
      </c>
      <c r="E96" s="3" t="s">
        <v>2618</v>
      </c>
      <c r="F96" s="3" t="s">
        <v>2619</v>
      </c>
      <c r="G96" s="3" t="s">
        <v>2620</v>
      </c>
    </row>
    <row r="97" customFormat="false" ht="15" hidden="false" customHeight="false" outlineLevel="0" collapsed="false">
      <c r="A97" s="0" t="s">
        <v>2621</v>
      </c>
      <c r="E97" s="25" t="n">
        <f aca="false">0</f>
        <v>0</v>
      </c>
      <c r="F97" s="25" t="n">
        <f aca="false">OffBSWt</f>
        <v>0.5</v>
      </c>
      <c r="G97" s="25" t="n">
        <f aca="false">1</f>
        <v>1</v>
      </c>
    </row>
    <row r="98" customFormat="false" ht="15" hidden="false" customHeight="false" outlineLevel="0" collapsed="false">
      <c r="A98" s="0" t="s">
        <v>2622</v>
      </c>
      <c r="E98" s="23" t="n">
        <f aca="false">SharePx</f>
        <v>242.81</v>
      </c>
      <c r="F98" s="23" t="n">
        <f aca="false">SharePx</f>
        <v>242.81</v>
      </c>
      <c r="G98" s="23" t="n">
        <f aca="false">SharePx</f>
        <v>242.81</v>
      </c>
    </row>
    <row r="99" customFormat="false" ht="15" hidden="false" customHeight="false" outlineLevel="0" collapsed="false">
      <c r="A99" s="0" t="s">
        <v>2623</v>
      </c>
      <c r="E99" s="23" t="n">
        <f aca="false">MAX(0.01,(V_EV-E$97*V_OFF-V_ODEBT-CHOOSE(DilMethod,0,SUMPRODUCT((E98&lt;=$H$80:$H$91)*((CVDebtBasis=1)*$E$80:$E$91+(CVDebtBasis&gt;=2)*$F$80:$F$91)),SUMPRODUCT(((CVDebtBasis=1)*$E$80:$E$91+(CVDebtBasis&gt;=2)*$F$80:$F$91)))+V_CASH+V_SOTP)/(V_BASIC+V_RSU+Options*MAX(0,1-OptK/E98)+CHOOSE(DilMethod,SUMPRODUCT($E$80:$E$91,$G$80:$G$91)/1000,SUMPRODUCT((E98&gt;$H$80:$H$91)*$E$80:$E$91*$G$80:$G$91)/1000,SUMPRODUCT((($E$80:$E$91*$G$80:$G$91/1000*E98-((CVDebtBasis=1)*$E$80:$E$91+(CVDebtBasis&gt;=2)*$F$80:$F$91))&gt;0)*($E$80:$E$91*$G$80:$G$91/1000*E98-((CVDebtBasis=1)*$E$80:$E$91+(CVDebtBasis&gt;=2)*$F$80:$F$91)))/E98)))</f>
        <v>42.9961628110628</v>
      </c>
      <c r="F99" s="23" t="n">
        <f aca="false">MAX(0.01,(V_EV-F$97*V_OFF-V_ODEBT-CHOOSE(DilMethod,0,SUMPRODUCT((F98&lt;=$H$80:$H$91)*((CVDebtBasis=1)*$E$80:$E$91+(CVDebtBasis&gt;=2)*$F$80:$F$91)),SUMPRODUCT(((CVDebtBasis=1)*$E$80:$E$91+(CVDebtBasis&gt;=2)*$F$80:$F$91)))+V_CASH+V_SOTP)/(V_BASIC+V_RSU+Options*MAX(0,1-OptK/F98)+CHOOSE(DilMethod,SUMPRODUCT($E$80:$E$91,$G$80:$G$91)/1000,SUMPRODUCT((F98&gt;$H$80:$H$91)*$E$80:$E$91*$G$80:$G$91)/1000,SUMPRODUCT((($E$80:$E$91*$G$80:$G$91/1000*F98-((CVDebtBasis=1)*$E$80:$E$91+(CVDebtBasis&gt;=2)*$F$80:$F$91))&gt;0)*($E$80:$E$91*$G$80:$G$91/1000*F98-((CVDebtBasis=1)*$E$80:$E$91+(CVDebtBasis&gt;=2)*$F$80:$F$91)))/F98)))</f>
        <v>17.2734896769627</v>
      </c>
      <c r="G99" s="23" t="n">
        <f aca="false">MAX(0.01,(V_EV-G$97*V_OFF-V_ODEBT-CHOOSE(DilMethod,0,SUMPRODUCT((G98&lt;=$H$80:$H$91)*((CVDebtBasis=1)*$E$80:$E$91+(CVDebtBasis&gt;=2)*$F$80:$F$91)),SUMPRODUCT(((CVDebtBasis=1)*$E$80:$E$91+(CVDebtBasis&gt;=2)*$F$80:$F$91)))+V_CASH+V_SOTP)/(V_BASIC+V_RSU+Options*MAX(0,1-OptK/G98)+CHOOSE(DilMethod,SUMPRODUCT($E$80:$E$91,$G$80:$G$91)/1000,SUMPRODUCT((G98&gt;$H$80:$H$91)*$E$80:$E$91*$G$80:$G$91)/1000,SUMPRODUCT((($E$80:$E$91*$G$80:$G$91/1000*G98-((CVDebtBasis=1)*$E$80:$E$91+(CVDebtBasis&gt;=2)*$F$80:$F$91))&gt;0)*($E$80:$E$91*$G$80:$G$91/1000*G98-((CVDebtBasis=1)*$E$80:$E$91+(CVDebtBasis&gt;=2)*$F$80:$F$91)))/G98)))</f>
        <v>0.01</v>
      </c>
    </row>
    <row r="100" customFormat="false" ht="15" hidden="false" customHeight="false" outlineLevel="0" collapsed="false">
      <c r="A100" s="0" t="s">
        <v>2624</v>
      </c>
      <c r="E100" s="23" t="n">
        <f aca="false">MAX(0.01,(V_EV-E$97*V_OFF-V_ODEBT-CHOOSE(DilMethod,0,SUMPRODUCT((E99&lt;=$H$80:$H$91)*((CVDebtBasis=1)*$E$80:$E$91+(CVDebtBasis&gt;=2)*$F$80:$F$91)),SUMPRODUCT(((CVDebtBasis=1)*$E$80:$E$91+(CVDebtBasis&gt;=2)*$F$80:$F$91)))+V_CASH+V_SOTP)/(V_BASIC+V_RSU+Options*MAX(0,1-OptK/E99)+CHOOSE(DilMethod,SUMPRODUCT($E$80:$E$91,$G$80:$G$91)/1000,SUMPRODUCT((E99&gt;$H$80:$H$91)*$E$80:$E$91*$G$80:$G$91)/1000,SUMPRODUCT((($E$80:$E$91*$G$80:$G$91/1000*E99-((CVDebtBasis=1)*$E$80:$E$91+(CVDebtBasis&gt;=2)*$F$80:$F$91))&gt;0)*($E$80:$E$91*$G$80:$G$91/1000*E99-((CVDebtBasis=1)*$E$80:$E$91+(CVDebtBasis&gt;=2)*$F$80:$F$91)))/E99)))</f>
        <v>25.8229788112513</v>
      </c>
      <c r="F100" s="23" t="n">
        <f aca="false">MAX(0.01,(V_EV-F$97*V_OFF-V_ODEBT-CHOOSE(DilMethod,0,SUMPRODUCT((F99&lt;=$H$80:$H$91)*((CVDebtBasis=1)*$E$80:$E$91+(CVDebtBasis&gt;=2)*$F$80:$F$91)),SUMPRODUCT(((CVDebtBasis=1)*$E$80:$E$91+(CVDebtBasis&gt;=2)*$F$80:$F$91)))+V_CASH+V_SOTP)/(V_BASIC+V_RSU+Options*MAX(0,1-OptK/F99)+CHOOSE(DilMethod,SUMPRODUCT($E$80:$E$91,$G$80:$G$91)/1000,SUMPRODUCT((F99&gt;$H$80:$H$91)*$E$80:$E$91*$G$80:$G$91)/1000,SUMPRODUCT((($E$80:$E$91*$G$80:$G$91/1000*F99-((CVDebtBasis=1)*$E$80:$E$91+(CVDebtBasis&gt;=2)*$F$80:$F$91))&gt;0)*($E$80:$E$91*$G$80:$G$91/1000*F99-((CVDebtBasis=1)*$E$80:$E$91+(CVDebtBasis&gt;=2)*$F$80:$F$91)))/F99)))</f>
        <v>0.01</v>
      </c>
      <c r="G100" s="23" t="n">
        <f aca="false">MAX(0.01,(V_EV-G$97*V_OFF-V_ODEBT-CHOOSE(DilMethod,0,SUMPRODUCT((G99&lt;=$H$80:$H$91)*((CVDebtBasis=1)*$E$80:$E$91+(CVDebtBasis&gt;=2)*$F$80:$F$91)),SUMPRODUCT(((CVDebtBasis=1)*$E$80:$E$91+(CVDebtBasis&gt;=2)*$F$80:$F$91)))+V_CASH+V_SOTP)/(V_BASIC+V_RSU+Options*MAX(0,1-OptK/G99)+CHOOSE(DilMethod,SUMPRODUCT($E$80:$E$91,$G$80:$G$91)/1000,SUMPRODUCT((G99&gt;$H$80:$H$91)*$E$80:$E$91*$G$80:$G$91)/1000,SUMPRODUCT((($E$80:$E$91*$G$80:$G$91/1000*G99-((CVDebtBasis=1)*$E$80:$E$91+(CVDebtBasis&gt;=2)*$F$80:$F$91))&gt;0)*($E$80:$E$91*$G$80:$G$91/1000*G99-((CVDebtBasis=1)*$E$80:$E$91+(CVDebtBasis&gt;=2)*$F$80:$F$91)))/G99)))</f>
        <v>0.01</v>
      </c>
    </row>
    <row r="101" customFormat="false" ht="15" hidden="false" customHeight="false" outlineLevel="0" collapsed="false">
      <c r="A101" s="0" t="s">
        <v>2625</v>
      </c>
      <c r="E101" s="23" t="n">
        <f aca="false">MAX(0.01,(V_EV-E$97*V_OFF-V_ODEBT-CHOOSE(DilMethod,0,SUMPRODUCT((E100&lt;=$H$80:$H$91)*((CVDebtBasis=1)*$E$80:$E$91+(CVDebtBasis&gt;=2)*$F$80:$F$91)),SUMPRODUCT(((CVDebtBasis=1)*$E$80:$E$91+(CVDebtBasis&gt;=2)*$F$80:$F$91)))+V_CASH+V_SOTP)/(V_BASIC+V_RSU+Options*MAX(0,1-OptK/E100)+CHOOSE(DilMethod,SUMPRODUCT($E$80:$E$91,$G$80:$G$91)/1000,SUMPRODUCT((E100&gt;$H$80:$H$91)*$E$80:$E$91*$G$80:$G$91)/1000,SUMPRODUCT((($E$80:$E$91*$G$80:$G$91/1000*E100-((CVDebtBasis=1)*$E$80:$E$91+(CVDebtBasis&gt;=2)*$F$80:$F$91))&gt;0)*($E$80:$E$91*$G$80:$G$91/1000*E100-((CVDebtBasis=1)*$E$80:$E$91+(CVDebtBasis&gt;=2)*$F$80:$F$91)))/E100)))</f>
        <v>25.8229788112513</v>
      </c>
      <c r="F101" s="23" t="n">
        <f aca="false">MAX(0.01,(V_EV-F$97*V_OFF-V_ODEBT-CHOOSE(DilMethod,0,SUMPRODUCT((F100&lt;=$H$80:$H$91)*((CVDebtBasis=1)*$E$80:$E$91+(CVDebtBasis&gt;=2)*$F$80:$F$91)),SUMPRODUCT(((CVDebtBasis=1)*$E$80:$E$91+(CVDebtBasis&gt;=2)*$F$80:$F$91)))+V_CASH+V_SOTP)/(V_BASIC+V_RSU+Options*MAX(0,1-OptK/F100)+CHOOSE(DilMethod,SUMPRODUCT($E$80:$E$91,$G$80:$G$91)/1000,SUMPRODUCT((F100&gt;$H$80:$H$91)*$E$80:$E$91*$G$80:$G$91)/1000,SUMPRODUCT((($E$80:$E$91*$G$80:$G$91/1000*F100-((CVDebtBasis=1)*$E$80:$E$91+(CVDebtBasis&gt;=2)*$F$80:$F$91))&gt;0)*($E$80:$E$91*$G$80:$G$91/1000*F100-((CVDebtBasis=1)*$E$80:$E$91+(CVDebtBasis&gt;=2)*$F$80:$F$91)))/F100)))</f>
        <v>0.01</v>
      </c>
      <c r="G101" s="23" t="n">
        <f aca="false">MAX(0.01,(V_EV-G$97*V_OFF-V_ODEBT-CHOOSE(DilMethod,0,SUMPRODUCT((G100&lt;=$H$80:$H$91)*((CVDebtBasis=1)*$E$80:$E$91+(CVDebtBasis&gt;=2)*$F$80:$F$91)),SUMPRODUCT(((CVDebtBasis=1)*$E$80:$E$91+(CVDebtBasis&gt;=2)*$F$80:$F$91)))+V_CASH+V_SOTP)/(V_BASIC+V_RSU+Options*MAX(0,1-OptK/G100)+CHOOSE(DilMethod,SUMPRODUCT($E$80:$E$91,$G$80:$G$91)/1000,SUMPRODUCT((G100&gt;$H$80:$H$91)*$E$80:$E$91*$G$80:$G$91)/1000,SUMPRODUCT((($E$80:$E$91*$G$80:$G$91/1000*G100-((CVDebtBasis=1)*$E$80:$E$91+(CVDebtBasis&gt;=2)*$F$80:$F$91))&gt;0)*($E$80:$E$91*$G$80:$G$91/1000*G100-((CVDebtBasis=1)*$E$80:$E$91+(CVDebtBasis&gt;=2)*$F$80:$F$91)))/G100)))</f>
        <v>0.01</v>
      </c>
    </row>
    <row r="102" customFormat="false" ht="15" hidden="false" customHeight="false" outlineLevel="0" collapsed="false">
      <c r="A102" s="0" t="s">
        <v>2626</v>
      </c>
      <c r="E102" s="23" t="n">
        <f aca="false">MAX(0.01,(V_EV-E$97*V_OFF-V_ODEBT-CHOOSE(DilMethod,0,SUMPRODUCT((E101&lt;=$H$80:$H$91)*((CVDebtBasis=1)*$E$80:$E$91+(CVDebtBasis&gt;=2)*$F$80:$F$91)),SUMPRODUCT(((CVDebtBasis=1)*$E$80:$E$91+(CVDebtBasis&gt;=2)*$F$80:$F$91)))+V_CASH+V_SOTP)/(V_BASIC+V_RSU+Options*MAX(0,1-OptK/E101)+CHOOSE(DilMethod,SUMPRODUCT($E$80:$E$91,$G$80:$G$91)/1000,SUMPRODUCT((E101&gt;$H$80:$H$91)*$E$80:$E$91*$G$80:$G$91)/1000,SUMPRODUCT((($E$80:$E$91*$G$80:$G$91/1000*E101-((CVDebtBasis=1)*$E$80:$E$91+(CVDebtBasis&gt;=2)*$F$80:$F$91))&gt;0)*($E$80:$E$91*$G$80:$G$91/1000*E101-((CVDebtBasis=1)*$E$80:$E$91+(CVDebtBasis&gt;=2)*$F$80:$F$91)))/E101)))</f>
        <v>25.8229788112513</v>
      </c>
      <c r="F102" s="23" t="n">
        <f aca="false">MAX(0.01,(V_EV-F$97*V_OFF-V_ODEBT-CHOOSE(DilMethod,0,SUMPRODUCT((F101&lt;=$H$80:$H$91)*((CVDebtBasis=1)*$E$80:$E$91+(CVDebtBasis&gt;=2)*$F$80:$F$91)),SUMPRODUCT(((CVDebtBasis=1)*$E$80:$E$91+(CVDebtBasis&gt;=2)*$F$80:$F$91)))+V_CASH+V_SOTP)/(V_BASIC+V_RSU+Options*MAX(0,1-OptK/F101)+CHOOSE(DilMethod,SUMPRODUCT($E$80:$E$91,$G$80:$G$91)/1000,SUMPRODUCT((F101&gt;$H$80:$H$91)*$E$80:$E$91*$G$80:$G$91)/1000,SUMPRODUCT((($E$80:$E$91*$G$80:$G$91/1000*F101-((CVDebtBasis=1)*$E$80:$E$91+(CVDebtBasis&gt;=2)*$F$80:$F$91))&gt;0)*($E$80:$E$91*$G$80:$G$91/1000*F101-((CVDebtBasis=1)*$E$80:$E$91+(CVDebtBasis&gt;=2)*$F$80:$F$91)))/F101)))</f>
        <v>0.01</v>
      </c>
      <c r="G102" s="23" t="n">
        <f aca="false">MAX(0.01,(V_EV-G$97*V_OFF-V_ODEBT-CHOOSE(DilMethod,0,SUMPRODUCT((G101&lt;=$H$80:$H$91)*((CVDebtBasis=1)*$E$80:$E$91+(CVDebtBasis&gt;=2)*$F$80:$F$91)),SUMPRODUCT(((CVDebtBasis=1)*$E$80:$E$91+(CVDebtBasis&gt;=2)*$F$80:$F$91)))+V_CASH+V_SOTP)/(V_BASIC+V_RSU+Options*MAX(0,1-OptK/G101)+CHOOSE(DilMethod,SUMPRODUCT($E$80:$E$91,$G$80:$G$91)/1000,SUMPRODUCT((G101&gt;$H$80:$H$91)*$E$80:$E$91*$G$80:$G$91)/1000,SUMPRODUCT((($E$80:$E$91*$G$80:$G$91/1000*G101-((CVDebtBasis=1)*$E$80:$E$91+(CVDebtBasis&gt;=2)*$F$80:$F$91))&gt;0)*($E$80:$E$91*$G$80:$G$91/1000*G101-((CVDebtBasis=1)*$E$80:$E$91+(CVDebtBasis&gt;=2)*$F$80:$F$91)))/G101)))</f>
        <v>0.01</v>
      </c>
    </row>
    <row r="103" customFormat="false" ht="15" hidden="false" customHeight="false" outlineLevel="0" collapsed="false">
      <c r="A103" s="0" t="s">
        <v>2627</v>
      </c>
      <c r="E103" s="23" t="n">
        <f aca="false">MAX(0.01,(V_EV-E$97*V_OFF-V_ODEBT-CHOOSE(DilMethod,0,SUMPRODUCT((E102&lt;=$H$80:$H$91)*((CVDebtBasis=1)*$E$80:$E$91+(CVDebtBasis&gt;=2)*$F$80:$F$91)),SUMPRODUCT(((CVDebtBasis=1)*$E$80:$E$91+(CVDebtBasis&gt;=2)*$F$80:$F$91)))+V_CASH+V_SOTP)/(V_BASIC+V_RSU+Options*MAX(0,1-OptK/E102)+CHOOSE(DilMethod,SUMPRODUCT($E$80:$E$91,$G$80:$G$91)/1000,SUMPRODUCT((E102&gt;$H$80:$H$91)*$E$80:$E$91*$G$80:$G$91)/1000,SUMPRODUCT((($E$80:$E$91*$G$80:$G$91/1000*E102-((CVDebtBasis=1)*$E$80:$E$91+(CVDebtBasis&gt;=2)*$F$80:$F$91))&gt;0)*($E$80:$E$91*$G$80:$G$91/1000*E102-((CVDebtBasis=1)*$E$80:$E$91+(CVDebtBasis&gt;=2)*$F$80:$F$91)))/E102)))</f>
        <v>25.8229788112513</v>
      </c>
      <c r="F103" s="23" t="n">
        <f aca="false">MAX(0.01,(V_EV-F$97*V_OFF-V_ODEBT-CHOOSE(DilMethod,0,SUMPRODUCT((F102&lt;=$H$80:$H$91)*((CVDebtBasis=1)*$E$80:$E$91+(CVDebtBasis&gt;=2)*$F$80:$F$91)),SUMPRODUCT(((CVDebtBasis=1)*$E$80:$E$91+(CVDebtBasis&gt;=2)*$F$80:$F$91)))+V_CASH+V_SOTP)/(V_BASIC+V_RSU+Options*MAX(0,1-OptK/F102)+CHOOSE(DilMethod,SUMPRODUCT($E$80:$E$91,$G$80:$G$91)/1000,SUMPRODUCT((F102&gt;$H$80:$H$91)*$E$80:$E$91*$G$80:$G$91)/1000,SUMPRODUCT((($E$80:$E$91*$G$80:$G$91/1000*F102-((CVDebtBasis=1)*$E$80:$E$91+(CVDebtBasis&gt;=2)*$F$80:$F$91))&gt;0)*($E$80:$E$91*$G$80:$G$91/1000*F102-((CVDebtBasis=1)*$E$80:$E$91+(CVDebtBasis&gt;=2)*$F$80:$F$91)))/F102)))</f>
        <v>0.01</v>
      </c>
      <c r="G103" s="23" t="n">
        <f aca="false">MAX(0.01,(V_EV-G$97*V_OFF-V_ODEBT-CHOOSE(DilMethod,0,SUMPRODUCT((G102&lt;=$H$80:$H$91)*((CVDebtBasis=1)*$E$80:$E$91+(CVDebtBasis&gt;=2)*$F$80:$F$91)),SUMPRODUCT(((CVDebtBasis=1)*$E$80:$E$91+(CVDebtBasis&gt;=2)*$F$80:$F$91)))+V_CASH+V_SOTP)/(V_BASIC+V_RSU+Options*MAX(0,1-OptK/G102)+CHOOSE(DilMethod,SUMPRODUCT($E$80:$E$91,$G$80:$G$91)/1000,SUMPRODUCT((G102&gt;$H$80:$H$91)*$E$80:$E$91*$G$80:$G$91)/1000,SUMPRODUCT((($E$80:$E$91*$G$80:$G$91/1000*G102-((CVDebtBasis=1)*$E$80:$E$91+(CVDebtBasis&gt;=2)*$F$80:$F$91))&gt;0)*($E$80:$E$91*$G$80:$G$91/1000*G102-((CVDebtBasis=1)*$E$80:$E$91+(CVDebtBasis&gt;=2)*$F$80:$F$91)))/G102)))</f>
        <v>0.01</v>
      </c>
    </row>
    <row r="104" customFormat="false" ht="15" hidden="false" customHeight="false" outlineLevel="0" collapsed="false">
      <c r="A104" s="0" t="s">
        <v>2628</v>
      </c>
      <c r="E104" s="23" t="n">
        <f aca="false">MAX(0.01,(V_EV-E$97*V_OFF-V_ODEBT-CHOOSE(DilMethod,0,SUMPRODUCT((E103&lt;=$H$80:$H$91)*((CVDebtBasis=1)*$E$80:$E$91+(CVDebtBasis&gt;=2)*$F$80:$F$91)),SUMPRODUCT(((CVDebtBasis=1)*$E$80:$E$91+(CVDebtBasis&gt;=2)*$F$80:$F$91)))+V_CASH+V_SOTP)/(V_BASIC+V_RSU+Options*MAX(0,1-OptK/E103)+CHOOSE(DilMethod,SUMPRODUCT($E$80:$E$91,$G$80:$G$91)/1000,SUMPRODUCT((E103&gt;$H$80:$H$91)*$E$80:$E$91*$G$80:$G$91)/1000,SUMPRODUCT((($E$80:$E$91*$G$80:$G$91/1000*E103-((CVDebtBasis=1)*$E$80:$E$91+(CVDebtBasis&gt;=2)*$F$80:$F$91))&gt;0)*($E$80:$E$91*$G$80:$G$91/1000*E103-((CVDebtBasis=1)*$E$80:$E$91+(CVDebtBasis&gt;=2)*$F$80:$F$91)))/E103)))</f>
        <v>25.8229788112513</v>
      </c>
      <c r="F104" s="23" t="n">
        <f aca="false">MAX(0.01,(V_EV-F$97*V_OFF-V_ODEBT-CHOOSE(DilMethod,0,SUMPRODUCT((F103&lt;=$H$80:$H$91)*((CVDebtBasis=1)*$E$80:$E$91+(CVDebtBasis&gt;=2)*$F$80:$F$91)),SUMPRODUCT(((CVDebtBasis=1)*$E$80:$E$91+(CVDebtBasis&gt;=2)*$F$80:$F$91)))+V_CASH+V_SOTP)/(V_BASIC+V_RSU+Options*MAX(0,1-OptK/F103)+CHOOSE(DilMethod,SUMPRODUCT($E$80:$E$91,$G$80:$G$91)/1000,SUMPRODUCT((F103&gt;$H$80:$H$91)*$E$80:$E$91*$G$80:$G$91)/1000,SUMPRODUCT((($E$80:$E$91*$G$80:$G$91/1000*F103-((CVDebtBasis=1)*$E$80:$E$91+(CVDebtBasis&gt;=2)*$F$80:$F$91))&gt;0)*($E$80:$E$91*$G$80:$G$91/1000*F103-((CVDebtBasis=1)*$E$80:$E$91+(CVDebtBasis&gt;=2)*$F$80:$F$91)))/F103)))</f>
        <v>0.01</v>
      </c>
      <c r="G104" s="23" t="n">
        <f aca="false">MAX(0.01,(V_EV-G$97*V_OFF-V_ODEBT-CHOOSE(DilMethod,0,SUMPRODUCT((G103&lt;=$H$80:$H$91)*((CVDebtBasis=1)*$E$80:$E$91+(CVDebtBasis&gt;=2)*$F$80:$F$91)),SUMPRODUCT(((CVDebtBasis=1)*$E$80:$E$91+(CVDebtBasis&gt;=2)*$F$80:$F$91)))+V_CASH+V_SOTP)/(V_BASIC+V_RSU+Options*MAX(0,1-OptK/G103)+CHOOSE(DilMethod,SUMPRODUCT($E$80:$E$91,$G$80:$G$91)/1000,SUMPRODUCT((G103&gt;$H$80:$H$91)*$E$80:$E$91*$G$80:$G$91)/1000,SUMPRODUCT((($E$80:$E$91*$G$80:$G$91/1000*G103-((CVDebtBasis=1)*$E$80:$E$91+(CVDebtBasis&gt;=2)*$F$80:$F$91))&gt;0)*($E$80:$E$91*$G$80:$G$91/1000*G103-((CVDebtBasis=1)*$E$80:$E$91+(CVDebtBasis&gt;=2)*$F$80:$F$91)))/G103)))</f>
        <v>0.01</v>
      </c>
    </row>
    <row r="105" customFormat="false" ht="15" hidden="false" customHeight="false" outlineLevel="0" collapsed="false">
      <c r="A105" s="0" t="s">
        <v>2629</v>
      </c>
      <c r="E105" s="23" t="n">
        <f aca="false">MAX(0.01,(V_EV-E$97*V_OFF-V_ODEBT-CHOOSE(DilMethod,0,SUMPRODUCT((E104&lt;=$H$80:$H$91)*((CVDebtBasis=1)*$E$80:$E$91+(CVDebtBasis&gt;=2)*$F$80:$F$91)),SUMPRODUCT(((CVDebtBasis=1)*$E$80:$E$91+(CVDebtBasis&gt;=2)*$F$80:$F$91)))+V_CASH+V_SOTP)/(V_BASIC+V_RSU+Options*MAX(0,1-OptK/E104)+CHOOSE(DilMethod,SUMPRODUCT($E$80:$E$91,$G$80:$G$91)/1000,SUMPRODUCT((E104&gt;$H$80:$H$91)*$E$80:$E$91*$G$80:$G$91)/1000,SUMPRODUCT((($E$80:$E$91*$G$80:$G$91/1000*E104-((CVDebtBasis=1)*$E$80:$E$91+(CVDebtBasis&gt;=2)*$F$80:$F$91))&gt;0)*($E$80:$E$91*$G$80:$G$91/1000*E104-((CVDebtBasis=1)*$E$80:$E$91+(CVDebtBasis&gt;=2)*$F$80:$F$91)))/E104)))</f>
        <v>25.8229788112513</v>
      </c>
      <c r="F105" s="23" t="n">
        <f aca="false">MAX(0.01,(V_EV-F$97*V_OFF-V_ODEBT-CHOOSE(DilMethod,0,SUMPRODUCT((F104&lt;=$H$80:$H$91)*((CVDebtBasis=1)*$E$80:$E$91+(CVDebtBasis&gt;=2)*$F$80:$F$91)),SUMPRODUCT(((CVDebtBasis=1)*$E$80:$E$91+(CVDebtBasis&gt;=2)*$F$80:$F$91)))+V_CASH+V_SOTP)/(V_BASIC+V_RSU+Options*MAX(0,1-OptK/F104)+CHOOSE(DilMethod,SUMPRODUCT($E$80:$E$91,$G$80:$G$91)/1000,SUMPRODUCT((F104&gt;$H$80:$H$91)*$E$80:$E$91*$G$80:$G$91)/1000,SUMPRODUCT((($E$80:$E$91*$G$80:$G$91/1000*F104-((CVDebtBasis=1)*$E$80:$E$91+(CVDebtBasis&gt;=2)*$F$80:$F$91))&gt;0)*($E$80:$E$91*$G$80:$G$91/1000*F104-((CVDebtBasis=1)*$E$80:$E$91+(CVDebtBasis&gt;=2)*$F$80:$F$91)))/F104)))</f>
        <v>0.01</v>
      </c>
      <c r="G105" s="23" t="n">
        <f aca="false">MAX(0.01,(V_EV-G$97*V_OFF-V_ODEBT-CHOOSE(DilMethod,0,SUMPRODUCT((G104&lt;=$H$80:$H$91)*((CVDebtBasis=1)*$E$80:$E$91+(CVDebtBasis&gt;=2)*$F$80:$F$91)),SUMPRODUCT(((CVDebtBasis=1)*$E$80:$E$91+(CVDebtBasis&gt;=2)*$F$80:$F$91)))+V_CASH+V_SOTP)/(V_BASIC+V_RSU+Options*MAX(0,1-OptK/G104)+CHOOSE(DilMethod,SUMPRODUCT($E$80:$E$91,$G$80:$G$91)/1000,SUMPRODUCT((G104&gt;$H$80:$H$91)*$E$80:$E$91*$G$80:$G$91)/1000,SUMPRODUCT((($E$80:$E$91*$G$80:$G$91/1000*G104-((CVDebtBasis=1)*$E$80:$E$91+(CVDebtBasis&gt;=2)*$F$80:$F$91))&gt;0)*($E$80:$E$91*$G$80:$G$91/1000*G104-((CVDebtBasis=1)*$E$80:$E$91+(CVDebtBasis&gt;=2)*$F$80:$F$91)))/G104)))</f>
        <v>0.01</v>
      </c>
    </row>
    <row r="106" customFormat="false" ht="15" hidden="false" customHeight="false" outlineLevel="0" collapsed="false">
      <c r="A106" s="0" t="s">
        <v>2630</v>
      </c>
      <c r="E106" s="23" t="n">
        <f aca="false">MAX(0.01,(V_EV-E$97*V_OFF-V_ODEBT-CHOOSE(DilMethod,0,SUMPRODUCT((E105&lt;=$H$80:$H$91)*((CVDebtBasis=1)*$E$80:$E$91+(CVDebtBasis&gt;=2)*$F$80:$F$91)),SUMPRODUCT(((CVDebtBasis=1)*$E$80:$E$91+(CVDebtBasis&gt;=2)*$F$80:$F$91)))+V_CASH+V_SOTP)/(V_BASIC+V_RSU+Options*MAX(0,1-OptK/E105)+CHOOSE(DilMethod,SUMPRODUCT($E$80:$E$91,$G$80:$G$91)/1000,SUMPRODUCT((E105&gt;$H$80:$H$91)*$E$80:$E$91*$G$80:$G$91)/1000,SUMPRODUCT((($E$80:$E$91*$G$80:$G$91/1000*E105-((CVDebtBasis=1)*$E$80:$E$91+(CVDebtBasis&gt;=2)*$F$80:$F$91))&gt;0)*($E$80:$E$91*$G$80:$G$91/1000*E105-((CVDebtBasis=1)*$E$80:$E$91+(CVDebtBasis&gt;=2)*$F$80:$F$91)))/E105)))</f>
        <v>25.8229788112513</v>
      </c>
      <c r="F106" s="23" t="n">
        <f aca="false">MAX(0.01,(V_EV-F$97*V_OFF-V_ODEBT-CHOOSE(DilMethod,0,SUMPRODUCT((F105&lt;=$H$80:$H$91)*((CVDebtBasis=1)*$E$80:$E$91+(CVDebtBasis&gt;=2)*$F$80:$F$91)),SUMPRODUCT(((CVDebtBasis=1)*$E$80:$E$91+(CVDebtBasis&gt;=2)*$F$80:$F$91)))+V_CASH+V_SOTP)/(V_BASIC+V_RSU+Options*MAX(0,1-OptK/F105)+CHOOSE(DilMethod,SUMPRODUCT($E$80:$E$91,$G$80:$G$91)/1000,SUMPRODUCT((F105&gt;$H$80:$H$91)*$E$80:$E$91*$G$80:$G$91)/1000,SUMPRODUCT((($E$80:$E$91*$G$80:$G$91/1000*F105-((CVDebtBasis=1)*$E$80:$E$91+(CVDebtBasis&gt;=2)*$F$80:$F$91))&gt;0)*($E$80:$E$91*$G$80:$G$91/1000*F105-((CVDebtBasis=1)*$E$80:$E$91+(CVDebtBasis&gt;=2)*$F$80:$F$91)))/F105)))</f>
        <v>0.01</v>
      </c>
      <c r="G106" s="23" t="n">
        <f aca="false">MAX(0.01,(V_EV-G$97*V_OFF-V_ODEBT-CHOOSE(DilMethod,0,SUMPRODUCT((G105&lt;=$H$80:$H$91)*((CVDebtBasis=1)*$E$80:$E$91+(CVDebtBasis&gt;=2)*$F$80:$F$91)),SUMPRODUCT(((CVDebtBasis=1)*$E$80:$E$91+(CVDebtBasis&gt;=2)*$F$80:$F$91)))+V_CASH+V_SOTP)/(V_BASIC+V_RSU+Options*MAX(0,1-OptK/G105)+CHOOSE(DilMethod,SUMPRODUCT($E$80:$E$91,$G$80:$G$91)/1000,SUMPRODUCT((G105&gt;$H$80:$H$91)*$E$80:$E$91*$G$80:$G$91)/1000,SUMPRODUCT((($E$80:$E$91*$G$80:$G$91/1000*G105-((CVDebtBasis=1)*$E$80:$E$91+(CVDebtBasis&gt;=2)*$F$80:$F$91))&gt;0)*($E$80:$E$91*$G$80:$G$91/1000*G105-((CVDebtBasis=1)*$E$80:$E$91+(CVDebtBasis&gt;=2)*$F$80:$F$91)))/G105)))</f>
        <v>0.01</v>
      </c>
    </row>
    <row r="107" customFormat="false" ht="15" hidden="false" customHeight="false" outlineLevel="0" collapsed="false">
      <c r="A107" s="0" t="s">
        <v>2631</v>
      </c>
      <c r="E107" s="23" t="n">
        <f aca="false">MAX(0.01,(V_EV-E$97*V_OFF-V_ODEBT-CHOOSE(DilMethod,0,SUMPRODUCT((E106&lt;=$H$80:$H$91)*((CVDebtBasis=1)*$E$80:$E$91+(CVDebtBasis&gt;=2)*$F$80:$F$91)),SUMPRODUCT(((CVDebtBasis=1)*$E$80:$E$91+(CVDebtBasis&gt;=2)*$F$80:$F$91)))+V_CASH+V_SOTP)/(V_BASIC+V_RSU+Options*MAX(0,1-OptK/E106)+CHOOSE(DilMethod,SUMPRODUCT($E$80:$E$91,$G$80:$G$91)/1000,SUMPRODUCT((E106&gt;$H$80:$H$91)*$E$80:$E$91*$G$80:$G$91)/1000,SUMPRODUCT((($E$80:$E$91*$G$80:$G$91/1000*E106-((CVDebtBasis=1)*$E$80:$E$91+(CVDebtBasis&gt;=2)*$F$80:$F$91))&gt;0)*($E$80:$E$91*$G$80:$G$91/1000*E106-((CVDebtBasis=1)*$E$80:$E$91+(CVDebtBasis&gt;=2)*$F$80:$F$91)))/E106)))</f>
        <v>25.8229788112513</v>
      </c>
      <c r="F107" s="23" t="n">
        <f aca="false">MAX(0.01,(V_EV-F$97*V_OFF-V_ODEBT-CHOOSE(DilMethod,0,SUMPRODUCT((F106&lt;=$H$80:$H$91)*((CVDebtBasis=1)*$E$80:$E$91+(CVDebtBasis&gt;=2)*$F$80:$F$91)),SUMPRODUCT(((CVDebtBasis=1)*$E$80:$E$91+(CVDebtBasis&gt;=2)*$F$80:$F$91)))+V_CASH+V_SOTP)/(V_BASIC+V_RSU+Options*MAX(0,1-OptK/F106)+CHOOSE(DilMethod,SUMPRODUCT($E$80:$E$91,$G$80:$G$91)/1000,SUMPRODUCT((F106&gt;$H$80:$H$91)*$E$80:$E$91*$G$80:$G$91)/1000,SUMPRODUCT((($E$80:$E$91*$G$80:$G$91/1000*F106-((CVDebtBasis=1)*$E$80:$E$91+(CVDebtBasis&gt;=2)*$F$80:$F$91))&gt;0)*($E$80:$E$91*$G$80:$G$91/1000*F106-((CVDebtBasis=1)*$E$80:$E$91+(CVDebtBasis&gt;=2)*$F$80:$F$91)))/F106)))</f>
        <v>0.01</v>
      </c>
      <c r="G107" s="23" t="n">
        <f aca="false">MAX(0.01,(V_EV-G$97*V_OFF-V_ODEBT-CHOOSE(DilMethod,0,SUMPRODUCT((G106&lt;=$H$80:$H$91)*((CVDebtBasis=1)*$E$80:$E$91+(CVDebtBasis&gt;=2)*$F$80:$F$91)),SUMPRODUCT(((CVDebtBasis=1)*$E$80:$E$91+(CVDebtBasis&gt;=2)*$F$80:$F$91)))+V_CASH+V_SOTP)/(V_BASIC+V_RSU+Options*MAX(0,1-OptK/G106)+CHOOSE(DilMethod,SUMPRODUCT($E$80:$E$91,$G$80:$G$91)/1000,SUMPRODUCT((G106&gt;$H$80:$H$91)*$E$80:$E$91*$G$80:$G$91)/1000,SUMPRODUCT((($E$80:$E$91*$G$80:$G$91/1000*G106-((CVDebtBasis=1)*$E$80:$E$91+(CVDebtBasis&gt;=2)*$F$80:$F$91))&gt;0)*($E$80:$E$91*$G$80:$G$91/1000*G106-((CVDebtBasis=1)*$E$80:$E$91+(CVDebtBasis&gt;=2)*$F$80:$F$91)))/G106)))</f>
        <v>0.01</v>
      </c>
    </row>
    <row r="108" customFormat="false" ht="15" hidden="false" customHeight="false" outlineLevel="0" collapsed="false">
      <c r="A108" s="0" t="s">
        <v>2632</v>
      </c>
      <c r="E108" s="23" t="n">
        <f aca="false">MAX(0.01,(V_EV-E$97*V_OFF-V_ODEBT-CHOOSE(DilMethod,0,SUMPRODUCT((E107&lt;=$H$80:$H$91)*((CVDebtBasis=1)*$E$80:$E$91+(CVDebtBasis&gt;=2)*$F$80:$F$91)),SUMPRODUCT(((CVDebtBasis=1)*$E$80:$E$91+(CVDebtBasis&gt;=2)*$F$80:$F$91)))+V_CASH+V_SOTP)/(V_BASIC+V_RSU+Options*MAX(0,1-OptK/E107)+CHOOSE(DilMethod,SUMPRODUCT($E$80:$E$91,$G$80:$G$91)/1000,SUMPRODUCT((E107&gt;$H$80:$H$91)*$E$80:$E$91*$G$80:$G$91)/1000,SUMPRODUCT((($E$80:$E$91*$G$80:$G$91/1000*E107-((CVDebtBasis=1)*$E$80:$E$91+(CVDebtBasis&gt;=2)*$F$80:$F$91))&gt;0)*($E$80:$E$91*$G$80:$G$91/1000*E107-((CVDebtBasis=1)*$E$80:$E$91+(CVDebtBasis&gt;=2)*$F$80:$F$91)))/E107)))</f>
        <v>25.8229788112513</v>
      </c>
      <c r="F108" s="23" t="n">
        <f aca="false">MAX(0.01,(V_EV-F$97*V_OFF-V_ODEBT-CHOOSE(DilMethod,0,SUMPRODUCT((F107&lt;=$H$80:$H$91)*((CVDebtBasis=1)*$E$80:$E$91+(CVDebtBasis&gt;=2)*$F$80:$F$91)),SUMPRODUCT(((CVDebtBasis=1)*$E$80:$E$91+(CVDebtBasis&gt;=2)*$F$80:$F$91)))+V_CASH+V_SOTP)/(V_BASIC+V_RSU+Options*MAX(0,1-OptK/F107)+CHOOSE(DilMethod,SUMPRODUCT($E$80:$E$91,$G$80:$G$91)/1000,SUMPRODUCT((F107&gt;$H$80:$H$91)*$E$80:$E$91*$G$80:$G$91)/1000,SUMPRODUCT((($E$80:$E$91*$G$80:$G$91/1000*F107-((CVDebtBasis=1)*$E$80:$E$91+(CVDebtBasis&gt;=2)*$F$80:$F$91))&gt;0)*($E$80:$E$91*$G$80:$G$91/1000*F107-((CVDebtBasis=1)*$E$80:$E$91+(CVDebtBasis&gt;=2)*$F$80:$F$91)))/F107)))</f>
        <v>0.01</v>
      </c>
      <c r="G108" s="23" t="n">
        <f aca="false">MAX(0.01,(V_EV-G$97*V_OFF-V_ODEBT-CHOOSE(DilMethod,0,SUMPRODUCT((G107&lt;=$H$80:$H$91)*((CVDebtBasis=1)*$E$80:$E$91+(CVDebtBasis&gt;=2)*$F$80:$F$91)),SUMPRODUCT(((CVDebtBasis=1)*$E$80:$E$91+(CVDebtBasis&gt;=2)*$F$80:$F$91)))+V_CASH+V_SOTP)/(V_BASIC+V_RSU+Options*MAX(0,1-OptK/G107)+CHOOSE(DilMethod,SUMPRODUCT($E$80:$E$91,$G$80:$G$91)/1000,SUMPRODUCT((G107&gt;$H$80:$H$91)*$E$80:$E$91*$G$80:$G$91)/1000,SUMPRODUCT((($E$80:$E$91*$G$80:$G$91/1000*G107-((CVDebtBasis=1)*$E$80:$E$91+(CVDebtBasis&gt;=2)*$F$80:$F$91))&gt;0)*($E$80:$E$91*$G$80:$G$91/1000*G107-((CVDebtBasis=1)*$E$80:$E$91+(CVDebtBasis&gt;=2)*$F$80:$F$91)))/G107)))</f>
        <v>0.01</v>
      </c>
    </row>
    <row r="109" customFormat="false" ht="15" hidden="false" customHeight="false" outlineLevel="0" collapsed="false">
      <c r="A109" s="0" t="s">
        <v>2633</v>
      </c>
      <c r="E109" s="23" t="n">
        <f aca="false">MAX(0.01,(V_EV-E$97*V_OFF-V_ODEBT-CHOOSE(DilMethod,0,SUMPRODUCT((E108&lt;=$H$80:$H$91)*((CVDebtBasis=1)*$E$80:$E$91+(CVDebtBasis&gt;=2)*$F$80:$F$91)),SUMPRODUCT(((CVDebtBasis=1)*$E$80:$E$91+(CVDebtBasis&gt;=2)*$F$80:$F$91)))+V_CASH+V_SOTP)/(V_BASIC+V_RSU+Options*MAX(0,1-OptK/E108)+CHOOSE(DilMethod,SUMPRODUCT($E$80:$E$91,$G$80:$G$91)/1000,SUMPRODUCT((E108&gt;$H$80:$H$91)*$E$80:$E$91*$G$80:$G$91)/1000,SUMPRODUCT((($E$80:$E$91*$G$80:$G$91/1000*E108-((CVDebtBasis=1)*$E$80:$E$91+(CVDebtBasis&gt;=2)*$F$80:$F$91))&gt;0)*($E$80:$E$91*$G$80:$G$91/1000*E108-((CVDebtBasis=1)*$E$80:$E$91+(CVDebtBasis&gt;=2)*$F$80:$F$91)))/E108)))</f>
        <v>25.8229788112513</v>
      </c>
      <c r="F109" s="23" t="n">
        <f aca="false">MAX(0.01,(V_EV-F$97*V_OFF-V_ODEBT-CHOOSE(DilMethod,0,SUMPRODUCT((F108&lt;=$H$80:$H$91)*((CVDebtBasis=1)*$E$80:$E$91+(CVDebtBasis&gt;=2)*$F$80:$F$91)),SUMPRODUCT(((CVDebtBasis=1)*$E$80:$E$91+(CVDebtBasis&gt;=2)*$F$80:$F$91)))+V_CASH+V_SOTP)/(V_BASIC+V_RSU+Options*MAX(0,1-OptK/F108)+CHOOSE(DilMethod,SUMPRODUCT($E$80:$E$91,$G$80:$G$91)/1000,SUMPRODUCT((F108&gt;$H$80:$H$91)*$E$80:$E$91*$G$80:$G$91)/1000,SUMPRODUCT((($E$80:$E$91*$G$80:$G$91/1000*F108-((CVDebtBasis=1)*$E$80:$E$91+(CVDebtBasis&gt;=2)*$F$80:$F$91))&gt;0)*($E$80:$E$91*$G$80:$G$91/1000*F108-((CVDebtBasis=1)*$E$80:$E$91+(CVDebtBasis&gt;=2)*$F$80:$F$91)))/F108)))</f>
        <v>0.01</v>
      </c>
      <c r="G109" s="23" t="n">
        <f aca="false">MAX(0.01,(V_EV-G$97*V_OFF-V_ODEBT-CHOOSE(DilMethod,0,SUMPRODUCT((G108&lt;=$H$80:$H$91)*((CVDebtBasis=1)*$E$80:$E$91+(CVDebtBasis&gt;=2)*$F$80:$F$91)),SUMPRODUCT(((CVDebtBasis=1)*$E$80:$E$91+(CVDebtBasis&gt;=2)*$F$80:$F$91)))+V_CASH+V_SOTP)/(V_BASIC+V_RSU+Options*MAX(0,1-OptK/G108)+CHOOSE(DilMethod,SUMPRODUCT($E$80:$E$91,$G$80:$G$91)/1000,SUMPRODUCT((G108&gt;$H$80:$H$91)*$E$80:$E$91*$G$80:$G$91)/1000,SUMPRODUCT((($E$80:$E$91*$G$80:$G$91/1000*G108-((CVDebtBasis=1)*$E$80:$E$91+(CVDebtBasis&gt;=2)*$F$80:$F$91))&gt;0)*($E$80:$E$91*$G$80:$G$91/1000*G108-((CVDebtBasis=1)*$E$80:$E$91+(CVDebtBasis&gt;=2)*$F$80:$F$91)))/G108)))</f>
        <v>0.01</v>
      </c>
    </row>
    <row r="110" customFormat="false" ht="15" hidden="false" customHeight="false" outlineLevel="0" collapsed="false">
      <c r="A110" s="0" t="s">
        <v>2634</v>
      </c>
      <c r="E110" s="23" t="n">
        <f aca="false">MAX(0.01,(V_EV-E$97*V_OFF-V_ODEBT-CHOOSE(DilMethod,0,SUMPRODUCT((E109&lt;=$H$80:$H$91)*((CVDebtBasis=1)*$E$80:$E$91+(CVDebtBasis&gt;=2)*$F$80:$F$91)),SUMPRODUCT(((CVDebtBasis=1)*$E$80:$E$91+(CVDebtBasis&gt;=2)*$F$80:$F$91)))+V_CASH+V_SOTP)/(V_BASIC+V_RSU+Options*MAX(0,1-OptK/E109)+CHOOSE(DilMethod,SUMPRODUCT($E$80:$E$91,$G$80:$G$91)/1000,SUMPRODUCT((E109&gt;$H$80:$H$91)*$E$80:$E$91*$G$80:$G$91)/1000,SUMPRODUCT((($E$80:$E$91*$G$80:$G$91/1000*E109-((CVDebtBasis=1)*$E$80:$E$91+(CVDebtBasis&gt;=2)*$F$80:$F$91))&gt;0)*($E$80:$E$91*$G$80:$G$91/1000*E109-((CVDebtBasis=1)*$E$80:$E$91+(CVDebtBasis&gt;=2)*$F$80:$F$91)))/E109)))</f>
        <v>25.8229788112513</v>
      </c>
      <c r="F110" s="23" t="n">
        <f aca="false">MAX(0.01,(V_EV-F$97*V_OFF-V_ODEBT-CHOOSE(DilMethod,0,SUMPRODUCT((F109&lt;=$H$80:$H$91)*((CVDebtBasis=1)*$E$80:$E$91+(CVDebtBasis&gt;=2)*$F$80:$F$91)),SUMPRODUCT(((CVDebtBasis=1)*$E$80:$E$91+(CVDebtBasis&gt;=2)*$F$80:$F$91)))+V_CASH+V_SOTP)/(V_BASIC+V_RSU+Options*MAX(0,1-OptK/F109)+CHOOSE(DilMethod,SUMPRODUCT($E$80:$E$91,$G$80:$G$91)/1000,SUMPRODUCT((F109&gt;$H$80:$H$91)*$E$80:$E$91*$G$80:$G$91)/1000,SUMPRODUCT((($E$80:$E$91*$G$80:$G$91/1000*F109-((CVDebtBasis=1)*$E$80:$E$91+(CVDebtBasis&gt;=2)*$F$80:$F$91))&gt;0)*($E$80:$E$91*$G$80:$G$91/1000*F109-((CVDebtBasis=1)*$E$80:$E$91+(CVDebtBasis&gt;=2)*$F$80:$F$91)))/F109)))</f>
        <v>0.01</v>
      </c>
      <c r="G110" s="23" t="n">
        <f aca="false">MAX(0.01,(V_EV-G$97*V_OFF-V_ODEBT-CHOOSE(DilMethod,0,SUMPRODUCT((G109&lt;=$H$80:$H$91)*((CVDebtBasis=1)*$E$80:$E$91+(CVDebtBasis&gt;=2)*$F$80:$F$91)),SUMPRODUCT(((CVDebtBasis=1)*$E$80:$E$91+(CVDebtBasis&gt;=2)*$F$80:$F$91)))+V_CASH+V_SOTP)/(V_BASIC+V_RSU+Options*MAX(0,1-OptK/G109)+CHOOSE(DilMethod,SUMPRODUCT($E$80:$E$91,$G$80:$G$91)/1000,SUMPRODUCT((G109&gt;$H$80:$H$91)*$E$80:$E$91*$G$80:$G$91)/1000,SUMPRODUCT((($E$80:$E$91*$G$80:$G$91/1000*G109-((CVDebtBasis=1)*$E$80:$E$91+(CVDebtBasis&gt;=2)*$F$80:$F$91))&gt;0)*($E$80:$E$91*$G$80:$G$91/1000*G109-((CVDebtBasis=1)*$E$80:$E$91+(CVDebtBasis&gt;=2)*$F$80:$F$91)))/G109)))</f>
        <v>0.01</v>
      </c>
    </row>
    <row r="111" customFormat="false" ht="15" hidden="false" customHeight="false" outlineLevel="0" collapsed="false">
      <c r="A111" s="0" t="s">
        <v>2635</v>
      </c>
      <c r="E111" s="23" t="n">
        <f aca="false">MAX(0.01,(V_EV-E$97*V_OFF-V_ODEBT-CHOOSE(DilMethod,0,SUMPRODUCT((E110&lt;=$H$80:$H$91)*((CVDebtBasis=1)*$E$80:$E$91+(CVDebtBasis&gt;=2)*$F$80:$F$91)),SUMPRODUCT(((CVDebtBasis=1)*$E$80:$E$91+(CVDebtBasis&gt;=2)*$F$80:$F$91)))+V_CASH+V_SOTP)/(V_BASIC+V_RSU+Options*MAX(0,1-OptK/E110)+CHOOSE(DilMethod,SUMPRODUCT($E$80:$E$91,$G$80:$G$91)/1000,SUMPRODUCT((E110&gt;$H$80:$H$91)*$E$80:$E$91*$G$80:$G$91)/1000,SUMPRODUCT((($E$80:$E$91*$G$80:$G$91/1000*E110-((CVDebtBasis=1)*$E$80:$E$91+(CVDebtBasis&gt;=2)*$F$80:$F$91))&gt;0)*($E$80:$E$91*$G$80:$G$91/1000*E110-((CVDebtBasis=1)*$E$80:$E$91+(CVDebtBasis&gt;=2)*$F$80:$F$91)))/E110)))</f>
        <v>25.8229788112513</v>
      </c>
      <c r="F111" s="23" t="n">
        <f aca="false">MAX(0.01,(V_EV-F$97*V_OFF-V_ODEBT-CHOOSE(DilMethod,0,SUMPRODUCT((F110&lt;=$H$80:$H$91)*((CVDebtBasis=1)*$E$80:$E$91+(CVDebtBasis&gt;=2)*$F$80:$F$91)),SUMPRODUCT(((CVDebtBasis=1)*$E$80:$E$91+(CVDebtBasis&gt;=2)*$F$80:$F$91)))+V_CASH+V_SOTP)/(V_BASIC+V_RSU+Options*MAX(0,1-OptK/F110)+CHOOSE(DilMethod,SUMPRODUCT($E$80:$E$91,$G$80:$G$91)/1000,SUMPRODUCT((F110&gt;$H$80:$H$91)*$E$80:$E$91*$G$80:$G$91)/1000,SUMPRODUCT((($E$80:$E$91*$G$80:$G$91/1000*F110-((CVDebtBasis=1)*$E$80:$E$91+(CVDebtBasis&gt;=2)*$F$80:$F$91))&gt;0)*($E$80:$E$91*$G$80:$G$91/1000*F110-((CVDebtBasis=1)*$E$80:$E$91+(CVDebtBasis&gt;=2)*$F$80:$F$91)))/F110)))</f>
        <v>0.01</v>
      </c>
      <c r="G111" s="23" t="n">
        <f aca="false">MAX(0.01,(V_EV-G$97*V_OFF-V_ODEBT-CHOOSE(DilMethod,0,SUMPRODUCT((G110&lt;=$H$80:$H$91)*((CVDebtBasis=1)*$E$80:$E$91+(CVDebtBasis&gt;=2)*$F$80:$F$91)),SUMPRODUCT(((CVDebtBasis=1)*$E$80:$E$91+(CVDebtBasis&gt;=2)*$F$80:$F$91)))+V_CASH+V_SOTP)/(V_BASIC+V_RSU+Options*MAX(0,1-OptK/G110)+CHOOSE(DilMethod,SUMPRODUCT($E$80:$E$91,$G$80:$G$91)/1000,SUMPRODUCT((G110&gt;$H$80:$H$91)*$E$80:$E$91*$G$80:$G$91)/1000,SUMPRODUCT((($E$80:$E$91*$G$80:$G$91/1000*G110-((CVDebtBasis=1)*$E$80:$E$91+(CVDebtBasis&gt;=2)*$F$80:$F$91))&gt;0)*($E$80:$E$91*$G$80:$G$91/1000*G110-((CVDebtBasis=1)*$E$80:$E$91+(CVDebtBasis&gt;=2)*$F$80:$F$91)))/G110)))</f>
        <v>0.01</v>
      </c>
    </row>
    <row r="112" customFormat="false" ht="15" hidden="false" customHeight="false" outlineLevel="0" collapsed="false">
      <c r="A112" s="0" t="s">
        <v>2636</v>
      </c>
      <c r="E112" s="23" t="n">
        <f aca="false">MAX(0.01,(V_EV-E$97*V_OFF-V_ODEBT-CHOOSE(DilMethod,0,SUMPRODUCT((E111&lt;=$H$80:$H$91)*((CVDebtBasis=1)*$E$80:$E$91+(CVDebtBasis&gt;=2)*$F$80:$F$91)),SUMPRODUCT(((CVDebtBasis=1)*$E$80:$E$91+(CVDebtBasis&gt;=2)*$F$80:$F$91)))+V_CASH+V_SOTP)/(V_BASIC+V_RSU+Options*MAX(0,1-OptK/E111)+CHOOSE(DilMethod,SUMPRODUCT($E$80:$E$91,$G$80:$G$91)/1000,SUMPRODUCT((E111&gt;$H$80:$H$91)*$E$80:$E$91*$G$80:$G$91)/1000,SUMPRODUCT((($E$80:$E$91*$G$80:$G$91/1000*E111-((CVDebtBasis=1)*$E$80:$E$91+(CVDebtBasis&gt;=2)*$F$80:$F$91))&gt;0)*($E$80:$E$91*$G$80:$G$91/1000*E111-((CVDebtBasis=1)*$E$80:$E$91+(CVDebtBasis&gt;=2)*$F$80:$F$91)))/E111)))</f>
        <v>25.8229788112513</v>
      </c>
      <c r="F112" s="23" t="n">
        <f aca="false">MAX(0.01,(V_EV-F$97*V_OFF-V_ODEBT-CHOOSE(DilMethod,0,SUMPRODUCT((F111&lt;=$H$80:$H$91)*((CVDebtBasis=1)*$E$80:$E$91+(CVDebtBasis&gt;=2)*$F$80:$F$91)),SUMPRODUCT(((CVDebtBasis=1)*$E$80:$E$91+(CVDebtBasis&gt;=2)*$F$80:$F$91)))+V_CASH+V_SOTP)/(V_BASIC+V_RSU+Options*MAX(0,1-OptK/F111)+CHOOSE(DilMethod,SUMPRODUCT($E$80:$E$91,$G$80:$G$91)/1000,SUMPRODUCT((F111&gt;$H$80:$H$91)*$E$80:$E$91*$G$80:$G$91)/1000,SUMPRODUCT((($E$80:$E$91*$G$80:$G$91/1000*F111-((CVDebtBasis=1)*$E$80:$E$91+(CVDebtBasis&gt;=2)*$F$80:$F$91))&gt;0)*($E$80:$E$91*$G$80:$G$91/1000*F111-((CVDebtBasis=1)*$E$80:$E$91+(CVDebtBasis&gt;=2)*$F$80:$F$91)))/F111)))</f>
        <v>0.01</v>
      </c>
      <c r="G112" s="23" t="n">
        <f aca="false">MAX(0.01,(V_EV-G$97*V_OFF-V_ODEBT-CHOOSE(DilMethod,0,SUMPRODUCT((G111&lt;=$H$80:$H$91)*((CVDebtBasis=1)*$E$80:$E$91+(CVDebtBasis&gt;=2)*$F$80:$F$91)),SUMPRODUCT(((CVDebtBasis=1)*$E$80:$E$91+(CVDebtBasis&gt;=2)*$F$80:$F$91)))+V_CASH+V_SOTP)/(V_BASIC+V_RSU+Options*MAX(0,1-OptK/G111)+CHOOSE(DilMethod,SUMPRODUCT($E$80:$E$91,$G$80:$G$91)/1000,SUMPRODUCT((G111&gt;$H$80:$H$91)*$E$80:$E$91*$G$80:$G$91)/1000,SUMPRODUCT((($E$80:$E$91*$G$80:$G$91/1000*G111-((CVDebtBasis=1)*$E$80:$E$91+(CVDebtBasis&gt;=2)*$F$80:$F$91))&gt;0)*($E$80:$E$91*$G$80:$G$91/1000*G111-((CVDebtBasis=1)*$E$80:$E$91+(CVDebtBasis&gt;=2)*$F$80:$F$91)))/G111)))</f>
        <v>0.01</v>
      </c>
    </row>
    <row r="113" customFormat="false" ht="15" hidden="false" customHeight="false" outlineLevel="0" collapsed="false">
      <c r="A113" s="0" t="s">
        <v>2637</v>
      </c>
      <c r="E113" s="23" t="n">
        <f aca="false">MAX(0.01,(V_EV-E$97*V_OFF-V_ODEBT-CHOOSE(DilMethod,0,SUMPRODUCT((E112&lt;=$H$80:$H$91)*((CVDebtBasis=1)*$E$80:$E$91+(CVDebtBasis&gt;=2)*$F$80:$F$91)),SUMPRODUCT(((CVDebtBasis=1)*$E$80:$E$91+(CVDebtBasis&gt;=2)*$F$80:$F$91)))+V_CASH+V_SOTP)/(V_BASIC+V_RSU+Options*MAX(0,1-OptK/E112)+CHOOSE(DilMethod,SUMPRODUCT($E$80:$E$91,$G$80:$G$91)/1000,SUMPRODUCT((E112&gt;$H$80:$H$91)*$E$80:$E$91*$G$80:$G$91)/1000,SUMPRODUCT((($E$80:$E$91*$G$80:$G$91/1000*E112-((CVDebtBasis=1)*$E$80:$E$91+(CVDebtBasis&gt;=2)*$F$80:$F$91))&gt;0)*($E$80:$E$91*$G$80:$G$91/1000*E112-((CVDebtBasis=1)*$E$80:$E$91+(CVDebtBasis&gt;=2)*$F$80:$F$91)))/E112)))</f>
        <v>25.8229788112513</v>
      </c>
      <c r="F113" s="23" t="n">
        <f aca="false">MAX(0.01,(V_EV-F$97*V_OFF-V_ODEBT-CHOOSE(DilMethod,0,SUMPRODUCT((F112&lt;=$H$80:$H$91)*((CVDebtBasis=1)*$E$80:$E$91+(CVDebtBasis&gt;=2)*$F$80:$F$91)),SUMPRODUCT(((CVDebtBasis=1)*$E$80:$E$91+(CVDebtBasis&gt;=2)*$F$80:$F$91)))+V_CASH+V_SOTP)/(V_BASIC+V_RSU+Options*MAX(0,1-OptK/F112)+CHOOSE(DilMethod,SUMPRODUCT($E$80:$E$91,$G$80:$G$91)/1000,SUMPRODUCT((F112&gt;$H$80:$H$91)*$E$80:$E$91*$G$80:$G$91)/1000,SUMPRODUCT((($E$80:$E$91*$G$80:$G$91/1000*F112-((CVDebtBasis=1)*$E$80:$E$91+(CVDebtBasis&gt;=2)*$F$80:$F$91))&gt;0)*($E$80:$E$91*$G$80:$G$91/1000*F112-((CVDebtBasis=1)*$E$80:$E$91+(CVDebtBasis&gt;=2)*$F$80:$F$91)))/F112)))</f>
        <v>0.01</v>
      </c>
      <c r="G113" s="23" t="n">
        <f aca="false">MAX(0.01,(V_EV-G$97*V_OFF-V_ODEBT-CHOOSE(DilMethod,0,SUMPRODUCT((G112&lt;=$H$80:$H$91)*((CVDebtBasis=1)*$E$80:$E$91+(CVDebtBasis&gt;=2)*$F$80:$F$91)),SUMPRODUCT(((CVDebtBasis=1)*$E$80:$E$91+(CVDebtBasis&gt;=2)*$F$80:$F$91)))+V_CASH+V_SOTP)/(V_BASIC+V_RSU+Options*MAX(0,1-OptK/G112)+CHOOSE(DilMethod,SUMPRODUCT($E$80:$E$91,$G$80:$G$91)/1000,SUMPRODUCT((G112&gt;$H$80:$H$91)*$E$80:$E$91*$G$80:$G$91)/1000,SUMPRODUCT((($E$80:$E$91*$G$80:$G$91/1000*G112-((CVDebtBasis=1)*$E$80:$E$91+(CVDebtBasis&gt;=2)*$F$80:$F$91))&gt;0)*($E$80:$E$91*$G$80:$G$91/1000*G112-((CVDebtBasis=1)*$E$80:$E$91+(CVDebtBasis&gt;=2)*$F$80:$F$91)))/G112)))</f>
        <v>0.01</v>
      </c>
    </row>
    <row r="114" customFormat="false" ht="15" hidden="false" customHeight="false" outlineLevel="0" collapsed="false">
      <c r="A114" s="107" t="s">
        <v>2638</v>
      </c>
      <c r="D114" s="22"/>
      <c r="E114" s="49" t="n">
        <f aca="false">MAX(ABS(E113-E112),ABS(F113-F112),ABS(G113-G112))</f>
        <v>0</v>
      </c>
    </row>
    <row r="115" customFormat="false" ht="15" hidden="false" customHeight="false" outlineLevel="0" collapsed="false">
      <c r="A115" s="3" t="s">
        <v>2639</v>
      </c>
      <c r="E115" s="6" t="n">
        <f aca="false">E113</f>
        <v>25.8229788112513</v>
      </c>
      <c r="F115" s="6" t="n">
        <f aca="false">F113</f>
        <v>0.01</v>
      </c>
      <c r="G115" s="6" t="n">
        <f aca="false">G113</f>
        <v>0.01</v>
      </c>
    </row>
    <row r="116" customFormat="false" ht="15" hidden="false" customHeight="false" outlineLevel="0" collapsed="false">
      <c r="A116" s="107" t="s">
        <v>2640</v>
      </c>
      <c r="E116" s="47" t="n">
        <f aca="false">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0</v>
      </c>
      <c r="F116" s="47" t="n">
        <f aca="false">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0</v>
      </c>
      <c r="G116" s="47" t="n">
        <f aca="false">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0</v>
      </c>
    </row>
    <row r="117" customFormat="false" ht="15" hidden="false" customHeight="false" outlineLevel="0" collapsed="false">
      <c r="A117" s="107" t="s">
        <v>2641</v>
      </c>
      <c r="E117" s="109" t="n">
        <f aca="false">CHOOSE(DilMethod,0,SUMPRODUCT((E113&lt;=$H$80:$H$91)*((CVDebtBasis=1)*$E$80:$E$91+(CVDebtBasis&gt;=2)*$F$80:$F$91)),SUMPRODUCT(((CVDebtBasis=1)*$E$80:$E$91+(CVDebtBasis&gt;=2)*$F$80:$F$91)))</f>
        <v>13510.8578038903</v>
      </c>
      <c r="F117" s="109" t="n">
        <f aca="false">CHOOSE(DilMethod,0,SUMPRODUCT((F113&lt;=$H$80:$H$91)*((CVDebtBasis=1)*$E$80:$E$91+(CVDebtBasis&gt;=2)*$F$80:$F$91)),SUMPRODUCT(((CVDebtBasis=1)*$E$80:$E$91+(CVDebtBasis&gt;=2)*$F$80:$F$91)))</f>
        <v>13510.8578038903</v>
      </c>
      <c r="G117" s="109" t="n">
        <f aca="false">CHOOSE(DilMethod,0,SUMPRODUCT((G113&lt;=$H$80:$H$91)*((CVDebtBasis=1)*$E$80:$E$91+(CVDebtBasis&gt;=2)*$F$80:$F$91)),SUMPRODUCT(((CVDebtBasis=1)*$E$80:$E$91+(CVDebtBasis&gt;=2)*$F$80:$F$91)))</f>
        <v>13510.8578038903</v>
      </c>
    </row>
    <row r="118" customFormat="false" ht="15" hidden="false" customHeight="false" outlineLevel="0" collapsed="false">
      <c r="A118" s="107" t="s">
        <v>2642</v>
      </c>
      <c r="E118" s="47" t="n">
        <f aca="false">Options*MAX(0,1-OptK/E113)</f>
        <v>0</v>
      </c>
      <c r="F118" s="47" t="n">
        <f aca="false">Options*MAX(0,1-OptK/F113)</f>
        <v>0</v>
      </c>
      <c r="G118" s="47" t="n">
        <f aca="false">Options*MAX(0,1-OptK/G113)</f>
        <v>0</v>
      </c>
    </row>
    <row r="119" customFormat="false" ht="15" hidden="false" customHeight="false" outlineLevel="0" collapsed="false">
      <c r="A119" s="107" t="s">
        <v>2643</v>
      </c>
      <c r="E119" s="47" t="n">
        <f aca="false">V_BASIC+V_RSU+Options*MAX(0,1-OptK/E113)+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314.925245</v>
      </c>
      <c r="F119" s="47" t="n">
        <f aca="false">V_BASIC+V_RSU+Options*MAX(0,1-OptK/F113)+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314.925245</v>
      </c>
      <c r="G119" s="47" t="n">
        <f aca="false">V_BASIC+V_RSU+Options*MAX(0,1-OptK/G113)+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314.925245</v>
      </c>
    </row>
    <row r="120" customFormat="false" ht="15" hidden="false" customHeight="false" outlineLevel="0" collapsed="false">
      <c r="A120" s="3" t="s">
        <v>2644</v>
      </c>
      <c r="E120" s="115" t="n">
        <f aca="false">V_EV-E$97*V_OFF-V_ODEBT-CHOOSE(DilMethod,0,SUMPRODUCT((E113&lt;=$H$80:$H$91)*((CVDebtBasis=1)*$E$80:$E$91+(CVDebtBasis&gt;=2)*$F$80:$F$91)),SUMPRODUCT(((CVDebtBasis=1)*$E$80:$E$91+(CVDebtBasis&gt;=2)*$F$80:$F$91)))+V_CASH+V_SOTP</f>
        <v>8132.30792876313</v>
      </c>
      <c r="F120" s="115" t="n">
        <f aca="false">V_EV-F$97*V_OFF-V_ODEBT-CHOOSE(DilMethod,0,SUMPRODUCT((F113&lt;=$H$80:$H$91)*((CVDebtBasis=1)*$E$80:$E$91+(CVDebtBasis&gt;=2)*$F$80:$F$91)),SUMPRODUCT(((CVDebtBasis=1)*$E$80:$E$91+(CVDebtBasis&gt;=2)*$F$80:$F$91)))+V_CASH+V_SOTP</f>
        <v>-1365.19207123687</v>
      </c>
      <c r="G120" s="115" t="n">
        <f aca="false">V_EV-G$97*V_OFF-V_ODEBT-CHOOSE(DilMethod,0,SUMPRODUCT((G113&lt;=$H$80:$H$91)*((CVDebtBasis=1)*$E$80:$E$91+(CVDebtBasis&gt;=2)*$F$80:$F$91)),SUMPRODUCT(((CVDebtBasis=1)*$E$80:$E$91+(CVDebtBasis&gt;=2)*$F$80:$F$91)))+V_CASH+V_SOTP</f>
        <v>-10862.6920712369</v>
      </c>
    </row>
    <row r="121" customFormat="false" ht="15" hidden="false" customHeight="false" outlineLevel="0" collapsed="false">
      <c r="A121" s="107" t="s">
        <v>2645</v>
      </c>
      <c r="E121" s="23" t="n">
        <f aca="false">(V_EV-E$97*V_OFF-V_ODEBT-SUMPRODUCT(((CVDebtBasis=1)*$E$80:$E$91+(CVDebtBasis&gt;=2)*$F$80:$F$91))+V_CASH+V_SOTP)/V_BASIC</f>
        <v>26.3444799871496</v>
      </c>
      <c r="F121" s="23" t="n">
        <f aca="false">(V_EV-F$97*V_OFF-V_ODEBT-SUMPRODUCT(((CVDebtBasis=1)*$E$80:$E$91+(CVDebtBasis&gt;=2)*$F$80:$F$91))+V_CASH+V_SOTP)/V_BASIC</f>
        <v>-4.42251763144748</v>
      </c>
      <c r="G121" s="23" t="n">
        <f aca="false">(V_EV-G$97*V_OFF-V_ODEBT-SUMPRODUCT(((CVDebtBasis=1)*$E$80:$E$91+(CVDebtBasis&gt;=2)*$F$80:$F$91))+V_CASH+V_SOTP)/V_BASIC</f>
        <v>-35.1895152500446</v>
      </c>
    </row>
    <row r="122" customFormat="false" ht="15" hidden="false" customHeight="false" outlineLevel="0" collapsed="false">
      <c r="A122" s="107" t="s">
        <v>2646</v>
      </c>
      <c r="E122" s="47" t="n">
        <f aca="false">SUMPRODUCT((E113&gt;$H$80:$H$91)*$E$80:$E$91*$G$80:$G$91)/1000</f>
        <v>0</v>
      </c>
      <c r="F122" s="47" t="n">
        <f aca="false">SUMPRODUCT((F113&gt;$H$80:$H$91)*$E$80:$E$91*$G$80:$G$91)/1000</f>
        <v>0</v>
      </c>
      <c r="G122" s="47" t="n">
        <f aca="false">SUMPRODUCT((G113&gt;$H$80:$H$91)*$E$80:$E$91*$G$80:$G$91)/1000</f>
        <v>0</v>
      </c>
    </row>
    <row r="123" customFormat="false" ht="15" hidden="false" customHeight="false" outlineLevel="0" collapsed="false">
      <c r="A123" s="107" t="s">
        <v>2647</v>
      </c>
      <c r="E123" s="47" t="n">
        <f aca="false">SUMPRODUCT((($E$80:$E$91*$G$80:$G$91/1000*E113-((CVDebtBasis=1)*$E$80:$E$91+(CVDebtBasis&gt;=2)*$F$80:$F$91))&gt;0)*($E$80:$E$91*$G$80:$G$91/1000*E113-((CVDebtBasis=1)*$E$80:$E$91+(CVDebtBasis&gt;=2)*$F$80:$F$91)))/E113</f>
        <v>0</v>
      </c>
      <c r="F123" s="47" t="n">
        <f aca="false">SUMPRODUCT((($E$80:$E$91*$G$80:$G$91/1000*F113-((CVDebtBasis=1)*$E$80:$E$91+(CVDebtBasis&gt;=2)*$F$80:$F$91))&gt;0)*($E$80:$E$91*$G$80:$G$91/1000*F113-((CVDebtBasis=1)*$E$80:$E$91+(CVDebtBasis&gt;=2)*$F$80:$F$91)))/F113</f>
        <v>0</v>
      </c>
      <c r="G123" s="47" t="n">
        <f aca="false">SUMPRODUCT((($E$80:$E$91*$G$80:$G$91/1000*G113-((CVDebtBasis=1)*$E$80:$E$91+(CVDebtBasis&gt;=2)*$F$80:$F$91))&gt;0)*($E$80:$E$91*$G$80:$G$91/1000*G113-((CVDebtBasis=1)*$E$80:$E$91+(CVDebtBasis&gt;=2)*$F$80:$F$91)))/G113</f>
        <v>0</v>
      </c>
    </row>
    <row r="124" customFormat="false" ht="15" hidden="false" customHeight="false" outlineLevel="0" collapsed="false">
      <c r="A124" s="107" t="s">
        <v>2648</v>
      </c>
      <c r="E124" s="47" t="n">
        <f aca="false">V_BASIC+V_RSU+Options*MAX(0,1-OptK/E113)+SUMPRODUCT((E113&gt;$H$80:$H$91)*$E$80:$E$91*$G$80:$G$91)/1000</f>
        <v>314.925245</v>
      </c>
      <c r="F124" s="47" t="n">
        <f aca="false">V_BASIC+V_RSU+Options*MAX(0,1-OptK/F113)+SUMPRODUCT((F113&gt;$H$80:$H$91)*$E$80:$E$91*$G$80:$G$91)/1000</f>
        <v>314.925245</v>
      </c>
      <c r="G124" s="47" t="n">
        <f aca="false">V_BASIC+V_RSU+Options*MAX(0,1-OptK/G113)+SUMPRODUCT((G113&gt;$H$80:$H$91)*$E$80:$E$91*$G$80:$G$91)/1000</f>
        <v>314.925245</v>
      </c>
    </row>
    <row r="125" customFormat="false" ht="15" hidden="false" customHeight="false" outlineLevel="0" collapsed="false">
      <c r="A125" s="107" t="s">
        <v>2649</v>
      </c>
      <c r="E125" s="47" t="n">
        <f aca="false">V_BASIC+V_RSU+Options*MAX(0,1-OptK/E113)+SUMPRODUCT((($E$80:$E$91*$G$80:$G$91/1000*E113-((CVDebtBasis=1)*$E$80:$E$91+(CVDebtBasis&gt;=2)*$F$80:$F$91))&gt;0)*($E$80:$E$91*$G$80:$G$91/1000*E113-((CVDebtBasis=1)*$E$80:$E$91+(CVDebtBasis&gt;=2)*$F$80:$F$91)))/E113</f>
        <v>314.925245</v>
      </c>
      <c r="F125" s="47" t="n">
        <f aca="false">V_BASIC+V_RSU+Options*MAX(0,1-OptK/F113)+SUMPRODUCT((($E$80:$E$91*$G$80:$G$91/1000*F113-((CVDebtBasis=1)*$E$80:$E$91+(CVDebtBasis&gt;=2)*$F$80:$F$91))&gt;0)*($E$80:$E$91*$G$80:$G$91/1000*F113-((CVDebtBasis=1)*$E$80:$E$91+(CVDebtBasis&gt;=2)*$F$80:$F$91)))/F113</f>
        <v>314.925245</v>
      </c>
      <c r="G125" s="47" t="n">
        <f aca="false">V_BASIC+V_RSU+Options*MAX(0,1-OptK/G113)+SUMPRODUCT((($E$80:$E$91*$G$80:$G$91/1000*G113-((CVDebtBasis=1)*$E$80:$E$91+(CVDebtBasis&gt;=2)*$F$80:$F$91))&gt;0)*($E$80:$E$91*$G$80:$G$91/1000*G113-((CVDebtBasis=1)*$E$80:$E$91+(CVDebtBasis&gt;=2)*$F$80:$F$91)))/G113</f>
        <v>314.925245</v>
      </c>
    </row>
    <row r="127" customFormat="false" ht="15" hidden="false" customHeight="false" outlineLevel="0" collapsed="false">
      <c r="A127" s="58" t="s">
        <v>2650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</row>
    <row r="128" customFormat="false" ht="15" hidden="false" customHeight="false" outlineLevel="0" collapsed="false">
      <c r="A128" s="3" t="s">
        <v>2651</v>
      </c>
      <c r="E128" s="3" t="s">
        <v>2652</v>
      </c>
      <c r="F128" s="3" t="s">
        <v>2653</v>
      </c>
      <c r="G128" s="3" t="s">
        <v>2654</v>
      </c>
      <c r="H128" s="3" t="s">
        <v>2655</v>
      </c>
      <c r="I128" s="3" t="s">
        <v>2656</v>
      </c>
      <c r="J128" s="3" t="s">
        <v>2657</v>
      </c>
      <c r="K128" s="3" t="s">
        <v>2658</v>
      </c>
    </row>
    <row r="129" customFormat="false" ht="15" hidden="false" customHeight="false" outlineLevel="0" collapsed="false">
      <c r="A129" s="0" t="s">
        <v>2659</v>
      </c>
      <c r="E129" s="23" t="n">
        <f aca="false">46</f>
        <v>46</v>
      </c>
      <c r="F129" s="33" t="n">
        <f aca="false">SUMPRODUCT(($E129&gt;$H$80:$H$91)*$E$80:$E$91)</f>
        <v>0</v>
      </c>
      <c r="G129" s="47" t="n">
        <f aca="false">SUMPRODUCT(($E129&gt;$H$80:$H$91)*$E$80:$E$91*$G$80:$G$91)/1000</f>
        <v>0</v>
      </c>
      <c r="H129" s="33" t="n">
        <f aca="false">SUMPRODUCT(($E129&lt;=$H$80:$H$91)*((CVDebtBasis=1)*$E$80:$E$91+(CVDebtBasis&gt;=2)*$F$80:$F$91))</f>
        <v>13510.8578038903</v>
      </c>
      <c r="I129" s="47" t="n">
        <f aca="false">SUMPRODUCT((($E$80:$E$91*$G$80:$G$91/1000*$E129-((CVDebtBasis=1)*$E$80:$E$91+(CVDebtBasis&gt;=2)*$F$80:$F$91))&gt;0)*($E$80:$E$91*$G$80:$G$91/1000*$E129-((CVDebtBasis=1)*$E$80:$E$91+(CVDebtBasis&gt;=2)*$F$80:$F$91)))/$E129</f>
        <v>0</v>
      </c>
      <c r="J129" s="47" t="n">
        <f aca="false">V_BASIC+V_RSU+Options*MAX(0,1-OptK/$E129)+G129</f>
        <v>314.925245</v>
      </c>
      <c r="K129" s="47" t="n">
        <f aca="false">V_BASIC+V_RSU+Options*MAX(0,1-OptK/$E129)+I129</f>
        <v>314.925245</v>
      </c>
    </row>
    <row r="130" customFormat="false" ht="15" hidden="false" customHeight="false" outlineLevel="0" collapsed="false">
      <c r="A130" s="0" t="s">
        <v>2660</v>
      </c>
      <c r="E130" s="23" t="n">
        <f aca="false">147</f>
        <v>147</v>
      </c>
      <c r="F130" s="33" t="n">
        <f aca="false">SUMPRODUCT(($E130&gt;$H$80:$H$91)*$E$80:$E$91)</f>
        <v>3337.5</v>
      </c>
      <c r="G130" s="47" t="n">
        <f aca="false">SUMPRODUCT(($E130&gt;$H$80:$H$91)*$E$80:$E$91*$G$80:$G$91)/1000</f>
        <v>26.1941225</v>
      </c>
      <c r="H130" s="33" t="n">
        <f aca="false">SUMPRODUCT(($E130&lt;=$H$80:$H$91)*((CVDebtBasis=1)*$E$80:$E$91+(CVDebtBasis&gt;=2)*$F$80:$F$91))</f>
        <v>10142.1089318797</v>
      </c>
      <c r="I130" s="47" t="n">
        <f aca="false">SUMPRODUCT((($E$80:$E$91*$G$80:$G$91/1000*$E130-((CVDebtBasis=1)*$E$80:$E$91+(CVDebtBasis&gt;=2)*$F$80:$F$91))&gt;0)*($E$80:$E$91*$G$80:$G$91/1000*$E130-((CVDebtBasis=1)*$E$80:$E$91+(CVDebtBasis&gt;=2)*$F$80:$F$91)))/$E130</f>
        <v>3.27746350673058</v>
      </c>
      <c r="J130" s="47" t="n">
        <f aca="false">V_BASIC+V_RSU+Options*MAX(0,1-OptK/$E130)+G130</f>
        <v>343.794973010204</v>
      </c>
      <c r="K130" s="47" t="n">
        <f aca="false">V_BASIC+V_RSU+Options*MAX(0,1-OptK/$E130)+I130</f>
        <v>320.878314016935</v>
      </c>
    </row>
    <row r="131" customFormat="false" ht="15" hidden="false" customHeight="false" outlineLevel="0" collapsed="false">
      <c r="A131" s="0" t="s">
        <v>2661</v>
      </c>
      <c r="E131" s="23" t="n">
        <f aca="false">242.81</f>
        <v>242.81</v>
      </c>
      <c r="F131" s="33" t="n">
        <f aca="false">SUMPRODUCT(($E131&gt;$H$80:$H$91)*$E$80:$E$91)</f>
        <v>7675</v>
      </c>
      <c r="G131" s="47" t="n">
        <f aca="false">SUMPRODUCT(($E131&gt;$H$80:$H$91)*$E$80:$E$91*$G$80:$G$91)/1000</f>
        <v>50.02193875</v>
      </c>
      <c r="H131" s="33" t="n">
        <f aca="false">SUMPRODUCT(($E131&lt;=$H$80:$H$91)*((CVDebtBasis=1)*$E$80:$E$91+(CVDebtBasis&gt;=2)*$F$80:$F$91))</f>
        <v>5767.83060829888</v>
      </c>
      <c r="I131" s="47" t="n">
        <f aca="false">SUMPRODUCT((($E$80:$E$91*$G$80:$G$91/1000*$E131-((CVDebtBasis=1)*$E$80:$E$91+(CVDebtBasis&gt;=2)*$F$80:$F$91))&gt;0)*($E$80:$E$91*$G$80:$G$91/1000*$E131-((CVDebtBasis=1)*$E$80:$E$91+(CVDebtBasis&gt;=2)*$F$80:$F$91)))/$E131</f>
        <v>18.1326953267827</v>
      </c>
      <c r="J131" s="47" t="n">
        <f aca="false">V_BASIC+V_RSU+Options*MAX(0,1-OptK/$E131)+G131</f>
        <v>369.226788774505</v>
      </c>
      <c r="K131" s="47" t="n">
        <f aca="false">V_BASIC+V_RSU+Options*MAX(0,1-OptK/$E131)+I131</f>
        <v>337.337545351288</v>
      </c>
    </row>
    <row r="132" customFormat="false" ht="15" hidden="false" customHeight="false" outlineLevel="0" collapsed="false">
      <c r="A132" s="0" t="s">
        <v>2662</v>
      </c>
      <c r="E132" s="23" t="n">
        <f aca="false">V_PSolve</f>
        <v>0.01</v>
      </c>
      <c r="F132" s="33" t="n">
        <f aca="false">SUMPRODUCT(($E132&gt;$H$80:$H$91)*$E$80:$E$91)</f>
        <v>0</v>
      </c>
      <c r="G132" s="47" t="n">
        <f aca="false">SUMPRODUCT(($E132&gt;$H$80:$H$91)*$E$80:$E$91*$G$80:$G$91)/1000</f>
        <v>0</v>
      </c>
      <c r="H132" s="33" t="n">
        <f aca="false">SUMPRODUCT(($E132&lt;=$H$80:$H$91)*((CVDebtBasis=1)*$E$80:$E$91+(CVDebtBasis&gt;=2)*$F$80:$F$91))</f>
        <v>13510.8578038903</v>
      </c>
      <c r="I132" s="47" t="n">
        <f aca="false">SUMPRODUCT((($E$80:$E$91*$G$80:$G$91/1000*$E132-((CVDebtBasis=1)*$E$80:$E$91+(CVDebtBasis&gt;=2)*$F$80:$F$91))&gt;0)*($E$80:$E$91*$G$80:$G$91/1000*$E132-((CVDebtBasis=1)*$E$80:$E$91+(CVDebtBasis&gt;=2)*$F$80:$F$91)))/$E132</f>
        <v>0</v>
      </c>
      <c r="J132" s="47" t="n">
        <f aca="false">V_BASIC+V_RSU+Options*MAX(0,1-OptK/$E132)+G132</f>
        <v>314.925245</v>
      </c>
      <c r="K132" s="47" t="n">
        <f aca="false">V_BASIC+V_RSU+Options*MAX(0,1-OptK/$E132)+I132</f>
        <v>314.925245</v>
      </c>
    </row>
    <row r="134" customFormat="false" ht="15" hidden="false" customHeight="false" outlineLevel="0" collapsed="false">
      <c r="A134" s="58" t="s">
        <v>2663</v>
      </c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</row>
    <row r="135" customFormat="false" ht="15" hidden="false" customHeight="false" outlineLevel="0" collapsed="false">
      <c r="A135" s="0" t="s">
        <v>2664</v>
      </c>
      <c r="E135" s="33" t="n">
        <f aca="false">FP_On*(FP_ATMProc*(FP_ATMIdx&lt;=FP_PostQ)+SUMPRODUCT((Q_Idx&lt;=FP_PostQ)*CF_FPConv))</f>
        <v>15623.5757177135</v>
      </c>
    </row>
    <row r="136" customFormat="false" ht="15" hidden="false" customHeight="false" outlineLevel="0" collapsed="false">
      <c r="A136" s="0" t="s">
        <v>2665</v>
      </c>
      <c r="E136" s="47" t="n">
        <f aca="false">FP_On*FP_ATMSh*(FP_ATMIdx&lt;=FP_PostQ)</f>
        <v>12.270507</v>
      </c>
    </row>
    <row r="137" customFormat="false" ht="15" hidden="false" customHeight="false" outlineLevel="0" collapsed="false">
      <c r="A137" s="0" t="s">
        <v>2666</v>
      </c>
      <c r="E137" s="23" t="n">
        <f aca="false">MAX(0.01,E113)</f>
        <v>25.8229788112513</v>
      </c>
      <c r="F137" s="23" t="n">
        <f aca="false">MAX(0.01,F113)</f>
        <v>0.01</v>
      </c>
      <c r="G137" s="23" t="n">
        <f aca="false">MAX(0.01,G113)</f>
        <v>0.01</v>
      </c>
    </row>
    <row r="138" customFormat="false" ht="15" hidden="false" customHeight="false" outlineLevel="0" collapsed="false">
      <c r="A138" s="0" t="s">
        <v>2667</v>
      </c>
      <c r="E138" s="23" t="n">
        <f aca="false">MAX(0.01,(V_EV-E$97*V_OFF-V_ODEBT-CHOOSE(DilMethod,0,SUMPRODUCT((E137&lt;=$H$80:$H$91)*((CVDebtBasis=1)*$I$80:$I$91+(CVDebtBasis&gt;=2)*$J$80:$J$91)),SUMPRODUCT(((CVDebtBasis=1)*$I$80:$I$91+(CVDebtBasis&gt;=2)*$J$80:$J$91)))+V_CASH+V_SOTP+V_FPCash)/(V_BASIC+V_FPSh+V_RSU+Options*MAX(0,1-OptK/E137)+CHOOSE(DilMethod,SUMPRODUCT($I$80:$I$91,$G$80:$G$91)/1000,SUMPRODUCT((E137&gt;$H$80:$H$91)*$I$80:$I$91*$G$80:$G$91)/1000,SUMPRODUCT((($I$80:$I$91*$G$80:$G$91/1000*E137-((CVDebtBasis=1)*$I$80:$I$91+(CVDebtBasis&gt;=2)*$J$80:$J$91))&gt;0)*($I$80:$I$91*$G$80:$G$91/1000*E137-((CVDebtBasis=1)*$I$80:$I$91+(CVDebtBasis&gt;=2)*$J$80:$J$91)))/E137)))</f>
        <v>31.0507568922069</v>
      </c>
      <c r="F138" s="23" t="n">
        <f aca="false">MAX(0.01,(V_EV-F$97*V_OFF-V_ODEBT-CHOOSE(DilMethod,0,SUMPRODUCT((F137&lt;=$H$80:$H$91)*((CVDebtBasis=1)*$I$80:$I$91+(CVDebtBasis&gt;=2)*$J$80:$J$91)),SUMPRODUCT(((CVDebtBasis=1)*$I$80:$I$91+(CVDebtBasis&gt;=2)*$J$80:$J$91)))+V_CASH+V_SOTP+V_FPCash)/(V_BASIC+V_FPSh+V_RSU+Options*MAX(0,1-OptK/F137)+CHOOSE(DilMethod,SUMPRODUCT($I$80:$I$91,$G$80:$G$91)/1000,SUMPRODUCT((F137&gt;$H$80:$H$91)*$I$80:$I$91*$G$80:$G$91)/1000,SUMPRODUCT((($I$80:$I$91*$G$80:$G$91/1000*F137-((CVDebtBasis=1)*$I$80:$I$91+(CVDebtBasis&gt;=2)*$J$80:$J$91))&gt;0)*($I$80:$I$91*$G$80:$G$91/1000*F137-((CVDebtBasis=1)*$I$80:$I$91+(CVDebtBasis&gt;=2)*$J$80:$J$91)))/F137)))</f>
        <v>2.02379079638786</v>
      </c>
      <c r="G138" s="23" t="n">
        <f aca="false">MAX(0.01,(V_EV-G$97*V_OFF-V_ODEBT-CHOOSE(DilMethod,0,SUMPRODUCT((G137&lt;=$H$80:$H$91)*((CVDebtBasis=1)*$I$80:$I$91+(CVDebtBasis&gt;=2)*$J$80:$J$91)),SUMPRODUCT(((CVDebtBasis=1)*$I$80:$I$91+(CVDebtBasis&gt;=2)*$J$80:$J$91)))+V_CASH+V_SOTP+V_FPCash)/(V_BASIC+V_FPSh+V_RSU+Options*MAX(0,1-OptK/G137)+CHOOSE(DilMethod,SUMPRODUCT($I$80:$I$91,$G$80:$G$91)/1000,SUMPRODUCT((G137&gt;$H$80:$H$91)*$I$80:$I$91*$G$80:$G$91)/1000,SUMPRODUCT((($I$80:$I$91*$G$80:$G$91/1000*G137-((CVDebtBasis=1)*$I$80:$I$91+(CVDebtBasis&gt;=2)*$J$80:$J$91))&gt;0)*($I$80:$I$91*$G$80:$G$91/1000*G137-((CVDebtBasis=1)*$I$80:$I$91+(CVDebtBasis&gt;=2)*$J$80:$J$91)))/G137)))</f>
        <v>0.01</v>
      </c>
    </row>
    <row r="139" customFormat="false" ht="15" hidden="false" customHeight="false" outlineLevel="0" collapsed="false">
      <c r="A139" s="0" t="s">
        <v>2668</v>
      </c>
      <c r="E139" s="23" t="n">
        <f aca="false">MAX(0.01,(V_EV-E$97*V_OFF-V_ODEBT-CHOOSE(DilMethod,0,SUMPRODUCT((E138&lt;=$H$80:$H$91)*((CVDebtBasis=1)*$I$80:$I$91+(CVDebtBasis&gt;=2)*$J$80:$J$91)),SUMPRODUCT(((CVDebtBasis=1)*$I$80:$I$91+(CVDebtBasis&gt;=2)*$J$80:$J$91)))+V_CASH+V_SOTP+V_FPCash)/(V_BASIC+V_FPSh+V_RSU+Options*MAX(0,1-OptK/E138)+CHOOSE(DilMethod,SUMPRODUCT($I$80:$I$91,$G$80:$G$91)/1000,SUMPRODUCT((E138&gt;$H$80:$H$91)*$I$80:$I$91*$G$80:$G$91)/1000,SUMPRODUCT((($I$80:$I$91*$G$80:$G$91/1000*E138-((CVDebtBasis=1)*$I$80:$I$91+(CVDebtBasis&gt;=2)*$J$80:$J$91))&gt;0)*($I$80:$I$91*$G$80:$G$91/1000*E138-((CVDebtBasis=1)*$I$80:$I$91+(CVDebtBasis&gt;=2)*$J$80:$J$91)))/E138)))</f>
        <v>31.0507568922069</v>
      </c>
      <c r="F139" s="23" t="n">
        <f aca="false">MAX(0.01,(V_EV-F$97*V_OFF-V_ODEBT-CHOOSE(DilMethod,0,SUMPRODUCT((F138&lt;=$H$80:$H$91)*((CVDebtBasis=1)*$I$80:$I$91+(CVDebtBasis&gt;=2)*$J$80:$J$91)),SUMPRODUCT(((CVDebtBasis=1)*$I$80:$I$91+(CVDebtBasis&gt;=2)*$J$80:$J$91)))+V_CASH+V_SOTP+V_FPCash)/(V_BASIC+V_FPSh+V_RSU+Options*MAX(0,1-OptK/F138)+CHOOSE(DilMethod,SUMPRODUCT($I$80:$I$91,$G$80:$G$91)/1000,SUMPRODUCT((F138&gt;$H$80:$H$91)*$I$80:$I$91*$G$80:$G$91)/1000,SUMPRODUCT((($I$80:$I$91*$G$80:$G$91/1000*F138-((CVDebtBasis=1)*$I$80:$I$91+(CVDebtBasis&gt;=2)*$J$80:$J$91))&gt;0)*($I$80:$I$91*$G$80:$G$91/1000*F138-((CVDebtBasis=1)*$I$80:$I$91+(CVDebtBasis&gt;=2)*$J$80:$J$91)))/F138)))</f>
        <v>2.02379079638786</v>
      </c>
      <c r="G139" s="23" t="n">
        <f aca="false">MAX(0.01,(V_EV-G$97*V_OFF-V_ODEBT-CHOOSE(DilMethod,0,SUMPRODUCT((G138&lt;=$H$80:$H$91)*((CVDebtBasis=1)*$I$80:$I$91+(CVDebtBasis&gt;=2)*$J$80:$J$91)),SUMPRODUCT(((CVDebtBasis=1)*$I$80:$I$91+(CVDebtBasis&gt;=2)*$J$80:$J$91)))+V_CASH+V_SOTP+V_FPCash)/(V_BASIC+V_FPSh+V_RSU+Options*MAX(0,1-OptK/G138)+CHOOSE(DilMethod,SUMPRODUCT($I$80:$I$91,$G$80:$G$91)/1000,SUMPRODUCT((G138&gt;$H$80:$H$91)*$I$80:$I$91*$G$80:$G$91)/1000,SUMPRODUCT((($I$80:$I$91*$G$80:$G$91/1000*G138-((CVDebtBasis=1)*$I$80:$I$91+(CVDebtBasis&gt;=2)*$J$80:$J$91))&gt;0)*($I$80:$I$91*$G$80:$G$91/1000*G138-((CVDebtBasis=1)*$I$80:$I$91+(CVDebtBasis&gt;=2)*$J$80:$J$91)))/G138)))</f>
        <v>0.01</v>
      </c>
    </row>
    <row r="140" customFormat="false" ht="15" hidden="false" customHeight="false" outlineLevel="0" collapsed="false">
      <c r="A140" s="0" t="s">
        <v>2669</v>
      </c>
      <c r="E140" s="23" t="n">
        <f aca="false">MAX(0.01,(V_EV-E$97*V_OFF-V_ODEBT-CHOOSE(DilMethod,0,SUMPRODUCT((E139&lt;=$H$80:$H$91)*((CVDebtBasis=1)*$I$80:$I$91+(CVDebtBasis&gt;=2)*$J$80:$J$91)),SUMPRODUCT(((CVDebtBasis=1)*$I$80:$I$91+(CVDebtBasis&gt;=2)*$J$80:$J$91)))+V_CASH+V_SOTP+V_FPCash)/(V_BASIC+V_FPSh+V_RSU+Options*MAX(0,1-OptK/E139)+CHOOSE(DilMethod,SUMPRODUCT($I$80:$I$91,$G$80:$G$91)/1000,SUMPRODUCT((E139&gt;$H$80:$H$91)*$I$80:$I$91*$G$80:$G$91)/1000,SUMPRODUCT((($I$80:$I$91*$G$80:$G$91/1000*E139-((CVDebtBasis=1)*$I$80:$I$91+(CVDebtBasis&gt;=2)*$J$80:$J$91))&gt;0)*($I$80:$I$91*$G$80:$G$91/1000*E139-((CVDebtBasis=1)*$I$80:$I$91+(CVDebtBasis&gt;=2)*$J$80:$J$91)))/E139)))</f>
        <v>31.0507568922069</v>
      </c>
      <c r="F140" s="23" t="n">
        <f aca="false">MAX(0.01,(V_EV-F$97*V_OFF-V_ODEBT-CHOOSE(DilMethod,0,SUMPRODUCT((F139&lt;=$H$80:$H$91)*((CVDebtBasis=1)*$I$80:$I$91+(CVDebtBasis&gt;=2)*$J$80:$J$91)),SUMPRODUCT(((CVDebtBasis=1)*$I$80:$I$91+(CVDebtBasis&gt;=2)*$J$80:$J$91)))+V_CASH+V_SOTP+V_FPCash)/(V_BASIC+V_FPSh+V_RSU+Options*MAX(0,1-OptK/F139)+CHOOSE(DilMethod,SUMPRODUCT($I$80:$I$91,$G$80:$G$91)/1000,SUMPRODUCT((F139&gt;$H$80:$H$91)*$I$80:$I$91*$G$80:$G$91)/1000,SUMPRODUCT((($I$80:$I$91*$G$80:$G$91/1000*F139-((CVDebtBasis=1)*$I$80:$I$91+(CVDebtBasis&gt;=2)*$J$80:$J$91))&gt;0)*($I$80:$I$91*$G$80:$G$91/1000*F139-((CVDebtBasis=1)*$I$80:$I$91+(CVDebtBasis&gt;=2)*$J$80:$J$91)))/F139)))</f>
        <v>2.02379079638786</v>
      </c>
      <c r="G140" s="23" t="n">
        <f aca="false">MAX(0.01,(V_EV-G$97*V_OFF-V_ODEBT-CHOOSE(DilMethod,0,SUMPRODUCT((G139&lt;=$H$80:$H$91)*((CVDebtBasis=1)*$I$80:$I$91+(CVDebtBasis&gt;=2)*$J$80:$J$91)),SUMPRODUCT(((CVDebtBasis=1)*$I$80:$I$91+(CVDebtBasis&gt;=2)*$J$80:$J$91)))+V_CASH+V_SOTP+V_FPCash)/(V_BASIC+V_FPSh+V_RSU+Options*MAX(0,1-OptK/G139)+CHOOSE(DilMethod,SUMPRODUCT($I$80:$I$91,$G$80:$G$91)/1000,SUMPRODUCT((G139&gt;$H$80:$H$91)*$I$80:$I$91*$G$80:$G$91)/1000,SUMPRODUCT((($I$80:$I$91*$G$80:$G$91/1000*G139-((CVDebtBasis=1)*$I$80:$I$91+(CVDebtBasis&gt;=2)*$J$80:$J$91))&gt;0)*($I$80:$I$91*$G$80:$G$91/1000*G139-((CVDebtBasis=1)*$I$80:$I$91+(CVDebtBasis&gt;=2)*$J$80:$J$91)))/G139)))</f>
        <v>0.01</v>
      </c>
    </row>
    <row r="141" customFormat="false" ht="15" hidden="false" customHeight="false" outlineLevel="0" collapsed="false">
      <c r="A141" s="0" t="s">
        <v>2670</v>
      </c>
      <c r="E141" s="23" t="n">
        <f aca="false">MAX(0.01,(V_EV-E$97*V_OFF-V_ODEBT-CHOOSE(DilMethod,0,SUMPRODUCT((E140&lt;=$H$80:$H$91)*((CVDebtBasis=1)*$I$80:$I$91+(CVDebtBasis&gt;=2)*$J$80:$J$91)),SUMPRODUCT(((CVDebtBasis=1)*$I$80:$I$91+(CVDebtBasis&gt;=2)*$J$80:$J$91)))+V_CASH+V_SOTP+V_FPCash)/(V_BASIC+V_FPSh+V_RSU+Options*MAX(0,1-OptK/E140)+CHOOSE(DilMethod,SUMPRODUCT($I$80:$I$91,$G$80:$G$91)/1000,SUMPRODUCT((E140&gt;$H$80:$H$91)*$I$80:$I$91*$G$80:$G$91)/1000,SUMPRODUCT((($I$80:$I$91*$G$80:$G$91/1000*E140-((CVDebtBasis=1)*$I$80:$I$91+(CVDebtBasis&gt;=2)*$J$80:$J$91))&gt;0)*($I$80:$I$91*$G$80:$G$91/1000*E140-((CVDebtBasis=1)*$I$80:$I$91+(CVDebtBasis&gt;=2)*$J$80:$J$91)))/E140)))</f>
        <v>31.0507568922069</v>
      </c>
      <c r="F141" s="23" t="n">
        <f aca="false">MAX(0.01,(V_EV-F$97*V_OFF-V_ODEBT-CHOOSE(DilMethod,0,SUMPRODUCT((F140&lt;=$H$80:$H$91)*((CVDebtBasis=1)*$I$80:$I$91+(CVDebtBasis&gt;=2)*$J$80:$J$91)),SUMPRODUCT(((CVDebtBasis=1)*$I$80:$I$91+(CVDebtBasis&gt;=2)*$J$80:$J$91)))+V_CASH+V_SOTP+V_FPCash)/(V_BASIC+V_FPSh+V_RSU+Options*MAX(0,1-OptK/F140)+CHOOSE(DilMethod,SUMPRODUCT($I$80:$I$91,$G$80:$G$91)/1000,SUMPRODUCT((F140&gt;$H$80:$H$91)*$I$80:$I$91*$G$80:$G$91)/1000,SUMPRODUCT((($I$80:$I$91*$G$80:$G$91/1000*F140-((CVDebtBasis=1)*$I$80:$I$91+(CVDebtBasis&gt;=2)*$J$80:$J$91))&gt;0)*($I$80:$I$91*$G$80:$G$91/1000*F140-((CVDebtBasis=1)*$I$80:$I$91+(CVDebtBasis&gt;=2)*$J$80:$J$91)))/F140)))</f>
        <v>2.02379079638786</v>
      </c>
      <c r="G141" s="23" t="n">
        <f aca="false">MAX(0.01,(V_EV-G$97*V_OFF-V_ODEBT-CHOOSE(DilMethod,0,SUMPRODUCT((G140&lt;=$H$80:$H$91)*((CVDebtBasis=1)*$I$80:$I$91+(CVDebtBasis&gt;=2)*$J$80:$J$91)),SUMPRODUCT(((CVDebtBasis=1)*$I$80:$I$91+(CVDebtBasis&gt;=2)*$J$80:$J$91)))+V_CASH+V_SOTP+V_FPCash)/(V_BASIC+V_FPSh+V_RSU+Options*MAX(0,1-OptK/G140)+CHOOSE(DilMethod,SUMPRODUCT($I$80:$I$91,$G$80:$G$91)/1000,SUMPRODUCT((G140&gt;$H$80:$H$91)*$I$80:$I$91*$G$80:$G$91)/1000,SUMPRODUCT((($I$80:$I$91*$G$80:$G$91/1000*G140-((CVDebtBasis=1)*$I$80:$I$91+(CVDebtBasis&gt;=2)*$J$80:$J$91))&gt;0)*($I$80:$I$91*$G$80:$G$91/1000*G140-((CVDebtBasis=1)*$I$80:$I$91+(CVDebtBasis&gt;=2)*$J$80:$J$91)))/G140)))</f>
        <v>0.01</v>
      </c>
    </row>
    <row r="142" customFormat="false" ht="15" hidden="false" customHeight="false" outlineLevel="0" collapsed="false">
      <c r="A142" s="0" t="s">
        <v>2671</v>
      </c>
      <c r="E142" s="23" t="n">
        <f aca="false">MAX(0.01,(V_EV-E$97*V_OFF-V_ODEBT-CHOOSE(DilMethod,0,SUMPRODUCT((E141&lt;=$H$80:$H$91)*((CVDebtBasis=1)*$I$80:$I$91+(CVDebtBasis&gt;=2)*$J$80:$J$91)),SUMPRODUCT(((CVDebtBasis=1)*$I$80:$I$91+(CVDebtBasis&gt;=2)*$J$80:$J$91)))+V_CASH+V_SOTP+V_FPCash)/(V_BASIC+V_FPSh+V_RSU+Options*MAX(0,1-OptK/E141)+CHOOSE(DilMethod,SUMPRODUCT($I$80:$I$91,$G$80:$G$91)/1000,SUMPRODUCT((E141&gt;$H$80:$H$91)*$I$80:$I$91*$G$80:$G$91)/1000,SUMPRODUCT((($I$80:$I$91*$G$80:$G$91/1000*E141-((CVDebtBasis=1)*$I$80:$I$91+(CVDebtBasis&gt;=2)*$J$80:$J$91))&gt;0)*($I$80:$I$91*$G$80:$G$91/1000*E141-((CVDebtBasis=1)*$I$80:$I$91+(CVDebtBasis&gt;=2)*$J$80:$J$91)))/E141)))</f>
        <v>31.0507568922069</v>
      </c>
      <c r="F142" s="23" t="n">
        <f aca="false">MAX(0.01,(V_EV-F$97*V_OFF-V_ODEBT-CHOOSE(DilMethod,0,SUMPRODUCT((F141&lt;=$H$80:$H$91)*((CVDebtBasis=1)*$I$80:$I$91+(CVDebtBasis&gt;=2)*$J$80:$J$91)),SUMPRODUCT(((CVDebtBasis=1)*$I$80:$I$91+(CVDebtBasis&gt;=2)*$J$80:$J$91)))+V_CASH+V_SOTP+V_FPCash)/(V_BASIC+V_FPSh+V_RSU+Options*MAX(0,1-OptK/F141)+CHOOSE(DilMethod,SUMPRODUCT($I$80:$I$91,$G$80:$G$91)/1000,SUMPRODUCT((F141&gt;$H$80:$H$91)*$I$80:$I$91*$G$80:$G$91)/1000,SUMPRODUCT((($I$80:$I$91*$G$80:$G$91/1000*F141-((CVDebtBasis=1)*$I$80:$I$91+(CVDebtBasis&gt;=2)*$J$80:$J$91))&gt;0)*($I$80:$I$91*$G$80:$G$91/1000*F141-((CVDebtBasis=1)*$I$80:$I$91+(CVDebtBasis&gt;=2)*$J$80:$J$91)))/F141)))</f>
        <v>2.02379079638786</v>
      </c>
      <c r="G142" s="23" t="n">
        <f aca="false">MAX(0.01,(V_EV-G$97*V_OFF-V_ODEBT-CHOOSE(DilMethod,0,SUMPRODUCT((G141&lt;=$H$80:$H$91)*((CVDebtBasis=1)*$I$80:$I$91+(CVDebtBasis&gt;=2)*$J$80:$J$91)),SUMPRODUCT(((CVDebtBasis=1)*$I$80:$I$91+(CVDebtBasis&gt;=2)*$J$80:$J$91)))+V_CASH+V_SOTP+V_FPCash)/(V_BASIC+V_FPSh+V_RSU+Options*MAX(0,1-OptK/G141)+CHOOSE(DilMethod,SUMPRODUCT($I$80:$I$91,$G$80:$G$91)/1000,SUMPRODUCT((G141&gt;$H$80:$H$91)*$I$80:$I$91*$G$80:$G$91)/1000,SUMPRODUCT((($I$80:$I$91*$G$80:$G$91/1000*G141-((CVDebtBasis=1)*$I$80:$I$91+(CVDebtBasis&gt;=2)*$J$80:$J$91))&gt;0)*($I$80:$I$91*$G$80:$G$91/1000*G141-((CVDebtBasis=1)*$I$80:$I$91+(CVDebtBasis&gt;=2)*$J$80:$J$91)))/G141)))</f>
        <v>0.01</v>
      </c>
    </row>
    <row r="143" customFormat="false" ht="15" hidden="false" customHeight="false" outlineLevel="0" collapsed="false">
      <c r="A143" s="0" t="s">
        <v>2672</v>
      </c>
      <c r="E143" s="23" t="n">
        <f aca="false">MAX(0.01,(V_EV-E$97*V_OFF-V_ODEBT-CHOOSE(DilMethod,0,SUMPRODUCT((E142&lt;=$H$80:$H$91)*((CVDebtBasis=1)*$I$80:$I$91+(CVDebtBasis&gt;=2)*$J$80:$J$91)),SUMPRODUCT(((CVDebtBasis=1)*$I$80:$I$91+(CVDebtBasis&gt;=2)*$J$80:$J$91)))+V_CASH+V_SOTP+V_FPCash)/(V_BASIC+V_FPSh+V_RSU+Options*MAX(0,1-OptK/E142)+CHOOSE(DilMethod,SUMPRODUCT($I$80:$I$91,$G$80:$G$91)/1000,SUMPRODUCT((E142&gt;$H$80:$H$91)*$I$80:$I$91*$G$80:$G$91)/1000,SUMPRODUCT((($I$80:$I$91*$G$80:$G$91/1000*E142-((CVDebtBasis=1)*$I$80:$I$91+(CVDebtBasis&gt;=2)*$J$80:$J$91))&gt;0)*($I$80:$I$91*$G$80:$G$91/1000*E142-((CVDebtBasis=1)*$I$80:$I$91+(CVDebtBasis&gt;=2)*$J$80:$J$91)))/E142)))</f>
        <v>31.0507568922069</v>
      </c>
      <c r="F143" s="23" t="n">
        <f aca="false">MAX(0.01,(V_EV-F$97*V_OFF-V_ODEBT-CHOOSE(DilMethod,0,SUMPRODUCT((F142&lt;=$H$80:$H$91)*((CVDebtBasis=1)*$I$80:$I$91+(CVDebtBasis&gt;=2)*$J$80:$J$91)),SUMPRODUCT(((CVDebtBasis=1)*$I$80:$I$91+(CVDebtBasis&gt;=2)*$J$80:$J$91)))+V_CASH+V_SOTP+V_FPCash)/(V_BASIC+V_FPSh+V_RSU+Options*MAX(0,1-OptK/F142)+CHOOSE(DilMethod,SUMPRODUCT($I$80:$I$91,$G$80:$G$91)/1000,SUMPRODUCT((F142&gt;$H$80:$H$91)*$I$80:$I$91*$G$80:$G$91)/1000,SUMPRODUCT((($I$80:$I$91*$G$80:$G$91/1000*F142-((CVDebtBasis=1)*$I$80:$I$91+(CVDebtBasis&gt;=2)*$J$80:$J$91))&gt;0)*($I$80:$I$91*$G$80:$G$91/1000*F142-((CVDebtBasis=1)*$I$80:$I$91+(CVDebtBasis&gt;=2)*$J$80:$J$91)))/F142)))</f>
        <v>2.02379079638786</v>
      </c>
      <c r="G143" s="23" t="n">
        <f aca="false">MAX(0.01,(V_EV-G$97*V_OFF-V_ODEBT-CHOOSE(DilMethod,0,SUMPRODUCT((G142&lt;=$H$80:$H$91)*((CVDebtBasis=1)*$I$80:$I$91+(CVDebtBasis&gt;=2)*$J$80:$J$91)),SUMPRODUCT(((CVDebtBasis=1)*$I$80:$I$91+(CVDebtBasis&gt;=2)*$J$80:$J$91)))+V_CASH+V_SOTP+V_FPCash)/(V_BASIC+V_FPSh+V_RSU+Options*MAX(0,1-OptK/G142)+CHOOSE(DilMethod,SUMPRODUCT($I$80:$I$91,$G$80:$G$91)/1000,SUMPRODUCT((G142&gt;$H$80:$H$91)*$I$80:$I$91*$G$80:$G$91)/1000,SUMPRODUCT((($I$80:$I$91*$G$80:$G$91/1000*G142-((CVDebtBasis=1)*$I$80:$I$91+(CVDebtBasis&gt;=2)*$J$80:$J$91))&gt;0)*($I$80:$I$91*$G$80:$G$91/1000*G142-((CVDebtBasis=1)*$I$80:$I$91+(CVDebtBasis&gt;=2)*$J$80:$J$91)))/G142)))</f>
        <v>0.01</v>
      </c>
    </row>
    <row r="144" customFormat="false" ht="15" hidden="false" customHeight="false" outlineLevel="0" collapsed="false">
      <c r="A144" s="0" t="s">
        <v>2673</v>
      </c>
      <c r="E144" s="23" t="n">
        <f aca="false">MAX(0.01,(V_EV-E$97*V_OFF-V_ODEBT-CHOOSE(DilMethod,0,SUMPRODUCT((E143&lt;=$H$80:$H$91)*((CVDebtBasis=1)*$I$80:$I$91+(CVDebtBasis&gt;=2)*$J$80:$J$91)),SUMPRODUCT(((CVDebtBasis=1)*$I$80:$I$91+(CVDebtBasis&gt;=2)*$J$80:$J$91)))+V_CASH+V_SOTP+V_FPCash)/(V_BASIC+V_FPSh+V_RSU+Options*MAX(0,1-OptK/E143)+CHOOSE(DilMethod,SUMPRODUCT($I$80:$I$91,$G$80:$G$91)/1000,SUMPRODUCT((E143&gt;$H$80:$H$91)*$I$80:$I$91*$G$80:$G$91)/1000,SUMPRODUCT((($I$80:$I$91*$G$80:$G$91/1000*E143-((CVDebtBasis=1)*$I$80:$I$91+(CVDebtBasis&gt;=2)*$J$80:$J$91))&gt;0)*($I$80:$I$91*$G$80:$G$91/1000*E143-((CVDebtBasis=1)*$I$80:$I$91+(CVDebtBasis&gt;=2)*$J$80:$J$91)))/E143)))</f>
        <v>31.0507568922069</v>
      </c>
      <c r="F144" s="23" t="n">
        <f aca="false">MAX(0.01,(V_EV-F$97*V_OFF-V_ODEBT-CHOOSE(DilMethod,0,SUMPRODUCT((F143&lt;=$H$80:$H$91)*((CVDebtBasis=1)*$I$80:$I$91+(CVDebtBasis&gt;=2)*$J$80:$J$91)),SUMPRODUCT(((CVDebtBasis=1)*$I$80:$I$91+(CVDebtBasis&gt;=2)*$J$80:$J$91)))+V_CASH+V_SOTP+V_FPCash)/(V_BASIC+V_FPSh+V_RSU+Options*MAX(0,1-OptK/F143)+CHOOSE(DilMethod,SUMPRODUCT($I$80:$I$91,$G$80:$G$91)/1000,SUMPRODUCT((F143&gt;$H$80:$H$91)*$I$80:$I$91*$G$80:$G$91)/1000,SUMPRODUCT((($I$80:$I$91*$G$80:$G$91/1000*F143-((CVDebtBasis=1)*$I$80:$I$91+(CVDebtBasis&gt;=2)*$J$80:$J$91))&gt;0)*($I$80:$I$91*$G$80:$G$91/1000*F143-((CVDebtBasis=1)*$I$80:$I$91+(CVDebtBasis&gt;=2)*$J$80:$J$91)))/F143)))</f>
        <v>2.02379079638786</v>
      </c>
      <c r="G144" s="23" t="n">
        <f aca="false">MAX(0.01,(V_EV-G$97*V_OFF-V_ODEBT-CHOOSE(DilMethod,0,SUMPRODUCT((G143&lt;=$H$80:$H$91)*((CVDebtBasis=1)*$I$80:$I$91+(CVDebtBasis&gt;=2)*$J$80:$J$91)),SUMPRODUCT(((CVDebtBasis=1)*$I$80:$I$91+(CVDebtBasis&gt;=2)*$J$80:$J$91)))+V_CASH+V_SOTP+V_FPCash)/(V_BASIC+V_FPSh+V_RSU+Options*MAX(0,1-OptK/G143)+CHOOSE(DilMethod,SUMPRODUCT($I$80:$I$91,$G$80:$G$91)/1000,SUMPRODUCT((G143&gt;$H$80:$H$91)*$I$80:$I$91*$G$80:$G$91)/1000,SUMPRODUCT((($I$80:$I$91*$G$80:$G$91/1000*G143-((CVDebtBasis=1)*$I$80:$I$91+(CVDebtBasis&gt;=2)*$J$80:$J$91))&gt;0)*($I$80:$I$91*$G$80:$G$91/1000*G143-((CVDebtBasis=1)*$I$80:$I$91+(CVDebtBasis&gt;=2)*$J$80:$J$91)))/G143)))</f>
        <v>0.01</v>
      </c>
    </row>
    <row r="145" customFormat="false" ht="15" hidden="false" customHeight="false" outlineLevel="0" collapsed="false">
      <c r="A145" s="0" t="s">
        <v>2674</v>
      </c>
      <c r="E145" s="23" t="n">
        <f aca="false">MAX(0.01,(V_EV-E$97*V_OFF-V_ODEBT-CHOOSE(DilMethod,0,SUMPRODUCT((E144&lt;=$H$80:$H$91)*((CVDebtBasis=1)*$I$80:$I$91+(CVDebtBasis&gt;=2)*$J$80:$J$91)),SUMPRODUCT(((CVDebtBasis=1)*$I$80:$I$91+(CVDebtBasis&gt;=2)*$J$80:$J$91)))+V_CASH+V_SOTP+V_FPCash)/(V_BASIC+V_FPSh+V_RSU+Options*MAX(0,1-OptK/E144)+CHOOSE(DilMethod,SUMPRODUCT($I$80:$I$91,$G$80:$G$91)/1000,SUMPRODUCT((E144&gt;$H$80:$H$91)*$I$80:$I$91*$G$80:$G$91)/1000,SUMPRODUCT((($I$80:$I$91*$G$80:$G$91/1000*E144-((CVDebtBasis=1)*$I$80:$I$91+(CVDebtBasis&gt;=2)*$J$80:$J$91))&gt;0)*($I$80:$I$91*$G$80:$G$91/1000*E144-((CVDebtBasis=1)*$I$80:$I$91+(CVDebtBasis&gt;=2)*$J$80:$J$91)))/E144)))</f>
        <v>31.0507568922069</v>
      </c>
      <c r="F145" s="23" t="n">
        <f aca="false">MAX(0.01,(V_EV-F$97*V_OFF-V_ODEBT-CHOOSE(DilMethod,0,SUMPRODUCT((F144&lt;=$H$80:$H$91)*((CVDebtBasis=1)*$I$80:$I$91+(CVDebtBasis&gt;=2)*$J$80:$J$91)),SUMPRODUCT(((CVDebtBasis=1)*$I$80:$I$91+(CVDebtBasis&gt;=2)*$J$80:$J$91)))+V_CASH+V_SOTP+V_FPCash)/(V_BASIC+V_FPSh+V_RSU+Options*MAX(0,1-OptK/F144)+CHOOSE(DilMethod,SUMPRODUCT($I$80:$I$91,$G$80:$G$91)/1000,SUMPRODUCT((F144&gt;$H$80:$H$91)*$I$80:$I$91*$G$80:$G$91)/1000,SUMPRODUCT((($I$80:$I$91*$G$80:$G$91/1000*F144-((CVDebtBasis=1)*$I$80:$I$91+(CVDebtBasis&gt;=2)*$J$80:$J$91))&gt;0)*($I$80:$I$91*$G$80:$G$91/1000*F144-((CVDebtBasis=1)*$I$80:$I$91+(CVDebtBasis&gt;=2)*$J$80:$J$91)))/F144)))</f>
        <v>2.02379079638786</v>
      </c>
      <c r="G145" s="23" t="n">
        <f aca="false">MAX(0.01,(V_EV-G$97*V_OFF-V_ODEBT-CHOOSE(DilMethod,0,SUMPRODUCT((G144&lt;=$H$80:$H$91)*((CVDebtBasis=1)*$I$80:$I$91+(CVDebtBasis&gt;=2)*$J$80:$J$91)),SUMPRODUCT(((CVDebtBasis=1)*$I$80:$I$91+(CVDebtBasis&gt;=2)*$J$80:$J$91)))+V_CASH+V_SOTP+V_FPCash)/(V_BASIC+V_FPSh+V_RSU+Options*MAX(0,1-OptK/G144)+CHOOSE(DilMethod,SUMPRODUCT($I$80:$I$91,$G$80:$G$91)/1000,SUMPRODUCT((G144&gt;$H$80:$H$91)*$I$80:$I$91*$G$80:$G$91)/1000,SUMPRODUCT((($I$80:$I$91*$G$80:$G$91/1000*G144-((CVDebtBasis=1)*$I$80:$I$91+(CVDebtBasis&gt;=2)*$J$80:$J$91))&gt;0)*($I$80:$I$91*$G$80:$G$91/1000*G144-((CVDebtBasis=1)*$I$80:$I$91+(CVDebtBasis&gt;=2)*$J$80:$J$91)))/G144)))</f>
        <v>0.01</v>
      </c>
    </row>
    <row r="146" customFormat="false" ht="15" hidden="false" customHeight="false" outlineLevel="0" collapsed="false">
      <c r="A146" s="0" t="s">
        <v>2675</v>
      </c>
      <c r="E146" s="23" t="n">
        <f aca="false">MAX(0.01,(V_EV-E$97*V_OFF-V_ODEBT-CHOOSE(DilMethod,0,SUMPRODUCT((E145&lt;=$H$80:$H$91)*((CVDebtBasis=1)*$I$80:$I$91+(CVDebtBasis&gt;=2)*$J$80:$J$91)),SUMPRODUCT(((CVDebtBasis=1)*$I$80:$I$91+(CVDebtBasis&gt;=2)*$J$80:$J$91)))+V_CASH+V_SOTP+V_FPCash)/(V_BASIC+V_FPSh+V_RSU+Options*MAX(0,1-OptK/E145)+CHOOSE(DilMethod,SUMPRODUCT($I$80:$I$91,$G$80:$G$91)/1000,SUMPRODUCT((E145&gt;$H$80:$H$91)*$I$80:$I$91*$G$80:$G$91)/1000,SUMPRODUCT((($I$80:$I$91*$G$80:$G$91/1000*E145-((CVDebtBasis=1)*$I$80:$I$91+(CVDebtBasis&gt;=2)*$J$80:$J$91))&gt;0)*($I$80:$I$91*$G$80:$G$91/1000*E145-((CVDebtBasis=1)*$I$80:$I$91+(CVDebtBasis&gt;=2)*$J$80:$J$91)))/E145)))</f>
        <v>31.0507568922069</v>
      </c>
      <c r="F146" s="23" t="n">
        <f aca="false">MAX(0.01,(V_EV-F$97*V_OFF-V_ODEBT-CHOOSE(DilMethod,0,SUMPRODUCT((F145&lt;=$H$80:$H$91)*((CVDebtBasis=1)*$I$80:$I$91+(CVDebtBasis&gt;=2)*$J$80:$J$91)),SUMPRODUCT(((CVDebtBasis=1)*$I$80:$I$91+(CVDebtBasis&gt;=2)*$J$80:$J$91)))+V_CASH+V_SOTP+V_FPCash)/(V_BASIC+V_FPSh+V_RSU+Options*MAX(0,1-OptK/F145)+CHOOSE(DilMethod,SUMPRODUCT($I$80:$I$91,$G$80:$G$91)/1000,SUMPRODUCT((F145&gt;$H$80:$H$91)*$I$80:$I$91*$G$80:$G$91)/1000,SUMPRODUCT((($I$80:$I$91*$G$80:$G$91/1000*F145-((CVDebtBasis=1)*$I$80:$I$91+(CVDebtBasis&gt;=2)*$J$80:$J$91))&gt;0)*($I$80:$I$91*$G$80:$G$91/1000*F145-((CVDebtBasis=1)*$I$80:$I$91+(CVDebtBasis&gt;=2)*$J$80:$J$91)))/F145)))</f>
        <v>2.02379079638786</v>
      </c>
      <c r="G146" s="23" t="n">
        <f aca="false">MAX(0.01,(V_EV-G$97*V_OFF-V_ODEBT-CHOOSE(DilMethod,0,SUMPRODUCT((G145&lt;=$H$80:$H$91)*((CVDebtBasis=1)*$I$80:$I$91+(CVDebtBasis&gt;=2)*$J$80:$J$91)),SUMPRODUCT(((CVDebtBasis=1)*$I$80:$I$91+(CVDebtBasis&gt;=2)*$J$80:$J$91)))+V_CASH+V_SOTP+V_FPCash)/(V_BASIC+V_FPSh+V_RSU+Options*MAX(0,1-OptK/G145)+CHOOSE(DilMethod,SUMPRODUCT($I$80:$I$91,$G$80:$G$91)/1000,SUMPRODUCT((G145&gt;$H$80:$H$91)*$I$80:$I$91*$G$80:$G$91)/1000,SUMPRODUCT((($I$80:$I$91*$G$80:$G$91/1000*G145-((CVDebtBasis=1)*$I$80:$I$91+(CVDebtBasis&gt;=2)*$J$80:$J$91))&gt;0)*($I$80:$I$91*$G$80:$G$91/1000*G145-((CVDebtBasis=1)*$I$80:$I$91+(CVDebtBasis&gt;=2)*$J$80:$J$91)))/G145)))</f>
        <v>0.01</v>
      </c>
    </row>
    <row r="147" customFormat="false" ht="15" hidden="false" customHeight="false" outlineLevel="0" collapsed="false">
      <c r="A147" s="0" t="s">
        <v>2676</v>
      </c>
      <c r="E147" s="23" t="n">
        <f aca="false">MAX(0.01,(V_EV-E$97*V_OFF-V_ODEBT-CHOOSE(DilMethod,0,SUMPRODUCT((E146&lt;=$H$80:$H$91)*((CVDebtBasis=1)*$I$80:$I$91+(CVDebtBasis&gt;=2)*$J$80:$J$91)),SUMPRODUCT(((CVDebtBasis=1)*$I$80:$I$91+(CVDebtBasis&gt;=2)*$J$80:$J$91)))+V_CASH+V_SOTP+V_FPCash)/(V_BASIC+V_FPSh+V_RSU+Options*MAX(0,1-OptK/E146)+CHOOSE(DilMethod,SUMPRODUCT($I$80:$I$91,$G$80:$G$91)/1000,SUMPRODUCT((E146&gt;$H$80:$H$91)*$I$80:$I$91*$G$80:$G$91)/1000,SUMPRODUCT((($I$80:$I$91*$G$80:$G$91/1000*E146-((CVDebtBasis=1)*$I$80:$I$91+(CVDebtBasis&gt;=2)*$J$80:$J$91))&gt;0)*($I$80:$I$91*$G$80:$G$91/1000*E146-((CVDebtBasis=1)*$I$80:$I$91+(CVDebtBasis&gt;=2)*$J$80:$J$91)))/E146)))</f>
        <v>31.0507568922069</v>
      </c>
      <c r="F147" s="23" t="n">
        <f aca="false">MAX(0.01,(V_EV-F$97*V_OFF-V_ODEBT-CHOOSE(DilMethod,0,SUMPRODUCT((F146&lt;=$H$80:$H$91)*((CVDebtBasis=1)*$I$80:$I$91+(CVDebtBasis&gt;=2)*$J$80:$J$91)),SUMPRODUCT(((CVDebtBasis=1)*$I$80:$I$91+(CVDebtBasis&gt;=2)*$J$80:$J$91)))+V_CASH+V_SOTP+V_FPCash)/(V_BASIC+V_FPSh+V_RSU+Options*MAX(0,1-OptK/F146)+CHOOSE(DilMethod,SUMPRODUCT($I$80:$I$91,$G$80:$G$91)/1000,SUMPRODUCT((F146&gt;$H$80:$H$91)*$I$80:$I$91*$G$80:$G$91)/1000,SUMPRODUCT((($I$80:$I$91*$G$80:$G$91/1000*F146-((CVDebtBasis=1)*$I$80:$I$91+(CVDebtBasis&gt;=2)*$J$80:$J$91))&gt;0)*($I$80:$I$91*$G$80:$G$91/1000*F146-((CVDebtBasis=1)*$I$80:$I$91+(CVDebtBasis&gt;=2)*$J$80:$J$91)))/F146)))</f>
        <v>2.02379079638786</v>
      </c>
      <c r="G147" s="23" t="n">
        <f aca="false">MAX(0.01,(V_EV-G$97*V_OFF-V_ODEBT-CHOOSE(DilMethod,0,SUMPRODUCT((G146&lt;=$H$80:$H$91)*((CVDebtBasis=1)*$I$80:$I$91+(CVDebtBasis&gt;=2)*$J$80:$J$91)),SUMPRODUCT(((CVDebtBasis=1)*$I$80:$I$91+(CVDebtBasis&gt;=2)*$J$80:$J$91)))+V_CASH+V_SOTP+V_FPCash)/(V_BASIC+V_FPSh+V_RSU+Options*MAX(0,1-OptK/G146)+CHOOSE(DilMethod,SUMPRODUCT($I$80:$I$91,$G$80:$G$91)/1000,SUMPRODUCT((G146&gt;$H$80:$H$91)*$I$80:$I$91*$G$80:$G$91)/1000,SUMPRODUCT((($I$80:$I$91*$G$80:$G$91/1000*G146-((CVDebtBasis=1)*$I$80:$I$91+(CVDebtBasis&gt;=2)*$J$80:$J$91))&gt;0)*($I$80:$I$91*$G$80:$G$91/1000*G146-((CVDebtBasis=1)*$I$80:$I$91+(CVDebtBasis&gt;=2)*$J$80:$J$91)))/G146)))</f>
        <v>0.01</v>
      </c>
    </row>
    <row r="148" customFormat="false" ht="15" hidden="false" customHeight="false" outlineLevel="0" collapsed="false">
      <c r="A148" s="0" t="s">
        <v>2677</v>
      </c>
      <c r="E148" s="23" t="n">
        <f aca="false">MAX(0.01,(V_EV-E$97*V_OFF-V_ODEBT-CHOOSE(DilMethod,0,SUMPRODUCT((E147&lt;=$H$80:$H$91)*((CVDebtBasis=1)*$I$80:$I$91+(CVDebtBasis&gt;=2)*$J$80:$J$91)),SUMPRODUCT(((CVDebtBasis=1)*$I$80:$I$91+(CVDebtBasis&gt;=2)*$J$80:$J$91)))+V_CASH+V_SOTP+V_FPCash)/(V_BASIC+V_FPSh+V_RSU+Options*MAX(0,1-OptK/E147)+CHOOSE(DilMethod,SUMPRODUCT($I$80:$I$91,$G$80:$G$91)/1000,SUMPRODUCT((E147&gt;$H$80:$H$91)*$I$80:$I$91*$G$80:$G$91)/1000,SUMPRODUCT((($I$80:$I$91*$G$80:$G$91/1000*E147-((CVDebtBasis=1)*$I$80:$I$91+(CVDebtBasis&gt;=2)*$J$80:$J$91))&gt;0)*($I$80:$I$91*$G$80:$G$91/1000*E147-((CVDebtBasis=1)*$I$80:$I$91+(CVDebtBasis&gt;=2)*$J$80:$J$91)))/E147)))</f>
        <v>31.0507568922069</v>
      </c>
      <c r="F148" s="23" t="n">
        <f aca="false">MAX(0.01,(V_EV-F$97*V_OFF-V_ODEBT-CHOOSE(DilMethod,0,SUMPRODUCT((F147&lt;=$H$80:$H$91)*((CVDebtBasis=1)*$I$80:$I$91+(CVDebtBasis&gt;=2)*$J$80:$J$91)),SUMPRODUCT(((CVDebtBasis=1)*$I$80:$I$91+(CVDebtBasis&gt;=2)*$J$80:$J$91)))+V_CASH+V_SOTP+V_FPCash)/(V_BASIC+V_FPSh+V_RSU+Options*MAX(0,1-OptK/F147)+CHOOSE(DilMethod,SUMPRODUCT($I$80:$I$91,$G$80:$G$91)/1000,SUMPRODUCT((F147&gt;$H$80:$H$91)*$I$80:$I$91*$G$80:$G$91)/1000,SUMPRODUCT((($I$80:$I$91*$G$80:$G$91/1000*F147-((CVDebtBasis=1)*$I$80:$I$91+(CVDebtBasis&gt;=2)*$J$80:$J$91))&gt;0)*($I$80:$I$91*$G$80:$G$91/1000*F147-((CVDebtBasis=1)*$I$80:$I$91+(CVDebtBasis&gt;=2)*$J$80:$J$91)))/F147)))</f>
        <v>2.02379079638786</v>
      </c>
      <c r="G148" s="23" t="n">
        <f aca="false">MAX(0.01,(V_EV-G$97*V_OFF-V_ODEBT-CHOOSE(DilMethod,0,SUMPRODUCT((G147&lt;=$H$80:$H$91)*((CVDebtBasis=1)*$I$80:$I$91+(CVDebtBasis&gt;=2)*$J$80:$J$91)),SUMPRODUCT(((CVDebtBasis=1)*$I$80:$I$91+(CVDebtBasis&gt;=2)*$J$80:$J$91)))+V_CASH+V_SOTP+V_FPCash)/(V_BASIC+V_FPSh+V_RSU+Options*MAX(0,1-OptK/G147)+CHOOSE(DilMethod,SUMPRODUCT($I$80:$I$91,$G$80:$G$91)/1000,SUMPRODUCT((G147&gt;$H$80:$H$91)*$I$80:$I$91*$G$80:$G$91)/1000,SUMPRODUCT((($I$80:$I$91*$G$80:$G$91/1000*G147-((CVDebtBasis=1)*$I$80:$I$91+(CVDebtBasis&gt;=2)*$J$80:$J$91))&gt;0)*($I$80:$I$91*$G$80:$G$91/1000*G147-((CVDebtBasis=1)*$I$80:$I$91+(CVDebtBasis&gt;=2)*$J$80:$J$91)))/G147)))</f>
        <v>0.01</v>
      </c>
    </row>
    <row r="149" customFormat="false" ht="15" hidden="false" customHeight="false" outlineLevel="0" collapsed="false">
      <c r="A149" s="0" t="s">
        <v>2678</v>
      </c>
      <c r="E149" s="23" t="n">
        <f aca="false">MAX(0.01,(V_EV-E$97*V_OFF-V_ODEBT-CHOOSE(DilMethod,0,SUMPRODUCT((E148&lt;=$H$80:$H$91)*((CVDebtBasis=1)*$I$80:$I$91+(CVDebtBasis&gt;=2)*$J$80:$J$91)),SUMPRODUCT(((CVDebtBasis=1)*$I$80:$I$91+(CVDebtBasis&gt;=2)*$J$80:$J$91)))+V_CASH+V_SOTP+V_FPCash)/(V_BASIC+V_FPSh+V_RSU+Options*MAX(0,1-OptK/E148)+CHOOSE(DilMethod,SUMPRODUCT($I$80:$I$91,$G$80:$G$91)/1000,SUMPRODUCT((E148&gt;$H$80:$H$91)*$I$80:$I$91*$G$80:$G$91)/1000,SUMPRODUCT((($I$80:$I$91*$G$80:$G$91/1000*E148-((CVDebtBasis=1)*$I$80:$I$91+(CVDebtBasis&gt;=2)*$J$80:$J$91))&gt;0)*($I$80:$I$91*$G$80:$G$91/1000*E148-((CVDebtBasis=1)*$I$80:$I$91+(CVDebtBasis&gt;=2)*$J$80:$J$91)))/E148)))</f>
        <v>31.0507568922069</v>
      </c>
      <c r="F149" s="23" t="n">
        <f aca="false">MAX(0.01,(V_EV-F$97*V_OFF-V_ODEBT-CHOOSE(DilMethod,0,SUMPRODUCT((F148&lt;=$H$80:$H$91)*((CVDebtBasis=1)*$I$80:$I$91+(CVDebtBasis&gt;=2)*$J$80:$J$91)),SUMPRODUCT(((CVDebtBasis=1)*$I$80:$I$91+(CVDebtBasis&gt;=2)*$J$80:$J$91)))+V_CASH+V_SOTP+V_FPCash)/(V_BASIC+V_FPSh+V_RSU+Options*MAX(0,1-OptK/F148)+CHOOSE(DilMethod,SUMPRODUCT($I$80:$I$91,$G$80:$G$91)/1000,SUMPRODUCT((F148&gt;$H$80:$H$91)*$I$80:$I$91*$G$80:$G$91)/1000,SUMPRODUCT((($I$80:$I$91*$G$80:$G$91/1000*F148-((CVDebtBasis=1)*$I$80:$I$91+(CVDebtBasis&gt;=2)*$J$80:$J$91))&gt;0)*($I$80:$I$91*$G$80:$G$91/1000*F148-((CVDebtBasis=1)*$I$80:$I$91+(CVDebtBasis&gt;=2)*$J$80:$J$91)))/F148)))</f>
        <v>2.02379079638786</v>
      </c>
      <c r="G149" s="23" t="n">
        <f aca="false">MAX(0.01,(V_EV-G$97*V_OFF-V_ODEBT-CHOOSE(DilMethod,0,SUMPRODUCT((G148&lt;=$H$80:$H$91)*((CVDebtBasis=1)*$I$80:$I$91+(CVDebtBasis&gt;=2)*$J$80:$J$91)),SUMPRODUCT(((CVDebtBasis=1)*$I$80:$I$91+(CVDebtBasis&gt;=2)*$J$80:$J$91)))+V_CASH+V_SOTP+V_FPCash)/(V_BASIC+V_FPSh+V_RSU+Options*MAX(0,1-OptK/G148)+CHOOSE(DilMethod,SUMPRODUCT($I$80:$I$91,$G$80:$G$91)/1000,SUMPRODUCT((G148&gt;$H$80:$H$91)*$I$80:$I$91*$G$80:$G$91)/1000,SUMPRODUCT((($I$80:$I$91*$G$80:$G$91/1000*G148-((CVDebtBasis=1)*$I$80:$I$91+(CVDebtBasis&gt;=2)*$J$80:$J$91))&gt;0)*($I$80:$I$91*$G$80:$G$91/1000*G148-((CVDebtBasis=1)*$I$80:$I$91+(CVDebtBasis&gt;=2)*$J$80:$J$91)))/G148)))</f>
        <v>0.01</v>
      </c>
    </row>
    <row r="150" customFormat="false" ht="15" hidden="false" customHeight="false" outlineLevel="0" collapsed="false">
      <c r="A150" s="0" t="s">
        <v>2679</v>
      </c>
      <c r="E150" s="23" t="n">
        <f aca="false">MAX(0.01,(V_EV-E$97*V_OFF-V_ODEBT-CHOOSE(DilMethod,0,SUMPRODUCT((E149&lt;=$H$80:$H$91)*((CVDebtBasis=1)*$I$80:$I$91+(CVDebtBasis&gt;=2)*$J$80:$J$91)),SUMPRODUCT(((CVDebtBasis=1)*$I$80:$I$91+(CVDebtBasis&gt;=2)*$J$80:$J$91)))+V_CASH+V_SOTP+V_FPCash)/(V_BASIC+V_FPSh+V_RSU+Options*MAX(0,1-OptK/E149)+CHOOSE(DilMethod,SUMPRODUCT($I$80:$I$91,$G$80:$G$91)/1000,SUMPRODUCT((E149&gt;$H$80:$H$91)*$I$80:$I$91*$G$80:$G$91)/1000,SUMPRODUCT((($I$80:$I$91*$G$80:$G$91/1000*E149-((CVDebtBasis=1)*$I$80:$I$91+(CVDebtBasis&gt;=2)*$J$80:$J$91))&gt;0)*($I$80:$I$91*$G$80:$G$91/1000*E149-((CVDebtBasis=1)*$I$80:$I$91+(CVDebtBasis&gt;=2)*$J$80:$J$91)))/E149)))</f>
        <v>31.0507568922069</v>
      </c>
      <c r="F150" s="23" t="n">
        <f aca="false">MAX(0.01,(V_EV-F$97*V_OFF-V_ODEBT-CHOOSE(DilMethod,0,SUMPRODUCT((F149&lt;=$H$80:$H$91)*((CVDebtBasis=1)*$I$80:$I$91+(CVDebtBasis&gt;=2)*$J$80:$J$91)),SUMPRODUCT(((CVDebtBasis=1)*$I$80:$I$91+(CVDebtBasis&gt;=2)*$J$80:$J$91)))+V_CASH+V_SOTP+V_FPCash)/(V_BASIC+V_FPSh+V_RSU+Options*MAX(0,1-OptK/F149)+CHOOSE(DilMethod,SUMPRODUCT($I$80:$I$91,$G$80:$G$91)/1000,SUMPRODUCT((F149&gt;$H$80:$H$91)*$I$80:$I$91*$G$80:$G$91)/1000,SUMPRODUCT((($I$80:$I$91*$G$80:$G$91/1000*F149-((CVDebtBasis=1)*$I$80:$I$91+(CVDebtBasis&gt;=2)*$J$80:$J$91))&gt;0)*($I$80:$I$91*$G$80:$G$91/1000*F149-((CVDebtBasis=1)*$I$80:$I$91+(CVDebtBasis&gt;=2)*$J$80:$J$91)))/F149)))</f>
        <v>2.02379079638786</v>
      </c>
      <c r="G150" s="23" t="n">
        <f aca="false">MAX(0.01,(V_EV-G$97*V_OFF-V_ODEBT-CHOOSE(DilMethod,0,SUMPRODUCT((G149&lt;=$H$80:$H$91)*((CVDebtBasis=1)*$I$80:$I$91+(CVDebtBasis&gt;=2)*$J$80:$J$91)),SUMPRODUCT(((CVDebtBasis=1)*$I$80:$I$91+(CVDebtBasis&gt;=2)*$J$80:$J$91)))+V_CASH+V_SOTP+V_FPCash)/(V_BASIC+V_FPSh+V_RSU+Options*MAX(0,1-OptK/G149)+CHOOSE(DilMethod,SUMPRODUCT($I$80:$I$91,$G$80:$G$91)/1000,SUMPRODUCT((G149&gt;$H$80:$H$91)*$I$80:$I$91*$G$80:$G$91)/1000,SUMPRODUCT((($I$80:$I$91*$G$80:$G$91/1000*G149-((CVDebtBasis=1)*$I$80:$I$91+(CVDebtBasis&gt;=2)*$J$80:$J$91))&gt;0)*($I$80:$I$91*$G$80:$G$91/1000*G149-((CVDebtBasis=1)*$I$80:$I$91+(CVDebtBasis&gt;=2)*$J$80:$J$91)))/G149)))</f>
        <v>0.01</v>
      </c>
    </row>
    <row r="151" customFormat="false" ht="15" hidden="false" customHeight="false" outlineLevel="0" collapsed="false">
      <c r="A151" s="0" t="s">
        <v>2680</v>
      </c>
      <c r="E151" s="23" t="n">
        <f aca="false">MAX(0.01,(V_EV-E$97*V_OFF-V_ODEBT-CHOOSE(DilMethod,0,SUMPRODUCT((E150&lt;=$H$80:$H$91)*((CVDebtBasis=1)*$I$80:$I$91+(CVDebtBasis&gt;=2)*$J$80:$J$91)),SUMPRODUCT(((CVDebtBasis=1)*$I$80:$I$91+(CVDebtBasis&gt;=2)*$J$80:$J$91)))+V_CASH+V_SOTP+V_FPCash)/(V_BASIC+V_FPSh+V_RSU+Options*MAX(0,1-OptK/E150)+CHOOSE(DilMethod,SUMPRODUCT($I$80:$I$91,$G$80:$G$91)/1000,SUMPRODUCT((E150&gt;$H$80:$H$91)*$I$80:$I$91*$G$80:$G$91)/1000,SUMPRODUCT((($I$80:$I$91*$G$80:$G$91/1000*E150-((CVDebtBasis=1)*$I$80:$I$91+(CVDebtBasis&gt;=2)*$J$80:$J$91))&gt;0)*($I$80:$I$91*$G$80:$G$91/1000*E150-((CVDebtBasis=1)*$I$80:$I$91+(CVDebtBasis&gt;=2)*$J$80:$J$91)))/E150)))</f>
        <v>31.0507568922069</v>
      </c>
      <c r="F151" s="23" t="n">
        <f aca="false">MAX(0.01,(V_EV-F$97*V_OFF-V_ODEBT-CHOOSE(DilMethod,0,SUMPRODUCT((F150&lt;=$H$80:$H$91)*((CVDebtBasis=1)*$I$80:$I$91+(CVDebtBasis&gt;=2)*$J$80:$J$91)),SUMPRODUCT(((CVDebtBasis=1)*$I$80:$I$91+(CVDebtBasis&gt;=2)*$J$80:$J$91)))+V_CASH+V_SOTP+V_FPCash)/(V_BASIC+V_FPSh+V_RSU+Options*MAX(0,1-OptK/F150)+CHOOSE(DilMethod,SUMPRODUCT($I$80:$I$91,$G$80:$G$91)/1000,SUMPRODUCT((F150&gt;$H$80:$H$91)*$I$80:$I$91*$G$80:$G$91)/1000,SUMPRODUCT((($I$80:$I$91*$G$80:$G$91/1000*F150-((CVDebtBasis=1)*$I$80:$I$91+(CVDebtBasis&gt;=2)*$J$80:$J$91))&gt;0)*($I$80:$I$91*$G$80:$G$91/1000*F150-((CVDebtBasis=1)*$I$80:$I$91+(CVDebtBasis&gt;=2)*$J$80:$J$91)))/F150)))</f>
        <v>2.02379079638786</v>
      </c>
      <c r="G151" s="23" t="n">
        <f aca="false">MAX(0.01,(V_EV-G$97*V_OFF-V_ODEBT-CHOOSE(DilMethod,0,SUMPRODUCT((G150&lt;=$H$80:$H$91)*((CVDebtBasis=1)*$I$80:$I$91+(CVDebtBasis&gt;=2)*$J$80:$J$91)),SUMPRODUCT(((CVDebtBasis=1)*$I$80:$I$91+(CVDebtBasis&gt;=2)*$J$80:$J$91)))+V_CASH+V_SOTP+V_FPCash)/(V_BASIC+V_FPSh+V_RSU+Options*MAX(0,1-OptK/G150)+CHOOSE(DilMethod,SUMPRODUCT($I$80:$I$91,$G$80:$G$91)/1000,SUMPRODUCT((G150&gt;$H$80:$H$91)*$I$80:$I$91*$G$80:$G$91)/1000,SUMPRODUCT((($I$80:$I$91*$G$80:$G$91/1000*G150-((CVDebtBasis=1)*$I$80:$I$91+(CVDebtBasis&gt;=2)*$J$80:$J$91))&gt;0)*($I$80:$I$91*$G$80:$G$91/1000*G150-((CVDebtBasis=1)*$I$80:$I$91+(CVDebtBasis&gt;=2)*$J$80:$J$91)))/G150)))</f>
        <v>0.01</v>
      </c>
    </row>
    <row r="152" customFormat="false" ht="15" hidden="false" customHeight="false" outlineLevel="0" collapsed="false">
      <c r="A152" s="0" t="s">
        <v>2681</v>
      </c>
      <c r="E152" s="23" t="n">
        <f aca="false">MAX(0.01,(V_EV-E$97*V_OFF-V_ODEBT-CHOOSE(DilMethod,0,SUMPRODUCT((E151&lt;=$H$80:$H$91)*((CVDebtBasis=1)*$I$80:$I$91+(CVDebtBasis&gt;=2)*$J$80:$J$91)),SUMPRODUCT(((CVDebtBasis=1)*$I$80:$I$91+(CVDebtBasis&gt;=2)*$J$80:$J$91)))+V_CASH+V_SOTP+V_FPCash)/(V_BASIC+V_FPSh+V_RSU+Options*MAX(0,1-OptK/E151)+CHOOSE(DilMethod,SUMPRODUCT($I$80:$I$91,$G$80:$G$91)/1000,SUMPRODUCT((E151&gt;$H$80:$H$91)*$I$80:$I$91*$G$80:$G$91)/1000,SUMPRODUCT((($I$80:$I$91*$G$80:$G$91/1000*E151-((CVDebtBasis=1)*$I$80:$I$91+(CVDebtBasis&gt;=2)*$J$80:$J$91))&gt;0)*($I$80:$I$91*$G$80:$G$91/1000*E151-((CVDebtBasis=1)*$I$80:$I$91+(CVDebtBasis&gt;=2)*$J$80:$J$91)))/E151)))</f>
        <v>31.0507568922069</v>
      </c>
      <c r="F152" s="23" t="n">
        <f aca="false">MAX(0.01,(V_EV-F$97*V_OFF-V_ODEBT-CHOOSE(DilMethod,0,SUMPRODUCT((F151&lt;=$H$80:$H$91)*((CVDebtBasis=1)*$I$80:$I$91+(CVDebtBasis&gt;=2)*$J$80:$J$91)),SUMPRODUCT(((CVDebtBasis=1)*$I$80:$I$91+(CVDebtBasis&gt;=2)*$J$80:$J$91)))+V_CASH+V_SOTP+V_FPCash)/(V_BASIC+V_FPSh+V_RSU+Options*MAX(0,1-OptK/F151)+CHOOSE(DilMethod,SUMPRODUCT($I$80:$I$91,$G$80:$G$91)/1000,SUMPRODUCT((F151&gt;$H$80:$H$91)*$I$80:$I$91*$G$80:$G$91)/1000,SUMPRODUCT((($I$80:$I$91*$G$80:$G$91/1000*F151-((CVDebtBasis=1)*$I$80:$I$91+(CVDebtBasis&gt;=2)*$J$80:$J$91))&gt;0)*($I$80:$I$91*$G$80:$G$91/1000*F151-((CVDebtBasis=1)*$I$80:$I$91+(CVDebtBasis&gt;=2)*$J$80:$J$91)))/F151)))</f>
        <v>2.02379079638786</v>
      </c>
      <c r="G152" s="23" t="n">
        <f aca="false">MAX(0.01,(V_EV-G$97*V_OFF-V_ODEBT-CHOOSE(DilMethod,0,SUMPRODUCT((G151&lt;=$H$80:$H$91)*((CVDebtBasis=1)*$I$80:$I$91+(CVDebtBasis&gt;=2)*$J$80:$J$91)),SUMPRODUCT(((CVDebtBasis=1)*$I$80:$I$91+(CVDebtBasis&gt;=2)*$J$80:$J$91)))+V_CASH+V_SOTP+V_FPCash)/(V_BASIC+V_FPSh+V_RSU+Options*MAX(0,1-OptK/G151)+CHOOSE(DilMethod,SUMPRODUCT($I$80:$I$91,$G$80:$G$91)/1000,SUMPRODUCT((G151&gt;$H$80:$H$91)*$I$80:$I$91*$G$80:$G$91)/1000,SUMPRODUCT((($I$80:$I$91*$G$80:$G$91/1000*G151-((CVDebtBasis=1)*$I$80:$I$91+(CVDebtBasis&gt;=2)*$J$80:$J$91))&gt;0)*($I$80:$I$91*$G$80:$G$91/1000*G151-((CVDebtBasis=1)*$I$80:$I$91+(CVDebtBasis&gt;=2)*$J$80:$J$91)))/G151)))</f>
        <v>0.01</v>
      </c>
    </row>
    <row r="153" customFormat="false" ht="15" hidden="false" customHeight="false" outlineLevel="0" collapsed="false">
      <c r="A153" s="3" t="s">
        <v>2682</v>
      </c>
      <c r="E153" s="6" t="n">
        <f aca="false">IF(E152&lt;=0.011,0,E152)</f>
        <v>31.0507568922069</v>
      </c>
      <c r="F153" s="6" t="n">
        <f aca="false">IF(F152&lt;=0.011,0,F152)</f>
        <v>2.02379079638786</v>
      </c>
      <c r="G153" s="6" t="n">
        <f aca="false">IF(G152&lt;=0.011,0,G152)</f>
        <v>0</v>
      </c>
    </row>
    <row r="154" customFormat="false" ht="15" hidden="false" customHeight="false" outlineLevel="0" collapsed="false">
      <c r="A154" s="107" t="s">
        <v>2683</v>
      </c>
      <c r="E154" s="47" t="n">
        <f aca="false">V_BASIC+V_FPSh+V_RSU+Options*MAX(0,1-OptK/E152)+CHOOSE(DilMethod,SUMPRODUCT($I$80:$I$91,$G$80:$G$91)/1000,SUMPRODUCT((E152&gt;$H$80:$H$91)*$I$80:$I$91*$G$80:$G$91)/1000,SUMPRODUCT((($I$80:$I$91*$G$80:$G$91/1000*E152-((CVDebtBasis=1)*$I$80:$I$91+(CVDebtBasis&gt;=2)*$J$80:$J$91))&gt;0)*($I$80:$I$91*$G$80:$G$91/1000*E152-((CVDebtBasis=1)*$I$80:$I$91+(CVDebtBasis&gt;=2)*$J$80:$J$91)))/E152)</f>
        <v>327.195752</v>
      </c>
      <c r="F154" s="47" t="n">
        <f aca="false">V_BASIC+V_FPSh+V_RSU+Options*MAX(0,1-OptK/F152)+CHOOSE(DilMethod,SUMPRODUCT($I$80:$I$91,$G$80:$G$91)/1000,SUMPRODUCT((F152&gt;$H$80:$H$91)*$I$80:$I$91*$G$80:$G$91)/1000,SUMPRODUCT((($I$80:$I$91*$G$80:$G$91/1000*F152-((CVDebtBasis=1)*$I$80:$I$91+(CVDebtBasis&gt;=2)*$J$80:$J$91))&gt;0)*($I$80:$I$91*$G$80:$G$91/1000*F152-((CVDebtBasis=1)*$I$80:$I$91+(CVDebtBasis&gt;=2)*$J$80:$J$91)))/F152)</f>
        <v>327.195752</v>
      </c>
      <c r="G154" s="47" t="n">
        <f aca="false">V_BASIC+V_FPSh+V_RSU+Options*MAX(0,1-OptK/G152)+CHOOSE(DilMethod,SUMPRODUCT($I$80:$I$91,$G$80:$G$91)/1000,SUMPRODUCT((G152&gt;$H$80:$H$91)*$I$80:$I$91*$G$80:$G$91)/1000,SUMPRODUCT((($I$80:$I$91*$G$80:$G$91/1000*G152-((CVDebtBasis=1)*$I$80:$I$91+(CVDebtBasis&gt;=2)*$J$80:$J$91))&gt;0)*($I$80:$I$91*$G$80:$G$91/1000*G152-((CVDebtBasis=1)*$I$80:$I$91+(CVDebtBasis&gt;=2)*$J$80:$J$91)))/G152)</f>
        <v>327.195752</v>
      </c>
    </row>
    <row r="155" customFormat="false" ht="15" hidden="false" customHeight="false" outlineLevel="0" collapsed="false">
      <c r="A155" s="107" t="s">
        <v>2684</v>
      </c>
      <c r="E155" s="47" t="n">
        <f aca="false">V_BASIC+V_FPSh+V_RSU+Options*MAX(0,1-OptK/E152)+SUMPRODUCT((E152&gt;$H$80:$H$91)*$I$80:$I$91*$G$80:$G$91)/1000</f>
        <v>327.195752</v>
      </c>
      <c r="F155" s="47" t="n">
        <f aca="false">V_BASIC+V_FPSh+V_RSU+Options*MAX(0,1-OptK/F152)+SUMPRODUCT((F152&gt;$H$80:$H$91)*$I$80:$I$91*$G$80:$G$91)/1000</f>
        <v>327.195752</v>
      </c>
      <c r="G155" s="47" t="n">
        <f aca="false">V_BASIC+V_FPSh+V_RSU+Options*MAX(0,1-OptK/G152)+SUMPRODUCT((G152&gt;$H$80:$H$91)*$I$80:$I$91*$G$80:$G$91)/1000</f>
        <v>327.195752</v>
      </c>
    </row>
    <row r="156" customFormat="false" ht="15" hidden="false" customHeight="false" outlineLevel="0" collapsed="false">
      <c r="A156" s="107" t="s">
        <v>2685</v>
      </c>
      <c r="E156" s="47" t="n">
        <f aca="false">V_BASIC+V_FPSh+V_RSU+Options*MAX(0,1-OptK/E152)+SUMPRODUCT((($I$80:$I$91*$G$80:$G$91/1000*E152-((CVDebtBasis=1)*$I$80:$I$91+(CVDebtBasis&gt;=2)*$J$80:$J$91))&gt;0)*($I$80:$I$91*$G$80:$G$91/1000*E152-((CVDebtBasis=1)*$I$80:$I$91+(CVDebtBasis&gt;=2)*$J$80:$J$91)))/E152</f>
        <v>327.195752</v>
      </c>
      <c r="F156" s="47" t="n">
        <f aca="false">V_BASIC+V_FPSh+V_RSU+Options*MAX(0,1-OptK/F152)+SUMPRODUCT((($I$80:$I$91*$G$80:$G$91/1000*F152-((CVDebtBasis=1)*$I$80:$I$91+(CVDebtBasis&gt;=2)*$J$80:$J$91))&gt;0)*($I$80:$I$91*$G$80:$G$91/1000*F152-((CVDebtBasis=1)*$I$80:$I$91+(CVDebtBasis&gt;=2)*$J$80:$J$91)))/F152</f>
        <v>327.195752</v>
      </c>
      <c r="G156" s="47" t="n">
        <f aca="false">V_BASIC+V_FPSh+V_RSU+Options*MAX(0,1-OptK/G152)+SUMPRODUCT((($I$80:$I$91*$G$80:$G$91/1000*G152-((CVDebtBasis=1)*$I$80:$I$91+(CVDebtBasis&gt;=2)*$J$80:$J$91))&gt;0)*($I$80:$I$91*$G$80:$G$91/1000*G152-((CVDebtBasis=1)*$I$80:$I$91+(CVDebtBasis&gt;=2)*$J$80:$J$91)))/G152</f>
        <v>327.195752</v>
      </c>
    </row>
    <row r="157" customFormat="false" ht="15" hidden="false" customHeight="false" outlineLevel="0" collapsed="false">
      <c r="A157" s="107" t="s">
        <v>2686</v>
      </c>
      <c r="E157" s="109" t="n">
        <f aca="false">CHOOSE(DilMethod,0,SUMPRODUCT((E152&lt;=$H$80:$H$91)*((CVDebtBasis=1)*$I$80:$I$91+(CVDebtBasis&gt;=2)*$J$80:$J$91)),SUMPRODUCT(((CVDebtBasis=1)*$I$80:$I$91+(CVDebtBasis&gt;=2)*$J$80:$J$91)))</f>
        <v>27107.0656988521</v>
      </c>
      <c r="F157" s="109" t="n">
        <f aca="false">CHOOSE(DilMethod,0,SUMPRODUCT((F152&lt;=$H$80:$H$91)*((CVDebtBasis=1)*$I$80:$I$91+(CVDebtBasis&gt;=2)*$J$80:$J$91)),SUMPRODUCT(((CVDebtBasis=1)*$I$80:$I$91+(CVDebtBasis&gt;=2)*$J$80:$J$91)))</f>
        <v>27107.0656988521</v>
      </c>
      <c r="G157" s="109" t="n">
        <f aca="false">CHOOSE(DilMethod,0,SUMPRODUCT((G152&lt;=$H$80:$H$91)*((CVDebtBasis=1)*$I$80:$I$91+(CVDebtBasis&gt;=2)*$J$80:$J$91)),SUMPRODUCT(((CVDebtBasis=1)*$I$80:$I$91+(CVDebtBasis&gt;=2)*$J$80:$J$91)))</f>
        <v>27107.0656988521</v>
      </c>
    </row>
    <row r="158" customFormat="false" ht="15" hidden="false" customHeight="false" outlineLevel="0" collapsed="false">
      <c r="A158" s="3" t="s">
        <v>2687</v>
      </c>
      <c r="E158" s="6" t="n">
        <f aca="false">IF(FP_On=1,E153,E113)*(1+Ke)</f>
        <v>35.0873552881937</v>
      </c>
      <c r="F158" s="6" t="n">
        <f aca="false">IF(FP_On=1,F153,F113)*(1+Ke)</f>
        <v>2.28688359991828</v>
      </c>
      <c r="G158" s="6" t="n">
        <f aca="false">IF(FP_On=1,G153,G113)*(1+Ke)</f>
        <v>0</v>
      </c>
    </row>
    <row r="159" customFormat="false" ht="15" hidden="false" customHeight="false" outlineLevel="0" collapsed="false">
      <c r="A159" s="107" t="s">
        <v>2688</v>
      </c>
      <c r="E159" s="23" t="n">
        <f aca="false">IF(FP_On=1,E153,E113)*(1+Ke)^0.5</f>
        <v>33.0074073359934</v>
      </c>
      <c r="F159" s="23" t="n">
        <f aca="false">IF(FP_On=1,F153,F113)*(1+Ke)^0.5</f>
        <v>2.15131912600733</v>
      </c>
      <c r="G159" s="23" t="n">
        <f aca="false">IF(FP_On=1,G153,G113)*(1+Ke)^0.5</f>
        <v>0</v>
      </c>
    </row>
    <row r="160" customFormat="false" ht="15" hidden="false" customHeight="false" outlineLevel="0" collapsed="false">
      <c r="A160" s="107" t="s">
        <v>2689</v>
      </c>
      <c r="E160" s="23" t="n">
        <f aca="false">IF(FP_On=1,E153,E113)*(1+Ke)^3</f>
        <v>44.8030439674946</v>
      </c>
      <c r="F160" s="23" t="n">
        <f aca="false">IF(FP_On=1,F153,F113)*(1+Ke)^3</f>
        <v>2.92012166873565</v>
      </c>
      <c r="G160" s="23" t="n">
        <f aca="false">IF(FP_On=1,G153,G113)*(1+Ke)^3</f>
        <v>0</v>
      </c>
    </row>
    <row r="161" customFormat="false" ht="15" hidden="false" customHeight="false" outlineLevel="0" collapsed="false">
      <c r="A161" s="107" t="s">
        <v>2690</v>
      </c>
      <c r="E161" s="25" t="n">
        <f aca="false">IF(FP_On=1,E153,E113)*(1+Ke)/SharePx-1</f>
        <v>-0.855494603648146</v>
      </c>
      <c r="F161" s="25" t="n">
        <f aca="false">IF(FP_On=1,F153,F113)*(1+Ke)/SharePx-1</f>
        <v>-0.990581592191762</v>
      </c>
      <c r="G161" s="25" t="n">
        <f aca="false">IF(FP_On=1,G153,G113)*(1+Ke)/SharePx-1</f>
        <v>-1</v>
      </c>
    </row>
    <row r="162" customFormat="false" ht="15" hidden="false" customHeight="false" outlineLevel="0" collapsed="false">
      <c r="A162" s="107" t="s">
        <v>2691</v>
      </c>
      <c r="D162" s="22"/>
      <c r="E162" s="109" t="n">
        <f aca="false">V_ODEBT+F117-V_CASH</f>
        <v>1976.59470425845</v>
      </c>
    </row>
    <row r="163" customFormat="false" ht="15" hidden="false" customHeight="false" outlineLevel="0" collapsed="false">
      <c r="A163" s="0" t="s">
        <v>2692</v>
      </c>
      <c r="E163" s="6" t="n">
        <f aca="false">IF(DilPxMode=1,SharePx,V_PSolve)</f>
        <v>0.01</v>
      </c>
    </row>
    <row r="165" customFormat="false" ht="15" hidden="false" customHeight="false" outlineLevel="0" collapsed="false">
      <c r="A165" s="58" t="s">
        <v>2693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</row>
    <row r="166" customFormat="false" ht="15" hidden="false" customHeight="false" outlineLevel="0" collapsed="false">
      <c r="A166" s="107" t="s">
        <v>2694</v>
      </c>
      <c r="D166" s="22"/>
      <c r="E166" s="109" t="n">
        <f aca="false">SUMPRODUCT(PL_EBITDA*(Q_Idx&gt;V_Q)*(Q_Idx&lt;=V_Q+4))</f>
        <v>2572.53863024193</v>
      </c>
    </row>
    <row r="167" customFormat="false" ht="15" hidden="false" customHeight="false" outlineLevel="0" collapsed="false">
      <c r="A167" s="107" t="s">
        <v>2695</v>
      </c>
      <c r="D167" s="22"/>
      <c r="E167" s="45" t="n">
        <f aca="false">IF(V_NTM&gt;0,V_EV/V_NTM,0)</f>
        <v>3.05324477568017</v>
      </c>
    </row>
    <row r="168" customFormat="false" ht="15" hidden="false" customHeight="false" outlineLevel="0" collapsed="false">
      <c r="A168" s="107" t="s">
        <v>2696</v>
      </c>
      <c r="D168" s="22"/>
      <c r="E168" s="45" t="n">
        <f aca="false">V_EV/SUMIF(Q_Yr,2027,PL_EBITDA)</f>
        <v>2.11516545881204</v>
      </c>
    </row>
    <row r="170" customFormat="false" ht="15" hidden="false" customHeight="false" outlineLevel="0" collapsed="false">
      <c r="A170" s="58" t="s">
        <v>2697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</row>
    <row r="171" customFormat="false" ht="15" hidden="false" customHeight="false" outlineLevel="0" collapsed="false">
      <c r="A171" s="107" t="s">
        <v>2698</v>
      </c>
      <c r="D171" s="22" t="s">
        <v>2699</v>
      </c>
      <c r="E171" s="47" t="n">
        <f aca="false">V_BASIC+V_RSU+Options*MAX(0,1-OptK/SharePx)+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369.226788774505</v>
      </c>
    </row>
    <row r="172" customFormat="false" ht="15" hidden="false" customHeight="false" outlineLevel="0" collapsed="false">
      <c r="A172" s="107" t="s">
        <v>2700</v>
      </c>
      <c r="D172" s="22"/>
      <c r="E172" s="47" t="n">
        <f aca="false">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50.02193875</v>
      </c>
    </row>
    <row r="173" customFormat="false" ht="15" hidden="false" customHeight="false" outlineLevel="0" collapsed="false">
      <c r="A173" s="107" t="s">
        <v>2701</v>
      </c>
      <c r="D173" s="22"/>
      <c r="E173" s="109" t="n">
        <f aca="false">SUMPRODUCT((SharePx&gt;$H$80:$H$91)*$E$80:$E$91)</f>
        <v>7675</v>
      </c>
    </row>
    <row r="174" customFormat="false" ht="15" hidden="false" customHeight="false" outlineLevel="0" collapsed="false">
      <c r="A174" s="107" t="s">
        <v>2702</v>
      </c>
      <c r="D174" s="22"/>
      <c r="E174" s="109" t="n">
        <f aca="false">CHOOSE(DilMethod,0,SUMPRODUCT((SharePx&lt;=$H$80:$H$91)*((CVDebtBasis=1)*$E$80:$E$91+(CVDebtBasis&gt;=2)*$F$80:$F$91)),SUMPRODUCT(((CVDebtBasis=1)*$E$80:$E$91+(CVDebtBasis&gt;=2)*$F$80:$F$91)))</f>
        <v>5767.83060829888</v>
      </c>
    </row>
    <row r="176" customFormat="false" ht="15" hidden="false" customHeight="false" outlineLevel="0" collapsed="false">
      <c r="A176" s="58" t="s">
        <v>2703</v>
      </c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</row>
    <row r="177" customFormat="false" ht="15" hidden="false" customHeight="false" outlineLevel="0" collapsed="false">
      <c r="A177" s="107" t="s">
        <v>2704</v>
      </c>
      <c r="D177" s="22" t="s">
        <v>2705</v>
      </c>
      <c r="E177" s="109" t="n">
        <f aca="false">SharePx*308.69</f>
        <v>74953.0189</v>
      </c>
    </row>
    <row r="178" customFormat="false" ht="15" hidden="false" customHeight="false" outlineLevel="0" collapsed="false">
      <c r="A178" s="107" t="s">
        <v>2706</v>
      </c>
      <c r="D178" s="22"/>
      <c r="E178" s="109" t="n">
        <f aca="false">CS_ConvCarry</f>
        <v>7697.1</v>
      </c>
    </row>
    <row r="179" customFormat="false" ht="15" hidden="false" customHeight="false" outlineLevel="0" collapsed="false">
      <c r="A179" s="107" t="s">
        <v>2707</v>
      </c>
      <c r="D179" s="22"/>
      <c r="E179" s="109" t="n">
        <f aca="false">AugGross</f>
        <v>5750</v>
      </c>
    </row>
    <row r="180" customFormat="false" ht="15" hidden="false" customHeight="false" outlineLevel="0" collapsed="false">
      <c r="A180" s="107" t="s">
        <v>2708</v>
      </c>
      <c r="D180" s="22"/>
      <c r="E180" s="109" t="n">
        <f aca="false">CS_CurDebt</f>
        <v>46.7</v>
      </c>
    </row>
    <row r="181" customFormat="false" ht="15" hidden="false" customHeight="false" outlineLevel="0" collapsed="false">
      <c r="A181" s="107" t="s">
        <v>2709</v>
      </c>
      <c r="D181" s="22"/>
      <c r="E181" s="109" t="n">
        <f aca="false">SecAmt*LoanOn</f>
        <v>0</v>
      </c>
    </row>
    <row r="182" customFormat="false" ht="15" hidden="false" customHeight="false" outlineLevel="0" collapsed="false">
      <c r="A182" s="107" t="s">
        <v>2710</v>
      </c>
      <c r="D182" s="22"/>
      <c r="E182" s="109" t="n">
        <f aca="false">-CS_Cash</f>
        <v>-8042.1</v>
      </c>
    </row>
    <row r="183" customFormat="false" ht="15" hidden="false" customHeight="false" outlineLevel="0" collapsed="false">
      <c r="A183" s="107" t="s">
        <v>2711</v>
      </c>
      <c r="D183" s="22"/>
      <c r="E183" s="109" t="n">
        <f aca="false">-AugGross</f>
        <v>-5750</v>
      </c>
    </row>
    <row r="184" customFormat="false" ht="15" hidden="false" customHeight="false" outlineLevel="0" collapsed="false">
      <c r="A184" s="107" t="s">
        <v>2712</v>
      </c>
      <c r="D184" s="22"/>
      <c r="E184" s="109" t="n">
        <f aca="false">-SecAmt*LoanOn</f>
        <v>-0</v>
      </c>
    </row>
    <row r="185" customFormat="false" ht="15" hidden="false" customHeight="false" outlineLevel="0" collapsed="false">
      <c r="A185" s="3" t="s">
        <v>2713</v>
      </c>
      <c r="D185" s="22" t="s">
        <v>2714</v>
      </c>
      <c r="E185" s="115" t="n">
        <f aca="false">V_MKTEQ+CS_ConvCarry+AugGross+CS_CurDebt-CS_Cash-AugGross</f>
        <v>74654.7189</v>
      </c>
    </row>
    <row r="186" customFormat="false" ht="15" hidden="false" customHeight="false" outlineLevel="0" collapsed="false">
      <c r="A186" s="107" t="s">
        <v>2715</v>
      </c>
      <c r="D186" s="22" t="s">
        <v>2716</v>
      </c>
      <c r="E186" s="109" t="n">
        <f aca="false">SharePx*V_FDmkt+AugGross+CS_CurDebt-CS_Cash-AugGross</f>
        <v>81656.5565823375</v>
      </c>
    </row>
    <row r="187" customFormat="false" ht="15" hidden="false" customHeight="false" outlineLevel="0" collapsed="false">
      <c r="A187" s="107" t="s">
        <v>2717</v>
      </c>
      <c r="D187" s="22"/>
      <c r="E187" s="45" t="n">
        <f aca="false">IF(V_NTM&gt;0,V_MKTEV/V_NTM,0)</f>
        <v>29.0198631120184</v>
      </c>
    </row>
    <row r="188" customFormat="false" ht="15" hidden="false" customHeight="false" outlineLevel="0" collapsed="false">
      <c r="A188" s="107" t="s">
        <v>2718</v>
      </c>
      <c r="D188" s="22"/>
      <c r="E188" s="33" t="n">
        <f aca="false">INDEX(MW_En,1,V_Q)</f>
        <v>216.9897</v>
      </c>
    </row>
    <row r="189" customFormat="false" ht="15" hidden="false" customHeight="false" outlineLevel="0" collapsed="false">
      <c r="A189" s="107" t="s">
        <v>2719</v>
      </c>
      <c r="D189" s="22"/>
      <c r="E189" s="33" t="n">
        <f aca="false">INDEX(MW_Contr,1,V_Q)</f>
        <v>3400</v>
      </c>
    </row>
    <row r="191" customFormat="false" ht="15" hidden="false" customHeight="false" outlineLevel="0" collapsed="false">
      <c r="A191" s="58" t="s">
        <v>2720</v>
      </c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</row>
    <row r="192" customFormat="false" ht="15" hidden="false" customHeight="false" outlineLevel="0" collapsed="false">
      <c r="E192" s="3" t="s">
        <v>2721</v>
      </c>
      <c r="F192" s="3" t="s">
        <v>2722</v>
      </c>
      <c r="G192" s="3" t="s">
        <v>2723</v>
      </c>
      <c r="H192" s="3" t="s">
        <v>2724</v>
      </c>
    </row>
    <row r="193" customFormat="false" ht="15" hidden="false" customHeight="false" outlineLevel="0" collapsed="false">
      <c r="A193" s="0" t="s">
        <v>2725</v>
      </c>
      <c r="D193" s="22"/>
      <c r="E193" s="30" t="n">
        <f aca="false">IFERROR((V_MKTEV)/V_ENMW,0)</f>
        <v>344.047293028194</v>
      </c>
      <c r="F193" s="30" t="n">
        <f aca="false">IFERROR((V_EV)/V_ENMW,0)</f>
        <v>36.1979860473635</v>
      </c>
      <c r="G193" s="30" t="n">
        <f aca="false">IFERROR((CRWV_EV)/CRWV_MW,0)</f>
        <v>53</v>
      </c>
      <c r="H193" s="34" t="n">
        <f aca="false">IFERROR(E193/G193,0)</f>
        <v>6.49145835902254</v>
      </c>
    </row>
    <row r="194" customFormat="false" ht="15" hidden="false" customHeight="false" outlineLevel="0" collapsed="false">
      <c r="A194" s="0" t="s">
        <v>2726</v>
      </c>
      <c r="D194" s="22" t="s">
        <v>2727</v>
      </c>
      <c r="E194" s="30" t="n">
        <f aca="false">IFERROR((V_MKTEV+OpLease)/V_ENMW,0)</f>
        <v>351.536127751686</v>
      </c>
      <c r="F194" s="30" t="n">
        <f aca="false">IFERROR((V_EV+OpLease)/V_ENMW,0)</f>
        <v>43.6868207708549</v>
      </c>
      <c r="G194" s="30" t="n">
        <f aca="false">IFERROR((CRWV_EV+CRWV_Lease)/CRWV_MW,0)</f>
        <v>53</v>
      </c>
      <c r="H194" s="34" t="n">
        <f aca="false">IFERROR(E194/G194,0)</f>
        <v>6.6327571273903</v>
      </c>
    </row>
    <row r="195" customFormat="false" ht="15" hidden="false" customHeight="false" outlineLevel="0" collapsed="false">
      <c r="A195" s="0" t="s">
        <v>2728</v>
      </c>
      <c r="D195" s="22" t="s">
        <v>2729</v>
      </c>
      <c r="E195" s="30" t="n">
        <f aca="false">IFERROR((V_MKTEV+OpLease+OffBS_Lease+OffBS_Energy)/V_ENMW,0)</f>
        <v>431.586010303715</v>
      </c>
      <c r="F195" s="30" t="n">
        <f aca="false">IFERROR((V_EV+OpLease+OffBS_Lease+OffBS_Energy)/V_ENMW,0)</f>
        <v>123.736703322884</v>
      </c>
      <c r="G195" s="30" t="n">
        <f aca="false">IFERROR((CRWV_EV+CRWV_Lease+CRWV_Commit)/CRWV_MW,0)</f>
        <v>53</v>
      </c>
      <c r="H195" s="34" t="n">
        <f aca="false">IFERROR(E195/G195,0)</f>
        <v>8.14313226988141</v>
      </c>
    </row>
    <row r="196" customFormat="false" ht="15" hidden="false" customHeight="false" outlineLevel="0" collapsed="false">
      <c r="A196" s="0" t="s">
        <v>2730</v>
      </c>
      <c r="D196" s="22" t="s">
        <v>2731</v>
      </c>
      <c r="E196" s="30" t="n">
        <f aca="false">IFERROR((V_MKTEV)/V_CTMW,0)</f>
        <v>21.9572702647059</v>
      </c>
      <c r="F196" s="30" t="n">
        <f aca="false">IFERROR((V_EV)/V_CTMW,0)</f>
        <v>2.31017356853576</v>
      </c>
      <c r="G196" s="30" t="n">
        <f aca="false">IFERROR((CRWV_EV)/CRWV_Contr,0)</f>
        <v>21.4864864864865</v>
      </c>
      <c r="H196" s="34" t="n">
        <f aca="false">IFERROR(E196/G196,0)</f>
        <v>1.02191069156493</v>
      </c>
    </row>
    <row r="197" customFormat="false" ht="15" hidden="false" customHeight="false" outlineLevel="0" collapsed="false">
      <c r="A197" s="107" t="s">
        <v>2732</v>
      </c>
      <c r="D197" s="22"/>
      <c r="E197" s="109" t="n">
        <f aca="false">CRWV_EV/CRWV_MW*V_ENMW</f>
        <v>11500.4541</v>
      </c>
    </row>
    <row r="198" customFormat="false" ht="15" hidden="false" customHeight="false" outlineLevel="0" collapsed="false">
      <c r="A198" s="107" t="s">
        <v>2733</v>
      </c>
      <c r="D198" s="22"/>
      <c r="E198" s="34" t="n">
        <f aca="false">IFERROR(V_EV/V_MKTEV,0)</f>
        <v>0.105212239075507</v>
      </c>
    </row>
    <row r="199" customFormat="false" ht="15" hidden="false" customHeight="false" outlineLevel="0" collapsed="false">
      <c r="A199" s="107" t="s">
        <v>2734</v>
      </c>
      <c r="D199" s="22"/>
      <c r="E199" s="45" t="n">
        <f aca="false">IFERROR(V_MKTEV/SUMIF(Q_Yr,2027,PL_EBITDA),0)</f>
        <v>20.1037966437922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2735</v>
      </c>
    </row>
    <row r="2" customFormat="false" ht="15" hidden="false" customHeight="false" outlineLevel="0" collapsed="false">
      <c r="A2" s="22" t="s">
        <v>2736</v>
      </c>
    </row>
    <row r="3" customFormat="false" ht="15" hidden="false" customHeight="false" outlineLevel="0" collapsed="false">
      <c r="A3" s="42" t="s">
        <v>1398</v>
      </c>
      <c r="B3" s="42" t="s">
        <v>531</v>
      </c>
      <c r="C3" s="42" t="s">
        <v>534</v>
      </c>
      <c r="D3" s="42" t="s">
        <v>1399</v>
      </c>
      <c r="E3" s="42" t="s">
        <v>1400</v>
      </c>
      <c r="F3" s="42" t="str">
        <f aca="false">Timeline!F3</f>
        <v>Q1'24</v>
      </c>
      <c r="G3" s="42" t="str">
        <f aca="false">Timeline!G3</f>
        <v>Q2'24</v>
      </c>
      <c r="H3" s="42" t="str">
        <f aca="false">Timeline!H3</f>
        <v>Q3'24</v>
      </c>
      <c r="I3" s="42" t="str">
        <f aca="false">Timeline!I3</f>
        <v>Q4'24</v>
      </c>
      <c r="J3" s="42" t="str">
        <f aca="false">Timeline!J3</f>
        <v>Q1'25</v>
      </c>
      <c r="K3" s="42" t="str">
        <f aca="false">Timeline!K3</f>
        <v>Q2'25</v>
      </c>
      <c r="L3" s="42" t="str">
        <f aca="false">Timeline!L3</f>
        <v>Q3'25</v>
      </c>
      <c r="M3" s="42" t="str">
        <f aca="false">Timeline!M3</f>
        <v>Q4'25</v>
      </c>
      <c r="N3" s="42" t="str">
        <f aca="false">Timeline!N3</f>
        <v>Q1'26</v>
      </c>
      <c r="O3" s="42" t="str">
        <f aca="false">Timeline!O3</f>
        <v>Q2'26</v>
      </c>
      <c r="P3" s="42" t="str">
        <f aca="false">Timeline!P3</f>
        <v>Q3'26</v>
      </c>
      <c r="Q3" s="42" t="str">
        <f aca="false">Timeline!Q3</f>
        <v>Q4'26</v>
      </c>
      <c r="R3" s="42" t="str">
        <f aca="false">Timeline!R3</f>
        <v>Q1'27</v>
      </c>
      <c r="S3" s="42" t="str">
        <f aca="false">Timeline!S3</f>
        <v>Q2'27</v>
      </c>
      <c r="T3" s="42" t="str">
        <f aca="false">Timeline!T3</f>
        <v>Q3'27</v>
      </c>
      <c r="U3" s="42" t="str">
        <f aca="false">Timeline!U3</f>
        <v>Q4'27</v>
      </c>
      <c r="V3" s="42" t="str">
        <f aca="false">Timeline!V3</f>
        <v>Q1'28</v>
      </c>
      <c r="W3" s="42" t="str">
        <f aca="false">Timeline!W3</f>
        <v>Q2'28</v>
      </c>
      <c r="X3" s="42" t="str">
        <f aca="false">Timeline!X3</f>
        <v>Q3'28</v>
      </c>
      <c r="Y3" s="42" t="str">
        <f aca="false">Timeline!Y3</f>
        <v>Q4'28</v>
      </c>
      <c r="Z3" s="42" t="str">
        <f aca="false">Timeline!Z3</f>
        <v>Q1'29</v>
      </c>
      <c r="AA3" s="42" t="str">
        <f aca="false">Timeline!AA3</f>
        <v>Q2'29</v>
      </c>
      <c r="AB3" s="42" t="str">
        <f aca="false">Timeline!AB3</f>
        <v>Q3'29</v>
      </c>
      <c r="AC3" s="42" t="str">
        <f aca="false">Timeline!AC3</f>
        <v>Q4'29</v>
      </c>
      <c r="AD3" s="42" t="str">
        <f aca="false">Timeline!AD3</f>
        <v>Q1'30</v>
      </c>
      <c r="AE3" s="42" t="str">
        <f aca="false">Timeline!AE3</f>
        <v>Q2'30</v>
      </c>
      <c r="AF3" s="42" t="str">
        <f aca="false">Timeline!AF3</f>
        <v>Q3'30</v>
      </c>
      <c r="AG3" s="42" t="str">
        <f aca="false">Timeline!AG3</f>
        <v>Q4'30</v>
      </c>
      <c r="AI3" s="42" t="s">
        <v>1401</v>
      </c>
      <c r="AJ3" s="42" t="s">
        <v>1402</v>
      </c>
      <c r="AK3" s="42" t="s">
        <v>332</v>
      </c>
      <c r="AL3" s="42" t="s">
        <v>333</v>
      </c>
      <c r="AM3" s="42" t="s">
        <v>334</v>
      </c>
      <c r="AN3" s="42" t="s">
        <v>1403</v>
      </c>
      <c r="AO3" s="42" t="s">
        <v>1404</v>
      </c>
    </row>
    <row r="4" customFormat="false" ht="15" hidden="false" customHeight="false" outlineLevel="0" collapsed="false">
      <c r="A4" s="22" t="s">
        <v>1283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1284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1405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1286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8" t="s">
        <v>2737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</row>
    <row r="11" customFormat="false" ht="15" hidden="false" customHeight="false" outlineLevel="0" collapsed="false">
      <c r="A11" s="107" t="s">
        <v>2738</v>
      </c>
      <c r="B11" s="22" t="s">
        <v>664</v>
      </c>
      <c r="C11" s="22" t="s">
        <v>540</v>
      </c>
      <c r="D11" s="22"/>
      <c r="F11" s="111" t="n">
        <f aca="false">MAX(0,INDEX(MW_Act,1,1)-(INDEX(A_MW,1,1)-INDEX(A_BillMW,1,1)))</f>
        <v>22.7275</v>
      </c>
      <c r="G11" s="111" t="n">
        <f aca="false">MAX(0,INDEX(MW_Act,1,2)-(INDEX(A_MW,1,2)-INDEX(A_BillMW,1,2)))</f>
        <v>22.7275</v>
      </c>
      <c r="H11" s="111" t="n">
        <f aca="false">MAX(0,INDEX(MW_Act,1,3)-(INDEX(A_MW,1,3)-INDEX(A_BillMW,1,3)))</f>
        <v>22.7275</v>
      </c>
      <c r="I11" s="111" t="n">
        <f aca="false">MAX(0,INDEX(MW_Act,1,4)-(INDEX(A_MW,1,4)-INDEX(A_BillMW,1,4)))</f>
        <v>27.7275</v>
      </c>
      <c r="J11" s="111" t="n">
        <f aca="false">MAX(0,INDEX(MW_Act,1,5)-(INDEX(A_MW,1,5)-INDEX(A_BillMW,1,5)))</f>
        <v>47.7275</v>
      </c>
      <c r="K11" s="111" t="n">
        <f aca="false">MAX(0,INDEX(MW_Act,1,6)-(INDEX(A_MW,1,6)-INDEX(A_BillMW,1,6)))</f>
        <v>47.7275</v>
      </c>
      <c r="L11" s="111" t="n">
        <f aca="false">MAX(0,INDEX(MW_Act,1,7)-(INDEX(A_MW,1,7)-INDEX(A_BillMW,1,7)))</f>
        <v>59.09125</v>
      </c>
      <c r="M11" s="111" t="n">
        <f aca="false">MAX(0,INDEX(MW_Act,1,8)-(INDEX(A_MW,1,8)-INDEX(A_BillMW,1,8)))</f>
        <v>138.32595</v>
      </c>
      <c r="N11" s="111" t="n">
        <f aca="false">MAX(0,INDEX(MW_Act,1,9)-(INDEX(A_MW,1,9)-INDEX(A_BillMW,1,9)))</f>
        <v>170.9897</v>
      </c>
      <c r="O11" s="111" t="n">
        <f aca="false">MAX(0,INDEX(MW_Act,1,10)-(INDEX(A_MW,1,10)-INDEX(A_BillMW,1,10)))</f>
        <v>182.4897</v>
      </c>
      <c r="P11" s="33" t="n">
        <f aca="false">MAX(0,INDEX(MW_Act,1,11)-(INDEX(A_MW,1,11)-INDEX(A_BillMW,1,11)))</f>
        <v>178.2397</v>
      </c>
      <c r="Q11" s="33" t="n">
        <f aca="false">MAX(0,INDEX(MW_Act,1,12)-(INDEX(A_MW,1,12)-INDEX(A_BillMW,1,12)))</f>
        <v>212.7397</v>
      </c>
      <c r="R11" s="33" t="n">
        <f aca="false">MAX(0,INDEX(MW_Act,1,13)-(INDEX(A_MW,1,13)-INDEX(A_BillMW,1,13)))</f>
        <v>297.4695</v>
      </c>
      <c r="S11" s="33" t="n">
        <f aca="false">MAX(0,INDEX(MW_Act,1,14)-(INDEX(A_MW,1,14)-INDEX(A_BillMW,1,14)))</f>
        <v>453.79225</v>
      </c>
      <c r="T11" s="33" t="n">
        <f aca="false">MAX(0,INDEX(MW_Act,1,15)-(INDEX(A_MW,1,15)-INDEX(A_BillMW,1,15)))</f>
        <v>629.5368</v>
      </c>
      <c r="U11" s="33" t="n">
        <f aca="false">MAX(0,INDEX(MW_Act,1,16)-(INDEX(A_MW,1,16)-INDEX(A_BillMW,1,16)))</f>
        <v>812.6073</v>
      </c>
      <c r="V11" s="33" t="n">
        <f aca="false">MAX(0,INDEX(MW_Act,1,17)-(INDEX(A_MW,1,17)-INDEX(A_BillMW,1,17)))</f>
        <v>1081.9108</v>
      </c>
      <c r="W11" s="33" t="n">
        <f aca="false">MAX(0,INDEX(MW_Act,1,18)-(INDEX(A_MW,1,18)-INDEX(A_BillMW,1,18)))</f>
        <v>1172.9923</v>
      </c>
      <c r="X11" s="33" t="n">
        <f aca="false">MAX(0,INDEX(MW_Act,1,19)-(INDEX(A_MW,1,19)-INDEX(A_BillMW,1,19)))</f>
        <v>1326.4518</v>
      </c>
      <c r="Y11" s="33" t="n">
        <f aca="false">MAX(0,INDEX(MW_Act,1,20)-(INDEX(A_MW,1,20)-INDEX(A_BillMW,1,20)))</f>
        <v>1338.9518</v>
      </c>
      <c r="Z11" s="33" t="n">
        <f aca="false">MAX(0,INDEX(MW_Act,1,21)-(INDEX(A_MW,1,21)-INDEX(A_BillMW,1,21)))</f>
        <v>1652.7273</v>
      </c>
      <c r="AA11" s="33" t="n">
        <f aca="false">MAX(0,INDEX(MW_Act,1,22)-(INDEX(A_MW,1,22)-INDEX(A_BillMW,1,22)))</f>
        <v>1652.7273</v>
      </c>
      <c r="AB11" s="33" t="n">
        <f aca="false">MAX(0,INDEX(MW_Act,1,23)-(INDEX(A_MW,1,23)-INDEX(A_BillMW,1,23)))</f>
        <v>1963.8213</v>
      </c>
      <c r="AC11" s="33" t="n">
        <f aca="false">MAX(0,INDEX(MW_Act,1,24)-(INDEX(A_MW,1,24)-INDEX(A_BillMW,1,24)))</f>
        <v>1963.8213</v>
      </c>
      <c r="AD11" s="33" t="n">
        <f aca="false">MAX(0,INDEX(MW_Act,1,25)-(INDEX(A_MW,1,25)-INDEX(A_BillMW,1,25)))</f>
        <v>2409.3763</v>
      </c>
      <c r="AE11" s="33" t="n">
        <f aca="false">MAX(0,INDEX(MW_Act,1,26)-(INDEX(A_MW,1,26)-INDEX(A_BillMW,1,26)))</f>
        <v>2409.3763</v>
      </c>
      <c r="AF11" s="33" t="n">
        <f aca="false">MAX(0,INDEX(MW_Act,1,27)-(INDEX(A_MW,1,27)-INDEX(A_BillMW,1,27)))</f>
        <v>2409.3763</v>
      </c>
      <c r="AG11" s="33" t="n">
        <f aca="false">MAX(0,INDEX(MW_Act,1,28)-(INDEX(A_MW,1,28)-INDEX(A_BillMW,1,28)))</f>
        <v>2409.3763</v>
      </c>
      <c r="AI11" s="33" t="n">
        <f aca="false">INDEX($F11:$AG11,1,MATCH(AI$7,$F$7:$AG$7,1))</f>
        <v>27.7275</v>
      </c>
      <c r="AJ11" s="33" t="n">
        <f aca="false">INDEX($F11:$AG11,1,MATCH(AJ$7,$F$7:$AG$7,1))</f>
        <v>138.32595</v>
      </c>
      <c r="AK11" s="33" t="n">
        <f aca="false">INDEX($F11:$AG11,1,MATCH(AK$7,$F$7:$AG$7,1))</f>
        <v>212.7397</v>
      </c>
      <c r="AL11" s="33" t="n">
        <f aca="false">INDEX($F11:$AG11,1,MATCH(AL$7,$F$7:$AG$7,1))</f>
        <v>812.6073</v>
      </c>
      <c r="AM11" s="33" t="n">
        <f aca="false">INDEX($F11:$AG11,1,MATCH(AM$7,$F$7:$AG$7,1))</f>
        <v>1338.9518</v>
      </c>
      <c r="AN11" s="33" t="n">
        <f aca="false">INDEX($F11:$AG11,1,MATCH(AN$7,$F$7:$AG$7,1))</f>
        <v>1963.8213</v>
      </c>
      <c r="AO11" s="33" t="n">
        <f aca="false">INDEX($F11:$AG11,1,MATCH(AO$7,$F$7:$AG$7,1))</f>
        <v>2409.3763</v>
      </c>
    </row>
    <row r="12" customFormat="false" ht="15" hidden="false" customHeight="false" outlineLevel="0" collapsed="false">
      <c r="A12" s="107" t="s">
        <v>2739</v>
      </c>
      <c r="B12" s="22" t="s">
        <v>664</v>
      </c>
      <c r="C12" s="22" t="s">
        <v>1396</v>
      </c>
      <c r="D12" s="22"/>
      <c r="F12" s="111" t="n">
        <f aca="false">INDEX(MW_Contr,1,1)</f>
        <v>0</v>
      </c>
      <c r="G12" s="111" t="n">
        <f aca="false">INDEX(MW_Contr,1,2)</f>
        <v>0</v>
      </c>
      <c r="H12" s="111" t="n">
        <f aca="false">INDEX(MW_Contr,1,3)</f>
        <v>5</v>
      </c>
      <c r="I12" s="111" t="n">
        <f aca="false">INDEX(MW_Contr,1,4)</f>
        <v>123.1825</v>
      </c>
      <c r="J12" s="111" t="n">
        <f aca="false">INDEX(MW_Contr,1,5)</f>
        <v>423.1825</v>
      </c>
      <c r="K12" s="111" t="n">
        <f aca="false">INDEX(MW_Contr,1,6)</f>
        <v>443.4897</v>
      </c>
      <c r="L12" s="111" t="n">
        <f aca="false">INDEX(MW_Contr,1,7)</f>
        <v>665.6997</v>
      </c>
      <c r="M12" s="111" t="n">
        <f aca="false">INDEX(MW_Contr,1,8)</f>
        <v>1600</v>
      </c>
      <c r="N12" s="111" t="n">
        <f aca="false">INDEX(MW_Contr,1,9)</f>
        <v>2200</v>
      </c>
      <c r="O12" s="111" t="n">
        <f aca="false">INDEX(MW_Contr,1,10)</f>
        <v>3102.7433</v>
      </c>
      <c r="P12" s="33" t="n">
        <f aca="false">INDEX(MW_Contr,1,11)</f>
        <v>3400</v>
      </c>
      <c r="Q12" s="33" t="n">
        <f aca="false">INDEX(MW_Contr,1,12)</f>
        <v>4000</v>
      </c>
      <c r="R12" s="33" t="n">
        <f aca="false">INDEX(MW_Contr,1,13)</f>
        <v>4000</v>
      </c>
      <c r="S12" s="33" t="n">
        <f aca="false">INDEX(MW_Contr,1,14)</f>
        <v>4000</v>
      </c>
      <c r="T12" s="33" t="n">
        <f aca="false">INDEX(MW_Contr,1,15)</f>
        <v>4000</v>
      </c>
      <c r="U12" s="33" t="n">
        <f aca="false">INDEX(MW_Contr,1,16)</f>
        <v>4000</v>
      </c>
      <c r="V12" s="33" t="n">
        <f aca="false">INDEX(MW_Contr,1,17)</f>
        <v>4000</v>
      </c>
      <c r="W12" s="33" t="n">
        <f aca="false">INDEX(MW_Contr,1,18)</f>
        <v>4000</v>
      </c>
      <c r="X12" s="33" t="n">
        <f aca="false">INDEX(MW_Contr,1,19)</f>
        <v>4000</v>
      </c>
      <c r="Y12" s="33" t="n">
        <f aca="false">INDEX(MW_Contr,1,20)</f>
        <v>4000</v>
      </c>
      <c r="Z12" s="33" t="n">
        <f aca="false">INDEX(MW_Contr,1,21)</f>
        <v>4000</v>
      </c>
      <c r="AA12" s="33" t="n">
        <f aca="false">INDEX(MW_Contr,1,22)</f>
        <v>4000</v>
      </c>
      <c r="AB12" s="33" t="n">
        <f aca="false">INDEX(MW_Contr,1,23)</f>
        <v>4000</v>
      </c>
      <c r="AC12" s="33" t="n">
        <f aca="false">INDEX(MW_Contr,1,24)</f>
        <v>4000</v>
      </c>
      <c r="AD12" s="33" t="n">
        <f aca="false">INDEX(MW_Contr,1,25)</f>
        <v>4000</v>
      </c>
      <c r="AE12" s="33" t="n">
        <f aca="false">INDEX(MW_Contr,1,26)</f>
        <v>4000</v>
      </c>
      <c r="AF12" s="33" t="n">
        <f aca="false">INDEX(MW_Contr,1,27)</f>
        <v>4000</v>
      </c>
      <c r="AG12" s="33" t="n">
        <f aca="false">INDEX(MW_Contr,1,28)</f>
        <v>4000</v>
      </c>
      <c r="AI12" s="33" t="n">
        <f aca="false">INDEX($F12:$AG12,1,MATCH(AI$7,$F$7:$AG$7,1))</f>
        <v>123.1825</v>
      </c>
      <c r="AJ12" s="33" t="n">
        <f aca="false">INDEX($F12:$AG12,1,MATCH(AJ$7,$F$7:$AG$7,1))</f>
        <v>1600</v>
      </c>
      <c r="AK12" s="33" t="n">
        <f aca="false">INDEX($F12:$AG12,1,MATCH(AK$7,$F$7:$AG$7,1))</f>
        <v>4000</v>
      </c>
      <c r="AL12" s="33" t="n">
        <f aca="false">INDEX($F12:$AG12,1,MATCH(AL$7,$F$7:$AG$7,1))</f>
        <v>4000</v>
      </c>
      <c r="AM12" s="33" t="n">
        <f aca="false">INDEX($F12:$AG12,1,MATCH(AM$7,$F$7:$AG$7,1))</f>
        <v>4000</v>
      </c>
      <c r="AN12" s="33" t="n">
        <f aca="false">INDEX($F12:$AG12,1,MATCH(AN$7,$F$7:$AG$7,1))</f>
        <v>4000</v>
      </c>
      <c r="AO12" s="33" t="n">
        <f aca="false">INDEX($F12:$AG12,1,MATCH(AO$7,$F$7:$AG$7,1))</f>
        <v>4000</v>
      </c>
    </row>
    <row r="13" customFormat="false" ht="15" hidden="false" customHeight="false" outlineLevel="0" collapsed="false">
      <c r="A13" s="107" t="s">
        <v>2740</v>
      </c>
      <c r="B13" s="22" t="s">
        <v>664</v>
      </c>
      <c r="C13" s="22" t="s">
        <v>1396</v>
      </c>
      <c r="D13" s="22"/>
      <c r="F13" s="111" t="n">
        <f aca="false">INDEX(MW_En,1,1)</f>
        <v>22.7275</v>
      </c>
      <c r="G13" s="111" t="n">
        <f aca="false">INDEX(MW_En,1,2)</f>
        <v>22.7275</v>
      </c>
      <c r="H13" s="111" t="n">
        <f aca="false">INDEX(MW_En,1,3)</f>
        <v>22.7275</v>
      </c>
      <c r="I13" s="111" t="n">
        <f aca="false">INDEX(MW_En,1,4)</f>
        <v>27.7275</v>
      </c>
      <c r="J13" s="111" t="n">
        <f aca="false">INDEX(MW_En,1,5)</f>
        <v>47.7275</v>
      </c>
      <c r="K13" s="111" t="n">
        <f aca="false">INDEX(MW_En,1,6)</f>
        <v>47.7275</v>
      </c>
      <c r="L13" s="111" t="n">
        <f aca="false">INDEX(MW_En,1,7)</f>
        <v>59.09125</v>
      </c>
      <c r="M13" s="111" t="n">
        <f aca="false">INDEX(MW_En,1,8)</f>
        <v>138.32595</v>
      </c>
      <c r="N13" s="111" t="n">
        <f aca="false">INDEX(MW_En,1,9)</f>
        <v>170.9897</v>
      </c>
      <c r="O13" s="111" t="n">
        <f aca="false">INDEX(MW_En,1,10)</f>
        <v>182.4897</v>
      </c>
      <c r="P13" s="33" t="n">
        <f aca="false">INDEX(MW_En,1,11)</f>
        <v>216.9897</v>
      </c>
      <c r="Q13" s="33" t="n">
        <f aca="false">INDEX(MW_En,1,12)</f>
        <v>301.7195</v>
      </c>
      <c r="R13" s="33" t="n">
        <f aca="false">INDEX(MW_En,1,13)</f>
        <v>453.79225</v>
      </c>
      <c r="S13" s="33" t="n">
        <f aca="false">INDEX(MW_En,1,14)</f>
        <v>629.5368</v>
      </c>
      <c r="T13" s="33" t="n">
        <f aca="false">INDEX(MW_En,1,15)</f>
        <v>812.6073</v>
      </c>
      <c r="U13" s="33" t="n">
        <f aca="false">INDEX(MW_En,1,16)</f>
        <v>1081.9108</v>
      </c>
      <c r="V13" s="33" t="n">
        <f aca="false">INDEX(MW_En,1,17)</f>
        <v>1172.9923</v>
      </c>
      <c r="W13" s="33" t="n">
        <f aca="false">INDEX(MW_En,1,18)</f>
        <v>1326.4518</v>
      </c>
      <c r="X13" s="33" t="n">
        <f aca="false">INDEX(MW_En,1,19)</f>
        <v>1338.9518</v>
      </c>
      <c r="Y13" s="33" t="n">
        <f aca="false">INDEX(MW_En,1,20)</f>
        <v>1652.7273</v>
      </c>
      <c r="Z13" s="33" t="n">
        <f aca="false">INDEX(MW_En,1,21)</f>
        <v>1652.7273</v>
      </c>
      <c r="AA13" s="33" t="n">
        <f aca="false">INDEX(MW_En,1,22)</f>
        <v>1963.8213</v>
      </c>
      <c r="AB13" s="33" t="n">
        <f aca="false">INDEX(MW_En,1,23)</f>
        <v>1963.8213</v>
      </c>
      <c r="AC13" s="33" t="n">
        <f aca="false">INDEX(MW_En,1,24)</f>
        <v>2409.3763</v>
      </c>
      <c r="AD13" s="33" t="n">
        <f aca="false">INDEX(MW_En,1,25)</f>
        <v>2409.3763</v>
      </c>
      <c r="AE13" s="33" t="n">
        <f aca="false">INDEX(MW_En,1,26)</f>
        <v>2409.3763</v>
      </c>
      <c r="AF13" s="33" t="n">
        <f aca="false">INDEX(MW_En,1,27)</f>
        <v>2409.3763</v>
      </c>
      <c r="AG13" s="33" t="n">
        <f aca="false">INDEX(MW_En,1,28)</f>
        <v>2841.0793</v>
      </c>
      <c r="AI13" s="33" t="n">
        <f aca="false">INDEX($F13:$AG13,1,MATCH(AI$7,$F$7:$AG$7,1))</f>
        <v>27.7275</v>
      </c>
      <c r="AJ13" s="33" t="n">
        <f aca="false">INDEX($F13:$AG13,1,MATCH(AJ$7,$F$7:$AG$7,1))</f>
        <v>138.32595</v>
      </c>
      <c r="AK13" s="33" t="n">
        <f aca="false">INDEX($F13:$AG13,1,MATCH(AK$7,$F$7:$AG$7,1))</f>
        <v>301.7195</v>
      </c>
      <c r="AL13" s="33" t="n">
        <f aca="false">INDEX($F13:$AG13,1,MATCH(AL$7,$F$7:$AG$7,1))</f>
        <v>1081.9108</v>
      </c>
      <c r="AM13" s="33" t="n">
        <f aca="false">INDEX($F13:$AG13,1,MATCH(AM$7,$F$7:$AG$7,1))</f>
        <v>1652.7273</v>
      </c>
      <c r="AN13" s="33" t="n">
        <f aca="false">INDEX($F13:$AG13,1,MATCH(AN$7,$F$7:$AG$7,1))</f>
        <v>2409.3763</v>
      </c>
      <c r="AO13" s="33" t="n">
        <f aca="false">INDEX($F13:$AG13,1,MATCH(AO$7,$F$7:$AG$7,1))</f>
        <v>2841.0793</v>
      </c>
    </row>
    <row r="14" customFormat="false" ht="15" hidden="false" customHeight="false" outlineLevel="0" collapsed="false">
      <c r="A14" s="107" t="s">
        <v>2741</v>
      </c>
      <c r="B14" s="22" t="s">
        <v>664</v>
      </c>
      <c r="C14" s="22" t="s">
        <v>1396</v>
      </c>
      <c r="D14" s="22"/>
      <c r="F14" s="111" t="n">
        <f aca="false">INDEX(MW_Act,1,1)*INDEX(MW_OwnSh,1,1)</f>
        <v>22.7275</v>
      </c>
      <c r="G14" s="111" t="n">
        <f aca="false">INDEX(MW_Act,1,2)*INDEX(MW_OwnSh,1,2)</f>
        <v>22.7275</v>
      </c>
      <c r="H14" s="111" t="n">
        <f aca="false">INDEX(MW_Act,1,3)*INDEX(MW_OwnSh,1,3)</f>
        <v>22.7275</v>
      </c>
      <c r="I14" s="111" t="n">
        <f aca="false">INDEX(MW_Act,1,4)*INDEX(MW_OwnSh,1,4)</f>
        <v>22.7275</v>
      </c>
      <c r="J14" s="111" t="n">
        <f aca="false">INDEX(MW_Act,1,5)*INDEX(MW_OwnSh,1,5)</f>
        <v>22.7275</v>
      </c>
      <c r="K14" s="111" t="n">
        <f aca="false">INDEX(MW_Act,1,6)*INDEX(MW_OwnSh,1,6)</f>
        <v>22.7275</v>
      </c>
      <c r="L14" s="111" t="n">
        <f aca="false">INDEX(MW_Act,1,7)*INDEX(MW_OwnSh,1,7)</f>
        <v>34.09125</v>
      </c>
      <c r="M14" s="111" t="n">
        <f aca="false">INDEX(MW_Act,1,8)*INDEX(MW_OwnSh,1,8)</f>
        <v>56.81875</v>
      </c>
      <c r="N14" s="111" t="n">
        <f aca="false">INDEX(MW_Act,1,9)*INDEX(MW_OwnSh,1,9)</f>
        <v>68.1825</v>
      </c>
      <c r="O14" s="111" t="n">
        <f aca="false">INDEX(MW_Act,1,10)*INDEX(MW_OwnSh,1,10)</f>
        <v>68.1825</v>
      </c>
      <c r="P14" s="33" t="n">
        <f aca="false">INDEX(MW_Act,1,11)*INDEX(MW_OwnSh,1,11)</f>
        <v>57.3419105618838</v>
      </c>
      <c r="Q14" s="33" t="n">
        <f aca="false">INDEX(MW_Act,1,12)*INDEX(MW_OwnSh,1,12)</f>
        <v>49.035280186564</v>
      </c>
      <c r="R14" s="33" t="n">
        <f aca="false">INDEX(MW_Act,1,13)*INDEX(MW_OwnSh,1,13)</f>
        <v>51.4894981775802</v>
      </c>
      <c r="S14" s="33" t="n">
        <f aca="false">INDEX(MW_Act,1,14)*INDEX(MW_OwnSh,1,14)</f>
        <v>73.4660762254089</v>
      </c>
      <c r="T14" s="33" t="n">
        <f aca="false">INDEX(MW_Act,1,15)*INDEX(MW_OwnSh,1,15)</f>
        <v>133.783890062026</v>
      </c>
      <c r="U14" s="33" t="n">
        <f aca="false">INDEX(MW_Act,1,16)*INDEX(MW_OwnSh,1,16)</f>
        <v>244.358092166193</v>
      </c>
      <c r="V14" s="33" t="n">
        <f aca="false">INDEX(MW_Act,1,17)*INDEX(MW_OwnSh,1,17)</f>
        <v>372.557461120759</v>
      </c>
      <c r="W14" s="33" t="n">
        <f aca="false">INDEX(MW_Act,1,18)*INDEX(MW_OwnSh,1,18)</f>
        <v>492.896629313104</v>
      </c>
      <c r="X14" s="33" t="n">
        <f aca="false">INDEX(MW_Act,1,19)*INDEX(MW_OwnSh,1,19)</f>
        <v>552.177479977845</v>
      </c>
      <c r="Y14" s="33" t="n">
        <f aca="false">INDEX(MW_Act,1,20)*INDEX(MW_OwnSh,1,20)</f>
        <v>668.374788921984</v>
      </c>
      <c r="Z14" s="33" t="n">
        <f aca="false">INDEX(MW_Act,1,21)*INDEX(MW_OwnSh,1,21)</f>
        <v>825.0045</v>
      </c>
      <c r="AA14" s="33" t="n">
        <f aca="false">INDEX(MW_Act,1,22)*INDEX(MW_OwnSh,1,22)</f>
        <v>956.126204781998</v>
      </c>
      <c r="AB14" s="33" t="n">
        <f aca="false">INDEX(MW_Act,1,23)*INDEX(MW_OwnSh,1,23)</f>
        <v>1136.0985</v>
      </c>
      <c r="AC14" s="33" t="n">
        <f aca="false">INDEX(MW_Act,1,24)*INDEX(MW_OwnSh,1,24)</f>
        <v>1289.16551246875</v>
      </c>
      <c r="AD14" s="33" t="n">
        <f aca="false">INDEX(MW_Act,1,25)*INDEX(MW_OwnSh,1,25)</f>
        <v>1581.6535</v>
      </c>
      <c r="AE14" s="33" t="n">
        <f aca="false">INDEX(MW_Act,1,26)*INDEX(MW_OwnSh,1,26)</f>
        <v>1581.6535</v>
      </c>
      <c r="AF14" s="33" t="n">
        <f aca="false">INDEX(MW_Act,1,27)*INDEX(MW_OwnSh,1,27)</f>
        <v>1581.6535</v>
      </c>
      <c r="AG14" s="33" t="n">
        <f aca="false">INDEX(MW_Act,1,28)*INDEX(MW_OwnSh,1,28)</f>
        <v>1707.42627090731</v>
      </c>
      <c r="AI14" s="33" t="n">
        <f aca="false">INDEX($F14:$AG14,1,MATCH(AI$7,$F$7:$AG$7,1))</f>
        <v>22.7275</v>
      </c>
      <c r="AJ14" s="33" t="n">
        <f aca="false">INDEX($F14:$AG14,1,MATCH(AJ$7,$F$7:$AG$7,1))</f>
        <v>56.81875</v>
      </c>
      <c r="AK14" s="33" t="n">
        <f aca="false">INDEX($F14:$AG14,1,MATCH(AK$7,$F$7:$AG$7,1))</f>
        <v>49.035280186564</v>
      </c>
      <c r="AL14" s="33" t="n">
        <f aca="false">INDEX($F14:$AG14,1,MATCH(AL$7,$F$7:$AG$7,1))</f>
        <v>244.358092166193</v>
      </c>
      <c r="AM14" s="33" t="n">
        <f aca="false">INDEX($F14:$AG14,1,MATCH(AM$7,$F$7:$AG$7,1))</f>
        <v>668.374788921984</v>
      </c>
      <c r="AN14" s="33" t="n">
        <f aca="false">INDEX($F14:$AG14,1,MATCH(AN$7,$F$7:$AG$7,1))</f>
        <v>1289.16551246875</v>
      </c>
      <c r="AO14" s="33" t="n">
        <f aca="false">INDEX($F14:$AG14,1,MATCH(AO$7,$F$7:$AG$7,1))</f>
        <v>1707.42627090731</v>
      </c>
    </row>
    <row r="15" customFormat="false" ht="15" hidden="false" customHeight="false" outlineLevel="0" collapsed="false">
      <c r="A15" s="107" t="s">
        <v>2742</v>
      </c>
      <c r="B15" s="22" t="s">
        <v>664</v>
      </c>
      <c r="C15" s="22" t="s">
        <v>1396</v>
      </c>
      <c r="D15" s="22"/>
      <c r="F15" s="111" t="n">
        <f aca="false">INDEX(MW_Act,1,1)*(1-INDEX(MW_OwnSh,1,1))</f>
        <v>0</v>
      </c>
      <c r="G15" s="111" t="n">
        <f aca="false">INDEX(MW_Act,1,2)*(1-INDEX(MW_OwnSh,1,2))</f>
        <v>0</v>
      </c>
      <c r="H15" s="111" t="n">
        <f aca="false">INDEX(MW_Act,1,3)*(1-INDEX(MW_OwnSh,1,3))</f>
        <v>0</v>
      </c>
      <c r="I15" s="111" t="n">
        <f aca="false">INDEX(MW_Act,1,4)*(1-INDEX(MW_OwnSh,1,4))</f>
        <v>5</v>
      </c>
      <c r="J15" s="111" t="n">
        <f aca="false">INDEX(MW_Act,1,5)*(1-INDEX(MW_OwnSh,1,5))</f>
        <v>25</v>
      </c>
      <c r="K15" s="111" t="n">
        <f aca="false">INDEX(MW_Act,1,6)*(1-INDEX(MW_OwnSh,1,6))</f>
        <v>25</v>
      </c>
      <c r="L15" s="111" t="n">
        <f aca="false">INDEX(MW_Act,1,7)*(1-INDEX(MW_OwnSh,1,7))</f>
        <v>25</v>
      </c>
      <c r="M15" s="111" t="n">
        <f aca="false">INDEX(MW_Act,1,8)*(1-INDEX(MW_OwnSh,1,8))</f>
        <v>81.5072</v>
      </c>
      <c r="N15" s="111" t="n">
        <f aca="false">INDEX(MW_Act,1,9)*(1-INDEX(MW_OwnSh,1,9))</f>
        <v>102.8072</v>
      </c>
      <c r="O15" s="111" t="n">
        <f aca="false">INDEX(MW_Act,1,10)*(1-INDEX(MW_OwnSh,1,10))</f>
        <v>114.3072</v>
      </c>
      <c r="P15" s="33" t="n">
        <f aca="false">INDEX(MW_Act,1,11)*(1-INDEX(MW_OwnSh,1,11))</f>
        <v>125.147789438116</v>
      </c>
      <c r="Q15" s="33" t="n">
        <f aca="false">INDEX(MW_Act,1,12)*(1-INDEX(MW_OwnSh,1,12))</f>
        <v>167.954419813436</v>
      </c>
      <c r="R15" s="33" t="n">
        <f aca="false">INDEX(MW_Act,1,13)*(1-INDEX(MW_OwnSh,1,13))</f>
        <v>250.23000182242</v>
      </c>
      <c r="S15" s="33" t="n">
        <f aca="false">INDEX(MW_Act,1,14)*(1-INDEX(MW_OwnSh,1,14))</f>
        <v>380.326173774591</v>
      </c>
      <c r="T15" s="33" t="n">
        <f aca="false">INDEX(MW_Act,1,15)*(1-INDEX(MW_OwnSh,1,15))</f>
        <v>495.752909937974</v>
      </c>
      <c r="U15" s="33" t="n">
        <f aca="false">INDEX(MW_Act,1,16)*(1-INDEX(MW_OwnSh,1,16))</f>
        <v>568.249207833807</v>
      </c>
      <c r="V15" s="33" t="n">
        <f aca="false">INDEX(MW_Act,1,17)*(1-INDEX(MW_OwnSh,1,17))</f>
        <v>709.353338879241</v>
      </c>
      <c r="W15" s="33" t="n">
        <f aca="false">INDEX(MW_Act,1,18)*(1-INDEX(MW_OwnSh,1,18))</f>
        <v>680.095670686896</v>
      </c>
      <c r="X15" s="33" t="n">
        <f aca="false">INDEX(MW_Act,1,19)*(1-INDEX(MW_OwnSh,1,19))</f>
        <v>774.274320022155</v>
      </c>
      <c r="Y15" s="33" t="n">
        <f aca="false">INDEX(MW_Act,1,20)*(1-INDEX(MW_OwnSh,1,20))</f>
        <v>670.577011078016</v>
      </c>
      <c r="Z15" s="33" t="n">
        <f aca="false">INDEX(MW_Act,1,21)*(1-INDEX(MW_OwnSh,1,21))</f>
        <v>827.7228</v>
      </c>
      <c r="AA15" s="33" t="n">
        <f aca="false">INDEX(MW_Act,1,22)*(1-INDEX(MW_OwnSh,1,22))</f>
        <v>696.601095218002</v>
      </c>
      <c r="AB15" s="33" t="n">
        <f aca="false">INDEX(MW_Act,1,23)*(1-INDEX(MW_OwnSh,1,23))</f>
        <v>827.7228</v>
      </c>
      <c r="AC15" s="33" t="n">
        <f aca="false">INDEX(MW_Act,1,24)*(1-INDEX(MW_OwnSh,1,24))</f>
        <v>674.655787531254</v>
      </c>
      <c r="AD15" s="33" t="n">
        <f aca="false">INDEX(MW_Act,1,25)*(1-INDEX(MW_OwnSh,1,25))</f>
        <v>827.7228</v>
      </c>
      <c r="AE15" s="33" t="n">
        <f aca="false">INDEX(MW_Act,1,26)*(1-INDEX(MW_OwnSh,1,26))</f>
        <v>827.7228</v>
      </c>
      <c r="AF15" s="33" t="n">
        <f aca="false">INDEX(MW_Act,1,27)*(1-INDEX(MW_OwnSh,1,27))</f>
        <v>827.7228</v>
      </c>
      <c r="AG15" s="33" t="n">
        <f aca="false">INDEX(MW_Act,1,28)*(1-INDEX(MW_OwnSh,1,28))</f>
        <v>701.95002909269</v>
      </c>
      <c r="AI15" s="33" t="n">
        <f aca="false">INDEX($F15:$AG15,1,MATCH(AI$7,$F$7:$AG$7,1))</f>
        <v>5</v>
      </c>
      <c r="AJ15" s="33" t="n">
        <f aca="false">INDEX($F15:$AG15,1,MATCH(AJ$7,$F$7:$AG$7,1))</f>
        <v>81.5072</v>
      </c>
      <c r="AK15" s="33" t="n">
        <f aca="false">INDEX($F15:$AG15,1,MATCH(AK$7,$F$7:$AG$7,1))</f>
        <v>167.954419813436</v>
      </c>
      <c r="AL15" s="33" t="n">
        <f aca="false">INDEX($F15:$AG15,1,MATCH(AL$7,$F$7:$AG$7,1))</f>
        <v>568.249207833807</v>
      </c>
      <c r="AM15" s="33" t="n">
        <f aca="false">INDEX($F15:$AG15,1,MATCH(AM$7,$F$7:$AG$7,1))</f>
        <v>670.577011078016</v>
      </c>
      <c r="AN15" s="33" t="n">
        <f aca="false">INDEX($F15:$AG15,1,MATCH(AN$7,$F$7:$AG$7,1))</f>
        <v>674.655787531254</v>
      </c>
      <c r="AO15" s="33" t="n">
        <f aca="false">INDEX($F15:$AG15,1,MATCH(AO$7,$F$7:$AG$7,1))</f>
        <v>701.95002909269</v>
      </c>
    </row>
    <row r="17" customFormat="false" ht="15" hidden="false" customHeight="false" outlineLevel="0" collapsed="false">
      <c r="A17" s="58" t="s">
        <v>2743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</row>
    <row r="18" customFormat="false" ht="15" hidden="false" customHeight="false" outlineLevel="0" collapsed="false">
      <c r="A18" s="3" t="s">
        <v>2744</v>
      </c>
      <c r="B18" s="22" t="s">
        <v>647</v>
      </c>
      <c r="C18" s="22" t="s">
        <v>540</v>
      </c>
      <c r="D18" s="22"/>
      <c r="F18" s="146" t="n">
        <f aca="false">IFERROR(INDEX(AIRev,1,1)*4/F11,0)</f>
        <v>1.81278187218128</v>
      </c>
      <c r="G18" s="146" t="n">
        <f aca="false">IFERROR(INDEX(AIRev,1,2)*4/G11,0)</f>
        <v>2.30557694423056</v>
      </c>
      <c r="H18" s="146" t="n">
        <f aca="false">IFERROR(INDEX(AIRev,1,3)*4/H11,0)</f>
        <v>5.08634913650864</v>
      </c>
      <c r="I18" s="146" t="n">
        <f aca="false">IFERROR(INDEX(AIRev,1,4)*4/I11,0)</f>
        <v>4.57307726985844</v>
      </c>
      <c r="J18" s="146" t="n">
        <f aca="false">IFERROR(INDEX(AIRev,1,5)*4/J11,0)</f>
        <v>3.46969776334398</v>
      </c>
      <c r="K18" s="146" t="n">
        <f aca="false">IFERROR(INDEX(AIRev,1,6)*4/K11,0)</f>
        <v>7.84453407364727</v>
      </c>
      <c r="L18" s="146" t="n">
        <f aca="false">IFERROR(INDEX(AIRev,1,7)*4/L11,0)</f>
        <v>9.39563810208787</v>
      </c>
      <c r="M18" s="146" t="n">
        <f aca="false">IFERROR(INDEX(AIRev,1,8)*4/M11,0)</f>
        <v>6.19406553867875</v>
      </c>
      <c r="N18" s="146" t="n">
        <f aca="false">IFERROR(INDEX(AIRev,1,9)*4/N11,0)</f>
        <v>9.11633858647626</v>
      </c>
      <c r="O18" s="146" t="n">
        <f aca="false">IFERROR(INDEX(AIRev,1,10)*4/O11,0)</f>
        <v>12.6012591395569</v>
      </c>
      <c r="P18" s="147" t="n">
        <f aca="false">IFERROR(INDEX(AIRev,1,11)*4/P11,0)</f>
        <v>14.9717129838289</v>
      </c>
      <c r="Q18" s="147" t="n">
        <f aca="false">IFERROR(INDEX(AIRev,1,12)*4/Q11,0)</f>
        <v>15.0680700197503</v>
      </c>
      <c r="R18" s="147" t="n">
        <f aca="false">IFERROR(INDEX(AIRev,1,13)*4/R11,0)</f>
        <v>13.712926559061</v>
      </c>
      <c r="S18" s="147" t="n">
        <f aca="false">IFERROR(INDEX(AIRev,1,14)*4/S11,0)</f>
        <v>12.8549564528896</v>
      </c>
      <c r="T18" s="147" t="n">
        <f aca="false">IFERROR(INDEX(AIRev,1,15)*4/T11,0)</f>
        <v>13.3819968130894</v>
      </c>
      <c r="U18" s="147" t="n">
        <f aca="false">IFERROR(INDEX(AIRev,1,16)*4/U11,0)</f>
        <v>14.2200025855932</v>
      </c>
      <c r="V18" s="147" t="n">
        <f aca="false">IFERROR(INDEX(AIRev,1,17)*4/V11,0)</f>
        <v>14.7205971826072</v>
      </c>
      <c r="W18" s="147" t="n">
        <f aca="false">IFERROR(INDEX(AIRev,1,18)*4/W11,0)</f>
        <v>16.5389615058061</v>
      </c>
      <c r="X18" s="147" t="n">
        <f aca="false">IFERROR(INDEX(AIRev,1,19)*4/X11,0)</f>
        <v>16.4417553742715</v>
      </c>
      <c r="Y18" s="147" t="n">
        <f aca="false">IFERROR(INDEX(AIRev,1,20)*4/Y11,0)</f>
        <v>17.5113663745822</v>
      </c>
      <c r="Z18" s="147" t="n">
        <f aca="false">IFERROR(INDEX(AIRev,1,21)*4/Z11,0)</f>
        <v>16.093282783316</v>
      </c>
      <c r="AA18" s="147" t="n">
        <f aca="false">IFERROR(INDEX(AIRev,1,22)*4/AA11,0)</f>
        <v>17.9830133964774</v>
      </c>
      <c r="AB18" s="147" t="n">
        <f aca="false">IFERROR(INDEX(AIRev,1,23)*4/AB11,0)</f>
        <v>16.7275632268944</v>
      </c>
      <c r="AC18" s="147" t="n">
        <f aca="false">IFERROR(INDEX(AIRev,1,24)*4/AC11,0)</f>
        <v>18.3509988437247</v>
      </c>
      <c r="AD18" s="147" t="n">
        <f aca="false">IFERROR(INDEX(AIRev,1,25)*4/AD11,0)</f>
        <v>16.7374278047658</v>
      </c>
      <c r="AE18" s="147" t="n">
        <f aca="false">IFERROR(INDEX(AIRev,1,26)*4/AE11,0)</f>
        <v>18.5610203643889</v>
      </c>
      <c r="AF18" s="147" t="n">
        <f aca="false">IFERROR(INDEX(AIRev,1,27)*4/AF11,0)</f>
        <v>18.5039490221768</v>
      </c>
      <c r="AG18" s="147" t="n">
        <f aca="false">IFERROR(INDEX(AIRev,1,28)*4/AG11,0)</f>
        <v>18.6936026644078</v>
      </c>
    </row>
    <row r="19" customFormat="false" ht="15" hidden="false" customHeight="false" outlineLevel="0" collapsed="false">
      <c r="A19" s="107" t="s">
        <v>2745</v>
      </c>
      <c r="B19" s="22" t="s">
        <v>647</v>
      </c>
      <c r="C19" s="22" t="s">
        <v>540</v>
      </c>
      <c r="D19" s="22"/>
      <c r="F19" s="148" t="n">
        <f aca="false">IFERROR(INDEX(AIRev,1,1)*4/F12,0)</f>
        <v>0</v>
      </c>
      <c r="G19" s="148" t="n">
        <f aca="false">IFERROR(INDEX(AIRev,1,2)*4/G12,0)</f>
        <v>0</v>
      </c>
      <c r="H19" s="148" t="n">
        <f aca="false">IFERROR(INDEX(AIRev,1,3)*4/H12,0)</f>
        <v>23.12</v>
      </c>
      <c r="I19" s="148" t="n">
        <f aca="false">IFERROR(INDEX(AIRev,1,4)*4/I12,0)</f>
        <v>1.02936699612364</v>
      </c>
      <c r="J19" s="148" t="n">
        <f aca="false">IFERROR(INDEX(AIRev,1,5)*4/J12,0)</f>
        <v>0.39132052955876</v>
      </c>
      <c r="K19" s="148" t="n">
        <f aca="false">IFERROR(INDEX(AIRev,1,6)*4/K12,0)</f>
        <v>0.844213518374835</v>
      </c>
      <c r="L19" s="148" t="n">
        <f aca="false">IFERROR(INDEX(AIRev,1,7)*4/L12,0)</f>
        <v>0.834009689353924</v>
      </c>
      <c r="M19" s="148" t="n">
        <f aca="false">IFERROR(INDEX(AIRev,1,8)*4/M12,0)</f>
        <v>0.5355</v>
      </c>
      <c r="N19" s="148" t="n">
        <f aca="false">IFERROR(INDEX(AIRev,1,9)*4/N12,0)</f>
        <v>0.708545454545455</v>
      </c>
      <c r="O19" s="148" t="n">
        <f aca="false">IFERROR(INDEX(AIRev,1,10)*4/O12,0)</f>
        <v>0.741150581164739</v>
      </c>
      <c r="P19" s="149" t="n">
        <f aca="false">IFERROR(INDEX(AIRev,1,11)*4/P12,0)</f>
        <v>0.784868714918754</v>
      </c>
      <c r="Q19" s="149" t="n">
        <f aca="false">IFERROR(INDEX(AIRev,1,12)*4/Q12,0)</f>
        <v>0.801394173895167</v>
      </c>
      <c r="R19" s="149" t="n">
        <f aca="false">IFERROR(INDEX(AIRev,1,13)*4/R12,0)</f>
        <v>1.01979435176515</v>
      </c>
      <c r="S19" s="149" t="n">
        <f aca="false">IFERROR(INDEX(AIRev,1,14)*4/S12,0)</f>
        <v>1.45836990310219</v>
      </c>
      <c r="T19" s="149" t="n">
        <f aca="false">IFERROR(INDEX(AIRev,1,15)*4/T12,0)</f>
        <v>2.10611486283062</v>
      </c>
      <c r="U19" s="149" t="n">
        <f aca="false">IFERROR(INDEX(AIRev,1,16)*4/U12,0)</f>
        <v>2.88881947676798</v>
      </c>
      <c r="V19" s="149" t="n">
        <f aca="false">IFERROR(INDEX(AIRev,1,17)*4/V12,0)</f>
        <v>3.98159326857807</v>
      </c>
      <c r="W19" s="149" t="n">
        <f aca="false">IFERROR(INDEX(AIRev,1,18)*4/W12,0)</f>
        <v>4.85001862407673</v>
      </c>
      <c r="X19" s="149" t="n">
        <f aca="false">IFERROR(INDEX(AIRev,1,19)*4/X12,0)</f>
        <v>5.45229900284052</v>
      </c>
      <c r="Y19" s="149" t="n">
        <f aca="false">IFERROR(INDEX(AIRev,1,20)*4/Y12,0)</f>
        <v>5.86171888192659</v>
      </c>
      <c r="Z19" s="149" t="n">
        <f aca="false">IFERROR(INDEX(AIRev,1,21)*4/Z12,0)</f>
        <v>6.64945195065157</v>
      </c>
      <c r="AA19" s="149" t="n">
        <f aca="false">IFERROR(INDEX(AIRev,1,22)*4/AA12,0)</f>
        <v>7.43025429415599</v>
      </c>
      <c r="AB19" s="149" t="n">
        <f aca="false">IFERROR(INDEX(AIRev,1,23)*4/AB12,0)</f>
        <v>8.212486240518</v>
      </c>
      <c r="AC19" s="149" t="n">
        <f aca="false">IFERROR(INDEX(AIRev,1,24)*4/AC12,0)</f>
        <v>9.00952060139548</v>
      </c>
      <c r="AD19" s="149" t="n">
        <f aca="false">IFERROR(INDEX(AIRev,1,25)*4/AD12,0)</f>
        <v>10.0816904689409</v>
      </c>
      <c r="AE19" s="149" t="n">
        <f aca="false">IFERROR(INDEX(AIRev,1,26)*4/AE12,0)</f>
        <v>11.180120642444</v>
      </c>
      <c r="AF19" s="149" t="n">
        <f aca="false">IFERROR(INDEX(AIRev,1,27)*4/AF12,0)</f>
        <v>11.1457440576102</v>
      </c>
      <c r="AG19" s="149" t="n">
        <f aca="false">IFERROR(INDEX(AIRev,1,28)*4/AG12,0)</f>
        <v>11.2599808053103</v>
      </c>
    </row>
    <row r="20" customFormat="false" ht="15" hidden="false" customHeight="false" outlineLevel="0" collapsed="false">
      <c r="A20" s="107" t="s">
        <v>2746</v>
      </c>
      <c r="B20" s="22" t="s">
        <v>647</v>
      </c>
      <c r="C20" s="22" t="s">
        <v>540</v>
      </c>
      <c r="D20" s="22"/>
      <c r="F20" s="148" t="n">
        <f aca="false">IFERROR(INDEX(AIRev,1,1)*4/F13,0)</f>
        <v>1.81278187218128</v>
      </c>
      <c r="G20" s="148" t="n">
        <f aca="false">IFERROR(INDEX(AIRev,1,2)*4/G13,0)</f>
        <v>2.30557694423056</v>
      </c>
      <c r="H20" s="148" t="n">
        <f aca="false">IFERROR(INDEX(AIRev,1,3)*4/H13,0)</f>
        <v>5.08634913650864</v>
      </c>
      <c r="I20" s="148" t="n">
        <f aca="false">IFERROR(INDEX(AIRev,1,4)*4/I13,0)</f>
        <v>4.57307726985844</v>
      </c>
      <c r="J20" s="148" t="n">
        <f aca="false">IFERROR(INDEX(AIRev,1,5)*4/J13,0)</f>
        <v>3.46969776334398</v>
      </c>
      <c r="K20" s="148" t="n">
        <f aca="false">IFERROR(INDEX(AIRev,1,6)*4/K13,0)</f>
        <v>7.84453407364727</v>
      </c>
      <c r="L20" s="148" t="n">
        <f aca="false">IFERROR(INDEX(AIRev,1,7)*4/L13,0)</f>
        <v>9.39563810208787</v>
      </c>
      <c r="M20" s="148" t="n">
        <f aca="false">IFERROR(INDEX(AIRev,1,8)*4/M13,0)</f>
        <v>6.19406553867875</v>
      </c>
      <c r="N20" s="148" t="n">
        <f aca="false">IFERROR(INDEX(AIRev,1,9)*4/N13,0)</f>
        <v>9.11633858647626</v>
      </c>
      <c r="O20" s="148" t="n">
        <f aca="false">IFERROR(INDEX(AIRev,1,10)*4/O13,0)</f>
        <v>12.6012591395569</v>
      </c>
      <c r="P20" s="149" t="n">
        <f aca="false">IFERROR(INDEX(AIRev,1,11)*4/P13,0)</f>
        <v>12.2980659023159</v>
      </c>
      <c r="Q20" s="149" t="n">
        <f aca="false">IFERROR(INDEX(AIRev,1,12)*4/Q13,0)</f>
        <v>10.6243603598066</v>
      </c>
      <c r="R20" s="149" t="n">
        <f aca="false">IFERROR(INDEX(AIRev,1,13)*4/R13,0)</f>
        <v>8.98908565992612</v>
      </c>
      <c r="S20" s="149" t="n">
        <f aca="false">IFERROR(INDEX(AIRev,1,14)*4/S13,0)</f>
        <v>9.26630438825621</v>
      </c>
      <c r="T20" s="149" t="n">
        <f aca="false">IFERROR(INDEX(AIRev,1,15)*4/T13,0)</f>
        <v>10.3671963706485</v>
      </c>
      <c r="U20" s="149" t="n">
        <f aca="false">IFERROR(INDEX(AIRev,1,16)*4/U13,0)</f>
        <v>10.6804349370317</v>
      </c>
      <c r="V20" s="149" t="n">
        <f aca="false">IFERROR(INDEX(AIRev,1,17)*4/V13,0)</f>
        <v>13.5775597796441</v>
      </c>
      <c r="W20" s="149" t="n">
        <f aca="false">IFERROR(INDEX(AIRev,1,18)*4/W13,0)</f>
        <v>14.625540480481</v>
      </c>
      <c r="X20" s="149" t="n">
        <f aca="false">IFERROR(INDEX(AIRev,1,19)*4/X13,0)</f>
        <v>16.288260721082</v>
      </c>
      <c r="Y20" s="149" t="n">
        <f aca="false">IFERROR(INDEX(AIRev,1,20)*4/Y13,0)</f>
        <v>14.1867781379943</v>
      </c>
      <c r="Z20" s="149" t="n">
        <f aca="false">IFERROR(INDEX(AIRev,1,21)*4/Z13,0)</f>
        <v>16.093282783316</v>
      </c>
      <c r="AA20" s="149" t="n">
        <f aca="false">IFERROR(INDEX(AIRev,1,22)*4/AA13,0)</f>
        <v>15.1342778371046</v>
      </c>
      <c r="AB20" s="149" t="n">
        <f aca="false">IFERROR(INDEX(AIRev,1,23)*4/AB13,0)</f>
        <v>16.7275632268944</v>
      </c>
      <c r="AC20" s="149" t="n">
        <f aca="false">IFERROR(INDEX(AIRev,1,24)*4/AC13,0)</f>
        <v>14.9574320979176</v>
      </c>
      <c r="AD20" s="149" t="n">
        <f aca="false">IFERROR(INDEX(AIRev,1,25)*4/AD13,0)</f>
        <v>16.7374278047658</v>
      </c>
      <c r="AE20" s="149" t="n">
        <f aca="false">IFERROR(INDEX(AIRev,1,26)*4/AE13,0)</f>
        <v>18.5610203643889</v>
      </c>
      <c r="AF20" s="149" t="n">
        <f aca="false">IFERROR(INDEX(AIRev,1,27)*4/AF13,0)</f>
        <v>18.5039490221768</v>
      </c>
      <c r="AG20" s="149" t="n">
        <f aca="false">IFERROR(INDEX(AIRev,1,28)*4/AG13,0)</f>
        <v>15.8531031573955</v>
      </c>
    </row>
    <row r="21" customFormat="false" ht="15" hidden="false" customHeight="false" outlineLevel="0" collapsed="false">
      <c r="A21" s="107" t="s">
        <v>2747</v>
      </c>
      <c r="B21" s="22" t="s">
        <v>647</v>
      </c>
      <c r="C21" s="22" t="s">
        <v>540</v>
      </c>
      <c r="D21" s="22"/>
      <c r="F21" s="148" t="n">
        <f aca="false">IFERROR(INDEX(MS_Rev,1,1)*4/INDEX(MS_BillMW,1,1),0)</f>
        <v>0</v>
      </c>
      <c r="G21" s="148" t="n">
        <f aca="false">IFERROR(INDEX(MS_Rev,1,2)*4/INDEX(MS_BillMW,1,2),0)</f>
        <v>0</v>
      </c>
      <c r="H21" s="148" t="n">
        <f aca="false">IFERROR(INDEX(MS_Rev,1,3)*4/INDEX(MS_BillMW,1,3),0)</f>
        <v>0</v>
      </c>
      <c r="I21" s="148" t="n">
        <f aca="false">IFERROR(INDEX(MS_Rev,1,4)*4/INDEX(MS_BillMW,1,4),0)</f>
        <v>0</v>
      </c>
      <c r="J21" s="148" t="n">
        <f aca="false">IFERROR(INDEX(MS_Rev,1,5)*4/INDEX(MS_BillMW,1,5),0)</f>
        <v>0</v>
      </c>
      <c r="K21" s="148" t="n">
        <f aca="false">IFERROR(INDEX(MS_Rev,1,6)*4/INDEX(MS_BillMW,1,6),0)</f>
        <v>0</v>
      </c>
      <c r="L21" s="148" t="n">
        <f aca="false">IFERROR(INDEX(MS_Rev,1,7)*4/INDEX(MS_BillMW,1,7),0)</f>
        <v>0</v>
      </c>
      <c r="M21" s="148" t="n">
        <f aca="false">IFERROR(INDEX(MS_Rev,1,8)*4/INDEX(MS_BillMW,1,8),0)</f>
        <v>1.81176041666667</v>
      </c>
      <c r="N21" s="148" t="n">
        <f aca="false">IFERROR(INDEX(MS_Rev,1,9)*4/INDEX(MS_BillMW,1,9),0)</f>
        <v>4.52940104166667</v>
      </c>
      <c r="O21" s="148" t="n">
        <f aca="false">IFERROR(INDEX(MS_Rev,1,10)*4/INDEX(MS_BillMW,1,10),0)</f>
        <v>9.05880208333333</v>
      </c>
      <c r="P21" s="149" t="n">
        <f aca="false">IFERROR(INDEX(MS_Rev,1,11)*4/INDEX(MS_BillMW,1,11),0)</f>
        <v>7.24704166666667</v>
      </c>
      <c r="Q21" s="149" t="n">
        <f aca="false">IFERROR(INDEX(MS_Rev,1,12)*4/INDEX(MS_BillMW,1,12),0)</f>
        <v>10.8705625</v>
      </c>
      <c r="R21" s="149" t="n">
        <f aca="false">IFERROR(INDEX(MS_Rev,1,13)*4/INDEX(MS_BillMW,1,13),0)</f>
        <v>12.6823229166667</v>
      </c>
      <c r="S21" s="149" t="n">
        <f aca="false">IFERROR(INDEX(MS_Rev,1,14)*4/INDEX(MS_BillMW,1,14),0)</f>
        <v>10.2666423611111</v>
      </c>
      <c r="T21" s="149" t="n">
        <f aca="false">IFERROR(INDEX(MS_Rev,1,15)*4/INDEX(MS_BillMW,1,15),0)</f>
        <v>8.65618865740741</v>
      </c>
      <c r="U21" s="149" t="n">
        <f aca="false">IFERROR(INDEX(MS_Rev,1,16)*4/INDEX(MS_BillMW,1,16),0)</f>
        <v>11.2731759259259</v>
      </c>
      <c r="V21" s="149" t="n">
        <f aca="false">IFERROR(INDEX(MS_Rev,1,17)*4/INDEX(MS_BillMW,1,17),0)</f>
        <v>13.2862430555556</v>
      </c>
      <c r="W21" s="149" t="n">
        <f aca="false">IFERROR(INDEX(MS_Rev,1,18)*4/INDEX(MS_BillMW,1,18),0)</f>
        <v>14.4940833333333</v>
      </c>
      <c r="X21" s="149" t="n">
        <f aca="false">IFERROR(INDEX(MS_Rev,1,19)*4/INDEX(MS_BillMW,1,19),0)</f>
        <v>14.4940833333333</v>
      </c>
      <c r="Y21" s="149" t="n">
        <f aca="false">IFERROR(INDEX(MS_Rev,1,20)*4/INDEX(MS_BillMW,1,20),0)</f>
        <v>14.4940833333333</v>
      </c>
      <c r="Z21" s="149" t="n">
        <f aca="false">IFERROR(INDEX(MS_Rev,1,21)*4/INDEX(MS_BillMW,1,21),0)</f>
        <v>14.4940833333333</v>
      </c>
      <c r="AA21" s="149" t="n">
        <f aca="false">IFERROR(INDEX(MS_Rev,1,22)*4/INDEX(MS_BillMW,1,22),0)</f>
        <v>14.4940833333333</v>
      </c>
      <c r="AB21" s="149" t="n">
        <f aca="false">IFERROR(INDEX(MS_Rev,1,23)*4/INDEX(MS_BillMW,1,23),0)</f>
        <v>14.4940833333333</v>
      </c>
      <c r="AC21" s="149" t="n">
        <f aca="false">IFERROR(INDEX(MS_Rev,1,24)*4/INDEX(MS_BillMW,1,24),0)</f>
        <v>14.4940833333333</v>
      </c>
      <c r="AD21" s="149" t="n">
        <f aca="false">IFERROR(INDEX(MS_Rev,1,25)*4/INDEX(MS_BillMW,1,25),0)</f>
        <v>14.4940833333333</v>
      </c>
      <c r="AE21" s="149" t="n">
        <f aca="false">IFERROR(INDEX(MS_Rev,1,26)*4/INDEX(MS_BillMW,1,26),0)</f>
        <v>14.4940833333333</v>
      </c>
      <c r="AF21" s="149" t="n">
        <f aca="false">IFERROR(INDEX(MS_Rev,1,27)*4/INDEX(MS_BillMW,1,27),0)</f>
        <v>14.4940833333333</v>
      </c>
      <c r="AG21" s="149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58" t="s">
        <v>2748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</row>
    <row r="24" customFormat="false" ht="15" hidden="false" customHeight="false" outlineLevel="0" collapsed="false">
      <c r="A24" s="107" t="s">
        <v>2749</v>
      </c>
      <c r="B24" s="22" t="s">
        <v>2750</v>
      </c>
      <c r="C24" s="22" t="s">
        <v>540</v>
      </c>
      <c r="D24" s="22"/>
      <c r="F24" s="111" t="n">
        <f aca="false">IFERROR(INDEX(AIRev,1,1)*4000/INDEX(GPU_Avg,1,1),0)</f>
        <v>3.00444833369795</v>
      </c>
      <c r="G24" s="111" t="n">
        <f aca="false">IFERROR(INDEX(AIRev,1,2)*4000/INDEX(GPU_Avg,1,2),0)</f>
        <v>3.82119157004303</v>
      </c>
      <c r="H24" s="111" t="n">
        <f aca="false">IFERROR(INDEX(AIRev,1,3)*4000/INDEX(GPU_Avg,1,3),0)</f>
        <v>8.42995697513309</v>
      </c>
      <c r="I24" s="111" t="n">
        <f aca="false">IFERROR(INDEX(AIRev,1,4)*4000/INDEX(GPU_Avg,1,4),0)</f>
        <v>8.40597964798303</v>
      </c>
      <c r="J24" s="111" t="n">
        <f aca="false">IFERROR(INDEX(AIRev,1,5)*4000/INDEX(GPU_Avg,1,5),0)</f>
        <v>7.12932667470295</v>
      </c>
      <c r="K24" s="111" t="n">
        <f aca="false">IFERROR(INDEX(AIRev,1,6)*4000/INDEX(GPU_Avg,1,6),0)</f>
        <v>12.48</v>
      </c>
      <c r="L24" s="111" t="n">
        <f aca="false">IFERROR(INDEX(AIRev,1,7)*4000/INDEX(GPU_Avg,1,7),0)</f>
        <v>17.0526445113336</v>
      </c>
      <c r="M24" s="111" t="n">
        <f aca="false">IFERROR(INDEX(AIRev,1,8)*4000/INDEX(GPU_Avg,1,8),0)</f>
        <v>15.9423930335762</v>
      </c>
      <c r="N24" s="111" t="n">
        <f aca="false">IFERROR(INDEX(AIRev,1,9)*4000/INDEX(GPU_Avg,1,9),0)</f>
        <v>19.5745535826406</v>
      </c>
      <c r="O24" s="111" t="n">
        <f aca="false">IFERROR(INDEX(AIRev,1,10)*4000/INDEX(GPU_Avg,1,10),0)</f>
        <v>25.747939806521</v>
      </c>
      <c r="P24" s="33" t="n">
        <f aca="false">IFERROR(INDEX(AIRev,1,11)*4000/INDEX(GPU_Avg,1,11),0)</f>
        <v>29.0923461000988</v>
      </c>
      <c r="Q24" s="33" t="n">
        <f aca="false">IFERROR(INDEX(AIRev,1,12)*4000/INDEX(GPU_Avg,1,12),0)</f>
        <v>32.1183978315782</v>
      </c>
      <c r="R24" s="33" t="n">
        <f aca="false">IFERROR(INDEX(AIRev,1,13)*4000/INDEX(GPU_Avg,1,13),0)</f>
        <v>32.0579155564161</v>
      </c>
      <c r="S24" s="33" t="n">
        <f aca="false">IFERROR(INDEX(AIRev,1,14)*4000/INDEX(GPU_Avg,1,14),0)</f>
        <v>32.2418164717031</v>
      </c>
      <c r="T24" s="33" t="n">
        <f aca="false">IFERROR(INDEX(AIRev,1,15)*4000/INDEX(GPU_Avg,1,15),0)</f>
        <v>33.107400426091</v>
      </c>
      <c r="U24" s="33" t="n">
        <f aca="false">IFERROR(INDEX(AIRev,1,16)*4000/INDEX(GPU_Avg,1,16),0)</f>
        <v>35.0559361790158</v>
      </c>
      <c r="V24" s="33" t="n">
        <f aca="false">IFERROR(INDEX(AIRev,1,17)*4000/INDEX(GPU_Avg,1,17),0)</f>
        <v>37.9402158399246</v>
      </c>
      <c r="W24" s="33" t="n">
        <f aca="false">IFERROR(INDEX(AIRev,1,18)*4000/INDEX(GPU_Avg,1,18),0)</f>
        <v>39.6472521827505</v>
      </c>
      <c r="X24" s="33" t="n">
        <f aca="false">IFERROR(INDEX(AIRev,1,19)*4000/INDEX(GPU_Avg,1,19),0)</f>
        <v>41.0952272594485</v>
      </c>
      <c r="Y24" s="33" t="n">
        <f aca="false">IFERROR(INDEX(AIRev,1,20)*4000/INDEX(GPU_Avg,1,20),0)</f>
        <v>41.9645151740397</v>
      </c>
      <c r="Z24" s="33" t="n">
        <f aca="false">IFERROR(INDEX(AIRev,1,21)*4000/INDEX(GPU_Avg,1,21),0)</f>
        <v>42.918034002608</v>
      </c>
      <c r="AA24" s="33" t="n">
        <f aca="false">IFERROR(INDEX(AIRev,1,22)*4000/INDEX(GPU_Avg,1,22),0)</f>
        <v>43.7885802593102</v>
      </c>
      <c r="AB24" s="33" t="n">
        <f aca="false">IFERROR(INDEX(AIRev,1,23)*4000/INDEX(GPU_Avg,1,23),0)</f>
        <v>44.7054199963147</v>
      </c>
      <c r="AC24" s="33" t="n">
        <f aca="false">IFERROR(INDEX(AIRev,1,24)*4000/INDEX(GPU_Avg,1,24),0)</f>
        <v>45.5671251930851</v>
      </c>
      <c r="AD24" s="33" t="n">
        <f aca="false">IFERROR(INDEX(AIRev,1,25)*4000/INDEX(GPU_Avg,1,25),0)</f>
        <v>46.4071949883152</v>
      </c>
      <c r="AE24" s="33" t="n">
        <f aca="false">IFERROR(INDEX(AIRev,1,26)*4000/INDEX(GPU_Avg,1,26),0)</f>
        <v>47.219628634907</v>
      </c>
      <c r="AF24" s="33" t="n">
        <f aca="false">IFERROR(INDEX(AIRev,1,27)*4000/INDEX(GPU_Avg,1,27),0)</f>
        <v>47.0744379324539</v>
      </c>
      <c r="AG24" s="33" t="n">
        <f aca="false">IFERROR(INDEX(AIRev,1,28)*4000/INDEX(GPU_Avg,1,28),0)</f>
        <v>47.5569208121446</v>
      </c>
    </row>
    <row r="25" customFormat="false" ht="15" hidden="false" customHeight="false" outlineLevel="0" collapsed="false">
      <c r="A25" s="107" t="s">
        <v>2751</v>
      </c>
      <c r="B25" s="22" t="s">
        <v>644</v>
      </c>
      <c r="C25" s="22" t="s">
        <v>540</v>
      </c>
      <c r="D25" s="22" t="s">
        <v>2752</v>
      </c>
      <c r="F25" s="121" t="n">
        <f aca="false">IFERROR(INDEX(AIRev,1,1)*1000000/(INDEX(GPU_Avg,1,1)*Timeline!F$9),0)</f>
        <v>0.343915789113776</v>
      </c>
      <c r="G25" s="121" t="n">
        <f aca="false">IFERROR(INDEX(AIRev,1,2)*1000000/(INDEX(GPU_Avg,1,2)*Timeline!G$9),0)</f>
        <v>0.437407459940822</v>
      </c>
      <c r="H25" s="121" t="n">
        <f aca="false">IFERROR(INDEX(AIRev,1,3)*1000000/(INDEX(GPU_Avg,1,3)*Timeline!H$9),0)</f>
        <v>0.954478824177206</v>
      </c>
      <c r="I25" s="121" t="n">
        <f aca="false">IFERROR(INDEX(AIRev,1,4)*1000000/(INDEX(GPU_Avg,1,4)*Timeline!I$9),0)</f>
        <v>0.951763999998079</v>
      </c>
      <c r="J25" s="121" t="n">
        <f aca="false">IFERROR(INDEX(AIRev,1,5)*1000000/(INDEX(GPU_Avg,1,5)*Timeline!J$9),0)</f>
        <v>0.825153550312841</v>
      </c>
      <c r="K25" s="121" t="n">
        <f aca="false">IFERROR(INDEX(AIRev,1,6)*1000000/(INDEX(GPU_Avg,1,6)*Timeline!K$9),0)</f>
        <v>1.42857142857143</v>
      </c>
      <c r="L25" s="121" t="n">
        <f aca="false">IFERROR(INDEX(AIRev,1,7)*1000000/(INDEX(GPU_Avg,1,7)*Timeline!L$9),0)</f>
        <v>1.93077949630136</v>
      </c>
      <c r="M25" s="121" t="n">
        <f aca="false">IFERROR(INDEX(AIRev,1,8)*1000000/(INDEX(GPU_Avg,1,8)*Timeline!M$9),0)</f>
        <v>1.8050716749973</v>
      </c>
      <c r="N25" s="121" t="n">
        <f aca="false">IFERROR(INDEX(AIRev,1,9)*1000000/(INDEX(GPU_Avg,1,9)*Timeline!N$9),0)</f>
        <v>2.26557333132414</v>
      </c>
      <c r="O25" s="121" t="n">
        <f aca="false">IFERROR(INDEX(AIRev,1,10)*1000000/(INDEX(GPU_Avg,1,10)*Timeline!O$9),0)</f>
        <v>2.94733743206513</v>
      </c>
      <c r="P25" s="23" t="n">
        <f aca="false">IFERROR(INDEX(AIRev,1,11)*1000000/(INDEX(GPU_Avg,1,11)*Timeline!P$9),0)</f>
        <v>3.29397034647858</v>
      </c>
      <c r="Q25" s="23" t="n">
        <f aca="false">IFERROR(INDEX(AIRev,1,12)*1000000/(INDEX(GPU_Avg,1,12)*Timeline!Q$9),0)</f>
        <v>3.63659395737978</v>
      </c>
      <c r="R25" s="23" t="n">
        <f aca="false">IFERROR(INDEX(AIRev,1,13)*1000000/(INDEX(GPU_Avg,1,13)*Timeline!R$9),0)</f>
        <v>3.71040689310371</v>
      </c>
      <c r="S25" s="23" t="n">
        <f aca="false">IFERROR(INDEX(AIRev,1,14)*1000000/(INDEX(GPU_Avg,1,14)*Timeline!S$9),0)</f>
        <v>3.69068411992939</v>
      </c>
      <c r="T25" s="23" t="n">
        <f aca="false">IFERROR(INDEX(AIRev,1,15)*1000000/(INDEX(GPU_Avg,1,15)*Timeline!T$9),0)</f>
        <v>3.74857341780921</v>
      </c>
      <c r="U25" s="23" t="n">
        <f aca="false">IFERROR(INDEX(AIRev,1,16)*1000000/(INDEX(GPU_Avg,1,16)*Timeline!U$9),0)</f>
        <v>3.96919567244291</v>
      </c>
      <c r="V25" s="23" t="n">
        <f aca="false">IFERROR(INDEX(AIRev,1,17)*1000000/(INDEX(GPU_Avg,1,17)*Timeline!V$9),0)</f>
        <v>4.3429734248998</v>
      </c>
      <c r="W25" s="23" t="n">
        <f aca="false">IFERROR(INDEX(AIRev,1,18)*1000000/(INDEX(GPU_Avg,1,18)*Timeline!W$9),0)</f>
        <v>4.53837593667016</v>
      </c>
      <c r="X25" s="23" t="n">
        <f aca="false">IFERROR(INDEX(AIRev,1,19)*1000000/(INDEX(GPU_Avg,1,19)*Timeline!X$9),0)</f>
        <v>4.65299221687597</v>
      </c>
      <c r="Y25" s="23" t="n">
        <f aca="false">IFERROR(INDEX(AIRev,1,20)*1000000/(INDEX(GPU_Avg,1,20)*Timeline!Y$9),0)</f>
        <v>4.75141702604616</v>
      </c>
      <c r="Z25" s="23" t="n">
        <f aca="false">IFERROR(INDEX(AIRev,1,21)*1000000/(INDEX(GPU_Avg,1,21)*Timeline!Z$9),0)</f>
        <v>4.96736504659815</v>
      </c>
      <c r="AA25" s="23" t="n">
        <f aca="false">IFERROR(INDEX(AIRev,1,22)*1000000/(INDEX(GPU_Avg,1,22)*Timeline!AA$9),0)</f>
        <v>5.01242905898698</v>
      </c>
      <c r="AB25" s="23" t="n">
        <f aca="false">IFERROR(INDEX(AIRev,1,23)*1000000/(INDEX(GPU_Avg,1,23)*Timeline!AB$9),0)</f>
        <v>5.06175498146679</v>
      </c>
      <c r="AC25" s="23" t="n">
        <f aca="false">IFERROR(INDEX(AIRev,1,24)*1000000/(INDEX(GPU_Avg,1,24)*Timeline!AC$9),0)</f>
        <v>5.15932124015909</v>
      </c>
      <c r="AD25" s="23" t="n">
        <f aca="false">IFERROR(INDEX(AIRev,1,25)*1000000/(INDEX(GPU_Avg,1,25)*Timeline!AD$9),0)</f>
        <v>5.37120312364759</v>
      </c>
      <c r="AE25" s="23" t="n">
        <f aca="false">IFERROR(INDEX(AIRev,1,26)*1000000/(INDEX(GPU_Avg,1,26)*Timeline!AE$9),0)</f>
        <v>5.40517727047928</v>
      </c>
      <c r="AF25" s="23" t="n">
        <f aca="false">IFERROR(INDEX(AIRev,1,27)*1000000/(INDEX(GPU_Avg,1,27)*Timeline!AF$9),0)</f>
        <v>5.32998617894632</v>
      </c>
      <c r="AG25" s="23" t="n">
        <f aca="false">IFERROR(INDEX(AIRev,1,28)*1000000/(INDEX(GPU_Avg,1,28)*Timeline!AG$9),0)</f>
        <v>5.38461512818667</v>
      </c>
    </row>
    <row r="26" customFormat="false" ht="15" hidden="false" customHeight="false" outlineLevel="0" collapsed="false">
      <c r="A26" s="107" t="s">
        <v>2753</v>
      </c>
      <c r="B26" s="22" t="s">
        <v>644</v>
      </c>
      <c r="C26" s="22" t="s">
        <v>1764</v>
      </c>
      <c r="D26" s="22"/>
      <c r="F26" s="121" t="n">
        <f aca="false">IFERROR((INDEX(GPU_End_H,1,1)*INDEX(P_OD_H,1,1)+INDEX(GPU_End_B,1,1)*INDEX(P_OD_B,1,1)+INDEX(GPU_End_N,1,1)*INDEX(P_OD_N,1,1))/INDEX(GPU_End,1,1),0)</f>
        <v>3.875</v>
      </c>
      <c r="G26" s="121" t="n">
        <f aca="false">IFERROR((INDEX(GPU_End_H,1,2)*INDEX(P_OD_H,1,2)+INDEX(GPU_End_B,1,2)*INDEX(P_OD_B,1,2)+INDEX(GPU_End_N,1,2)*INDEX(P_OD_N,1,2))/INDEX(GPU_End,1,2),0)</f>
        <v>3.875</v>
      </c>
      <c r="H26" s="121" t="n">
        <f aca="false">IFERROR((INDEX(GPU_End_H,1,3)*INDEX(P_OD_H,1,3)+INDEX(GPU_End_B,1,3)*INDEX(P_OD_B,1,3)+INDEX(GPU_End_N,1,3)*INDEX(P_OD_N,1,3))/INDEX(GPU_End,1,3),0)</f>
        <v>3.875</v>
      </c>
      <c r="I26" s="121" t="n">
        <f aca="false">IFERROR((INDEX(GPU_End_H,1,4)*INDEX(P_OD_H,1,4)+INDEX(GPU_End_B,1,4)*INDEX(P_OD_B,1,4)+INDEX(GPU_End_N,1,4)*INDEX(P_OD_N,1,4))/INDEX(GPU_End,1,4),0)</f>
        <v>3.875</v>
      </c>
      <c r="J26" s="121" t="n">
        <f aca="false">IFERROR((INDEX(GPU_End_H,1,5)*INDEX(P_OD_H,1,5)+INDEX(GPU_End_B,1,5)*INDEX(P_OD_B,1,5)+INDEX(GPU_End_N,1,5)*INDEX(P_OD_N,1,5))/INDEX(GPU_End,1,5),0)</f>
        <v>3.875</v>
      </c>
      <c r="K26" s="121" t="n">
        <f aca="false">IFERROR((INDEX(GPU_End_H,1,6)*INDEX(P_OD_H,1,6)+INDEX(GPU_End_B,1,6)*INDEX(P_OD_B,1,6)+INDEX(GPU_End_N,1,6)*INDEX(P_OD_N,1,6))/INDEX(GPU_End,1,6),0)</f>
        <v>3.875</v>
      </c>
      <c r="L26" s="121" t="n">
        <f aca="false">IFERROR((INDEX(GPU_End_H,1,7)*INDEX(P_OD_H,1,7)+INDEX(GPU_End_B,1,7)*INDEX(P_OD_B,1,7)+INDEX(GPU_End_N,1,7)*INDEX(P_OD_N,1,7))/INDEX(GPU_End,1,7),0)</f>
        <v>4.55441866955234</v>
      </c>
      <c r="M26" s="121" t="n">
        <f aca="false">IFERROR((INDEX(GPU_End_H,1,8)*INDEX(P_OD_H,1,8)+INDEX(GPU_End_B,1,8)*INDEX(P_OD_B,1,8)+INDEX(GPU_End_N,1,8)*INDEX(P_OD_N,1,8))/INDEX(GPU_End,1,8),0)</f>
        <v>6.60533616365671</v>
      </c>
      <c r="N26" s="121" t="n">
        <f aca="false">IFERROR((INDEX(GPU_End_H,1,9)*INDEX(P_OD_H,1,9)+INDEX(GPU_End_B,1,9)*INDEX(P_OD_B,1,9)+INDEX(GPU_End_N,1,9)*INDEX(P_OD_N,1,9))/INDEX(GPU_End,1,9),0)</f>
        <v>6.92849044846197</v>
      </c>
      <c r="O26" s="121" t="n">
        <f aca="false">IFERROR((INDEX(GPU_End_H,1,10)*INDEX(P_OD_H,1,10)+INDEX(GPU_End_B,1,10)*INDEX(P_OD_B,1,10)+INDEX(GPU_End_N,1,10)*INDEX(P_OD_N,1,10))/INDEX(GPU_End,1,10),0)</f>
        <v>7.01326751665268</v>
      </c>
      <c r="P26" s="23" t="n">
        <f aca="false">IFERROR((INDEX(GPU_End_H,1,11)*INDEX(P_OD_H,1,11)+INDEX(GPU_End_B,1,11)*INDEX(P_OD_B,1,11)+INDEX(GPU_End_N,1,11)*INDEX(P_OD_N,1,11))/INDEX(GPU_End,1,11),0)</f>
        <v>7.1113847558516</v>
      </c>
      <c r="Q26" s="23" t="n">
        <f aca="false">IFERROR((INDEX(GPU_End_H,1,12)*INDEX(P_OD_H,1,12)+INDEX(GPU_End_B,1,12)*INDEX(P_OD_B,1,12)+INDEX(GPU_End_N,1,12)*INDEX(P_OD_N,1,12))/INDEX(GPU_End,1,12),0)</f>
        <v>8.80866758432747</v>
      </c>
      <c r="R26" s="23" t="n">
        <f aca="false">IFERROR((INDEX(GPU_End_H,1,13)*INDEX(P_OD_H,1,13)+INDEX(GPU_End_B,1,13)*INDEX(P_OD_B,1,13)+INDEX(GPU_End_N,1,13)*INDEX(P_OD_N,1,13))/INDEX(GPU_End,1,13),0)</f>
        <v>8.71055707787266</v>
      </c>
      <c r="S26" s="23" t="n">
        <f aca="false">IFERROR((INDEX(GPU_End_H,1,14)*INDEX(P_OD_H,1,14)+INDEX(GPU_End_B,1,14)*INDEX(P_OD_B,1,14)+INDEX(GPU_End_N,1,14)*INDEX(P_OD_N,1,14))/INDEX(GPU_End,1,14),0)</f>
        <v>8.59518995061996</v>
      </c>
      <c r="T26" s="23" t="n">
        <f aca="false">IFERROR((INDEX(GPU_End_H,1,15)*INDEX(P_OD_H,1,15)+INDEX(GPU_End_B,1,15)*INDEX(P_OD_B,1,15)+INDEX(GPU_End_N,1,15)*INDEX(P_OD_N,1,15))/INDEX(GPU_End,1,15),0)</f>
        <v>8.37105474508932</v>
      </c>
      <c r="U26" s="23" t="n">
        <f aca="false">IFERROR((INDEX(GPU_End_H,1,16)*INDEX(P_OD_H,1,16)+INDEX(GPU_End_B,1,16)*INDEX(P_OD_B,1,16)+INDEX(GPU_End_N,1,16)*INDEX(P_OD_N,1,16))/INDEX(GPU_End,1,16),0)</f>
        <v>8.36026353423563</v>
      </c>
      <c r="V26" s="23" t="n">
        <f aca="false">IFERROR((INDEX(GPU_End_H,1,17)*INDEX(P_OD_H,1,17)+INDEX(GPU_End_B,1,17)*INDEX(P_OD_B,1,17)+INDEX(GPU_End_N,1,17)*INDEX(P_OD_N,1,17))/INDEX(GPU_End,1,17),0)</f>
        <v>8.98601917411454</v>
      </c>
      <c r="W26" s="23" t="n">
        <f aca="false">IFERROR((INDEX(GPU_End_H,1,18)*INDEX(P_OD_H,1,18)+INDEX(GPU_End_B,1,18)*INDEX(P_OD_B,1,18)+INDEX(GPU_End_N,1,18)*INDEX(P_OD_N,1,18))/INDEX(GPU_End,1,18),0)</f>
        <v>9.13702870944409</v>
      </c>
      <c r="X26" s="23" t="n">
        <f aca="false">IFERROR((INDEX(GPU_End_H,1,19)*INDEX(P_OD_H,1,19)+INDEX(GPU_End_B,1,19)*INDEX(P_OD_B,1,19)+INDEX(GPU_End_N,1,19)*INDEX(P_OD_N,1,19))/INDEX(GPU_End,1,19),0)</f>
        <v>9.41132467694878</v>
      </c>
      <c r="Y26" s="23" t="n">
        <f aca="false">IFERROR((INDEX(GPU_End_H,1,20)*INDEX(P_OD_H,1,20)+INDEX(GPU_End_B,1,20)*INDEX(P_OD_B,1,20)+INDEX(GPU_End_N,1,20)*INDEX(P_OD_N,1,20))/INDEX(GPU_End,1,20),0)</f>
        <v>9.29059591928346</v>
      </c>
      <c r="Z26" s="23" t="n">
        <f aca="false">IFERROR((INDEX(GPU_End_H,1,21)*INDEX(P_OD_H,1,21)+INDEX(GPU_End_B,1,21)*INDEX(P_OD_B,1,21)+INDEX(GPU_End_N,1,21)*INDEX(P_OD_N,1,21))/INDEX(GPU_End,1,21),0)</f>
        <v>9.62671418211405</v>
      </c>
      <c r="AA26" s="23" t="n">
        <f aca="false">IFERROR((INDEX(GPU_End_H,1,22)*INDEX(P_OD_H,1,22)+INDEX(GPU_End_B,1,22)*INDEX(P_OD_B,1,22)+INDEX(GPU_End_N,1,22)*INDEX(P_OD_N,1,22))/INDEX(GPU_End,1,22),0)</f>
        <v>9.47523242407177</v>
      </c>
      <c r="AB26" s="23" t="n">
        <f aca="false">IFERROR((INDEX(GPU_End_H,1,23)*INDEX(P_OD_H,1,23)+INDEX(GPU_End_B,1,23)*INDEX(P_OD_B,1,23)+INDEX(GPU_End_N,1,23)*INDEX(P_OD_N,1,23))/INDEX(GPU_End,1,23),0)</f>
        <v>9.80108723657963</v>
      </c>
      <c r="AC26" s="23" t="n">
        <f aca="false">IFERROR((INDEX(GPU_End_H,1,24)*INDEX(P_OD_H,1,24)+INDEX(GPU_End_B,1,24)*INDEX(P_OD_B,1,24)+INDEX(GPU_End_N,1,24)*INDEX(P_OD_N,1,24))/INDEX(GPU_End,1,24),0)</f>
        <v>9.64770413337848</v>
      </c>
      <c r="AD26" s="23" t="n">
        <f aca="false">IFERROR((INDEX(GPU_End_H,1,25)*INDEX(P_OD_H,1,25)+INDEX(GPU_End_B,1,25)*INDEX(P_OD_B,1,25)+INDEX(GPU_End_N,1,25)*INDEX(P_OD_N,1,25))/INDEX(GPU_End,1,25),0)</f>
        <v>9.95731171928716</v>
      </c>
      <c r="AE26" s="23" t="n">
        <f aca="false">IFERROR((INDEX(GPU_End_H,1,26)*INDEX(P_OD_H,1,26)+INDEX(GPU_End_B,1,26)*INDEX(P_OD_B,1,26)+INDEX(GPU_End_N,1,26)*INDEX(P_OD_N,1,26))/INDEX(GPU_End,1,26),0)</f>
        <v>9.80220665987243</v>
      </c>
      <c r="AF26" s="23" t="n">
        <f aca="false">IFERROR((INDEX(GPU_End_H,1,27)*INDEX(P_OD_H,1,27)+INDEX(GPU_End_B,1,27)*INDEX(P_OD_B,1,27)+INDEX(GPU_End_N,1,27)*INDEX(P_OD_N,1,27))/INDEX(GPU_End,1,27),0)</f>
        <v>9.64957250163867</v>
      </c>
      <c r="AG26" s="23" t="n">
        <f aca="false">IFERROR((INDEX(GPU_End_H,1,28)*INDEX(P_OD_H,1,28)+INDEX(GPU_End_B,1,28)*INDEX(P_OD_B,1,28)+INDEX(GPU_End_N,1,28)*INDEX(P_OD_N,1,28))/INDEX(GPU_End,1,28),0)</f>
        <v>9.49936773067564</v>
      </c>
    </row>
    <row r="27" customFormat="false" ht="15" hidden="false" customHeight="false" outlineLevel="0" collapsed="false">
      <c r="A27" s="107" t="s">
        <v>2754</v>
      </c>
      <c r="B27" s="22" t="s">
        <v>619</v>
      </c>
      <c r="C27" s="22" t="s">
        <v>540</v>
      </c>
      <c r="D27" s="22" t="s">
        <v>2755</v>
      </c>
      <c r="F27" s="119" t="n">
        <f aca="false">IFERROR(F25/F26,0)</f>
        <v>0.088752461706781</v>
      </c>
      <c r="G27" s="119" t="n">
        <f aca="false">IFERROR(G25/G26,0)</f>
        <v>0.112879344500857</v>
      </c>
      <c r="H27" s="119" t="n">
        <f aca="false">IFERROR(H25/H26,0)</f>
        <v>0.246317115916698</v>
      </c>
      <c r="I27" s="119" t="n">
        <f aca="false">IFERROR(I25/I26,0)</f>
        <v>0.245616516128536</v>
      </c>
      <c r="J27" s="119" t="n">
        <f aca="false">IFERROR(J25/J26,0)</f>
        <v>0.212942851693636</v>
      </c>
      <c r="K27" s="119" t="n">
        <f aca="false">IFERROR(K25/K26,0)</f>
        <v>0.368663594470046</v>
      </c>
      <c r="L27" s="119" t="n">
        <f aca="false">IFERROR(L25/L26,0)</f>
        <v>0.423935443003781</v>
      </c>
      <c r="M27" s="119" t="n">
        <f aca="false">IFERROR(M25/M26,0)</f>
        <v>0.273274763051274</v>
      </c>
      <c r="N27" s="119" t="n">
        <f aca="false">IFERROR(N25/N26,0)</f>
        <v>0.326993787200366</v>
      </c>
      <c r="O27" s="119" t="n">
        <f aca="false">IFERROR(O25/O26,0)</f>
        <v>0.420251676564</v>
      </c>
      <c r="P27" s="25" t="n">
        <f aca="false">IFERROR(P25/P26,0)</f>
        <v>0.463196755564117</v>
      </c>
      <c r="Q27" s="25" t="n">
        <f aca="false">IFERROR(Q25/Q26,0)</f>
        <v>0.412842682796894</v>
      </c>
      <c r="R27" s="25" t="n">
        <f aca="false">IFERROR(R25/R26,0)</f>
        <v>0.425966658611218</v>
      </c>
      <c r="S27" s="25" t="n">
        <f aca="false">IFERROR(S25/S26,0)</f>
        <v>0.429389477269572</v>
      </c>
      <c r="T27" s="25" t="n">
        <f aca="false">IFERROR(T25/T26,0)</f>
        <v>0.447801804188203</v>
      </c>
      <c r="U27" s="25" t="n">
        <f aca="false">IFERROR(U25/U26,0)</f>
        <v>0.474769205084132</v>
      </c>
      <c r="V27" s="25" t="n">
        <f aca="false">IFERROR(V25/V26,0)</f>
        <v>0.48330337836473</v>
      </c>
      <c r="W27" s="25" t="n">
        <f aca="false">IFERROR(W25/W26,0)</f>
        <v>0.496701507786581</v>
      </c>
      <c r="X27" s="25" t="n">
        <f aca="false">IFERROR(X25/X26,0)</f>
        <v>0.494403537928361</v>
      </c>
      <c r="Y27" s="25" t="n">
        <f aca="false">IFERROR(Y25/Y26,0)</f>
        <v>0.511422202335177</v>
      </c>
      <c r="Z27" s="25" t="n">
        <f aca="false">IFERROR(Z25/Z26,0)</f>
        <v>0.515997977360465</v>
      </c>
      <c r="AA27" s="25" t="n">
        <f aca="false">IFERROR(AA25/AA26,0)</f>
        <v>0.529003282943533</v>
      </c>
      <c r="AB27" s="25" t="n">
        <f aca="false">IFERROR(AB25/AB26,0)</f>
        <v>0.51644831428245</v>
      </c>
      <c r="AC27" s="25" t="n">
        <f aca="false">IFERROR(AC25/AC26,0)</f>
        <v>0.534771917632632</v>
      </c>
      <c r="AD27" s="25" t="n">
        <f aca="false">IFERROR(AD25/AD26,0)</f>
        <v>0.539423016479805</v>
      </c>
      <c r="AE27" s="25" t="n">
        <f aca="false">IFERROR(AE25/AE26,0)</f>
        <v>0.551424537151069</v>
      </c>
      <c r="AF27" s="25" t="n">
        <f aca="false">IFERROR(AF25/AF26,0)</f>
        <v>0.55235464348718</v>
      </c>
      <c r="AG27" s="25" t="n">
        <f aca="false">IFERROR(AG25/AG26,0)</f>
        <v>0.566839318242045</v>
      </c>
    </row>
    <row r="28" customFormat="false" ht="15" hidden="false" customHeight="false" outlineLevel="0" collapsed="false">
      <c r="A28" s="107" t="s">
        <v>2756</v>
      </c>
      <c r="B28" s="22" t="s">
        <v>564</v>
      </c>
      <c r="C28" s="22" t="s">
        <v>540</v>
      </c>
      <c r="D28" s="22"/>
      <c r="F28" s="148" t="n">
        <f aca="false">IFERROR(INDEX(Capex,1,1)/INDEX(MW_New,1,1),0)</f>
        <v>0</v>
      </c>
      <c r="G28" s="148" t="n">
        <f aca="false">IFERROR(INDEX(Capex,1,2)/INDEX(MW_New,1,2),0)</f>
        <v>0</v>
      </c>
      <c r="H28" s="148" t="n">
        <f aca="false">IFERROR(INDEX(Capex,1,3)/INDEX(MW_New,1,3),0)</f>
        <v>0</v>
      </c>
      <c r="I28" s="148" t="n">
        <f aca="false">IFERROR(INDEX(Capex,1,4)/INDEX(MW_New,1,4),0)</f>
        <v>83.52</v>
      </c>
      <c r="J28" s="148" t="n">
        <f aca="false">IFERROR(INDEX(Capex,1,5)/INDEX(MW_New,1,5),0)</f>
        <v>27.2</v>
      </c>
      <c r="K28" s="148" t="n">
        <f aca="false">IFERROR(INDEX(Capex,1,6)/INDEX(MW_New,1,6),0)</f>
        <v>0</v>
      </c>
      <c r="L28" s="148" t="n">
        <f aca="false">IFERROR(INDEX(Capex,1,7)/INDEX(MW_New,1,7),0)</f>
        <v>84.0831591684083</v>
      </c>
      <c r="M28" s="148" t="n">
        <f aca="false">IFERROR(INDEX(Capex,1,8)/INDEX(MW_New,1,8),0)</f>
        <v>25.9482272287268</v>
      </c>
      <c r="N28" s="148" t="n">
        <f aca="false">IFERROR(INDEX(Capex,1,9)/INDEX(MW_New,1,9),0)</f>
        <v>75.7077800313804</v>
      </c>
      <c r="O28" s="148" t="n">
        <f aca="false">IFERROR(INDEX(Capex,1,10)/INDEX(MW_New,1,10),0)</f>
        <v>491.947826086956</v>
      </c>
      <c r="P28" s="149" t="n">
        <f aca="false">IFERROR(INDEX(Capex,1,11)/INDEX(MW_New,1,11),0)</f>
        <v>0</v>
      </c>
      <c r="Q28" s="149" t="n">
        <f aca="false">IFERROR(INDEX(Capex,1,12)/INDEX(MW_New,1,12),0)</f>
        <v>176.121100005157</v>
      </c>
      <c r="R28" s="149" t="n">
        <f aca="false">IFERROR(INDEX(Capex,1,13)/INDEX(MW_New,1,13),0)</f>
        <v>90.0644880941452</v>
      </c>
      <c r="S28" s="149" t="n">
        <f aca="false">IFERROR(INDEX(Capex,1,14)/INDEX(MW_New,1,14),0)</f>
        <v>59.7570840142085</v>
      </c>
      <c r="T28" s="149" t="n">
        <f aca="false">IFERROR(INDEX(Capex,1,15)/INDEX(MW_New,1,15),0)</f>
        <v>65.1129511624429</v>
      </c>
      <c r="U28" s="149" t="n">
        <f aca="false">IFERROR(INDEX(Capex,1,16)/INDEX(MW_New,1,16),0)</f>
        <v>30.813566148415</v>
      </c>
      <c r="V28" s="149" t="n">
        <f aca="false">IFERROR(INDEX(Capex,1,17)/INDEX(MW_New,1,17),0)</f>
        <v>23.2211160302423</v>
      </c>
      <c r="W28" s="149" t="n">
        <f aca="false">IFERROR(INDEX(Capex,1,18)/INDEX(MW_New,1,18),0)</f>
        <v>44.2467540397328</v>
      </c>
      <c r="X28" s="149" t="n">
        <f aca="false">IFERROR(INDEX(Capex,1,19)/INDEX(MW_New,1,19),0)</f>
        <v>81.7071729267785</v>
      </c>
      <c r="Y28" s="149" t="n">
        <f aca="false">IFERROR(INDEX(Capex,1,20)/INDEX(MW_New,1,20),0)</f>
        <v>331.879183105015</v>
      </c>
      <c r="Z28" s="149" t="n">
        <f aca="false">IFERROR(INDEX(Capex,1,21)/INDEX(MW_New,1,21),0)</f>
        <v>40.5131772825178</v>
      </c>
      <c r="AA28" s="149" t="n">
        <f aca="false">IFERROR(INDEX(Capex,1,22)/INDEX(MW_New,1,22),0)</f>
        <v>0</v>
      </c>
      <c r="AB28" s="149" t="n">
        <f aca="false">IFERROR(INDEX(Capex,1,23)/INDEX(MW_New,1,23),0)</f>
        <v>58.2946526727988</v>
      </c>
      <c r="AC28" s="149" t="n">
        <f aca="false">IFERROR(INDEX(Capex,1,24)/INDEX(MW_New,1,24),0)</f>
        <v>0</v>
      </c>
      <c r="AD28" s="149" t="n">
        <f aca="false">IFERROR(INDEX(Capex,1,25)/INDEX(MW_New,1,25),0)</f>
        <v>1.42975165331528</v>
      </c>
      <c r="AE28" s="149" t="n">
        <f aca="false">IFERROR(INDEX(Capex,1,26)/INDEX(MW_New,1,26),0)</f>
        <v>0</v>
      </c>
      <c r="AF28" s="149" t="n">
        <f aca="false">IFERROR(INDEX(Capex,1,27)/INDEX(MW_New,1,27),0)</f>
        <v>0</v>
      </c>
      <c r="AG28" s="149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2757</v>
      </c>
      <c r="B29" s="22" t="s">
        <v>647</v>
      </c>
      <c r="C29" s="22" t="s">
        <v>540</v>
      </c>
      <c r="D29" s="22"/>
      <c r="F29" s="146" t="n">
        <f aca="false">IFERROR(INDEX(PL_EBITDA,1,1)*4/F11,0)</f>
        <v>-12.4782752172478</v>
      </c>
      <c r="G29" s="146" t="n">
        <f aca="false">IFERROR(INDEX(PL_EBITDA,1,2)*4/G11,0)</f>
        <v>-10.2254977450226</v>
      </c>
      <c r="H29" s="146" t="n">
        <f aca="false">IFERROR(INDEX(PL_EBITDA,1,3)*4/H11,0)</f>
        <v>-8.07831921680783</v>
      </c>
      <c r="I29" s="146" t="n">
        <f aca="false">IFERROR(INDEX(PL_EBITDA,1,4)*4/I11,0)</f>
        <v>-9.2182850960238</v>
      </c>
      <c r="J29" s="146" t="n">
        <f aca="false">IFERROR(INDEX(PL_EBITDA,1,5)*4/J11,0)</f>
        <v>-4.50054999738097</v>
      </c>
      <c r="K29" s="146" t="n">
        <f aca="false">IFERROR(INDEX(PL_EBITDA,1,6)*4/K11,0)</f>
        <v>-1.75999161908753</v>
      </c>
      <c r="L29" s="146" t="n">
        <f aca="false">IFERROR(INDEX(PL_EBITDA,1,7)*4/L11,0)</f>
        <v>-0.351997969242485</v>
      </c>
      <c r="M29" s="146" t="n">
        <f aca="false">IFERROR(INDEX(PL_EBITDA,1,8)*4/M11,0)</f>
        <v>0.43375809094389</v>
      </c>
      <c r="N29" s="146" t="n">
        <f aca="false">IFERROR(INDEX(PL_EBITDA,1,9)*4/N11,0)</f>
        <v>3.02942224005306</v>
      </c>
      <c r="O29" s="146" t="n">
        <f aca="false">IFERROR(INDEX(PL_EBITDA,1,10)*4/O11,0)</f>
        <v>5.17727849845772</v>
      </c>
      <c r="P29" s="147" t="n">
        <f aca="false">IFERROR(INDEX(PL_EBITDA,1,11)*4/P11,0)</f>
        <v>5.91472290483946</v>
      </c>
      <c r="Q29" s="147" t="n">
        <f aca="false">IFERROR(INDEX(PL_EBITDA,1,12)*4/Q11,0)</f>
        <v>6.05493423372181</v>
      </c>
      <c r="R29" s="147" t="n">
        <f aca="false">IFERROR(INDEX(PL_EBITDA,1,13)*4/R11,0)</f>
        <v>6.77557837956489</v>
      </c>
      <c r="S29" s="147" t="n">
        <f aca="false">IFERROR(INDEX(PL_EBITDA,1,14)*4/S11,0)</f>
        <v>6.26687353975307</v>
      </c>
      <c r="T29" s="147" t="n">
        <f aca="false">IFERROR(INDEX(PL_EBITDA,1,15)*4/T11,0)</f>
        <v>6.58046212980086</v>
      </c>
      <c r="U29" s="147" t="n">
        <f aca="false">IFERROR(INDEX(PL_EBITDA,1,16)*4/U11,0)</f>
        <v>7.20129530934261</v>
      </c>
      <c r="V29" s="147" t="n">
        <f aca="false">IFERROR(INDEX(PL_EBITDA,1,17)*4/V11,0)</f>
        <v>8.40089802425691</v>
      </c>
      <c r="W29" s="147" t="n">
        <f aca="false">IFERROR(INDEX(PL_EBITDA,1,18)*4/W11,0)</f>
        <v>9.6269317733266</v>
      </c>
      <c r="X29" s="147" t="n">
        <f aca="false">IFERROR(INDEX(PL_EBITDA,1,19)*4/X11,0)</f>
        <v>9.61146913396591</v>
      </c>
      <c r="Y29" s="147" t="n">
        <f aca="false">IFERROR(INDEX(PL_EBITDA,1,20)*4/Y11,0)</f>
        <v>10.3741484945801</v>
      </c>
      <c r="Z29" s="147" t="n">
        <f aca="false">IFERROR(INDEX(PL_EBITDA,1,21)*4/Z11,0)</f>
        <v>10.0653982587034</v>
      </c>
      <c r="AA29" s="147" t="n">
        <f aca="false">IFERROR(INDEX(PL_EBITDA,1,22)*4/AA11,0)</f>
        <v>11.3785048411669</v>
      </c>
      <c r="AB29" s="147" t="n">
        <f aca="false">IFERROR(INDEX(PL_EBITDA,1,23)*4/AB11,0)</f>
        <v>10.6104521150444</v>
      </c>
      <c r="AC29" s="147" t="n">
        <f aca="false">IFERROR(INDEX(PL_EBITDA,1,24)*4/AC11,0)</f>
        <v>11.7689723086774</v>
      </c>
      <c r="AD29" s="147" t="n">
        <f aca="false">IFERROR(INDEX(PL_EBITDA,1,25)*4/AD11,0)</f>
        <v>11.0985081093813</v>
      </c>
      <c r="AE29" s="147" t="n">
        <f aca="false">IFERROR(INDEX(PL_EBITDA,1,26)*4/AE11,0)</f>
        <v>12.3234419792889</v>
      </c>
      <c r="AF29" s="147" t="n">
        <f aca="false">IFERROR(INDEX(PL_EBITDA,1,27)*4/AF11,0)</f>
        <v>12.2709896637166</v>
      </c>
      <c r="AG29" s="147" t="n">
        <f aca="false">IFERROR(INDEX(PL_EBITDA,1,28)*4/AG11,0)</f>
        <v>12.4949555370015</v>
      </c>
    </row>
    <row r="30" customFormat="false" ht="15" hidden="false" customHeight="false" outlineLevel="0" collapsed="false">
      <c r="A30" s="107" t="s">
        <v>2758</v>
      </c>
      <c r="B30" s="22" t="s">
        <v>647</v>
      </c>
      <c r="C30" s="22" t="s">
        <v>540</v>
      </c>
      <c r="D30" s="22"/>
      <c r="F30" s="148" t="n">
        <f aca="false">IFERROR(INDEX(PL_EBITDA,1,1)*4/F13,0)</f>
        <v>-12.4782752172478</v>
      </c>
      <c r="G30" s="148" t="n">
        <f aca="false">IFERROR(INDEX(PL_EBITDA,1,2)*4/G13,0)</f>
        <v>-10.2254977450226</v>
      </c>
      <c r="H30" s="148" t="n">
        <f aca="false">IFERROR(INDEX(PL_EBITDA,1,3)*4/H13,0)</f>
        <v>-8.07831921680783</v>
      </c>
      <c r="I30" s="148" t="n">
        <f aca="false">IFERROR(INDEX(PL_EBITDA,1,4)*4/I13,0)</f>
        <v>-9.2182850960238</v>
      </c>
      <c r="J30" s="148" t="n">
        <f aca="false">IFERROR(INDEX(PL_EBITDA,1,5)*4/J13,0)</f>
        <v>-4.50054999738097</v>
      </c>
      <c r="K30" s="148" t="n">
        <f aca="false">IFERROR(INDEX(PL_EBITDA,1,6)*4/K13,0)</f>
        <v>-1.75999161908753</v>
      </c>
      <c r="L30" s="148" t="n">
        <f aca="false">IFERROR(INDEX(PL_EBITDA,1,7)*4/L13,0)</f>
        <v>-0.351997969242485</v>
      </c>
      <c r="M30" s="148" t="n">
        <f aca="false">IFERROR(INDEX(PL_EBITDA,1,8)*4/M13,0)</f>
        <v>0.43375809094389</v>
      </c>
      <c r="N30" s="148" t="n">
        <f aca="false">IFERROR(INDEX(PL_EBITDA,1,9)*4/N13,0)</f>
        <v>3.02942224005306</v>
      </c>
      <c r="O30" s="148" t="n">
        <f aca="false">IFERROR(INDEX(PL_EBITDA,1,10)*4/O13,0)</f>
        <v>5.17727849845772</v>
      </c>
      <c r="P30" s="149" t="n">
        <f aca="false">IFERROR(INDEX(PL_EBITDA,1,11)*4/P13,0)</f>
        <v>4.85847225071841</v>
      </c>
      <c r="Q30" s="149" t="n">
        <f aca="false">IFERROR(INDEX(PL_EBITDA,1,12)*4/Q13,0)</f>
        <v>4.26927955402852</v>
      </c>
      <c r="R30" s="149" t="n">
        <f aca="false">IFERROR(INDEX(PL_EBITDA,1,13)*4/R13,0)</f>
        <v>4.44152123087157</v>
      </c>
      <c r="S30" s="149" t="n">
        <f aca="false">IFERROR(INDEX(PL_EBITDA,1,14)*4/S13,0)</f>
        <v>4.51738269163933</v>
      </c>
      <c r="T30" s="149" t="n">
        <f aca="false">IFERROR(INDEX(PL_EBITDA,1,15)*4/T13,0)</f>
        <v>5.09796438170813</v>
      </c>
      <c r="U30" s="149" t="n">
        <f aca="false">IFERROR(INDEX(PL_EBITDA,1,16)*4/U13,0)</f>
        <v>5.40878706250789</v>
      </c>
      <c r="V30" s="149" t="n">
        <f aca="false">IFERROR(INDEX(PL_EBITDA,1,17)*4/V13,0)</f>
        <v>7.7485779762938</v>
      </c>
      <c r="W30" s="149" t="n">
        <f aca="false">IFERROR(INDEX(PL_EBITDA,1,18)*4/W13,0)</f>
        <v>8.5131754073065</v>
      </c>
      <c r="X30" s="149" t="n">
        <f aca="false">IFERROR(INDEX(PL_EBITDA,1,19)*4/X13,0)</f>
        <v>9.52173971713808</v>
      </c>
      <c r="Y30" s="149" t="n">
        <f aca="false">IFERROR(INDEX(PL_EBITDA,1,20)*4/Y13,0)</f>
        <v>8.40458362385936</v>
      </c>
      <c r="Z30" s="149" t="n">
        <f aca="false">IFERROR(INDEX(PL_EBITDA,1,21)*4/Z13,0)</f>
        <v>10.0653982587034</v>
      </c>
      <c r="AA30" s="149" t="n">
        <f aca="false">IFERROR(INDEX(PL_EBITDA,1,22)*4/AA13,0)</f>
        <v>9.57600652573563</v>
      </c>
      <c r="AB30" s="149" t="n">
        <f aca="false">IFERROR(INDEX(PL_EBITDA,1,23)*4/AB13,0)</f>
        <v>10.6104521150444</v>
      </c>
      <c r="AC30" s="149" t="n">
        <f aca="false">IFERROR(INDEX(PL_EBITDA,1,24)*4/AC13,0)</f>
        <v>9.59258979134592</v>
      </c>
      <c r="AD30" s="149" t="n">
        <f aca="false">IFERROR(INDEX(PL_EBITDA,1,25)*4/AD13,0)</f>
        <v>11.0985081093813</v>
      </c>
      <c r="AE30" s="149" t="n">
        <f aca="false">IFERROR(INDEX(PL_EBITDA,1,26)*4/AE13,0)</f>
        <v>12.3234419792889</v>
      </c>
      <c r="AF30" s="149" t="n">
        <f aca="false">IFERROR(INDEX(PL_EBITDA,1,27)*4/AF13,0)</f>
        <v>12.2709896637166</v>
      </c>
      <c r="AG30" s="149" t="n">
        <f aca="false">IFERROR(INDEX(PL_EBITDA,1,28)*4/AG13,0)</f>
        <v>10.596342643588</v>
      </c>
    </row>
    <row r="32" customFormat="false" ht="15" hidden="false" customHeight="false" outlineLevel="0" collapsed="false">
      <c r="A32" s="58" t="s">
        <v>2759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</row>
    <row r="33" customFormat="false" ht="15" hidden="false" customHeight="false" outlineLevel="0" collapsed="false">
      <c r="A33" s="107" t="s">
        <v>2760</v>
      </c>
      <c r="B33" s="22" t="s">
        <v>647</v>
      </c>
      <c r="C33" s="22" t="s">
        <v>540</v>
      </c>
      <c r="D33" s="22"/>
      <c r="F33" s="148" t="n">
        <f aca="false">IFERROR((INDEX(PL_EBITDA,1,1)+INDEX(PL_Rent,1,1))*4/INDEX(MW_Act,1,1),0)</f>
        <v>-12.4782752172478</v>
      </c>
      <c r="G33" s="148" t="n">
        <f aca="false">IFERROR((INDEX(PL_EBITDA,1,2)+INDEX(PL_Rent,1,2))*4/INDEX(MW_Act,1,2),0)</f>
        <v>-10.2254977450226</v>
      </c>
      <c r="H33" s="148" t="n">
        <f aca="false">IFERROR((INDEX(PL_EBITDA,1,3)+INDEX(PL_Rent,1,3))*4/INDEX(MW_Act,1,3),0)</f>
        <v>-8.07831921680783</v>
      </c>
      <c r="I33" s="148" t="n">
        <f aca="false">IFERROR((INDEX(PL_EBITDA,1,4)+INDEX(PL_Rent,1,4))*4/INDEX(MW_Act,1,4),0)</f>
        <v>-8.75684500712587</v>
      </c>
      <c r="J33" s="148" t="n">
        <f aca="false">IFERROR((INDEX(PL_EBITDA,1,5)+INDEX(PL_Rent,1,5))*4/INDEX(MW_Act,1,5),0)</f>
        <v>-3.33601325660082</v>
      </c>
      <c r="K33" s="148" t="n">
        <f aca="false">IFERROR((INDEX(PL_EBITDA,1,6)+INDEX(PL_Rent,1,6))*4/INDEX(MW_Act,1,6),0)</f>
        <v>-0.286784348645959</v>
      </c>
      <c r="L33" s="148" t="n">
        <f aca="false">IFERROR((INDEX(PL_EBITDA,1,7)+INDEX(PL_Rent,1,7))*4/INDEX(MW_Act,1,7),0)</f>
        <v>0.723485356783193</v>
      </c>
      <c r="M33" s="148" t="n">
        <f aca="false">IFERROR((INDEX(PL_EBITDA,1,8)+INDEX(PL_Rent,1,8))*4/INDEX(MW_Act,1,8),0)</f>
        <v>1.61635346120359</v>
      </c>
      <c r="N33" s="148" t="n">
        <f aca="false">IFERROR((INDEX(PL_EBITDA,1,9)+INDEX(PL_Rent,1,9))*4/INDEX(MW_Act,1,9),0)</f>
        <v>4.55891723375648</v>
      </c>
      <c r="O33" s="148" t="n">
        <f aca="false">IFERROR((INDEX(PL_EBITDA,1,10)+INDEX(PL_Rent,1,10))*4/INDEX(MW_Act,1,10),0)</f>
        <v>6.88345327335307</v>
      </c>
      <c r="P33" s="149" t="n">
        <f aca="false">IFERROR((INDEX(PL_EBITDA,1,11)+INDEX(PL_Rent,1,11))*4/INDEX(MW_Act,1,11),0)</f>
        <v>7.70573130393888</v>
      </c>
      <c r="Q33" s="149" t="n">
        <f aca="false">IFERROR((INDEX(PL_EBITDA,1,12)+INDEX(PL_Rent,1,12))*4/INDEX(MW_Act,1,12),0)</f>
        <v>7.94021385526142</v>
      </c>
      <c r="R33" s="149" t="n">
        <f aca="false">IFERROR((INDEX(PL_EBITDA,1,13)+INDEX(PL_Rent,1,13))*4/INDEX(MW_Act,1,13),0)</f>
        <v>8.68515988716594</v>
      </c>
      <c r="S33" s="149" t="n">
        <f aca="false">IFERROR((INDEX(PL_EBITDA,1,14)+INDEX(PL_Rent,1,14))*4/INDEX(MW_Act,1,14),0)</f>
        <v>8.22908507091208</v>
      </c>
      <c r="T33" s="149" t="n">
        <f aca="false">IFERROR((INDEX(PL_EBITDA,1,15)+INDEX(PL_Rent,1,15))*4/INDEX(MW_Act,1,15),0)</f>
        <v>8.48612447360046</v>
      </c>
      <c r="U33" s="149" t="n">
        <f aca="false">IFERROR((INDEX(PL_EBITDA,1,16)+INDEX(PL_Rent,1,16))*4/INDEX(MW_Act,1,16),0)</f>
        <v>8.94650892692569</v>
      </c>
      <c r="V33" s="149" t="n">
        <f aca="false">IFERROR((INDEX(PL_EBITDA,1,17)+INDEX(PL_Rent,1,17))*4/INDEX(MW_Act,1,17),0)</f>
        <v>10.0154089910733</v>
      </c>
      <c r="W33" s="149" t="n">
        <f aca="false">IFERROR((INDEX(PL_EBITDA,1,18)+INDEX(PL_Rent,1,18))*4/INDEX(MW_Act,1,18),0)</f>
        <v>11.1942966374694</v>
      </c>
      <c r="X33" s="149" t="n">
        <f aca="false">IFERROR((INDEX(PL_EBITDA,1,19)+INDEX(PL_Rent,1,19))*4/INDEX(MW_Act,1,19),0)</f>
        <v>11.1582111121002</v>
      </c>
      <c r="Y33" s="149" t="n">
        <f aca="false">IFERROR((INDEX(PL_EBITDA,1,20)+INDEX(PL_Rent,1,20))*4/INDEX(MW_Act,1,20),0)</f>
        <v>11.7761364716453</v>
      </c>
      <c r="Z33" s="149" t="n">
        <f aca="false">IFERROR((INDEX(PL_EBITDA,1,21)+INDEX(PL_Rent,1,21))*4/INDEX(MW_Act,1,21),0)</f>
        <v>11.3402511090971</v>
      </c>
      <c r="AA33" s="149" t="n">
        <f aca="false">IFERROR((INDEX(PL_EBITDA,1,22)+INDEX(PL_Rent,1,22))*4/INDEX(MW_Act,1,22),0)</f>
        <v>12.5639336655716</v>
      </c>
      <c r="AB33" s="149" t="n">
        <f aca="false">IFERROR((INDEX(PL_EBITDA,1,23)+INDEX(PL_Rent,1,23))*4/INDEX(MW_Act,1,23),0)</f>
        <v>11.7019875198444</v>
      </c>
      <c r="AC33" s="149" t="n">
        <f aca="false">IFERROR((INDEX(PL_EBITDA,1,24)+INDEX(PL_Rent,1,24))*4/INDEX(MW_Act,1,24),0)</f>
        <v>12.7351851725625</v>
      </c>
      <c r="AD33" s="149" t="n">
        <f aca="false">IFERROR((INDEX(PL_EBITDA,1,25)+INDEX(PL_Rent,1,25))*4/INDEX(MW_Act,1,25),0)</f>
        <v>11.9753822982391</v>
      </c>
      <c r="AE33" s="149" t="n">
        <f aca="false">IFERROR((INDEX(PL_EBITDA,1,26)+INDEX(PL_Rent,1,26))*4/INDEX(MW_Act,1,26),0)</f>
        <v>13.289654843174</v>
      </c>
      <c r="AF33" s="149" t="n">
        <f aca="false">IFERROR((INDEX(PL_EBITDA,1,27)+INDEX(PL_Rent,1,27))*4/INDEX(MW_Act,1,27),0)</f>
        <v>13.2372025276017</v>
      </c>
      <c r="AG33" s="149" t="n">
        <f aca="false">IFERROR((INDEX(PL_EBITDA,1,28)+INDEX(PL_Rent,1,28))*4/INDEX(MW_Act,1,28),0)</f>
        <v>13.3143520160087</v>
      </c>
    </row>
    <row r="34" customFormat="false" ht="15" hidden="false" customHeight="false" outlineLevel="0" collapsed="false">
      <c r="A34" s="107" t="s">
        <v>2761</v>
      </c>
      <c r="B34" s="22" t="s">
        <v>647</v>
      </c>
      <c r="C34" s="22" t="s">
        <v>540</v>
      </c>
      <c r="D34" s="22"/>
      <c r="F34" s="148" t="n">
        <f aca="false">IFERROR(INDEX(PL_Rent,1,1)*4/F15,0)</f>
        <v>0</v>
      </c>
      <c r="G34" s="148" t="n">
        <f aca="false">IFERROR(INDEX(PL_Rent,1,2)*4/G15,0)</f>
        <v>0</v>
      </c>
      <c r="H34" s="148" t="n">
        <f aca="false">IFERROR(INDEX(PL_Rent,1,3)*4/H15,0)</f>
        <v>0</v>
      </c>
      <c r="I34" s="148" t="n">
        <f aca="false">IFERROR(INDEX(PL_Rent,1,4)*4/I15,0)</f>
        <v>2.5589160129835</v>
      </c>
      <c r="J34" s="148" t="n">
        <f aca="false">IFERROR(INDEX(PL_Rent,1,5)*4/J15,0)</f>
        <v>2.22321709182337</v>
      </c>
      <c r="K34" s="148" t="n">
        <f aca="false">IFERROR(INDEX(PL_Rent,1,6)*4/K15,0)</f>
        <v>2.8125</v>
      </c>
      <c r="L34" s="148" t="n">
        <f aca="false">IFERROR(INDEX(PL_Rent,1,7)*4/L15,0)</f>
        <v>2.54206616356059</v>
      </c>
      <c r="M34" s="148" t="n">
        <f aca="false">IFERROR(INDEX(PL_Rent,1,8)*4/M15,0)</f>
        <v>2.006983776363</v>
      </c>
      <c r="N34" s="148" t="n">
        <f aca="false">IFERROR(INDEX(PL_Rent,1,9)*4/N15,0)</f>
        <v>2.54386745407764</v>
      </c>
      <c r="O34" s="148" t="n">
        <f aca="false">IFERROR(INDEX(PL_Rent,1,10)*4/O15,0)</f>
        <v>2.72388198484627</v>
      </c>
      <c r="P34" s="149" t="n">
        <f aca="false">IFERROR(INDEX(PL_Rent,1,11)*4/P15,0)</f>
        <v>2.8125</v>
      </c>
      <c r="Q34" s="149" t="n">
        <f aca="false">IFERROR(INDEX(PL_Rent,1,12)*4/Q15,0)</f>
        <v>2.58891507868807</v>
      </c>
      <c r="R34" s="149" t="n">
        <f aca="false">IFERROR(INDEX(PL_Rent,1,13)*4/R15,0)</f>
        <v>2.41759254042248</v>
      </c>
      <c r="S34" s="149" t="n">
        <f aca="false">IFERROR(INDEX(PL_Rent,1,14)*4/S15,0)</f>
        <v>2.34124403499068</v>
      </c>
      <c r="T34" s="149" t="n">
        <f aca="false">IFERROR(INDEX(PL_Rent,1,15)*4/T15,0)</f>
        <v>2.41992442151515</v>
      </c>
      <c r="U34" s="149" t="n">
        <f aca="false">IFERROR(INDEX(PL_Rent,1,16)*4/U15,0)</f>
        <v>2.49568905007991</v>
      </c>
      <c r="V34" s="149" t="n">
        <f aca="false">IFERROR(INDEX(PL_Rent,1,17)*4/V15,0)</f>
        <v>2.46246370599591</v>
      </c>
      <c r="W34" s="149" t="n">
        <f aca="false">IFERROR(INDEX(PL_Rent,1,18)*4/W15,0)</f>
        <v>2.70330630846852</v>
      </c>
      <c r="X34" s="149" t="n">
        <f aca="false">IFERROR(INDEX(PL_Rent,1,19)*4/X15,0)</f>
        <v>2.64980850840189</v>
      </c>
      <c r="Y34" s="149" t="n">
        <f aca="false">IFERROR(INDEX(PL_Rent,1,20)*4/Y15,0)</f>
        <v>2.79937172682392</v>
      </c>
      <c r="Z34" s="149" t="n">
        <f aca="false">IFERROR(INDEX(PL_Rent,1,21)*4/Z15,0)</f>
        <v>2.54551899419523</v>
      </c>
      <c r="AA34" s="149" t="n">
        <f aca="false">IFERROR(INDEX(PL_Rent,1,22)*4/AA15,0)</f>
        <v>2.8125</v>
      </c>
      <c r="AB34" s="149" t="n">
        <f aca="false">IFERROR(INDEX(PL_Rent,1,23)*4/AB15,0)</f>
        <v>2.58973230850994</v>
      </c>
      <c r="AC34" s="149" t="n">
        <f aca="false">IFERROR(INDEX(PL_Rent,1,24)*4/AC15,0)</f>
        <v>2.8125</v>
      </c>
      <c r="AD34" s="149" t="n">
        <f aca="false">IFERROR(INDEX(PL_Rent,1,25)*4/AD15,0)</f>
        <v>2.55244858389285</v>
      </c>
      <c r="AE34" s="149" t="n">
        <f aca="false">IFERROR(INDEX(PL_Rent,1,26)*4/AE15,0)</f>
        <v>2.8125</v>
      </c>
      <c r="AF34" s="149" t="n">
        <f aca="false">IFERROR(INDEX(PL_Rent,1,27)*4/AF15,0)</f>
        <v>2.8125</v>
      </c>
      <c r="AG34" s="149" t="n">
        <f aca="false">IFERROR(INDEX(PL_Rent,1,28)*4/AG15,0)</f>
        <v>2.8125</v>
      </c>
    </row>
    <row r="35" customFormat="false" ht="15" hidden="false" customHeight="false" outlineLevel="0" collapsed="false">
      <c r="A35" s="107" t="s">
        <v>2762</v>
      </c>
      <c r="B35" s="22" t="s">
        <v>647</v>
      </c>
      <c r="C35" s="22" t="s">
        <v>540</v>
      </c>
      <c r="D35" s="22"/>
      <c r="F35" s="148" t="n">
        <f aca="false">F33</f>
        <v>-12.4782752172478</v>
      </c>
      <c r="G35" s="148" t="n">
        <f aca="false">G33</f>
        <v>-10.2254977450226</v>
      </c>
      <c r="H35" s="148" t="n">
        <f aca="false">H33</f>
        <v>-8.07831921680783</v>
      </c>
      <c r="I35" s="148" t="n">
        <f aca="false">I33</f>
        <v>-8.75684500712587</v>
      </c>
      <c r="J35" s="148" t="n">
        <f aca="false">J33</f>
        <v>-3.33601325660082</v>
      </c>
      <c r="K35" s="148" t="n">
        <f aca="false">K33</f>
        <v>-0.286784348645959</v>
      </c>
      <c r="L35" s="148" t="n">
        <f aca="false">L33</f>
        <v>0.723485356783193</v>
      </c>
      <c r="M35" s="148" t="n">
        <f aca="false">M33</f>
        <v>1.61635346120359</v>
      </c>
      <c r="N35" s="148" t="n">
        <f aca="false">N33</f>
        <v>4.55891723375648</v>
      </c>
      <c r="O35" s="148" t="n">
        <f aca="false">O33</f>
        <v>6.88345327335307</v>
      </c>
      <c r="P35" s="149" t="n">
        <f aca="false">P33</f>
        <v>7.70573130393888</v>
      </c>
      <c r="Q35" s="149" t="n">
        <f aca="false">Q33</f>
        <v>7.94021385526142</v>
      </c>
      <c r="R35" s="149" t="n">
        <f aca="false">R33</f>
        <v>8.68515988716594</v>
      </c>
      <c r="S35" s="149" t="n">
        <f aca="false">S33</f>
        <v>8.22908507091208</v>
      </c>
      <c r="T35" s="149" t="n">
        <f aca="false">T33</f>
        <v>8.48612447360046</v>
      </c>
      <c r="U35" s="149" t="n">
        <f aca="false">U33</f>
        <v>8.94650892692569</v>
      </c>
      <c r="V35" s="149" t="n">
        <f aca="false">V33</f>
        <v>10.0154089910733</v>
      </c>
      <c r="W35" s="149" t="n">
        <f aca="false">W33</f>
        <v>11.1942966374694</v>
      </c>
      <c r="X35" s="149" t="n">
        <f aca="false">X33</f>
        <v>11.1582111121002</v>
      </c>
      <c r="Y35" s="149" t="n">
        <f aca="false">Y33</f>
        <v>11.7761364716453</v>
      </c>
      <c r="Z35" s="149" t="n">
        <f aca="false">Z33</f>
        <v>11.3402511090971</v>
      </c>
      <c r="AA35" s="149" t="n">
        <f aca="false">AA33</f>
        <v>12.5639336655716</v>
      </c>
      <c r="AB35" s="149" t="n">
        <f aca="false">AB33</f>
        <v>11.7019875198444</v>
      </c>
      <c r="AC35" s="149" t="n">
        <f aca="false">AC33</f>
        <v>12.7351851725625</v>
      </c>
      <c r="AD35" s="149" t="n">
        <f aca="false">AD33</f>
        <v>11.9753822982391</v>
      </c>
      <c r="AE35" s="149" t="n">
        <f aca="false">AE33</f>
        <v>13.289654843174</v>
      </c>
      <c r="AF35" s="149" t="n">
        <f aca="false">AF33</f>
        <v>13.2372025276017</v>
      </c>
      <c r="AG35" s="149" t="n">
        <f aca="false">AG33</f>
        <v>13.3143520160087</v>
      </c>
    </row>
    <row r="36" customFormat="false" ht="15" hidden="false" customHeight="false" outlineLevel="0" collapsed="false">
      <c r="A36" s="107" t="s">
        <v>2763</v>
      </c>
      <c r="B36" s="22" t="s">
        <v>647</v>
      </c>
      <c r="C36" s="22" t="s">
        <v>540</v>
      </c>
      <c r="D36" s="22"/>
      <c r="F36" s="148" t="n">
        <f aca="false">F33-F34</f>
        <v>-12.4782752172478</v>
      </c>
      <c r="G36" s="148" t="n">
        <f aca="false">G33-G34</f>
        <v>-10.2254977450226</v>
      </c>
      <c r="H36" s="148" t="n">
        <f aca="false">H33-H34</f>
        <v>-8.07831921680783</v>
      </c>
      <c r="I36" s="148" t="n">
        <f aca="false">I33-I34</f>
        <v>-11.3157610201094</v>
      </c>
      <c r="J36" s="148" t="n">
        <f aca="false">J33-J34</f>
        <v>-5.55923034842419</v>
      </c>
      <c r="K36" s="148" t="n">
        <f aca="false">K33-K34</f>
        <v>-3.09928434864596</v>
      </c>
      <c r="L36" s="148" t="n">
        <f aca="false">L33-L34</f>
        <v>-1.8185808067774</v>
      </c>
      <c r="M36" s="148" t="n">
        <f aca="false">M33-M34</f>
        <v>-0.390630315159415</v>
      </c>
      <c r="N36" s="148" t="n">
        <f aca="false">N33-N34</f>
        <v>2.01504977967884</v>
      </c>
      <c r="O36" s="148" t="n">
        <f aca="false">O33-O34</f>
        <v>4.1595712885068</v>
      </c>
      <c r="P36" s="149" t="n">
        <f aca="false">P33-P34</f>
        <v>4.89323130393888</v>
      </c>
      <c r="Q36" s="149" t="n">
        <f aca="false">Q33-Q34</f>
        <v>5.35129877657335</v>
      </c>
      <c r="R36" s="149" t="n">
        <f aca="false">R33-R34</f>
        <v>6.26756734674346</v>
      </c>
      <c r="S36" s="149" t="n">
        <f aca="false">S33-S34</f>
        <v>5.8878410359214</v>
      </c>
      <c r="T36" s="149" t="n">
        <f aca="false">T33-T34</f>
        <v>6.06620005208531</v>
      </c>
      <c r="U36" s="149" t="n">
        <f aca="false">U33-U34</f>
        <v>6.45081987684578</v>
      </c>
      <c r="V36" s="149" t="n">
        <f aca="false">V33-V34</f>
        <v>7.55294528507744</v>
      </c>
      <c r="W36" s="149" t="n">
        <f aca="false">W33-W34</f>
        <v>8.49099032900084</v>
      </c>
      <c r="X36" s="149" t="n">
        <f aca="false">X33-X34</f>
        <v>8.50840260369832</v>
      </c>
      <c r="Y36" s="149" t="n">
        <f aca="false">Y33-Y34</f>
        <v>8.97676474482142</v>
      </c>
      <c r="Z36" s="149" t="n">
        <f aca="false">Z33-Z34</f>
        <v>8.7947321149019</v>
      </c>
      <c r="AA36" s="149" t="n">
        <f aca="false">AA33-AA34</f>
        <v>9.75143366557161</v>
      </c>
      <c r="AB36" s="149" t="n">
        <f aca="false">AB33-AB34</f>
        <v>9.11225521133443</v>
      </c>
      <c r="AC36" s="149" t="n">
        <f aca="false">AC33-AC34</f>
        <v>9.92268517256252</v>
      </c>
      <c r="AD36" s="149" t="n">
        <f aca="false">AD33-AD34</f>
        <v>9.42293371434628</v>
      </c>
      <c r="AE36" s="149" t="n">
        <f aca="false">AE33-AE34</f>
        <v>10.477154843174</v>
      </c>
      <c r="AF36" s="149" t="n">
        <f aca="false">AF33-AF34</f>
        <v>10.4247025276017</v>
      </c>
      <c r="AG36" s="149" t="n">
        <f aca="false">AG33-AG34</f>
        <v>10.5018520160087</v>
      </c>
    </row>
    <row r="37" customFormat="false" ht="15" hidden="false" customHeight="false" outlineLevel="0" collapsed="false">
      <c r="A37" s="107" t="s">
        <v>2764</v>
      </c>
      <c r="B37" s="22" t="s">
        <v>564</v>
      </c>
      <c r="C37" s="22" t="s">
        <v>2765</v>
      </c>
      <c r="D37" s="22"/>
      <c r="F37" s="148" t="n">
        <f aca="false">ITCapexMW+ShellMW+PowerMW</f>
        <v>42.5</v>
      </c>
      <c r="G37" s="148" t="n">
        <f aca="false">ITCapexMW+ShellMW+PowerMW</f>
        <v>42.5</v>
      </c>
      <c r="H37" s="148" t="n">
        <f aca="false">ITCapexMW+ShellMW+PowerMW</f>
        <v>42.5</v>
      </c>
      <c r="I37" s="148" t="n">
        <f aca="false">ITCapexMW+ShellMW+PowerMW</f>
        <v>42.5</v>
      </c>
      <c r="J37" s="148" t="n">
        <f aca="false">ITCapexMW+ShellMW+PowerMW</f>
        <v>42.5</v>
      </c>
      <c r="K37" s="148" t="n">
        <f aca="false">ITCapexMW+ShellMW+PowerMW</f>
        <v>42.5</v>
      </c>
      <c r="L37" s="148" t="n">
        <f aca="false">ITCapexMW+ShellMW+PowerMW</f>
        <v>42.5</v>
      </c>
      <c r="M37" s="148" t="n">
        <f aca="false">ITCapexMW+ShellMW+PowerMW</f>
        <v>42.5</v>
      </c>
      <c r="N37" s="148" t="n">
        <f aca="false">ITCapexMW+ShellMW+PowerMW</f>
        <v>42.5</v>
      </c>
      <c r="O37" s="148" t="n">
        <f aca="false">ITCapexMW+ShellMW+PowerMW</f>
        <v>42.5</v>
      </c>
      <c r="P37" s="149" t="n">
        <f aca="false">ITCapexMW+ShellMW+PowerMW</f>
        <v>42.5</v>
      </c>
      <c r="Q37" s="149" t="n">
        <f aca="false">ITCapexMW+ShellMW+PowerMW</f>
        <v>42.5</v>
      </c>
      <c r="R37" s="149" t="n">
        <f aca="false">ITCapexMW+ShellMW+PowerMW</f>
        <v>42.5</v>
      </c>
      <c r="S37" s="149" t="n">
        <f aca="false">ITCapexMW+ShellMW+PowerMW</f>
        <v>42.5</v>
      </c>
      <c r="T37" s="149" t="n">
        <f aca="false">ITCapexMW+ShellMW+PowerMW</f>
        <v>42.5</v>
      </c>
      <c r="U37" s="149" t="n">
        <f aca="false">ITCapexMW+ShellMW+PowerMW</f>
        <v>42.5</v>
      </c>
      <c r="V37" s="149" t="n">
        <f aca="false">ITCapexMW+ShellMW+PowerMW</f>
        <v>42.5</v>
      </c>
      <c r="W37" s="149" t="n">
        <f aca="false">ITCapexMW+ShellMW+PowerMW</f>
        <v>42.5</v>
      </c>
      <c r="X37" s="149" t="n">
        <f aca="false">ITCapexMW+ShellMW+PowerMW</f>
        <v>42.5</v>
      </c>
      <c r="Y37" s="149" t="n">
        <f aca="false">ITCapexMW+ShellMW+PowerMW</f>
        <v>42.5</v>
      </c>
      <c r="Z37" s="149" t="n">
        <f aca="false">ITCapexMW+ShellMW+PowerMW</f>
        <v>42.5</v>
      </c>
      <c r="AA37" s="149" t="n">
        <f aca="false">ITCapexMW+ShellMW+PowerMW</f>
        <v>42.5</v>
      </c>
      <c r="AB37" s="149" t="n">
        <f aca="false">ITCapexMW+ShellMW+PowerMW</f>
        <v>42.5</v>
      </c>
      <c r="AC37" s="149" t="n">
        <f aca="false">ITCapexMW+ShellMW+PowerMW</f>
        <v>42.5</v>
      </c>
      <c r="AD37" s="149" t="n">
        <f aca="false">ITCapexMW+ShellMW+PowerMW</f>
        <v>42.5</v>
      </c>
      <c r="AE37" s="149" t="n">
        <f aca="false">ITCapexMW+ShellMW+PowerMW</f>
        <v>42.5</v>
      </c>
      <c r="AF37" s="149" t="n">
        <f aca="false">ITCapexMW+ShellMW+PowerMW</f>
        <v>42.5</v>
      </c>
      <c r="AG37" s="149" t="n">
        <f aca="false">ITCapexMW+ShellMW+PowerMW</f>
        <v>42.5</v>
      </c>
    </row>
    <row r="38" customFormat="false" ht="15" hidden="false" customHeight="false" outlineLevel="0" collapsed="false">
      <c r="A38" s="107" t="s">
        <v>2766</v>
      </c>
      <c r="B38" s="22" t="s">
        <v>564</v>
      </c>
      <c r="C38" s="22" t="s">
        <v>2765</v>
      </c>
      <c r="D38" s="22"/>
      <c r="F38" s="148" t="n">
        <f aca="false">ITCapexMW</f>
        <v>30</v>
      </c>
      <c r="G38" s="148" t="n">
        <f aca="false">ITCapexMW</f>
        <v>30</v>
      </c>
      <c r="H38" s="148" t="n">
        <f aca="false">ITCapexMW</f>
        <v>30</v>
      </c>
      <c r="I38" s="148" t="n">
        <f aca="false">ITCapexMW</f>
        <v>30</v>
      </c>
      <c r="J38" s="148" t="n">
        <f aca="false">ITCapexMW</f>
        <v>30</v>
      </c>
      <c r="K38" s="148" t="n">
        <f aca="false">ITCapexMW</f>
        <v>30</v>
      </c>
      <c r="L38" s="148" t="n">
        <f aca="false">ITCapexMW</f>
        <v>30</v>
      </c>
      <c r="M38" s="148" t="n">
        <f aca="false">ITCapexMW</f>
        <v>30</v>
      </c>
      <c r="N38" s="148" t="n">
        <f aca="false">ITCapexMW</f>
        <v>30</v>
      </c>
      <c r="O38" s="148" t="n">
        <f aca="false">ITCapexMW</f>
        <v>30</v>
      </c>
      <c r="P38" s="149" t="n">
        <f aca="false">ITCapexMW</f>
        <v>30</v>
      </c>
      <c r="Q38" s="149" t="n">
        <f aca="false">ITCapexMW</f>
        <v>30</v>
      </c>
      <c r="R38" s="149" t="n">
        <f aca="false">ITCapexMW</f>
        <v>30</v>
      </c>
      <c r="S38" s="149" t="n">
        <f aca="false">ITCapexMW</f>
        <v>30</v>
      </c>
      <c r="T38" s="149" t="n">
        <f aca="false">ITCapexMW</f>
        <v>30</v>
      </c>
      <c r="U38" s="149" t="n">
        <f aca="false">ITCapexMW</f>
        <v>30</v>
      </c>
      <c r="V38" s="149" t="n">
        <f aca="false">ITCapexMW</f>
        <v>30</v>
      </c>
      <c r="W38" s="149" t="n">
        <f aca="false">ITCapexMW</f>
        <v>30</v>
      </c>
      <c r="X38" s="149" t="n">
        <f aca="false">ITCapexMW</f>
        <v>30</v>
      </c>
      <c r="Y38" s="149" t="n">
        <f aca="false">ITCapexMW</f>
        <v>30</v>
      </c>
      <c r="Z38" s="149" t="n">
        <f aca="false">ITCapexMW</f>
        <v>30</v>
      </c>
      <c r="AA38" s="149" t="n">
        <f aca="false">ITCapexMW</f>
        <v>30</v>
      </c>
      <c r="AB38" s="149" t="n">
        <f aca="false">ITCapexMW</f>
        <v>30</v>
      </c>
      <c r="AC38" s="149" t="n">
        <f aca="false">ITCapexMW</f>
        <v>30</v>
      </c>
      <c r="AD38" s="149" t="n">
        <f aca="false">ITCapexMW</f>
        <v>30</v>
      </c>
      <c r="AE38" s="149" t="n">
        <f aca="false">ITCapexMW</f>
        <v>30</v>
      </c>
      <c r="AF38" s="149" t="n">
        <f aca="false">ITCapexMW</f>
        <v>30</v>
      </c>
      <c r="AG38" s="149" t="n">
        <f aca="false">ITCapexMW</f>
        <v>30</v>
      </c>
    </row>
    <row r="39" customFormat="false" ht="15" hidden="false" customHeight="false" outlineLevel="0" collapsed="false">
      <c r="A39" s="107" t="s">
        <v>2767</v>
      </c>
      <c r="B39" s="22" t="s">
        <v>619</v>
      </c>
      <c r="C39" s="22" t="s">
        <v>2154</v>
      </c>
      <c r="D39" s="22"/>
      <c r="F39" s="128" t="n">
        <f aca="false">INDEX(DepYld,1,1)</f>
        <v>0</v>
      </c>
      <c r="G39" s="128" t="str">
        <f aca="false">INDEX(DepYld,1,2)</f>
        <v/>
      </c>
      <c r="H39" s="128" t="str">
        <f aca="false">INDEX(DepYld,1,3)</f>
        <v/>
      </c>
      <c r="I39" s="128" t="str">
        <f aca="false">INDEX(DepYld,1,4)</f>
        <v/>
      </c>
      <c r="J39" s="128" t="str">
        <f aca="false">INDEX(DepYld,1,5)</f>
        <v/>
      </c>
      <c r="K39" s="128" t="str">
        <f aca="false">INDEX(DepYld,1,6)</f>
        <v/>
      </c>
      <c r="L39" s="128" t="str">
        <f aca="false">INDEX(DepYld,1,7)</f>
        <v/>
      </c>
      <c r="M39" s="128" t="str">
        <f aca="false">INDEX(DepYld,1,8)</f>
        <v/>
      </c>
      <c r="N39" s="128" t="n">
        <f aca="false">INDEX(DepYld,1,9)</f>
        <v>0.216186062478544</v>
      </c>
      <c r="O39" s="128" t="n">
        <f aca="false">INDEX(DepYld,1,10)</f>
        <v>0.200171980643747</v>
      </c>
      <c r="P39" s="27" t="n">
        <f aca="false">INDEX(DepYld,1,11)</f>
        <v>0.329595545716654</v>
      </c>
      <c r="Q39" s="27" t="n">
        <f aca="false">INDEX(DepYld,1,12)</f>
        <v>0.228183660823641</v>
      </c>
      <c r="R39" s="27" t="n">
        <f aca="false">INDEX(DepYld,1,13)</f>
        <v>0.216674260399964</v>
      </c>
      <c r="S39" s="27" t="n">
        <f aca="false">INDEX(DepYld,1,14)</f>
        <v>0.237869841209253</v>
      </c>
      <c r="T39" s="27" t="n">
        <f aca="false">INDEX(DepYld,1,15)</f>
        <v>0.261019501161322</v>
      </c>
      <c r="U39" s="27" t="n">
        <f aca="false">INDEX(DepYld,1,16)</f>
        <v>0.265389072468804</v>
      </c>
      <c r="V39" s="27" t="n">
        <f aca="false">INDEX(DepYld,1,17)</f>
        <v>0.276836820096399</v>
      </c>
      <c r="W39" s="27" t="n">
        <f aca="false">INDEX(DepYld,1,18)</f>
        <v>0.243244582300217</v>
      </c>
      <c r="X39" s="27" t="n">
        <f aca="false">INDEX(DepYld,1,19)</f>
        <v>0.234639294018505</v>
      </c>
      <c r="Y39" s="27" t="n">
        <f aca="false">INDEX(DepYld,1,20)</f>
        <v>0.220321183273619</v>
      </c>
      <c r="Z39" s="27" t="n">
        <f aca="false">INDEX(DepYld,1,21)</f>
        <v>0.247875628529682</v>
      </c>
      <c r="AA39" s="27" t="n">
        <f aca="false">INDEX(DepYld,1,22)</f>
        <v>0.226682664680223</v>
      </c>
      <c r="AB39" s="27" t="n">
        <f aca="false">INDEX(DepYld,1,23)</f>
        <v>0.240704274871159</v>
      </c>
      <c r="AC39" s="27" t="n">
        <f aca="false">INDEX(DepYld,1,24)</f>
        <v>0.224993307028623</v>
      </c>
      <c r="AD39" s="27" t="n">
        <f aca="false">INDEX(DepYld,1,25)</f>
        <v>0.247405744862159</v>
      </c>
      <c r="AE39" s="27" t="n">
        <f aca="false">INDEX(DepYld,1,26)</f>
        <v>0.222608834103918</v>
      </c>
      <c r="AF39" s="27" t="n">
        <f aca="false">INDEX(DepYld,1,27)</f>
        <v>0.206610390865216</v>
      </c>
      <c r="AG39" s="27" t="n">
        <f aca="false">INDEX(DepYld,1,28)</f>
        <v>0.205697139226682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2768</v>
      </c>
    </row>
    <row r="3" customFormat="false" ht="15" hidden="false" customHeight="false" outlineLevel="0" collapsed="false">
      <c r="A3" s="22" t="s">
        <v>2769</v>
      </c>
    </row>
    <row r="4" customFormat="false" ht="15" hidden="false" customHeight="false" outlineLevel="0" collapsed="false">
      <c r="A4" s="42" t="s">
        <v>2770</v>
      </c>
      <c r="B4" s="42" t="s">
        <v>2771</v>
      </c>
      <c r="C4" s="42" t="s">
        <v>2772</v>
      </c>
      <c r="D4" s="42" t="s">
        <v>2773</v>
      </c>
      <c r="E4" s="42" t="s">
        <v>2774</v>
      </c>
      <c r="F4" s="42" t="s">
        <v>2775</v>
      </c>
    </row>
    <row r="5" customFormat="false" ht="15" hidden="false" customHeight="false" outlineLevel="0" collapsed="false">
      <c r="A5" s="0" t="s">
        <v>2776</v>
      </c>
      <c r="B5" s="37" t="n">
        <f aca="false">-0.2*SUMPRODUCT((Q_Yr=2026)*(Q_Idx&gt;V_Q)*(Book_C+Book_B*(Q_Idx&gt;V_Q+ResLag)))</f>
        <v>-11.056320722595</v>
      </c>
      <c r="C5" s="37" t="n">
        <f aca="false">-0.1*SUMPRODUCT((Q_Yr=2026)*(Q_Idx&gt;V_Q)*(Book_C+Book_B*(Q_Idx&gt;V_Q+ResLag)))</f>
        <v>-5.52816036129748</v>
      </c>
      <c r="D5" s="37" t="n">
        <f aca="false">0.1*SUMPRODUCT((Q_Yr=2026)*(Q_Idx&gt;V_Q)*(Book_C+Book_B*(Q_Idx&gt;V_Q+ResLag)))</f>
        <v>5.52816036129748</v>
      </c>
      <c r="E5" s="37" t="n">
        <f aca="false">0.2*SUMPRODUCT((Q_Yr=2026)*(Q_Idx&gt;V_Q)*(Book_C+Book_B*(Q_Idx&gt;V_Q+ResLag)))</f>
        <v>11.056320722595</v>
      </c>
      <c r="F5" s="27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2777</v>
      </c>
      <c r="B6" s="37" t="n">
        <f aca="false">-0.2*SUMPRODUCT((Q_Yr=2027)*(Q_Idx&gt;V_Q)*(Book_C+Book_B*(Q_Idx&gt;V_Q+ResLag)))</f>
        <v>-438.682066617606</v>
      </c>
      <c r="C6" s="37" t="n">
        <f aca="false">-0.1*SUMPRODUCT((Q_Yr=2027)*(Q_Idx&gt;V_Q)*(Book_C+Book_B*(Q_Idx&gt;V_Q+ResLag)))</f>
        <v>-219.341033308803</v>
      </c>
      <c r="D6" s="37" t="n">
        <f aca="false">0.1*SUMPRODUCT((Q_Yr=2027)*(Q_Idx&gt;V_Q)*(Book_C+Book_B*(Q_Idx&gt;V_Q+ResLag)))</f>
        <v>219.341033308803</v>
      </c>
      <c r="E6" s="37" t="n">
        <f aca="false">0.2*SUMPRODUCT((Q_Yr=2027)*(Q_Idx&gt;V_Q)*(Book_C+Book_B*(Q_Idx&gt;V_Q+ResLag)))</f>
        <v>438.682066617606</v>
      </c>
      <c r="F6" s="27" t="n">
        <f aca="false">IFERROR(D6/SUMIF(Q_Yr,2027,PL_Rev),0)</f>
        <v>0.0292241751338659</v>
      </c>
    </row>
    <row r="7" customFormat="false" ht="15" hidden="false" customHeight="false" outlineLevel="0" collapsed="false">
      <c r="A7" s="0" t="s">
        <v>2778</v>
      </c>
      <c r="B7" s="37" t="n">
        <f aca="false">-0.2*SUMPRODUCT((Q_Yr=2028)*(Q_Idx&gt;V_Q)*(Book_C+Book_B*(Q_Idx&gt;V_Q+ResLag)))</f>
        <v>-2951.35485618855</v>
      </c>
      <c r="C7" s="37" t="n">
        <f aca="false">-0.1*SUMPRODUCT((Q_Yr=2028)*(Q_Idx&gt;V_Q)*(Book_C+Book_B*(Q_Idx&gt;V_Q+ResLag)))</f>
        <v>-1475.67742809428</v>
      </c>
      <c r="D7" s="37" t="n">
        <f aca="false">0.1*SUMPRODUCT((Q_Yr=2028)*(Q_Idx&gt;V_Q)*(Book_C+Book_B*(Q_Idx&gt;V_Q+ResLag)))</f>
        <v>1475.67742809428</v>
      </c>
      <c r="E7" s="37" t="n">
        <f aca="false">0.2*SUMPRODUCT((Q_Yr=2028)*(Q_Idx&gt;V_Q)*(Book_C+Book_B*(Q_Idx&gt;V_Q+ResLag)))</f>
        <v>2951.35485618855</v>
      </c>
      <c r="F7" s="27" t="n">
        <f aca="false">IFERROR(D7/SUMIF(Q_Yr,2028,PL_Rev),0)</f>
        <v>0.0731233316250194</v>
      </c>
    </row>
    <row r="9" customFormat="false" ht="15" hidden="false" customHeight="false" outlineLevel="0" collapsed="false">
      <c r="A9" s="0" t="s">
        <v>2779</v>
      </c>
      <c r="B9" s="25" t="n">
        <f aca="false">INDEX(Book_A,1,V_Q)/INDEX(AIRev,1,V_Q)</f>
        <v>0.494034609428809</v>
      </c>
      <c r="C9" s="25" t="n">
        <f aca="false">INDEX(Book_B,1,V_Q)/INDEX(AIRev,1,V_Q)</f>
        <v>0.439235798923321</v>
      </c>
      <c r="D9" s="25" t="n">
        <f aca="false">INDEX(Book_C,1,V_Q)/INDEX(AIRev,1,V_Q)</f>
        <v>0.0667295916478699</v>
      </c>
    </row>
    <row r="11" customFormat="false" ht="15" hidden="false" customHeight="false" outlineLevel="0" collapsed="false">
      <c r="A11" s="150" t="s">
        <v>2780</v>
      </c>
    </row>
    <row r="12" customFormat="false" ht="15" hidden="false" customHeight="false" outlineLevel="0" collapsed="false">
      <c r="A12" s="7" t="s">
        <v>2781</v>
      </c>
      <c r="B12" s="7" t="s">
        <v>2782</v>
      </c>
      <c r="C12" s="7" t="s">
        <v>371</v>
      </c>
      <c r="D12" s="7" t="s">
        <v>373</v>
      </c>
      <c r="E12" s="7" t="s">
        <v>372</v>
      </c>
      <c r="F12" s="7" t="s">
        <v>2783</v>
      </c>
      <c r="G12" s="7" t="s">
        <v>2784</v>
      </c>
      <c r="H12" s="7" t="s">
        <v>2785</v>
      </c>
      <c r="I12" s="7" t="s">
        <v>2786</v>
      </c>
      <c r="J12" s="7" t="s">
        <v>401</v>
      </c>
      <c r="K12" s="7" t="s">
        <v>2787</v>
      </c>
      <c r="L12" s="7" t="s">
        <v>2788</v>
      </c>
      <c r="M12" s="7" t="s">
        <v>2789</v>
      </c>
      <c r="N12" s="7" t="s">
        <v>374</v>
      </c>
      <c r="O12" s="7" t="s">
        <v>2790</v>
      </c>
      <c r="P12" s="7" t="s">
        <v>2791</v>
      </c>
      <c r="Q12" s="7" t="s">
        <v>2792</v>
      </c>
      <c r="R12" s="7" t="s">
        <v>2793</v>
      </c>
      <c r="S12" s="7" t="s">
        <v>2794</v>
      </c>
      <c r="T12" s="7" t="s">
        <v>2795</v>
      </c>
      <c r="U12" s="7" t="s">
        <v>2796</v>
      </c>
      <c r="V12" s="7" t="s">
        <v>402</v>
      </c>
      <c r="W12" s="7" t="s">
        <v>2797</v>
      </c>
      <c r="X12" s="7" t="s">
        <v>2798</v>
      </c>
      <c r="Y12" s="7" t="s">
        <v>2799</v>
      </c>
      <c r="Z12" s="7" t="s">
        <v>2800</v>
      </c>
      <c r="AA12" s="7" t="s">
        <v>2801</v>
      </c>
      <c r="AB12" s="7" t="s">
        <v>2802</v>
      </c>
      <c r="AC12" s="7" t="s">
        <v>2803</v>
      </c>
      <c r="AD12" s="7" t="s">
        <v>2804</v>
      </c>
      <c r="AE12" s="7" t="s">
        <v>2805</v>
      </c>
      <c r="AF12" s="7" t="s">
        <v>2806</v>
      </c>
      <c r="AG12" s="7" t="s">
        <v>2807</v>
      </c>
      <c r="AH12" s="7" t="s">
        <v>2808</v>
      </c>
      <c r="AI12" s="7" t="s">
        <v>2809</v>
      </c>
      <c r="AJ12" s="7" t="s">
        <v>2810</v>
      </c>
      <c r="AK12" s="7" t="s">
        <v>2811</v>
      </c>
      <c r="AL12" s="7" t="s">
        <v>2812</v>
      </c>
      <c r="AM12" s="7" t="s">
        <v>2813</v>
      </c>
      <c r="AN12" s="7" t="s">
        <v>2814</v>
      </c>
      <c r="AO12" s="7" t="s">
        <v>2815</v>
      </c>
      <c r="AP12" s="7" t="s">
        <v>2816</v>
      </c>
      <c r="AQ12" s="7" t="s">
        <v>2817</v>
      </c>
      <c r="AR12" s="7" t="s">
        <v>2818</v>
      </c>
      <c r="AS12" s="7" t="s">
        <v>2819</v>
      </c>
      <c r="AT12" s="7" t="s">
        <v>2820</v>
      </c>
      <c r="AU12" s="7" t="s">
        <v>2821</v>
      </c>
      <c r="AV12" s="7" t="s">
        <v>2822</v>
      </c>
      <c r="AW12" s="7" t="s">
        <v>2823</v>
      </c>
      <c r="AX12" s="7" t="s">
        <v>2824</v>
      </c>
      <c r="AY12" s="7" t="s">
        <v>2825</v>
      </c>
      <c r="AZ12" s="7" t="s">
        <v>2826</v>
      </c>
      <c r="BA12" s="7" t="s">
        <v>2827</v>
      </c>
      <c r="BB12" s="7" t="s">
        <v>2828</v>
      </c>
      <c r="BC12" s="7" t="s">
        <v>2829</v>
      </c>
      <c r="BD12" s="7" t="s">
        <v>2830</v>
      </c>
      <c r="BE12" s="7" t="s">
        <v>2831</v>
      </c>
      <c r="BF12" s="7" t="s">
        <v>2832</v>
      </c>
      <c r="BG12" s="7" t="s">
        <v>2833</v>
      </c>
      <c r="BH12" s="7" t="s">
        <v>2834</v>
      </c>
      <c r="BI12" s="7" t="s">
        <v>2835</v>
      </c>
      <c r="BJ12" s="7" t="s">
        <v>2836</v>
      </c>
      <c r="BK12" s="7" t="s">
        <v>2837</v>
      </c>
      <c r="BL12" s="7" t="s">
        <v>2838</v>
      </c>
      <c r="BM12" s="7" t="s">
        <v>2839</v>
      </c>
      <c r="BN12" s="7" t="s">
        <v>2840</v>
      </c>
      <c r="BO12" s="7" t="s">
        <v>2841</v>
      </c>
      <c r="BP12" s="7" t="s">
        <v>2842</v>
      </c>
      <c r="BQ12" s="7" t="s">
        <v>2843</v>
      </c>
      <c r="BR12" s="7" t="s">
        <v>2844</v>
      </c>
      <c r="BS12" s="7" t="s">
        <v>2845</v>
      </c>
      <c r="BT12" s="7" t="s">
        <v>2846</v>
      </c>
      <c r="BU12" s="7" t="s">
        <v>2847</v>
      </c>
      <c r="BV12" s="7" t="s">
        <v>2848</v>
      </c>
      <c r="BW12" s="7" t="s">
        <v>2849</v>
      </c>
      <c r="BX12" s="7" t="s">
        <v>2850</v>
      </c>
      <c r="BY12" s="7" t="s">
        <v>2851</v>
      </c>
      <c r="BZ12" s="7" t="s">
        <v>2852</v>
      </c>
      <c r="CA12" s="7" t="s">
        <v>2853</v>
      </c>
      <c r="CB12" s="7" t="s">
        <v>2854</v>
      </c>
    </row>
    <row r="13" customFormat="false" ht="15" hidden="false" customHeight="false" outlineLevel="0" collapsed="false">
      <c r="A13" s="0" t="s">
        <v>101</v>
      </c>
      <c r="B13" s="14" t="n">
        <v>2465.07954157611</v>
      </c>
      <c r="C13" s="14" t="n">
        <v>7505.46533149617</v>
      </c>
      <c r="D13" s="14" t="n">
        <v>20180.6645744977</v>
      </c>
      <c r="E13" s="14" t="n">
        <v>3713.46369159839</v>
      </c>
      <c r="F13" s="14" t="n">
        <v>-1606.96308130411</v>
      </c>
      <c r="G13" s="14" t="n">
        <v>5020.20815964266</v>
      </c>
      <c r="H13" s="14" t="n">
        <v>7854.59013302158</v>
      </c>
      <c r="I13" s="15" t="n">
        <v>0.01</v>
      </c>
      <c r="J13" s="15" t="n">
        <v>2.28688359991828</v>
      </c>
      <c r="K13" s="14" t="s">
        <v>60</v>
      </c>
      <c r="L13" s="14" t="n">
        <v>-4956.48323642636</v>
      </c>
      <c r="M13" s="14" t="n">
        <v>33802.8714241299</v>
      </c>
      <c r="N13" s="14" t="n">
        <v>11755.2436196396</v>
      </c>
      <c r="O13" s="14" t="n">
        <v>-19023.84719661</v>
      </c>
      <c r="P13" s="14" t="n">
        <v>951.290832135856</v>
      </c>
      <c r="Q13" s="14" t="n">
        <v>61.4155828462322</v>
      </c>
      <c r="R13" s="14" t="n">
        <v>17617.7170533315</v>
      </c>
      <c r="S13" s="14" t="n">
        <v>26970.82024149</v>
      </c>
      <c r="T13" s="14" t="n">
        <v>-955.692204749296</v>
      </c>
      <c r="U13" s="14" t="n">
        <v>-1365.19207123687</v>
      </c>
      <c r="V13" s="14" t="n">
        <v>0.750319556751226</v>
      </c>
      <c r="W13" s="14" t="n">
        <v>53464.5708424573</v>
      </c>
      <c r="X13" s="14" t="n">
        <v>22173.3734272866</v>
      </c>
      <c r="Y13" s="14" t="n">
        <v>2.15131912600733</v>
      </c>
      <c r="Z13" s="14" t="n">
        <v>2.92012166873565</v>
      </c>
      <c r="AA13" s="14" t="n">
        <v>27.424347870838</v>
      </c>
      <c r="AB13" s="14" t="n">
        <v>25.224347870838</v>
      </c>
      <c r="AC13" s="14" t="n">
        <v>26.674347870838</v>
      </c>
      <c r="AD13" s="14" t="n">
        <v>21.0618991648036</v>
      </c>
      <c r="AE13" s="14" t="n">
        <v>674.686407680941</v>
      </c>
      <c r="AF13" s="14" t="n">
        <v>0.03</v>
      </c>
      <c r="AG13" s="14" t="n">
        <v>0.664073049535931</v>
      </c>
      <c r="AH13" s="14" t="n">
        <v>9819.91719809611</v>
      </c>
      <c r="AI13" s="14" t="n">
        <v>20180.6645744977</v>
      </c>
      <c r="AJ13" s="14" t="n">
        <v>16.69175</v>
      </c>
      <c r="AK13" s="14" t="n">
        <v>0</v>
      </c>
      <c r="AL13" s="14" t="n">
        <v>-37200.0960732068</v>
      </c>
      <c r="AM13" s="14" t="n">
        <v>812.6073</v>
      </c>
      <c r="AN13" s="14" t="n">
        <v>20079.98904</v>
      </c>
      <c r="AO13" s="14" t="n">
        <v>-5508.72242389994</v>
      </c>
      <c r="AP13" s="14" t="n">
        <v>0.516474502037109</v>
      </c>
      <c r="AQ13" s="14" t="n">
        <v>2.02379079638786</v>
      </c>
      <c r="AR13" s="14" t="n">
        <v>327.195752</v>
      </c>
      <c r="AS13" s="14" t="n">
        <v>314.925245</v>
      </c>
      <c r="AT13" s="14" t="n">
        <v>-4956.48323642636</v>
      </c>
      <c r="AU13" s="14" t="n">
        <v>12.270507</v>
      </c>
      <c r="AV13" s="14" t="n">
        <v>0</v>
      </c>
      <c r="AW13" s="14" t="n">
        <v>2254.3125</v>
      </c>
      <c r="AX13" s="14" t="n">
        <v>314.925245</v>
      </c>
      <c r="AY13" s="14" t="n">
        <v>314.925245</v>
      </c>
      <c r="AZ13" s="14" t="n">
        <v>5568.83612056339</v>
      </c>
      <c r="BA13" s="14" t="n">
        <v>16.5523136016134</v>
      </c>
      <c r="BB13" s="14" t="n">
        <v>25.2096062235498</v>
      </c>
      <c r="BC13" s="14" t="n">
        <v>39.4374614323522</v>
      </c>
      <c r="BD13" s="14" t="n">
        <v>-5.08067650538881</v>
      </c>
      <c r="BE13" s="14" t="n">
        <v>-3.389032187156</v>
      </c>
      <c r="BF13" s="14" t="n">
        <v>5.28542761383372</v>
      </c>
      <c r="BG13" s="14" t="n">
        <v>6.97707193206652</v>
      </c>
      <c r="BH13" s="14" t="n">
        <v>10.9956654944829</v>
      </c>
      <c r="BI13" s="14" t="n">
        <v>14.5375344778911</v>
      </c>
      <c r="BJ13" s="14" t="n">
        <v>3.71992671744367</v>
      </c>
      <c r="BK13" s="14" t="n">
        <v>4.46573109600205</v>
      </c>
      <c r="BL13" s="14" t="n">
        <v>6.42123287671233</v>
      </c>
      <c r="BM13" s="14" t="n">
        <v>8712.70308277889</v>
      </c>
      <c r="BN13" s="14" t="n">
        <v>7473.09859446594</v>
      </c>
      <c r="BO13" s="14" t="n">
        <v>7473.09859446594</v>
      </c>
      <c r="BP13" s="14" t="n">
        <v>327.195752</v>
      </c>
      <c r="BQ13" s="14" t="n">
        <v>301.7195</v>
      </c>
      <c r="BR13" s="14" t="n">
        <v>1081.9108</v>
      </c>
      <c r="BS13" s="14" t="s">
        <v>2855</v>
      </c>
      <c r="BT13" s="14" t="n">
        <v>37.9555555555556</v>
      </c>
      <c r="BU13" s="14" t="n">
        <v>0.202495480090107</v>
      </c>
      <c r="BV13" s="14" t="n">
        <v>0.204285232461873</v>
      </c>
      <c r="BW13" s="14" t="n">
        <v>13510.8578038903</v>
      </c>
      <c r="BX13" s="14" t="n">
        <v>27107.0656988521</v>
      </c>
      <c r="BY13" s="14" t="n">
        <v>98.1216364538248</v>
      </c>
      <c r="BZ13" s="14" t="n">
        <v>0</v>
      </c>
      <c r="CA13" s="14" t="n">
        <v>950.69728</v>
      </c>
      <c r="CB13" s="14" t="n">
        <v>12000</v>
      </c>
    </row>
    <row r="14" customFormat="false" ht="15" hidden="false" customHeight="false" outlineLevel="0" collapsed="false">
      <c r="A14" s="0" t="s">
        <v>102</v>
      </c>
      <c r="B14" s="14" t="n">
        <v>2822.95391308961</v>
      </c>
      <c r="C14" s="14" t="n">
        <v>12950.991141717</v>
      </c>
      <c r="D14" s="14" t="n">
        <v>28701.9254919039</v>
      </c>
      <c r="E14" s="14" t="n">
        <v>7435.26656429841</v>
      </c>
      <c r="F14" s="14" t="n">
        <v>1635.28371728099</v>
      </c>
      <c r="G14" s="14" t="n">
        <v>5281.94320134874</v>
      </c>
      <c r="H14" s="14" t="n">
        <v>125122.521479841</v>
      </c>
      <c r="I14" s="15" t="n">
        <v>329.741111435692</v>
      </c>
      <c r="J14" s="15" t="n">
        <v>365.221442463617</v>
      </c>
      <c r="K14" s="14" t="s">
        <v>58</v>
      </c>
      <c r="L14" s="14" t="n">
        <v>-11547.2723388274</v>
      </c>
      <c r="M14" s="14" t="n">
        <v>37679.8874728343</v>
      </c>
      <c r="N14" s="14" t="n">
        <v>18116.2303461208</v>
      </c>
      <c r="O14" s="14" t="n">
        <v>-16029.9411684141</v>
      </c>
      <c r="P14" s="14" t="n">
        <v>1212.1769462832</v>
      </c>
      <c r="Q14" s="14" t="n">
        <v>6317.50354413837</v>
      </c>
      <c r="R14" s="14" t="n">
        <v>23963.3261282618</v>
      </c>
      <c r="S14" s="14" t="n">
        <v>22480.1453098381</v>
      </c>
      <c r="T14" s="14" t="n">
        <v>-533.47336857847</v>
      </c>
      <c r="U14" s="14" t="n">
        <v>127928.419768388</v>
      </c>
      <c r="V14" s="14" t="n">
        <v>0.750319556751226</v>
      </c>
      <c r="W14" s="14" t="n">
        <v>155509.533137691</v>
      </c>
      <c r="X14" s="14" t="n">
        <v>23098.7463313472</v>
      </c>
      <c r="Y14" s="14" t="n">
        <v>345.101825081077</v>
      </c>
      <c r="Z14" s="14" t="n">
        <v>458.133777426361</v>
      </c>
      <c r="AA14" s="14" t="n">
        <v>43.041696075</v>
      </c>
      <c r="AB14" s="14" t="n">
        <v>40.841696075</v>
      </c>
      <c r="AC14" s="14" t="n">
        <v>42.291696075</v>
      </c>
      <c r="AD14" s="14" t="n">
        <v>33.0560225856</v>
      </c>
      <c r="AE14" s="14" t="n">
        <v>785.656190328325</v>
      </c>
      <c r="AF14" s="14" t="n">
        <v>0.035</v>
      </c>
      <c r="AG14" s="14" t="n">
        <v>0.702162322639483</v>
      </c>
      <c r="AH14" s="14" t="n">
        <v>3709.5941014662</v>
      </c>
      <c r="AI14" s="14" t="n">
        <v>28701.9254919039</v>
      </c>
      <c r="AJ14" s="14" t="n">
        <v>19.0921875</v>
      </c>
      <c r="AK14" s="14" t="n">
        <v>0</v>
      </c>
      <c r="AL14" s="14" t="n">
        <v>-25420.3261547901</v>
      </c>
      <c r="AM14" s="14" t="n">
        <v>1071.7478</v>
      </c>
      <c r="AN14" s="14" t="n">
        <v>26532.1623755</v>
      </c>
      <c r="AO14" s="14" t="n">
        <v>-8420.54944033089</v>
      </c>
      <c r="AP14" s="14" t="n">
        <v>0</v>
      </c>
      <c r="AQ14" s="14" t="n">
        <v>326.090573628229</v>
      </c>
      <c r="AR14" s="14" t="n">
        <v>400.216461560702</v>
      </c>
      <c r="AS14" s="14" t="n">
        <v>387.966241793109</v>
      </c>
      <c r="AT14" s="14" t="n">
        <v>-11547.2723388274</v>
      </c>
      <c r="AU14" s="14" t="n">
        <v>12.270507</v>
      </c>
      <c r="AV14" s="14" t="n">
        <v>0</v>
      </c>
      <c r="AW14" s="14" t="n">
        <v>3694.865</v>
      </c>
      <c r="AX14" s="14" t="n">
        <v>387.966241793109</v>
      </c>
      <c r="AY14" s="14" t="n">
        <v>346.992103794168</v>
      </c>
      <c r="AZ14" s="14" t="n">
        <v>8271.11905654661</v>
      </c>
      <c r="BA14" s="14" t="n">
        <v>15.8427900602355</v>
      </c>
      <c r="BB14" s="14" t="n">
        <v>24.5000826821718</v>
      </c>
      <c r="BC14" s="14" t="n">
        <v>39.8696968642042</v>
      </c>
      <c r="BD14" s="14" t="n">
        <v>-3.55038744745451</v>
      </c>
      <c r="BE14" s="14" t="n">
        <v>3.53990841820985</v>
      </c>
      <c r="BF14" s="14" t="n">
        <v>6.57556217098934</v>
      </c>
      <c r="BG14" s="14" t="n">
        <v>13.6658580366537</v>
      </c>
      <c r="BH14" s="14" t="n">
        <v>12.452622461208</v>
      </c>
      <c r="BI14" s="14" t="n">
        <v>22.6119333489254</v>
      </c>
      <c r="BJ14" s="14" t="n">
        <v>4.18491755712413</v>
      </c>
      <c r="BK14" s="14" t="n">
        <v>5.02394748300231</v>
      </c>
      <c r="BL14" s="14" t="n">
        <v>7.13470319634703</v>
      </c>
      <c r="BM14" s="14" t="n">
        <v>12077.6391665806</v>
      </c>
      <c r="BN14" s="14" t="n">
        <v>12917.1615815789</v>
      </c>
      <c r="BO14" s="14" t="n">
        <v>12917.1615815789</v>
      </c>
      <c r="BP14" s="14" t="n">
        <v>400.216461560702</v>
      </c>
      <c r="BQ14" s="14" t="n">
        <v>413.9493</v>
      </c>
      <c r="BR14" s="14" t="n">
        <v>1369.2143</v>
      </c>
      <c r="BS14" s="14" t="s">
        <v>2855</v>
      </c>
      <c r="BT14" s="14" t="n">
        <v>37.9555555555556</v>
      </c>
      <c r="BU14" s="14" t="n">
        <v>0.202495480090107</v>
      </c>
      <c r="BV14" s="14" t="n">
        <v>0.261164364412283</v>
      </c>
      <c r="BW14" s="14" t="n">
        <v>0</v>
      </c>
      <c r="BX14" s="14" t="n">
        <v>13045.179960312</v>
      </c>
      <c r="BY14" s="14" t="n">
        <v>61.5895439960396</v>
      </c>
      <c r="BZ14" s="14" t="n">
        <v>0</v>
      </c>
      <c r="CA14" s="14" t="n">
        <v>872.7296</v>
      </c>
      <c r="CB14" s="14" t="n">
        <v>12000</v>
      </c>
    </row>
    <row r="15" customFormat="false" ht="15" hidden="false" customHeight="false" outlineLevel="0" collapsed="false">
      <c r="A15" s="0" t="s">
        <v>103</v>
      </c>
      <c r="B15" s="14" t="n">
        <v>2161.09062763565</v>
      </c>
      <c r="C15" s="14" t="n">
        <v>3835.54290963949</v>
      </c>
      <c r="D15" s="14" t="n">
        <v>10622.2691329812</v>
      </c>
      <c r="E15" s="14" t="n">
        <v>1529.29936141168</v>
      </c>
      <c r="F15" s="14" t="n">
        <v>-4222.71417078393</v>
      </c>
      <c r="G15" s="14" t="n">
        <v>5598.59181581002</v>
      </c>
      <c r="H15" s="14" t="n">
        <v>-32518.9990253506</v>
      </c>
      <c r="I15" s="15" t="n">
        <v>0.01</v>
      </c>
      <c r="J15" s="15" t="n">
        <v>0</v>
      </c>
      <c r="K15" s="14" t="s">
        <v>83</v>
      </c>
      <c r="L15" s="14" t="n">
        <v>3855.65032121054</v>
      </c>
      <c r="M15" s="14" t="n">
        <v>23405.4934154428</v>
      </c>
      <c r="N15" s="14" t="n">
        <v>5030.15603731872</v>
      </c>
      <c r="O15" s="14" t="n">
        <v>-17275.1980821531</v>
      </c>
      <c r="P15" s="14" t="n">
        <v>747.002337313713</v>
      </c>
      <c r="Q15" s="14" t="n">
        <v>-6486.76771030941</v>
      </c>
      <c r="R15" s="14" t="n">
        <v>10749.8273603027</v>
      </c>
      <c r="S15" s="14" t="n">
        <v>27577.7924226596</v>
      </c>
      <c r="T15" s="14" t="n">
        <v>-1436.17830391911</v>
      </c>
      <c r="U15" s="14" t="n">
        <v>-41741.3454360394</v>
      </c>
      <c r="V15" s="14" t="n">
        <v>0.750319556751226</v>
      </c>
      <c r="W15" s="14" t="n">
        <v>18300.1176338496</v>
      </c>
      <c r="X15" s="14" t="n">
        <v>14267.1592229818</v>
      </c>
      <c r="Y15" s="14" t="n">
        <v>0</v>
      </c>
      <c r="Z15" s="14" t="n">
        <v>0</v>
      </c>
      <c r="AA15" s="14" t="n">
        <v>22.27279275</v>
      </c>
      <c r="AB15" s="14" t="n">
        <v>20.07279275</v>
      </c>
      <c r="AC15" s="14" t="n">
        <v>21.52279275</v>
      </c>
      <c r="AD15" s="14" t="n">
        <v>17.105504832</v>
      </c>
      <c r="AE15" s="14" t="n">
        <v>594.149368983825</v>
      </c>
      <c r="AF15" s="14" t="n">
        <v>0.02</v>
      </c>
      <c r="AG15" s="14" t="n">
        <v>0.584283932229117</v>
      </c>
      <c r="AH15" s="14" t="n">
        <v>22530.2399423265</v>
      </c>
      <c r="AI15" s="14" t="n">
        <v>10622.2691329812</v>
      </c>
      <c r="AJ15" s="14" t="n">
        <v>14.7365561910928</v>
      </c>
      <c r="AK15" s="14" t="n">
        <v>0</v>
      </c>
      <c r="AL15" s="14" t="n">
        <v>-43935.5282045242</v>
      </c>
      <c r="AM15" s="14" t="n">
        <v>470.44678</v>
      </c>
      <c r="AN15" s="14" t="n">
        <v>12000</v>
      </c>
      <c r="AO15" s="14" t="n">
        <v>-2079.00657489433</v>
      </c>
      <c r="AP15" s="14" t="n">
        <v>1</v>
      </c>
      <c r="AQ15" s="14" t="n">
        <v>0</v>
      </c>
      <c r="AR15" s="14" t="n">
        <v>376.701942829579</v>
      </c>
      <c r="AS15" s="14" t="n">
        <v>314.925245</v>
      </c>
      <c r="AT15" s="14" t="n">
        <v>3855.65032121054</v>
      </c>
      <c r="AU15" s="14" t="n">
        <v>61.7766978295787</v>
      </c>
      <c r="AV15" s="14" t="n">
        <v>0</v>
      </c>
      <c r="AW15" s="14" t="n">
        <v>998.76</v>
      </c>
      <c r="AX15" s="14" t="n">
        <v>314.925245</v>
      </c>
      <c r="AY15" s="14" t="n">
        <v>314.925245</v>
      </c>
      <c r="AZ15" s="14" t="n">
        <v>1499.88285266973</v>
      </c>
      <c r="BA15" s="14" t="n">
        <v>7.61062023459227</v>
      </c>
      <c r="BB15" s="14" t="n">
        <v>16.2679128565286</v>
      </c>
      <c r="BC15" s="14" t="n">
        <v>29.1426299037646</v>
      </c>
      <c r="BD15" s="14" t="n">
        <v>-10.5228208376523</v>
      </c>
      <c r="BE15" s="14" t="n">
        <v>-16.0462338006397</v>
      </c>
      <c r="BF15" s="14" t="n">
        <v>0.281691530055532</v>
      </c>
      <c r="BG15" s="14" t="n">
        <v>-5.24172143293188</v>
      </c>
      <c r="BH15" s="14" t="n">
        <v>4.7826220308265</v>
      </c>
      <c r="BI15" s="14" t="n">
        <v>-0.403691541818507</v>
      </c>
      <c r="BJ15" s="14" t="n">
        <v>3.37118358768332</v>
      </c>
      <c r="BK15" s="14" t="n">
        <v>4.04706880575186</v>
      </c>
      <c r="BL15" s="14" t="n">
        <v>5.70776255707763</v>
      </c>
      <c r="BM15" s="14" t="n">
        <v>5354.49215439957</v>
      </c>
      <c r="BN15" s="14" t="n">
        <v>3805.94290963949</v>
      </c>
      <c r="BO15" s="14" t="n">
        <v>3805.94290963949</v>
      </c>
      <c r="BP15" s="14" t="n">
        <v>376.701942829579</v>
      </c>
      <c r="BQ15" s="14" t="n">
        <v>189.4897</v>
      </c>
      <c r="BR15" s="14" t="n">
        <v>794.6073</v>
      </c>
      <c r="BS15" s="14" t="s">
        <v>2856</v>
      </c>
      <c r="BT15" s="14" t="n">
        <v>37.9555555555556</v>
      </c>
      <c r="BU15" s="14" t="n">
        <v>0.174994125827535</v>
      </c>
      <c r="BV15" s="14" t="n">
        <v>0.127439810912424</v>
      </c>
      <c r="BW15" s="14" t="n">
        <v>13510.8578038903</v>
      </c>
      <c r="BX15" s="14" t="n">
        <v>14061.88573854</v>
      </c>
      <c r="BY15" s="14" t="n">
        <v>202.2031775566</v>
      </c>
      <c r="BZ15" s="14" t="n">
        <v>1732.5375</v>
      </c>
      <c r="CA15" s="14" t="n">
        <v>1028.66496</v>
      </c>
      <c r="CB15" s="14" t="n">
        <v>12000</v>
      </c>
    </row>
    <row r="16" customFormat="false" ht="15" hidden="false" customHeight="false" outlineLevel="0" collapsed="false">
      <c r="A16" s="0" t="s">
        <v>2857</v>
      </c>
      <c r="B16" s="14" t="n">
        <v>2465.07954157611</v>
      </c>
      <c r="C16" s="14" t="n">
        <v>7505.46533149617</v>
      </c>
      <c r="D16" s="14" t="n">
        <v>20180.6645744977</v>
      </c>
      <c r="E16" s="14" t="n">
        <v>3713.46369159839</v>
      </c>
      <c r="F16" s="14" t="n">
        <v>-2744.31323608536</v>
      </c>
      <c r="G16" s="14" t="n">
        <v>6157.55831442391</v>
      </c>
      <c r="H16" s="14" t="n">
        <v>-13788.452855311</v>
      </c>
      <c r="I16" s="15" t="n">
        <v>0.01</v>
      </c>
      <c r="J16" s="15" t="n">
        <v>0</v>
      </c>
      <c r="K16" s="14" t="s">
        <v>60</v>
      </c>
      <c r="L16" s="14" t="n">
        <v>-5083.03411642636</v>
      </c>
      <c r="M16" s="14" t="n">
        <v>33945.2714241299</v>
      </c>
      <c r="N16" s="14" t="n">
        <v>11755.2436196396</v>
      </c>
      <c r="O16" s="14" t="n">
        <v>-19597.94739661</v>
      </c>
      <c r="P16" s="14" t="n">
        <v>951.290832135856</v>
      </c>
      <c r="Q16" s="14" t="n">
        <v>-2387.24800152877</v>
      </c>
      <c r="R16" s="14" t="n">
        <v>17617.7170533315</v>
      </c>
      <c r="S16" s="14" t="n">
        <v>27474.42024149</v>
      </c>
      <c r="T16" s="14" t="n">
        <v>-1219.3302047493</v>
      </c>
      <c r="U16" s="14" t="n">
        <v>-23008.2350595695</v>
      </c>
      <c r="V16" s="14" t="n">
        <v>0.750319556751226</v>
      </c>
      <c r="W16" s="14" t="n">
        <v>39585.0106737962</v>
      </c>
      <c r="X16" s="14" t="n">
        <v>27909.9765115116</v>
      </c>
      <c r="Y16" s="14" t="n">
        <v>0</v>
      </c>
      <c r="Z16" s="14" t="n">
        <v>0</v>
      </c>
      <c r="AA16" s="14" t="n">
        <v>27.424347870838</v>
      </c>
      <c r="AB16" s="14" t="n">
        <v>25.224347870838</v>
      </c>
      <c r="AC16" s="14" t="n">
        <v>26.674347870838</v>
      </c>
      <c r="AD16" s="14" t="n">
        <v>21.0618991648036</v>
      </c>
      <c r="AE16" s="14" t="n">
        <v>674.686407680941</v>
      </c>
      <c r="AF16" s="14" t="n">
        <v>0.03</v>
      </c>
      <c r="AG16" s="14" t="n">
        <v>0.664073049535931</v>
      </c>
      <c r="AH16" s="14" t="n">
        <v>9819.91719809611</v>
      </c>
      <c r="AI16" s="14" t="n">
        <v>20180.6645744977</v>
      </c>
      <c r="AJ16" s="14" t="n">
        <v>16.69175</v>
      </c>
      <c r="AK16" s="14" t="n">
        <v>0</v>
      </c>
      <c r="AL16" s="14" t="n">
        <v>-38861.9696855025</v>
      </c>
      <c r="AM16" s="14" t="n">
        <v>812.6073</v>
      </c>
      <c r="AN16" s="14" t="n">
        <v>20079.98904</v>
      </c>
      <c r="AO16" s="14" t="n">
        <v>-5508.72242389994</v>
      </c>
      <c r="AP16" s="14" t="n">
        <v>0.516474502037109</v>
      </c>
      <c r="AQ16" s="14" t="n">
        <v>0</v>
      </c>
      <c r="AR16" s="14" t="n">
        <v>327.195752</v>
      </c>
      <c r="AS16" s="14" t="n">
        <v>314.925245</v>
      </c>
      <c r="AT16" s="14" t="n">
        <v>-5083.03411642636</v>
      </c>
      <c r="AU16" s="14" t="n">
        <v>12.270507</v>
      </c>
      <c r="AV16" s="14" t="n">
        <v>0</v>
      </c>
      <c r="AW16" s="14" t="n">
        <v>2254.3125</v>
      </c>
      <c r="AX16" s="14" t="n">
        <v>314.925245</v>
      </c>
      <c r="AY16" s="14" t="n">
        <v>314.925245</v>
      </c>
      <c r="AZ16" s="14" t="n">
        <v>5568.83612056339</v>
      </c>
      <c r="BA16" s="14" t="n">
        <v>16.5523136016134</v>
      </c>
      <c r="BB16" s="14" t="n">
        <v>25.2096062235498</v>
      </c>
      <c r="BC16" s="14" t="n">
        <v>39.4374614323522</v>
      </c>
      <c r="BD16" s="14" t="n">
        <v>-5.08067650538881</v>
      </c>
      <c r="BE16" s="14" t="n">
        <v>-3.389032187156</v>
      </c>
      <c r="BF16" s="14" t="n">
        <v>5.28542761383372</v>
      </c>
      <c r="BG16" s="14" t="n">
        <v>6.97707193206652</v>
      </c>
      <c r="BH16" s="14" t="n">
        <v>10.9956654944829</v>
      </c>
      <c r="BI16" s="14" t="n">
        <v>14.5375344778911</v>
      </c>
      <c r="BJ16" s="14" t="n">
        <v>3.71992671744367</v>
      </c>
      <c r="BK16" s="14" t="n">
        <v>4.46573109600205</v>
      </c>
      <c r="BL16" s="14" t="n">
        <v>6.42123287671233</v>
      </c>
      <c r="BM16" s="14" t="n">
        <v>8712.70308277889</v>
      </c>
      <c r="BN16" s="14" t="n">
        <v>7473.09859446594</v>
      </c>
      <c r="BO16" s="14" t="n">
        <v>7473.09859446594</v>
      </c>
      <c r="BP16" s="14" t="n">
        <v>327.195752</v>
      </c>
      <c r="BQ16" s="14" t="n">
        <v>301.7195</v>
      </c>
      <c r="BR16" s="14" t="n">
        <v>1081.9108</v>
      </c>
      <c r="BS16" s="14" t="s">
        <v>2856</v>
      </c>
      <c r="BT16" s="14" t="n">
        <v>37.9555555555556</v>
      </c>
      <c r="BU16" s="14" t="n">
        <v>0.202495480090107</v>
      </c>
      <c r="BV16" s="14" t="n">
        <v>0.204285232461873</v>
      </c>
      <c r="BW16" s="14" t="n">
        <v>13510.8578038903</v>
      </c>
      <c r="BX16" s="14" t="n">
        <v>27107.0656988521</v>
      </c>
      <c r="BY16" s="14" t="n">
        <v>101.717332533528</v>
      </c>
      <c r="BZ16" s="14" t="n">
        <v>0</v>
      </c>
      <c r="CA16" s="14" t="n">
        <v>950.69728</v>
      </c>
      <c r="CB16" s="14" t="n">
        <v>12000</v>
      </c>
    </row>
    <row r="17" customFormat="false" ht="15" hidden="false" customHeight="false" outlineLevel="0" collapsed="false">
      <c r="A17" s="0" t="s">
        <v>2858</v>
      </c>
      <c r="B17" s="14" t="n">
        <v>2465.07954157611</v>
      </c>
      <c r="C17" s="14" t="n">
        <v>7505.46533149617</v>
      </c>
      <c r="D17" s="14" t="n">
        <v>20180.6645744977</v>
      </c>
      <c r="E17" s="14" t="n">
        <v>3713.46369159839</v>
      </c>
      <c r="F17" s="14" t="n">
        <v>-1606.96308130411</v>
      </c>
      <c r="G17" s="14" t="n">
        <v>5020.20815964266</v>
      </c>
      <c r="H17" s="14" t="n">
        <v>7854.59013302158</v>
      </c>
      <c r="I17" s="15" t="n">
        <v>0.01</v>
      </c>
      <c r="J17" s="15" t="n">
        <v>2.28688359991828</v>
      </c>
      <c r="K17" s="14" t="s">
        <v>60</v>
      </c>
      <c r="L17" s="14" t="n">
        <v>-4956.48323642636</v>
      </c>
      <c r="M17" s="14" t="n">
        <v>33802.8714241299</v>
      </c>
      <c r="N17" s="14" t="n">
        <v>11755.2436196396</v>
      </c>
      <c r="O17" s="14" t="n">
        <v>-19023.84719661</v>
      </c>
      <c r="P17" s="14" t="n">
        <v>951.290832135856</v>
      </c>
      <c r="Q17" s="14" t="n">
        <v>61.4155828462322</v>
      </c>
      <c r="R17" s="14" t="n">
        <v>17617.7170533315</v>
      </c>
      <c r="S17" s="14" t="n">
        <v>26970.82024149</v>
      </c>
      <c r="T17" s="14" t="n">
        <v>-955.692204749296</v>
      </c>
      <c r="U17" s="14" t="n">
        <v>-1365.19207123687</v>
      </c>
      <c r="V17" s="14" t="n">
        <v>0.750319556751226</v>
      </c>
      <c r="W17" s="14" t="n">
        <v>53464.5708424573</v>
      </c>
      <c r="X17" s="14" t="n">
        <v>22173.3734272866</v>
      </c>
      <c r="Y17" s="14" t="n">
        <v>2.15131912600733</v>
      </c>
      <c r="Z17" s="14" t="n">
        <v>2.92012166873565</v>
      </c>
      <c r="AA17" s="14" t="n">
        <v>27.424347870838</v>
      </c>
      <c r="AB17" s="14" t="n">
        <v>25.224347870838</v>
      </c>
      <c r="AC17" s="14" t="n">
        <v>26.674347870838</v>
      </c>
      <c r="AD17" s="14" t="n">
        <v>21.0618991648036</v>
      </c>
      <c r="AE17" s="14" t="n">
        <v>674.686407680941</v>
      </c>
      <c r="AF17" s="14" t="n">
        <v>0.03</v>
      </c>
      <c r="AG17" s="14" t="n">
        <v>0.664073049535931</v>
      </c>
      <c r="AH17" s="14" t="n">
        <v>9819.91719809611</v>
      </c>
      <c r="AI17" s="14" t="n">
        <v>20180.6645744977</v>
      </c>
      <c r="AJ17" s="14" t="n">
        <v>16.69175</v>
      </c>
      <c r="AK17" s="14" t="n">
        <v>0</v>
      </c>
      <c r="AL17" s="14" t="n">
        <v>-37200.0960732068</v>
      </c>
      <c r="AM17" s="14" t="n">
        <v>812.6073</v>
      </c>
      <c r="AN17" s="14" t="n">
        <v>20079.98904</v>
      </c>
      <c r="AO17" s="14" t="n">
        <v>-5508.72242389994</v>
      </c>
      <c r="AP17" s="14" t="n">
        <v>0.516474502037109</v>
      </c>
      <c r="AQ17" s="14" t="n">
        <v>2.02379079638786</v>
      </c>
      <c r="AR17" s="14" t="n">
        <v>327.195752</v>
      </c>
      <c r="AS17" s="14" t="n">
        <v>314.925245</v>
      </c>
      <c r="AT17" s="14" t="n">
        <v>-4956.48323642636</v>
      </c>
      <c r="AU17" s="14" t="n">
        <v>12.270507</v>
      </c>
      <c r="AV17" s="14" t="n">
        <v>0</v>
      </c>
      <c r="AW17" s="14" t="n">
        <v>2254.3125</v>
      </c>
      <c r="AX17" s="14" t="n">
        <v>314.925245</v>
      </c>
      <c r="AY17" s="14" t="n">
        <v>314.925245</v>
      </c>
      <c r="AZ17" s="14" t="n">
        <v>5568.83612056339</v>
      </c>
      <c r="BA17" s="14" t="n">
        <v>16.5523136016134</v>
      </c>
      <c r="BB17" s="14" t="n">
        <v>25.2096062235498</v>
      </c>
      <c r="BC17" s="14" t="n">
        <v>39.4374614323522</v>
      </c>
      <c r="BD17" s="14" t="n">
        <v>-5.08067650538881</v>
      </c>
      <c r="BE17" s="14" t="n">
        <v>-3.389032187156</v>
      </c>
      <c r="BF17" s="14" t="n">
        <v>5.28542761383372</v>
      </c>
      <c r="BG17" s="14" t="n">
        <v>6.97707193206652</v>
      </c>
      <c r="BH17" s="14" t="n">
        <v>10.9956654944829</v>
      </c>
      <c r="BI17" s="14" t="n">
        <v>14.5375344778911</v>
      </c>
      <c r="BJ17" s="14" t="n">
        <v>3.71992671744367</v>
      </c>
      <c r="BK17" s="14" t="n">
        <v>4.46573109600205</v>
      </c>
      <c r="BL17" s="14" t="n">
        <v>6.42123287671233</v>
      </c>
      <c r="BM17" s="14" t="n">
        <v>8712.70308277889</v>
      </c>
      <c r="BN17" s="14" t="n">
        <v>7473.09859446594</v>
      </c>
      <c r="BO17" s="14" t="n">
        <v>7473.09859446594</v>
      </c>
      <c r="BP17" s="14" t="n">
        <v>327.195752</v>
      </c>
      <c r="BQ17" s="14" t="n">
        <v>301.7195</v>
      </c>
      <c r="BR17" s="14" t="n">
        <v>1081.9108</v>
      </c>
      <c r="BS17" s="14" t="s">
        <v>2855</v>
      </c>
      <c r="BT17" s="14" t="n">
        <v>37.9555555555556</v>
      </c>
      <c r="BU17" s="14" t="n">
        <v>0.202495480090107</v>
      </c>
      <c r="BV17" s="14" t="n">
        <v>0.204285232461873</v>
      </c>
      <c r="BW17" s="14" t="n">
        <v>13510.8578038903</v>
      </c>
      <c r="BX17" s="14" t="n">
        <v>27107.0656988521</v>
      </c>
      <c r="BY17" s="14" t="n">
        <v>98.1216364538248</v>
      </c>
      <c r="BZ17" s="14" t="n">
        <v>0</v>
      </c>
      <c r="CA17" s="14" t="n">
        <v>950.69728</v>
      </c>
      <c r="CB17" s="14" t="n">
        <v>12000</v>
      </c>
    </row>
    <row r="18" customFormat="false" ht="15" hidden="false" customHeight="false" outlineLevel="0" collapsed="false">
      <c r="A18" s="0" t="s">
        <v>2859</v>
      </c>
      <c r="B18" s="14" t="n">
        <v>2465.07954157611</v>
      </c>
      <c r="C18" s="14" t="n">
        <v>7505.46533149617</v>
      </c>
      <c r="D18" s="14" t="n">
        <v>20180.6645744977</v>
      </c>
      <c r="E18" s="14" t="n">
        <v>3713.46369159839</v>
      </c>
      <c r="F18" s="14" t="n">
        <v>-848.729644783281</v>
      </c>
      <c r="G18" s="14" t="n">
        <v>4261.97472312183</v>
      </c>
      <c r="H18" s="14" t="n">
        <v>22223.6237356467</v>
      </c>
      <c r="I18" s="15" t="n">
        <v>41.2918358812048</v>
      </c>
      <c r="J18" s="15" t="n">
        <v>51.9116353630963</v>
      </c>
      <c r="K18" s="14" t="s">
        <v>60</v>
      </c>
      <c r="L18" s="14" t="n">
        <v>-4956.48323642636</v>
      </c>
      <c r="M18" s="14" t="n">
        <v>33802.8714241299</v>
      </c>
      <c r="N18" s="14" t="n">
        <v>11755.2436196396</v>
      </c>
      <c r="O18" s="14" t="n">
        <v>-19058.5314294287</v>
      </c>
      <c r="P18" s="14" t="n">
        <v>951.290832135856</v>
      </c>
      <c r="Q18" s="14" t="n">
        <v>1693.85797242957</v>
      </c>
      <c r="R18" s="14" t="n">
        <v>17617.7170533315</v>
      </c>
      <c r="S18" s="14" t="n">
        <v>26828.42024149</v>
      </c>
      <c r="T18" s="14" t="n">
        <v>-779.933538082629</v>
      </c>
      <c r="U18" s="14" t="n">
        <v>13003.8415313882</v>
      </c>
      <c r="V18" s="14" t="n">
        <v>0.750319556751226</v>
      </c>
      <c r="W18" s="14" t="n">
        <v>67190.1173890569</v>
      </c>
      <c r="X18" s="14" t="n">
        <v>19612.5665794705</v>
      </c>
      <c r="Y18" s="14" t="n">
        <v>48.8343586979846</v>
      </c>
      <c r="Z18" s="14" t="n">
        <v>66.2859671951376</v>
      </c>
      <c r="AA18" s="14" t="n">
        <v>27.424347870838</v>
      </c>
      <c r="AB18" s="14" t="n">
        <v>25.224347870838</v>
      </c>
      <c r="AC18" s="14" t="n">
        <v>26.674347870838</v>
      </c>
      <c r="AD18" s="14" t="n">
        <v>21.0618991648036</v>
      </c>
      <c r="AE18" s="14" t="n">
        <v>674.686407680941</v>
      </c>
      <c r="AF18" s="14" t="n">
        <v>0.03</v>
      </c>
      <c r="AG18" s="14" t="n">
        <v>0.664073049535931</v>
      </c>
      <c r="AH18" s="14" t="n">
        <v>9819.91719809611</v>
      </c>
      <c r="AI18" s="14" t="n">
        <v>20180.6645744977</v>
      </c>
      <c r="AJ18" s="14" t="n">
        <v>16.69175</v>
      </c>
      <c r="AK18" s="14" t="n">
        <v>0</v>
      </c>
      <c r="AL18" s="14" t="n">
        <v>-37370.965735808</v>
      </c>
      <c r="AM18" s="14" t="n">
        <v>812.6073</v>
      </c>
      <c r="AN18" s="14" t="n">
        <v>20079.98904</v>
      </c>
      <c r="AO18" s="14" t="n">
        <v>-5508.72242389994</v>
      </c>
      <c r="AP18" s="14" t="n">
        <v>0.516474502037109</v>
      </c>
      <c r="AQ18" s="14" t="n">
        <v>45.9395003213241</v>
      </c>
      <c r="AR18" s="14" t="n">
        <v>327.195752</v>
      </c>
      <c r="AS18" s="14" t="n">
        <v>314.925245</v>
      </c>
      <c r="AT18" s="14" t="n">
        <v>-4956.48323642636</v>
      </c>
      <c r="AU18" s="14" t="n">
        <v>12.270507</v>
      </c>
      <c r="AV18" s="14" t="n">
        <v>0</v>
      </c>
      <c r="AW18" s="14" t="n">
        <v>2254.3125</v>
      </c>
      <c r="AX18" s="14" t="n">
        <v>314.925245</v>
      </c>
      <c r="AY18" s="14" t="n">
        <v>314.925245</v>
      </c>
      <c r="AZ18" s="14" t="n">
        <v>5568.83612056339</v>
      </c>
      <c r="BA18" s="14" t="n">
        <v>16.5523136016134</v>
      </c>
      <c r="BB18" s="14" t="n">
        <v>25.2096062235498</v>
      </c>
      <c r="BC18" s="14" t="n">
        <v>39.4374614323522</v>
      </c>
      <c r="BD18" s="14" t="n">
        <v>-5.08067650538881</v>
      </c>
      <c r="BE18" s="14" t="n">
        <v>-3.389032187156</v>
      </c>
      <c r="BF18" s="14" t="n">
        <v>5.28542761383372</v>
      </c>
      <c r="BG18" s="14" t="n">
        <v>6.97707193206652</v>
      </c>
      <c r="BH18" s="14" t="n">
        <v>10.9956654944829</v>
      </c>
      <c r="BI18" s="14" t="n">
        <v>14.5375344778911</v>
      </c>
      <c r="BJ18" s="14" t="n">
        <v>3.71992671744367</v>
      </c>
      <c r="BK18" s="14" t="n">
        <v>4.46573109600205</v>
      </c>
      <c r="BL18" s="14" t="n">
        <v>6.42123287671233</v>
      </c>
      <c r="BM18" s="14" t="n">
        <v>8712.70308277889</v>
      </c>
      <c r="BN18" s="14" t="n">
        <v>7473.09859446594</v>
      </c>
      <c r="BO18" s="14" t="n">
        <v>7473.09859446594</v>
      </c>
      <c r="BP18" s="14" t="n">
        <v>327.195752</v>
      </c>
      <c r="BQ18" s="14" t="n">
        <v>301.7195</v>
      </c>
      <c r="BR18" s="14" t="n">
        <v>1081.9108</v>
      </c>
      <c r="BS18" s="14" t="s">
        <v>2855</v>
      </c>
      <c r="BT18" s="14" t="n">
        <v>37.9555555555556</v>
      </c>
      <c r="BU18" s="14" t="n">
        <v>0.202495480090107</v>
      </c>
      <c r="BV18" s="14" t="n">
        <v>0.204285232461873</v>
      </c>
      <c r="BW18" s="14" t="n">
        <v>13510.8578038903</v>
      </c>
      <c r="BX18" s="14" t="n">
        <v>27107.0656988521</v>
      </c>
      <c r="BY18" s="14" t="n">
        <v>98.490035536871</v>
      </c>
      <c r="BZ18" s="14" t="n">
        <v>0</v>
      </c>
      <c r="CA18" s="14" t="n">
        <v>950.69728</v>
      </c>
      <c r="CB18" s="14" t="n">
        <v>12000</v>
      </c>
    </row>
    <row r="19" customFormat="false" ht="15" hidden="false" customHeight="false" outlineLevel="0" collapsed="false">
      <c r="A19" s="0" t="s">
        <v>409</v>
      </c>
      <c r="B19" s="14" t="n">
        <v>4717.17351949597</v>
      </c>
      <c r="C19" s="14" t="n">
        <v>18623.8940548438</v>
      </c>
      <c r="D19" s="14" t="n">
        <v>36144.9642566181</v>
      </c>
      <c r="E19" s="14" t="n">
        <v>9913.31168518913</v>
      </c>
      <c r="F19" s="14" t="n">
        <v>630.483041448765</v>
      </c>
      <c r="G19" s="14" t="n">
        <v>8537.87288154661</v>
      </c>
      <c r="H19" s="14" t="n">
        <v>50168.4771081705</v>
      </c>
      <c r="I19" s="15" t="n">
        <v>89.4593947692325</v>
      </c>
      <c r="J19" s="15" t="n">
        <v>104.149130792242</v>
      </c>
      <c r="K19" s="14" t="s">
        <v>1072</v>
      </c>
      <c r="L19" s="14" t="n">
        <v>-26207.081283598</v>
      </c>
      <c r="M19" s="14" t="n">
        <v>44947.8398121153</v>
      </c>
      <c r="N19" s="14" t="n">
        <v>21824.3938819048</v>
      </c>
      <c r="O19" s="14" t="n">
        <v>-52662.7674052187</v>
      </c>
      <c r="P19" s="14" t="n">
        <v>1891.40289751754</v>
      </c>
      <c r="Q19" s="14" t="n">
        <v>3678.58686886873</v>
      </c>
      <c r="R19" s="14" t="n">
        <v>34553.7236206329</v>
      </c>
      <c r="S19" s="14" t="n">
        <v>49028.7873322868</v>
      </c>
      <c r="T19" s="14" t="n">
        <v>-106.163624720324</v>
      </c>
      <c r="U19" s="14" t="n">
        <v>29339.8424152328</v>
      </c>
      <c r="V19" s="14" t="n">
        <v>0.750319556751226</v>
      </c>
      <c r="W19" s="14" t="n">
        <v>113428.130526257</v>
      </c>
      <c r="X19" s="14" t="n">
        <v>39025.7224639361</v>
      </c>
      <c r="Y19" s="14" t="n">
        <v>97.9752607602743</v>
      </c>
      <c r="Z19" s="14" t="n">
        <v>132.988025108613</v>
      </c>
      <c r="AA19" s="14" t="n">
        <v>27.424347870838</v>
      </c>
      <c r="AB19" s="14" t="n">
        <v>25.224347870838</v>
      </c>
      <c r="AC19" s="14" t="n">
        <v>26.674347870838</v>
      </c>
      <c r="AD19" s="14" t="n">
        <v>21.0618991648036</v>
      </c>
      <c r="AE19" s="14" t="n">
        <v>1174.41264359986</v>
      </c>
      <c r="AF19" s="14" t="n">
        <v>0.03</v>
      </c>
      <c r="AG19" s="14" t="n">
        <v>0.672733547217726</v>
      </c>
      <c r="AH19" s="14" t="n">
        <v>-6340.67808807054</v>
      </c>
      <c r="AI19" s="14" t="n">
        <v>36144.9642566181</v>
      </c>
      <c r="AJ19" s="14" t="n">
        <v>16.69175</v>
      </c>
      <c r="AK19" s="14" t="n">
        <v>0</v>
      </c>
      <c r="AL19" s="14" t="n">
        <v>-67991.893306077</v>
      </c>
      <c r="AM19" s="14" t="n">
        <v>1575</v>
      </c>
      <c r="AN19" s="14" t="n">
        <v>28082.8599623838</v>
      </c>
      <c r="AO19" s="14" t="n">
        <v>-9414.76444669854</v>
      </c>
      <c r="AP19" s="14" t="n">
        <v>0</v>
      </c>
      <c r="AQ19" s="14" t="n">
        <v>92.1673723825147</v>
      </c>
      <c r="AR19" s="14" t="n">
        <v>340.435025469855</v>
      </c>
      <c r="AS19" s="14" t="n">
        <v>327.968264159592</v>
      </c>
      <c r="AT19" s="14" t="n">
        <v>-26207.081283598</v>
      </c>
      <c r="AU19" s="14" t="n">
        <v>12.270507</v>
      </c>
      <c r="AV19" s="14" t="n">
        <v>0</v>
      </c>
      <c r="AW19" s="14" t="n">
        <v>2254.3125</v>
      </c>
      <c r="AX19" s="14" t="n">
        <v>327.968264159592</v>
      </c>
      <c r="AY19" s="14" t="n">
        <v>325.934860779495</v>
      </c>
      <c r="AZ19" s="14" t="n">
        <v>6064.83254998865</v>
      </c>
      <c r="BA19" s="14" t="n">
        <v>0</v>
      </c>
      <c r="BB19" s="14" t="n">
        <v>0</v>
      </c>
      <c r="BC19" s="14" t="n">
        <v>3.46708340656774</v>
      </c>
      <c r="BD19" s="14" t="n">
        <v>-5.08067650538881</v>
      </c>
      <c r="BE19" s="14" t="n">
        <v>-3.389032187156</v>
      </c>
      <c r="BF19" s="14" t="n">
        <v>5.28542761383372</v>
      </c>
      <c r="BG19" s="14" t="n">
        <v>6.97707193206652</v>
      </c>
      <c r="BH19" s="14" t="n">
        <v>10.9956654944829</v>
      </c>
      <c r="BI19" s="14" t="n">
        <v>14.5375344778911</v>
      </c>
      <c r="BJ19" s="14" t="n">
        <v>3.71992671744367</v>
      </c>
      <c r="BK19" s="14" t="n">
        <v>4.46573109600205</v>
      </c>
      <c r="BL19" s="14" t="n">
        <v>6.42123287671233</v>
      </c>
      <c r="BM19" s="14" t="n">
        <v>8712.70308277889</v>
      </c>
      <c r="BN19" s="14" t="n">
        <v>18591.5273178136</v>
      </c>
      <c r="BO19" s="14" t="n">
        <v>18591.5273178136</v>
      </c>
      <c r="BP19" s="14" t="n">
        <v>340.435025469855</v>
      </c>
      <c r="BQ19" s="14" t="n">
        <v>301.7195</v>
      </c>
      <c r="BR19" s="14" t="n">
        <v>1081.9108</v>
      </c>
      <c r="BS19" s="14" t="s">
        <v>2855</v>
      </c>
      <c r="BT19" s="14" t="n">
        <v>37.9555555555556</v>
      </c>
      <c r="BU19" s="14" t="n">
        <v>0.202495480090107</v>
      </c>
      <c r="BV19" s="14" t="n">
        <v>0.204285232461873</v>
      </c>
      <c r="BW19" s="14" t="n">
        <v>13328.9507681851</v>
      </c>
      <c r="BX19" s="14" t="n">
        <v>26915.3671366004</v>
      </c>
      <c r="BY19" s="14" t="n">
        <v>171.084672545649</v>
      </c>
      <c r="BZ19" s="14" t="n">
        <v>0</v>
      </c>
      <c r="CA19" s="14" t="n">
        <v>950.69728</v>
      </c>
      <c r="CB19" s="14" t="n">
        <v>12000</v>
      </c>
    </row>
    <row r="20" customFormat="false" ht="15" hidden="false" customHeight="false" outlineLevel="0" collapsed="false">
      <c r="A20" s="0" t="s">
        <v>2860</v>
      </c>
      <c r="B20" s="14" t="n">
        <v>2455.86214474906</v>
      </c>
      <c r="C20" s="14" t="n">
        <v>6198.44457264691</v>
      </c>
      <c r="D20" s="14" t="n">
        <v>17585.0664579249</v>
      </c>
      <c r="E20" s="14" t="n">
        <v>3224.0136450597</v>
      </c>
      <c r="F20" s="14" t="n">
        <v>-1106.70982147433</v>
      </c>
      <c r="G20" s="14" t="n">
        <v>4082.78568362815</v>
      </c>
      <c r="H20" s="14" t="n">
        <v>699.422672108452</v>
      </c>
      <c r="I20" s="15" t="n">
        <v>0.01</v>
      </c>
      <c r="J20" s="15" t="n">
        <v>0</v>
      </c>
      <c r="K20" s="14" t="s">
        <v>50</v>
      </c>
      <c r="L20" s="14" t="n">
        <v>-938.535804432917</v>
      </c>
      <c r="M20" s="14" t="n">
        <v>34253.615196453</v>
      </c>
      <c r="N20" s="14" t="n">
        <v>10238.7749670314</v>
      </c>
      <c r="O20" s="14" t="n">
        <v>-18164.8933548933</v>
      </c>
      <c r="P20" s="14" t="n">
        <v>964.542552581352</v>
      </c>
      <c r="Q20" s="14" t="n">
        <v>-426.561316415585</v>
      </c>
      <c r="R20" s="14" t="n">
        <v>12911.366797895</v>
      </c>
      <c r="S20" s="14" t="n">
        <v>28613.3451791585</v>
      </c>
      <c r="T20" s="14" t="n">
        <v>-942.075203303879</v>
      </c>
      <c r="U20" s="14" t="n">
        <v>-6474.16233698511</v>
      </c>
      <c r="V20" s="14" t="n">
        <v>0.750319556751226</v>
      </c>
      <c r="W20" s="14" t="n">
        <v>51229.9062911188</v>
      </c>
      <c r="X20" s="14" t="n">
        <v>22399.183231974</v>
      </c>
      <c r="Y20" s="14" t="n">
        <v>0</v>
      </c>
      <c r="Z20" s="14" t="n">
        <v>0</v>
      </c>
      <c r="AA20" s="14" t="n">
        <v>27.424347870838</v>
      </c>
      <c r="AB20" s="14" t="n">
        <v>25.224347870838</v>
      </c>
      <c r="AC20" s="14" t="n">
        <v>26.674347870838</v>
      </c>
      <c r="AD20" s="14" t="n">
        <v>21.0618991648036</v>
      </c>
      <c r="AE20" s="14" t="n">
        <v>678.101280841781</v>
      </c>
      <c r="AF20" s="14" t="n">
        <v>0.03</v>
      </c>
      <c r="AG20" s="14" t="n">
        <v>0.662930966975272</v>
      </c>
      <c r="AH20" s="14" t="n">
        <v>14557.4233994358</v>
      </c>
      <c r="AI20" s="14" t="n">
        <v>17585.0664579249</v>
      </c>
      <c r="AJ20" s="14" t="n">
        <v>16.69175</v>
      </c>
      <c r="AK20" s="14" t="n">
        <v>0</v>
      </c>
      <c r="AL20" s="14" t="n">
        <v>-37420.4487243618</v>
      </c>
      <c r="AM20" s="14" t="n">
        <v>629.5368</v>
      </c>
      <c r="AN20" s="14" t="n">
        <v>20954.940915</v>
      </c>
      <c r="AO20" s="14" t="n">
        <v>-6110.62634870079</v>
      </c>
      <c r="AP20" s="14" t="n">
        <v>0.83890014004783</v>
      </c>
      <c r="AQ20" s="14" t="n">
        <v>0</v>
      </c>
      <c r="AR20" s="14" t="n">
        <v>327.195752</v>
      </c>
      <c r="AS20" s="14" t="n">
        <v>314.925245</v>
      </c>
      <c r="AT20" s="14" t="n">
        <v>-938.535804432917</v>
      </c>
      <c r="AU20" s="14" t="n">
        <v>12.270507</v>
      </c>
      <c r="AV20" s="14" t="n">
        <v>0</v>
      </c>
      <c r="AW20" s="14" t="n">
        <v>2254.3125</v>
      </c>
      <c r="AX20" s="14" t="n">
        <v>314.925245</v>
      </c>
      <c r="AY20" s="14" t="n">
        <v>314.925245</v>
      </c>
      <c r="AZ20" s="14" t="n">
        <v>5723.66252642219</v>
      </c>
      <c r="BA20" s="14" t="n">
        <v>23.5413487328672</v>
      </c>
      <c r="BB20" s="14" t="n">
        <v>32.1986413548035</v>
      </c>
      <c r="BC20" s="14" t="n">
        <v>46.426496563606</v>
      </c>
      <c r="BD20" s="14" t="n">
        <v>-5.08067650538881</v>
      </c>
      <c r="BE20" s="14" t="n">
        <v>-3.389032187156</v>
      </c>
      <c r="BF20" s="14" t="n">
        <v>5.28542761383372</v>
      </c>
      <c r="BG20" s="14" t="n">
        <v>6.97707193206652</v>
      </c>
      <c r="BH20" s="14" t="n">
        <v>10.9956654944829</v>
      </c>
      <c r="BI20" s="14" t="n">
        <v>14.5375344778911</v>
      </c>
      <c r="BJ20" s="14" t="n">
        <v>3.71992671744367</v>
      </c>
      <c r="BK20" s="14" t="n">
        <v>4.46573109600205</v>
      </c>
      <c r="BL20" s="14" t="n">
        <v>6.42123287671233</v>
      </c>
      <c r="BM20" s="14" t="n">
        <v>8712.70308277889</v>
      </c>
      <c r="BN20" s="14" t="n">
        <v>6166.07783561668</v>
      </c>
      <c r="BO20" s="14" t="n">
        <v>6166.07783561668</v>
      </c>
      <c r="BP20" s="14" t="n">
        <v>327.195752</v>
      </c>
      <c r="BQ20" s="14" t="n">
        <v>301.7195</v>
      </c>
      <c r="BR20" s="14" t="n">
        <v>1081.9108</v>
      </c>
      <c r="BS20" s="14" t="s">
        <v>2856</v>
      </c>
      <c r="BT20" s="14" t="n">
        <v>37.9555555555556</v>
      </c>
      <c r="BU20" s="14" t="n">
        <v>0.202495480090107</v>
      </c>
      <c r="BV20" s="14" t="n">
        <v>0.204285232461873</v>
      </c>
      <c r="BW20" s="14" t="n">
        <v>13510.8578038903</v>
      </c>
      <c r="BX20" s="14" t="n">
        <v>27107.0656988521</v>
      </c>
      <c r="BY20" s="14" t="n">
        <v>99.2891447450402</v>
      </c>
      <c r="BZ20" s="14" t="n">
        <v>0</v>
      </c>
      <c r="CA20" s="14" t="n">
        <v>1086.26496</v>
      </c>
      <c r="CB20" s="14" t="n">
        <v>12000</v>
      </c>
    </row>
    <row r="21" customFormat="false" ht="15" hidden="false" customHeight="false" outlineLevel="0" collapsed="false">
      <c r="A21" s="0" t="s">
        <v>2861</v>
      </c>
      <c r="B21" s="14" t="n">
        <v>2465.07954157611</v>
      </c>
      <c r="C21" s="14" t="n">
        <v>7505.46533149617</v>
      </c>
      <c r="D21" s="14" t="n">
        <v>20180.6645744977</v>
      </c>
      <c r="E21" s="14" t="n">
        <v>3713.46369159839</v>
      </c>
      <c r="F21" s="14" t="n">
        <v>-1163.88644694327</v>
      </c>
      <c r="G21" s="14" t="n">
        <v>4577.13152528182</v>
      </c>
      <c r="H21" s="14" t="n">
        <v>13628.8493358478</v>
      </c>
      <c r="I21" s="15" t="n">
        <v>14.0003610431085</v>
      </c>
      <c r="J21" s="15" t="n">
        <v>22.2288078434631</v>
      </c>
      <c r="K21" s="14" t="s">
        <v>50</v>
      </c>
      <c r="L21" s="14" t="n">
        <v>-204.861985982339</v>
      </c>
      <c r="M21" s="14" t="n">
        <v>29100</v>
      </c>
      <c r="N21" s="14" t="n">
        <v>11755.2436196396</v>
      </c>
      <c r="O21" s="14" t="n">
        <v>-14319.9555526162</v>
      </c>
      <c r="P21" s="14" t="n">
        <v>951.290832135856</v>
      </c>
      <c r="Q21" s="14" t="n">
        <v>1001.98986767222</v>
      </c>
      <c r="R21" s="14" t="n">
        <v>17617.7170533315</v>
      </c>
      <c r="S21" s="14" t="n">
        <v>26970.82024149</v>
      </c>
      <c r="T21" s="14" t="n">
        <v>-955.692204749296</v>
      </c>
      <c r="U21" s="14" t="n">
        <v>4409.0671315894</v>
      </c>
      <c r="V21" s="14" t="n">
        <v>0.750319556751226</v>
      </c>
      <c r="W21" s="14" t="n">
        <v>55392.4548694957</v>
      </c>
      <c r="X21" s="14" t="n">
        <v>21933.2787611976</v>
      </c>
      <c r="Y21" s="14" t="n">
        <v>20.9111034176347</v>
      </c>
      <c r="Z21" s="14" t="n">
        <v>28.383964735318</v>
      </c>
      <c r="AA21" s="14" t="n">
        <v>27.424347870838</v>
      </c>
      <c r="AB21" s="14" t="n">
        <v>25.224347870838</v>
      </c>
      <c r="AC21" s="14" t="n">
        <v>26.674347870838</v>
      </c>
      <c r="AD21" s="14" t="n">
        <v>21.0618991648036</v>
      </c>
      <c r="AE21" s="14" t="n">
        <v>674.686407680941</v>
      </c>
      <c r="AF21" s="14" t="n">
        <v>0.03</v>
      </c>
      <c r="AG21" s="14" t="n">
        <v>0.664073049535931</v>
      </c>
      <c r="AH21" s="14" t="n">
        <v>9819.91719809611</v>
      </c>
      <c r="AI21" s="14" t="n">
        <v>20180.6645744977</v>
      </c>
      <c r="AJ21" s="14" t="n">
        <v>16.69175</v>
      </c>
      <c r="AK21" s="14" t="n">
        <v>0</v>
      </c>
      <c r="AL21" s="14" t="n">
        <v>-32674.0656601881</v>
      </c>
      <c r="AM21" s="14" t="n">
        <v>812.6073</v>
      </c>
      <c r="AN21" s="14" t="n">
        <v>20079.98904</v>
      </c>
      <c r="AO21" s="14" t="n">
        <v>-5508.72242389994</v>
      </c>
      <c r="AP21" s="14" t="n">
        <v>0.516474502037109</v>
      </c>
      <c r="AQ21" s="14" t="n">
        <v>19.6715113658966</v>
      </c>
      <c r="AR21" s="14" t="n">
        <v>327.195752</v>
      </c>
      <c r="AS21" s="14" t="n">
        <v>314.925245</v>
      </c>
      <c r="AT21" s="14" t="n">
        <v>-204.861985982339</v>
      </c>
      <c r="AU21" s="14" t="n">
        <v>12.270507</v>
      </c>
      <c r="AV21" s="14" t="n">
        <v>0</v>
      </c>
      <c r="AW21" s="14" t="n">
        <v>2254.3125</v>
      </c>
      <c r="AX21" s="14" t="n">
        <v>314.925245</v>
      </c>
      <c r="AY21" s="14" t="n">
        <v>314.925245</v>
      </c>
      <c r="AZ21" s="14" t="n">
        <v>5568.83612056339</v>
      </c>
      <c r="BA21" s="14" t="n">
        <v>16.5523136016134</v>
      </c>
      <c r="BB21" s="14" t="n">
        <v>25.2096062235498</v>
      </c>
      <c r="BC21" s="14" t="n">
        <v>39.4374614323522</v>
      </c>
      <c r="BD21" s="14" t="n">
        <v>-5.08067650538881</v>
      </c>
      <c r="BE21" s="14" t="n">
        <v>-3.389032187156</v>
      </c>
      <c r="BF21" s="14" t="n">
        <v>5.28542761383372</v>
      </c>
      <c r="BG21" s="14" t="n">
        <v>6.97707193206652</v>
      </c>
      <c r="BH21" s="14" t="n">
        <v>10.9956654944829</v>
      </c>
      <c r="BI21" s="14" t="n">
        <v>14.5375344778911</v>
      </c>
      <c r="BJ21" s="14" t="n">
        <v>3.71992671744367</v>
      </c>
      <c r="BK21" s="14" t="n">
        <v>4.46573109600205</v>
      </c>
      <c r="BL21" s="14" t="n">
        <v>6.42123287671233</v>
      </c>
      <c r="BM21" s="14" t="n">
        <v>8712.70308277889</v>
      </c>
      <c r="BN21" s="14" t="n">
        <v>7473.09859446594</v>
      </c>
      <c r="BO21" s="14" t="n">
        <v>7473.09859446594</v>
      </c>
      <c r="BP21" s="14" t="n">
        <v>327.195752</v>
      </c>
      <c r="BQ21" s="14" t="n">
        <v>301.7195</v>
      </c>
      <c r="BR21" s="14" t="n">
        <v>1081.9108</v>
      </c>
      <c r="BS21" s="14" t="s">
        <v>2855</v>
      </c>
      <c r="BT21" s="14" t="n">
        <v>37.9555555555556</v>
      </c>
      <c r="BU21" s="14" t="n">
        <v>0.202495480090107</v>
      </c>
      <c r="BV21" s="14" t="n">
        <v>0.204285232461873</v>
      </c>
      <c r="BW21" s="14" t="n">
        <v>13510.8578038903</v>
      </c>
      <c r="BX21" s="14" t="n">
        <v>27107.0656988521</v>
      </c>
      <c r="BY21" s="14" t="n">
        <v>87.8192842842124</v>
      </c>
      <c r="BZ21" s="14" t="n">
        <v>0</v>
      </c>
      <c r="CA21" s="14" t="n">
        <v>950.69728</v>
      </c>
      <c r="CB21" s="14" t="n">
        <v>12000</v>
      </c>
    </row>
    <row r="22" customFormat="false" ht="15" hidden="false" customHeight="false" outlineLevel="0" collapsed="false">
      <c r="A22" s="0" t="s">
        <v>377</v>
      </c>
      <c r="B22" s="14" t="n">
        <v>2465.07954157611</v>
      </c>
      <c r="C22" s="14" t="n">
        <v>7730.01705613238</v>
      </c>
      <c r="D22" s="14" t="n">
        <v>20313.5035332109</v>
      </c>
      <c r="E22" s="14" t="n">
        <v>3872.8954160901</v>
      </c>
      <c r="F22" s="14" t="n">
        <v>-1456.74483753751</v>
      </c>
      <c r="G22" s="14" t="n">
        <v>5020.43957138232</v>
      </c>
      <c r="H22" s="14" t="n">
        <v>8640.5645000475</v>
      </c>
      <c r="I22" s="15" t="n">
        <v>0.01</v>
      </c>
      <c r="J22" s="15" t="n">
        <v>5.0013168690253</v>
      </c>
      <c r="K22" s="14" t="s">
        <v>60</v>
      </c>
      <c r="L22" s="14" t="n">
        <v>-4800.96449161293</v>
      </c>
      <c r="M22" s="14" t="n">
        <v>33807.3624586227</v>
      </c>
      <c r="N22" s="14" t="n">
        <v>11856.2012282617</v>
      </c>
      <c r="O22" s="14" t="n">
        <v>-18770.0276223488</v>
      </c>
      <c r="P22" s="14" t="n">
        <v>951.290832135856</v>
      </c>
      <c r="Q22" s="14" t="n">
        <v>155.958633971497</v>
      </c>
      <c r="R22" s="14" t="n">
        <v>17617.7170533315</v>
      </c>
      <c r="S22" s="14" t="n">
        <v>26973.4770206642</v>
      </c>
      <c r="T22" s="14" t="n">
        <v>-955.692204749296</v>
      </c>
      <c r="U22" s="14" t="n">
        <v>-579.217704210951</v>
      </c>
      <c r="V22" s="14" t="n">
        <v>0.750319556751226</v>
      </c>
      <c r="W22" s="14" t="n">
        <v>53952.0669063441</v>
      </c>
      <c r="X22" s="14" t="n">
        <v>22175.6560509456</v>
      </c>
      <c r="Y22" s="14" t="n">
        <v>4.70484314809101</v>
      </c>
      <c r="Z22" s="14" t="n">
        <v>6.3861815100584</v>
      </c>
      <c r="AA22" s="14" t="n">
        <v>27.424347870838</v>
      </c>
      <c r="AB22" s="14" t="n">
        <v>25.224347870838</v>
      </c>
      <c r="AC22" s="14" t="n">
        <v>26.674347870838</v>
      </c>
      <c r="AD22" s="14" t="n">
        <v>21.0618991648036</v>
      </c>
      <c r="AE22" s="14" t="n">
        <v>674.686407680941</v>
      </c>
      <c r="AF22" s="14" t="n">
        <v>0.03</v>
      </c>
      <c r="AG22" s="14" t="n">
        <v>0.664417047975772</v>
      </c>
      <c r="AH22" s="14" t="n">
        <v>9819.91719809611</v>
      </c>
      <c r="AI22" s="14" t="n">
        <v>20313.5035332109</v>
      </c>
      <c r="AJ22" s="14" t="n">
        <v>16.99296875</v>
      </c>
      <c r="AK22" s="14" t="n">
        <v>0</v>
      </c>
      <c r="AL22" s="14" t="n">
        <v>-36889.530193251</v>
      </c>
      <c r="AM22" s="14" t="n">
        <v>812.6073</v>
      </c>
      <c r="AN22" s="14" t="n">
        <v>20079.98904</v>
      </c>
      <c r="AO22" s="14" t="n">
        <v>-5508.72242389994</v>
      </c>
      <c r="AP22" s="14" t="n">
        <v>0.492600934820573</v>
      </c>
      <c r="AQ22" s="14" t="n">
        <v>4.42594413188079</v>
      </c>
      <c r="AR22" s="14" t="n">
        <v>327.195752</v>
      </c>
      <c r="AS22" s="14" t="n">
        <v>314.925245</v>
      </c>
      <c r="AT22" s="14" t="n">
        <v>-4800.96449161293</v>
      </c>
      <c r="AU22" s="14" t="n">
        <v>12.270507</v>
      </c>
      <c r="AV22" s="14" t="n">
        <v>0</v>
      </c>
      <c r="AW22" s="14" t="n">
        <v>2254.3125</v>
      </c>
      <c r="AX22" s="14" t="n">
        <v>314.925245</v>
      </c>
      <c r="AY22" s="14" t="n">
        <v>314.925245</v>
      </c>
      <c r="AZ22" s="14" t="n">
        <v>5620.42623045207</v>
      </c>
      <c r="BA22" s="14" t="n">
        <v>16.7161306048793</v>
      </c>
      <c r="BB22" s="14" t="n">
        <v>25.3734232268157</v>
      </c>
      <c r="BC22" s="14" t="n">
        <v>39.6012784356181</v>
      </c>
      <c r="BD22" s="14" t="n">
        <v>-5.08067650538881</v>
      </c>
      <c r="BE22" s="14" t="n">
        <v>-3.389032187156</v>
      </c>
      <c r="BF22" s="14" t="n">
        <v>5.28542761383372</v>
      </c>
      <c r="BG22" s="14" t="n">
        <v>6.97707193206652</v>
      </c>
      <c r="BH22" s="14" t="n">
        <v>10.9956654944829</v>
      </c>
      <c r="BI22" s="14" t="n">
        <v>14.5375344778911</v>
      </c>
      <c r="BJ22" s="14" t="n">
        <v>3.71992671744367</v>
      </c>
      <c r="BK22" s="14" t="n">
        <v>4.46573109600205</v>
      </c>
      <c r="BL22" s="14" t="n">
        <v>6.42123287671233</v>
      </c>
      <c r="BM22" s="14" t="n">
        <v>8712.70308277889</v>
      </c>
      <c r="BN22" s="14" t="n">
        <v>7697.65031910215</v>
      </c>
      <c r="BO22" s="14" t="n">
        <v>7697.65031910215</v>
      </c>
      <c r="BP22" s="14" t="n">
        <v>327.195752</v>
      </c>
      <c r="BQ22" s="14" t="n">
        <v>301.7195</v>
      </c>
      <c r="BR22" s="14" t="n">
        <v>1081.9108</v>
      </c>
      <c r="BS22" s="14" t="s">
        <v>2855</v>
      </c>
      <c r="BT22" s="14" t="n">
        <v>37.9555555555556</v>
      </c>
      <c r="BU22" s="14" t="n">
        <v>0.202495480090107</v>
      </c>
      <c r="BV22" s="14" t="n">
        <v>0.204285232461873</v>
      </c>
      <c r="BW22" s="14" t="n">
        <v>13510.8578038903</v>
      </c>
      <c r="BX22" s="14" t="n">
        <v>27107.0656988521</v>
      </c>
      <c r="BY22" s="14" t="n">
        <v>97.4301149011577</v>
      </c>
      <c r="BZ22" s="14" t="n">
        <v>0</v>
      </c>
      <c r="CA22" s="14" t="n">
        <v>950.69728</v>
      </c>
      <c r="CB22" s="14" t="n">
        <v>12000</v>
      </c>
    </row>
    <row r="23" customFormat="false" ht="15" hidden="false" customHeight="false" outlineLevel="0" collapsed="false">
      <c r="A23" s="0" t="s">
        <v>378</v>
      </c>
      <c r="B23" s="14" t="n">
        <v>2465.07954157611</v>
      </c>
      <c r="C23" s="14" t="n">
        <v>7505.46533149617</v>
      </c>
      <c r="D23" s="14" t="n">
        <v>20180.6645744977</v>
      </c>
      <c r="E23" s="14" t="n">
        <v>3713.46369159839</v>
      </c>
      <c r="F23" s="14" t="n">
        <v>-1606.96308130411</v>
      </c>
      <c r="G23" s="14" t="n">
        <v>5020.20815964266</v>
      </c>
      <c r="H23" s="14" t="n">
        <v>7854.59013302158</v>
      </c>
      <c r="I23" s="15" t="n">
        <v>0.01</v>
      </c>
      <c r="J23" s="15" t="n">
        <v>2.28688359991828</v>
      </c>
      <c r="K23" s="14" t="s">
        <v>60</v>
      </c>
      <c r="L23" s="14" t="n">
        <v>-4956.48323642636</v>
      </c>
      <c r="M23" s="14" t="n">
        <v>33802.8714241299</v>
      </c>
      <c r="N23" s="14" t="n">
        <v>11755.2436196396</v>
      </c>
      <c r="O23" s="14" t="n">
        <v>-19023.84719661</v>
      </c>
      <c r="P23" s="14" t="n">
        <v>951.290832135856</v>
      </c>
      <c r="Q23" s="14" t="n">
        <v>61.4155828462322</v>
      </c>
      <c r="R23" s="14" t="n">
        <v>17617.7170533315</v>
      </c>
      <c r="S23" s="14" t="n">
        <v>26970.82024149</v>
      </c>
      <c r="T23" s="14" t="n">
        <v>-955.692204749296</v>
      </c>
      <c r="U23" s="14" t="n">
        <v>-1365.19207123687</v>
      </c>
      <c r="V23" s="14" t="n">
        <v>0.750319556751226</v>
      </c>
      <c r="W23" s="14" t="n">
        <v>53464.5708424573</v>
      </c>
      <c r="X23" s="14" t="n">
        <v>22173.3734272866</v>
      </c>
      <c r="Y23" s="14" t="n">
        <v>2.15131912600733</v>
      </c>
      <c r="Z23" s="14" t="n">
        <v>2.92012166873565</v>
      </c>
      <c r="AA23" s="14" t="n">
        <v>27.424347870838</v>
      </c>
      <c r="AB23" s="14" t="n">
        <v>25.224347870838</v>
      </c>
      <c r="AC23" s="14" t="n">
        <v>26.674347870838</v>
      </c>
      <c r="AD23" s="14" t="n">
        <v>21.0618991648036</v>
      </c>
      <c r="AE23" s="14" t="n">
        <v>674.686407680941</v>
      </c>
      <c r="AF23" s="14" t="n">
        <v>0.03</v>
      </c>
      <c r="AG23" s="14" t="n">
        <v>0.664073049535931</v>
      </c>
      <c r="AH23" s="14" t="n">
        <v>9819.91719809611</v>
      </c>
      <c r="AI23" s="14" t="n">
        <v>20180.6645744977</v>
      </c>
      <c r="AJ23" s="14" t="n">
        <v>16.69175</v>
      </c>
      <c r="AK23" s="14" t="n">
        <v>0</v>
      </c>
      <c r="AL23" s="14" t="n">
        <v>-37200.0960732068</v>
      </c>
      <c r="AM23" s="14" t="n">
        <v>812.6073</v>
      </c>
      <c r="AN23" s="14" t="n">
        <v>20079.98904</v>
      </c>
      <c r="AO23" s="14" t="n">
        <v>-5508.72242389994</v>
      </c>
      <c r="AP23" s="14" t="n">
        <v>0.516474502037109</v>
      </c>
      <c r="AQ23" s="14" t="n">
        <v>2.02379079638786</v>
      </c>
      <c r="AR23" s="14" t="n">
        <v>327.195752</v>
      </c>
      <c r="AS23" s="14" t="n">
        <v>314.925245</v>
      </c>
      <c r="AT23" s="14" t="n">
        <v>-4956.48323642636</v>
      </c>
      <c r="AU23" s="14" t="n">
        <v>12.270507</v>
      </c>
      <c r="AV23" s="14" t="n">
        <v>0</v>
      </c>
      <c r="AW23" s="14" t="n">
        <v>2254.3125</v>
      </c>
      <c r="AX23" s="14" t="n">
        <v>314.925245</v>
      </c>
      <c r="AY23" s="14" t="n">
        <v>314.925245</v>
      </c>
      <c r="AZ23" s="14" t="n">
        <v>5568.83612056339</v>
      </c>
      <c r="BA23" s="14" t="n">
        <v>16.5523136016134</v>
      </c>
      <c r="BB23" s="14" t="n">
        <v>25.2096062235498</v>
      </c>
      <c r="BC23" s="14" t="n">
        <v>39.4374614323522</v>
      </c>
      <c r="BD23" s="14" t="n">
        <v>-5.08067650538881</v>
      </c>
      <c r="BE23" s="14" t="n">
        <v>-3.389032187156</v>
      </c>
      <c r="BF23" s="14" t="n">
        <v>5.28542761383372</v>
      </c>
      <c r="BG23" s="14" t="n">
        <v>6.97707193206652</v>
      </c>
      <c r="BH23" s="14" t="n">
        <v>10.9956654944829</v>
      </c>
      <c r="BI23" s="14" t="n">
        <v>14.5375344778911</v>
      </c>
      <c r="BJ23" s="14" t="n">
        <v>3.71992671744367</v>
      </c>
      <c r="BK23" s="14" t="n">
        <v>4.46573109600205</v>
      </c>
      <c r="BL23" s="14" t="n">
        <v>6.42123287671233</v>
      </c>
      <c r="BM23" s="14" t="n">
        <v>8712.70308277889</v>
      </c>
      <c r="BN23" s="14" t="n">
        <v>7473.09859446594</v>
      </c>
      <c r="BO23" s="14" t="n">
        <v>7473.09859446594</v>
      </c>
      <c r="BP23" s="14" t="n">
        <v>327.195752</v>
      </c>
      <c r="BQ23" s="14" t="n">
        <v>301.7195</v>
      </c>
      <c r="BR23" s="14" t="n">
        <v>1081.9108</v>
      </c>
      <c r="BS23" s="14" t="s">
        <v>2855</v>
      </c>
      <c r="BT23" s="14" t="n">
        <v>37.9555555555556</v>
      </c>
      <c r="BU23" s="14" t="n">
        <v>0.202495480090107</v>
      </c>
      <c r="BV23" s="14" t="n">
        <v>0.204285232461873</v>
      </c>
      <c r="BW23" s="14" t="n">
        <v>13510.8578038903</v>
      </c>
      <c r="BX23" s="14" t="n">
        <v>27107.0656988521</v>
      </c>
      <c r="BY23" s="14" t="n">
        <v>98.1216364538248</v>
      </c>
      <c r="BZ23" s="14" t="n">
        <v>0</v>
      </c>
      <c r="CA23" s="14" t="n">
        <v>950.69728</v>
      </c>
      <c r="CB23" s="14" t="n">
        <v>12000</v>
      </c>
    </row>
    <row r="24" customFormat="false" ht="15" hidden="false" customHeight="false" outlineLevel="0" collapsed="false">
      <c r="A24" s="0" t="s">
        <v>379</v>
      </c>
      <c r="B24" s="14" t="n">
        <v>2465.07954157611</v>
      </c>
      <c r="C24" s="14" t="n">
        <v>7377.15006027548</v>
      </c>
      <c r="D24" s="14" t="n">
        <v>20104.7565980902</v>
      </c>
      <c r="E24" s="14" t="n">
        <v>3622.3598490317</v>
      </c>
      <c r="F24" s="14" t="n">
        <v>-1692.80207774217</v>
      </c>
      <c r="G24" s="14" t="n">
        <v>5020.07592436286</v>
      </c>
      <c r="H24" s="14" t="n">
        <v>7405.46192329246</v>
      </c>
      <c r="I24" s="15" t="n">
        <v>0.01</v>
      </c>
      <c r="J24" s="15" t="n">
        <v>0.735778874714193</v>
      </c>
      <c r="K24" s="14" t="s">
        <v>60</v>
      </c>
      <c r="L24" s="14" t="n">
        <v>-5045.35109060546</v>
      </c>
      <c r="M24" s="14" t="n">
        <v>33800.3051187055</v>
      </c>
      <c r="N24" s="14" t="n">
        <v>11697.5535575699</v>
      </c>
      <c r="O24" s="14" t="n">
        <v>-19168.8869533307</v>
      </c>
      <c r="P24" s="14" t="n">
        <v>951.290832135856</v>
      </c>
      <c r="Q24" s="14" t="n">
        <v>7.39098220322285</v>
      </c>
      <c r="R24" s="14" t="n">
        <v>17617.7170533315</v>
      </c>
      <c r="S24" s="14" t="n">
        <v>26969.3020819618</v>
      </c>
      <c r="T24" s="14" t="n">
        <v>-955.692204749296</v>
      </c>
      <c r="U24" s="14" t="n">
        <v>-1814.32028096599</v>
      </c>
      <c r="V24" s="14" t="n">
        <v>0.750319556751226</v>
      </c>
      <c r="W24" s="14" t="n">
        <v>53186.0016630934</v>
      </c>
      <c r="X24" s="14" t="n">
        <v>22172.0690709101</v>
      </c>
      <c r="Y24" s="14" t="n">
        <v>0.692162541959442</v>
      </c>
      <c r="Z24" s="14" t="n">
        <v>0.939516045122553</v>
      </c>
      <c r="AA24" s="14" t="n">
        <v>27.424347870838</v>
      </c>
      <c r="AB24" s="14" t="n">
        <v>25.224347870838</v>
      </c>
      <c r="AC24" s="14" t="n">
        <v>26.674347870838</v>
      </c>
      <c r="AD24" s="14" t="n">
        <v>21.0618991648036</v>
      </c>
      <c r="AE24" s="14" t="n">
        <v>674.686407680941</v>
      </c>
      <c r="AF24" s="14" t="n">
        <v>0.03</v>
      </c>
      <c r="AG24" s="14" t="n">
        <v>0.663875748119322</v>
      </c>
      <c r="AH24" s="14" t="n">
        <v>9819.91719809611</v>
      </c>
      <c r="AI24" s="14" t="n">
        <v>20104.7565980902</v>
      </c>
      <c r="AJ24" s="14" t="n">
        <v>16.519625</v>
      </c>
      <c r="AK24" s="14" t="n">
        <v>0</v>
      </c>
      <c r="AL24" s="14" t="n">
        <v>-37377.5622903244</v>
      </c>
      <c r="AM24" s="14" t="n">
        <v>812.6073</v>
      </c>
      <c r="AN24" s="14" t="n">
        <v>20079.98904</v>
      </c>
      <c r="AO24" s="14" t="n">
        <v>-5508.72242389994</v>
      </c>
      <c r="AP24" s="14" t="n">
        <v>0.530116540446558</v>
      </c>
      <c r="AQ24" s="14" t="n">
        <v>0.651131747534684</v>
      </c>
      <c r="AR24" s="14" t="n">
        <v>327.195752</v>
      </c>
      <c r="AS24" s="14" t="n">
        <v>314.925245</v>
      </c>
      <c r="AT24" s="14" t="n">
        <v>-5045.35109060546</v>
      </c>
      <c r="AU24" s="14" t="n">
        <v>12.270507</v>
      </c>
      <c r="AV24" s="14" t="n">
        <v>0</v>
      </c>
      <c r="AW24" s="14" t="n">
        <v>2254.3125</v>
      </c>
      <c r="AX24" s="14" t="n">
        <v>314.925245</v>
      </c>
      <c r="AY24" s="14" t="n">
        <v>314.925245</v>
      </c>
      <c r="AZ24" s="14" t="n">
        <v>5538.27142662356</v>
      </c>
      <c r="BA24" s="14" t="n">
        <v>16.4552597946383</v>
      </c>
      <c r="BB24" s="14" t="n">
        <v>25.1125524165746</v>
      </c>
      <c r="BC24" s="14" t="n">
        <v>39.3404076253771</v>
      </c>
      <c r="BD24" s="14" t="n">
        <v>-5.08067650538881</v>
      </c>
      <c r="BE24" s="14" t="n">
        <v>-3.389032187156</v>
      </c>
      <c r="BF24" s="14" t="n">
        <v>5.28542761383372</v>
      </c>
      <c r="BG24" s="14" t="n">
        <v>6.97707193206652</v>
      </c>
      <c r="BH24" s="14" t="n">
        <v>10.9956654944829</v>
      </c>
      <c r="BI24" s="14" t="n">
        <v>14.5375344778911</v>
      </c>
      <c r="BJ24" s="14" t="n">
        <v>3.71992671744367</v>
      </c>
      <c r="BK24" s="14" t="n">
        <v>4.46573109600205</v>
      </c>
      <c r="BL24" s="14" t="n">
        <v>6.42123287671233</v>
      </c>
      <c r="BM24" s="14" t="n">
        <v>8712.70308277889</v>
      </c>
      <c r="BN24" s="14" t="n">
        <v>7344.78332324525</v>
      </c>
      <c r="BO24" s="14" t="n">
        <v>7344.78332324525</v>
      </c>
      <c r="BP24" s="14" t="n">
        <v>327.195752</v>
      </c>
      <c r="BQ24" s="14" t="n">
        <v>301.7195</v>
      </c>
      <c r="BR24" s="14" t="n">
        <v>1081.9108</v>
      </c>
      <c r="BS24" s="14" t="s">
        <v>2855</v>
      </c>
      <c r="BT24" s="14" t="n">
        <v>37.9555555555556</v>
      </c>
      <c r="BU24" s="14" t="n">
        <v>0.202495480090107</v>
      </c>
      <c r="BV24" s="14" t="n">
        <v>0.204285232461873</v>
      </c>
      <c r="BW24" s="14" t="n">
        <v>13510.8578038903</v>
      </c>
      <c r="BX24" s="14" t="n">
        <v>27107.0656988521</v>
      </c>
      <c r="BY24" s="14" t="n">
        <v>98.5167916267775</v>
      </c>
      <c r="BZ24" s="14" t="n">
        <v>0</v>
      </c>
      <c r="CA24" s="14" t="n">
        <v>950.69728</v>
      </c>
      <c r="CB24" s="14" t="n">
        <v>12000</v>
      </c>
    </row>
    <row r="25" customFormat="false" ht="15" hidden="false" customHeight="false" outlineLevel="0" collapsed="false">
      <c r="A25" s="0" t="s">
        <v>2862</v>
      </c>
      <c r="B25" s="14" t="n">
        <v>2465.07954157611</v>
      </c>
      <c r="C25" s="14" t="n">
        <v>7505.46533149617</v>
      </c>
      <c r="D25" s="14" t="n">
        <v>20180.6645744977</v>
      </c>
      <c r="E25" s="14" t="n">
        <v>3713.46369159839</v>
      </c>
      <c r="F25" s="14" t="n">
        <v>-3209.8913461474</v>
      </c>
      <c r="G25" s="14" t="n">
        <v>6623.13642448594</v>
      </c>
      <c r="H25" s="14" t="n">
        <v>7910.1750739068</v>
      </c>
      <c r="I25" s="15" t="n">
        <v>0.01</v>
      </c>
      <c r="J25" s="15" t="n">
        <v>2.47885119979195</v>
      </c>
      <c r="K25" s="14" t="s">
        <v>60</v>
      </c>
      <c r="L25" s="14" t="n">
        <v>-4956.48323642636</v>
      </c>
      <c r="M25" s="14" t="n">
        <v>33802.8714241299</v>
      </c>
      <c r="N25" s="14" t="n">
        <v>11755.2436196396</v>
      </c>
      <c r="O25" s="14" t="n">
        <v>-19023.84719661</v>
      </c>
      <c r="P25" s="14" t="n">
        <v>951.290832135856</v>
      </c>
      <c r="Q25" s="14" t="n">
        <v>-1236.11116711075</v>
      </c>
      <c r="R25" s="14" t="n">
        <v>17617.7170533315</v>
      </c>
      <c r="S25" s="14" t="n">
        <v>26970.82024149</v>
      </c>
      <c r="T25" s="14" t="n">
        <v>-1124.39126738847</v>
      </c>
      <c r="U25" s="14" t="n">
        <v>-1309.60713035165</v>
      </c>
      <c r="V25" s="14" t="n">
        <v>0.750319556751226</v>
      </c>
      <c r="W25" s="14" t="n">
        <v>53091.7152060923</v>
      </c>
      <c r="X25" s="14" t="n">
        <v>22219.8080925761</v>
      </c>
      <c r="Y25" s="14" t="n">
        <v>2.33190705326201</v>
      </c>
      <c r="Z25" s="14" t="n">
        <v>3.16524509701434</v>
      </c>
      <c r="AA25" s="14" t="n">
        <v>27.424347870838</v>
      </c>
      <c r="AB25" s="14" t="n">
        <v>25.224347870838</v>
      </c>
      <c r="AC25" s="14" t="n">
        <v>26.674347870838</v>
      </c>
      <c r="AD25" s="14" t="n">
        <v>21.0618991648036</v>
      </c>
      <c r="AE25" s="14" t="n">
        <v>674.686407680941</v>
      </c>
      <c r="AF25" s="14" t="n">
        <v>0.03</v>
      </c>
      <c r="AG25" s="14" t="n">
        <v>0.664073049535931</v>
      </c>
      <c r="AH25" s="14" t="n">
        <v>9819.91719809611</v>
      </c>
      <c r="AI25" s="14" t="n">
        <v>20180.6645744977</v>
      </c>
      <c r="AJ25" s="14" t="n">
        <v>16.69175</v>
      </c>
      <c r="AK25" s="14" t="n">
        <v>0</v>
      </c>
      <c r="AL25" s="14" t="n">
        <v>-37135.9720935024</v>
      </c>
      <c r="AM25" s="14" t="n">
        <v>812.6073</v>
      </c>
      <c r="AN25" s="14" t="n">
        <v>20079.98904</v>
      </c>
      <c r="AO25" s="14" t="n">
        <v>-5508.72242389994</v>
      </c>
      <c r="AP25" s="14" t="n">
        <v>0.516474502037109</v>
      </c>
      <c r="AQ25" s="14" t="n">
        <v>2.19367362813447</v>
      </c>
      <c r="AR25" s="14" t="n">
        <v>327.195752</v>
      </c>
      <c r="AS25" s="14" t="n">
        <v>314.925245</v>
      </c>
      <c r="AT25" s="14" t="n">
        <v>-4956.48323642636</v>
      </c>
      <c r="AU25" s="14" t="n">
        <v>12.270507</v>
      </c>
      <c r="AV25" s="14" t="n">
        <v>0</v>
      </c>
      <c r="AW25" s="14" t="n">
        <v>2254.3125</v>
      </c>
      <c r="AX25" s="14" t="n">
        <v>314.925245</v>
      </c>
      <c r="AY25" s="14" t="n">
        <v>314.925245</v>
      </c>
      <c r="AZ25" s="14" t="n">
        <v>5568.83612056339</v>
      </c>
      <c r="BA25" s="14" t="n">
        <v>16.5523136016134</v>
      </c>
      <c r="BB25" s="14" t="n">
        <v>25.2096062235498</v>
      </c>
      <c r="BC25" s="14" t="n">
        <v>39.4374614323522</v>
      </c>
      <c r="BD25" s="14" t="n">
        <v>-5.08067650538881</v>
      </c>
      <c r="BE25" s="14" t="n">
        <v>-3.389032187156</v>
      </c>
      <c r="BF25" s="14" t="n">
        <v>5.28542761383372</v>
      </c>
      <c r="BG25" s="14" t="n">
        <v>6.97707193206652</v>
      </c>
      <c r="BH25" s="14" t="n">
        <v>10.9956654944829</v>
      </c>
      <c r="BI25" s="14" t="n">
        <v>14.5375344778911</v>
      </c>
      <c r="BJ25" s="14" t="n">
        <v>3.71992671744367</v>
      </c>
      <c r="BK25" s="14" t="n">
        <v>4.46573109600205</v>
      </c>
      <c r="BL25" s="14" t="n">
        <v>6.42123287671233</v>
      </c>
      <c r="BM25" s="14" t="n">
        <v>8712.70308277889</v>
      </c>
      <c r="BN25" s="14" t="n">
        <v>7473.09859446594</v>
      </c>
      <c r="BO25" s="14" t="n">
        <v>7473.09859446594</v>
      </c>
      <c r="BP25" s="14" t="n">
        <v>327.195752</v>
      </c>
      <c r="BQ25" s="14" t="n">
        <v>301.7195</v>
      </c>
      <c r="BR25" s="14" t="n">
        <v>1081.9108</v>
      </c>
      <c r="BS25" s="14" t="s">
        <v>2855</v>
      </c>
      <c r="BT25" s="14" t="n">
        <v>37.9555555555556</v>
      </c>
      <c r="BU25" s="14" t="n">
        <v>0.202495480090107</v>
      </c>
      <c r="BV25" s="14" t="n">
        <v>0.204285232461873</v>
      </c>
      <c r="BW25" s="14" t="n">
        <v>13510.8578038903</v>
      </c>
      <c r="BX25" s="14" t="n">
        <v>27107.0656988521</v>
      </c>
      <c r="BY25" s="14" t="n">
        <v>97.9844979637206</v>
      </c>
      <c r="BZ25" s="14" t="n">
        <v>0</v>
      </c>
      <c r="CA25" s="14" t="n">
        <v>950.69728</v>
      </c>
      <c r="CB25" s="14" t="n">
        <v>12000</v>
      </c>
    </row>
    <row r="26" customFormat="false" ht="15" hidden="false" customHeight="false" outlineLevel="0" collapsed="false">
      <c r="A26" s="0" t="s">
        <v>2863</v>
      </c>
      <c r="B26" s="14" t="n">
        <v>2465.07954157611</v>
      </c>
      <c r="C26" s="14" t="n">
        <v>7505.46533149617</v>
      </c>
      <c r="D26" s="14" t="n">
        <v>20180.6645744977</v>
      </c>
      <c r="E26" s="14" t="n">
        <v>3713.46369159839</v>
      </c>
      <c r="F26" s="14" t="n">
        <v>-1606.96308130411</v>
      </c>
      <c r="G26" s="14" t="n">
        <v>5020.20815964266</v>
      </c>
      <c r="H26" s="14" t="n">
        <v>7854.59013302158</v>
      </c>
      <c r="I26" s="15" t="n">
        <v>0.01</v>
      </c>
      <c r="J26" s="15" t="n">
        <v>2.28688359991828</v>
      </c>
      <c r="K26" s="14" t="s">
        <v>60</v>
      </c>
      <c r="L26" s="14" t="n">
        <v>-4956.48323642636</v>
      </c>
      <c r="M26" s="14" t="n">
        <v>33802.8714241299</v>
      </c>
      <c r="N26" s="14" t="n">
        <v>11755.2436196396</v>
      </c>
      <c r="O26" s="14" t="n">
        <v>-19023.84719661</v>
      </c>
      <c r="P26" s="14" t="n">
        <v>951.290832135856</v>
      </c>
      <c r="Q26" s="14" t="n">
        <v>61.4155828462322</v>
      </c>
      <c r="R26" s="14" t="n">
        <v>17617.7170533315</v>
      </c>
      <c r="S26" s="14" t="n">
        <v>26970.82024149</v>
      </c>
      <c r="T26" s="14" t="n">
        <v>-955.692204749296</v>
      </c>
      <c r="U26" s="14" t="n">
        <v>-1365.19207123687</v>
      </c>
      <c r="V26" s="14" t="n">
        <v>0.750319556751226</v>
      </c>
      <c r="W26" s="14" t="n">
        <v>53464.5708424573</v>
      </c>
      <c r="X26" s="14" t="n">
        <v>22173.3734272866</v>
      </c>
      <c r="Y26" s="14" t="n">
        <v>2.15131912600733</v>
      </c>
      <c r="Z26" s="14" t="n">
        <v>2.92012166873565</v>
      </c>
      <c r="AA26" s="14" t="n">
        <v>27.424347870838</v>
      </c>
      <c r="AB26" s="14" t="n">
        <v>25.224347870838</v>
      </c>
      <c r="AC26" s="14" t="n">
        <v>26.674347870838</v>
      </c>
      <c r="AD26" s="14" t="n">
        <v>21.0618991648036</v>
      </c>
      <c r="AE26" s="14" t="n">
        <v>674.686407680941</v>
      </c>
      <c r="AF26" s="14" t="n">
        <v>0.03</v>
      </c>
      <c r="AG26" s="14" t="n">
        <v>0.664073049535931</v>
      </c>
      <c r="AH26" s="14" t="n">
        <v>9819.91719809611</v>
      </c>
      <c r="AI26" s="14" t="n">
        <v>20180.6645744977</v>
      </c>
      <c r="AJ26" s="14" t="n">
        <v>16.69175</v>
      </c>
      <c r="AK26" s="14" t="n">
        <v>0</v>
      </c>
      <c r="AL26" s="14" t="n">
        <v>-37200.0960732068</v>
      </c>
      <c r="AM26" s="14" t="n">
        <v>812.6073</v>
      </c>
      <c r="AN26" s="14" t="n">
        <v>20079.98904</v>
      </c>
      <c r="AO26" s="14" t="n">
        <v>-5508.72242389994</v>
      </c>
      <c r="AP26" s="14" t="n">
        <v>0.516474502037109</v>
      </c>
      <c r="AQ26" s="14" t="n">
        <v>2.02379079638786</v>
      </c>
      <c r="AR26" s="14" t="n">
        <v>327.195752</v>
      </c>
      <c r="AS26" s="14" t="n">
        <v>314.925245</v>
      </c>
      <c r="AT26" s="14" t="n">
        <v>-4956.48323642636</v>
      </c>
      <c r="AU26" s="14" t="n">
        <v>12.270507</v>
      </c>
      <c r="AV26" s="14" t="n">
        <v>0</v>
      </c>
      <c r="AW26" s="14" t="n">
        <v>2254.3125</v>
      </c>
      <c r="AX26" s="14" t="n">
        <v>314.925245</v>
      </c>
      <c r="AY26" s="14" t="n">
        <v>314.925245</v>
      </c>
      <c r="AZ26" s="14" t="n">
        <v>5568.83612056339</v>
      </c>
      <c r="BA26" s="14" t="n">
        <v>16.5523136016134</v>
      </c>
      <c r="BB26" s="14" t="n">
        <v>25.2096062235498</v>
      </c>
      <c r="BC26" s="14" t="n">
        <v>39.4374614323522</v>
      </c>
      <c r="BD26" s="14" t="n">
        <v>-5.08067650538881</v>
      </c>
      <c r="BE26" s="14" t="n">
        <v>-3.389032187156</v>
      </c>
      <c r="BF26" s="14" t="n">
        <v>5.28542761383372</v>
      </c>
      <c r="BG26" s="14" t="n">
        <v>6.97707193206652</v>
      </c>
      <c r="BH26" s="14" t="n">
        <v>10.9956654944829</v>
      </c>
      <c r="BI26" s="14" t="n">
        <v>14.5375344778911</v>
      </c>
      <c r="BJ26" s="14" t="n">
        <v>3.71992671744367</v>
      </c>
      <c r="BK26" s="14" t="n">
        <v>4.46573109600205</v>
      </c>
      <c r="BL26" s="14" t="n">
        <v>6.42123287671233</v>
      </c>
      <c r="BM26" s="14" t="n">
        <v>8712.70308277889</v>
      </c>
      <c r="BN26" s="14" t="n">
        <v>7473.09859446594</v>
      </c>
      <c r="BO26" s="14" t="n">
        <v>7473.09859446594</v>
      </c>
      <c r="BP26" s="14" t="n">
        <v>327.195752</v>
      </c>
      <c r="BQ26" s="14" t="n">
        <v>301.7195</v>
      </c>
      <c r="BR26" s="14" t="n">
        <v>1081.9108</v>
      </c>
      <c r="BS26" s="14" t="s">
        <v>2855</v>
      </c>
      <c r="BT26" s="14" t="n">
        <v>37.9555555555556</v>
      </c>
      <c r="BU26" s="14" t="n">
        <v>0.202495480090107</v>
      </c>
      <c r="BV26" s="14" t="n">
        <v>0.204285232461873</v>
      </c>
      <c r="BW26" s="14" t="n">
        <v>13510.8578038903</v>
      </c>
      <c r="BX26" s="14" t="n">
        <v>27107.0656988521</v>
      </c>
      <c r="BY26" s="14" t="n">
        <v>98.1216364538248</v>
      </c>
      <c r="BZ26" s="14" t="n">
        <v>0</v>
      </c>
      <c r="CA26" s="14" t="n">
        <v>950.69728</v>
      </c>
      <c r="CB26" s="14" t="n">
        <v>12000</v>
      </c>
    </row>
    <row r="27" customFormat="false" ht="15" hidden="false" customHeight="false" outlineLevel="0" collapsed="false">
      <c r="A27" s="0" t="s">
        <v>2864</v>
      </c>
      <c r="B27" s="14" t="n">
        <v>2465.07954157611</v>
      </c>
      <c r="C27" s="14" t="n">
        <v>7505.46533149617</v>
      </c>
      <c r="D27" s="14" t="n">
        <v>20180.6645744977</v>
      </c>
      <c r="E27" s="14" t="n">
        <v>3713.46369159839</v>
      </c>
      <c r="F27" s="14" t="n">
        <v>-1019.79610865517</v>
      </c>
      <c r="G27" s="14" t="n">
        <v>4433.04118699372</v>
      </c>
      <c r="H27" s="14" t="n">
        <v>45680.7336000378</v>
      </c>
      <c r="I27" s="15" t="n">
        <v>116.217787464492</v>
      </c>
      <c r="J27" s="15" t="n">
        <v>133.373164921845</v>
      </c>
      <c r="K27" s="14" t="s">
        <v>1273</v>
      </c>
      <c r="L27" s="14" t="n">
        <v>5897.60022261455</v>
      </c>
      <c r="M27" s="14" t="n">
        <v>24769.7767967341</v>
      </c>
      <c r="N27" s="14" t="n">
        <v>11755.2436196396</v>
      </c>
      <c r="O27" s="14" t="n">
        <v>-1327.35975308343</v>
      </c>
      <c r="P27" s="14" t="n">
        <v>951.290832135856</v>
      </c>
      <c r="Q27" s="14" t="n">
        <v>2059.00047847081</v>
      </c>
      <c r="R27" s="14" t="n">
        <v>15947.4386013214</v>
      </c>
      <c r="S27" s="14" t="n">
        <v>19855.1180751944</v>
      </c>
      <c r="T27" s="14" t="n">
        <v>-955.692204749296</v>
      </c>
      <c r="U27" s="14" t="n">
        <v>37181.036280733</v>
      </c>
      <c r="V27" s="14" t="n">
        <v>0.750319556751226</v>
      </c>
      <c r="W27" s="14" t="n">
        <v>72039.8678242376</v>
      </c>
      <c r="X27" s="14" t="n">
        <v>18698.5434218209</v>
      </c>
      <c r="Y27" s="14" t="n">
        <v>125.466919524347</v>
      </c>
      <c r="Z27" s="14" t="n">
        <v>170.304194288704</v>
      </c>
      <c r="AA27" s="14" t="n">
        <v>27.424347870838</v>
      </c>
      <c r="AB27" s="14" t="n">
        <v>25.224347870838</v>
      </c>
      <c r="AC27" s="14" t="n">
        <v>26.674347870838</v>
      </c>
      <c r="AD27" s="14" t="n">
        <v>21.0618991648036</v>
      </c>
      <c r="AE27" s="14" t="n">
        <v>674.686407680941</v>
      </c>
      <c r="AF27" s="14" t="n">
        <v>0.03</v>
      </c>
      <c r="AG27" s="14" t="n">
        <v>0.664073049535931</v>
      </c>
      <c r="AH27" s="14" t="n">
        <v>11494.9047062872</v>
      </c>
      <c r="AI27" s="14" t="n">
        <v>20180.6645744977</v>
      </c>
      <c r="AJ27" s="14" t="n">
        <v>16.69175</v>
      </c>
      <c r="AK27" s="14" t="n">
        <v>0</v>
      </c>
      <c r="AL27" s="14" t="n">
        <v>-13872.9504102325</v>
      </c>
      <c r="AM27" s="14" t="n">
        <v>812.6073</v>
      </c>
      <c r="AN27" s="14" t="n">
        <v>18256.4062149317</v>
      </c>
      <c r="AO27" s="14" t="n">
        <v>-4779.81899680391</v>
      </c>
      <c r="AP27" s="14" t="n">
        <v>0.516474502037109</v>
      </c>
      <c r="AQ27" s="14" t="n">
        <v>118.029349488359</v>
      </c>
      <c r="AR27" s="14" t="n">
        <v>332.274945172847</v>
      </c>
      <c r="AS27" s="14" t="n">
        <v>319.925521659866</v>
      </c>
      <c r="AT27" s="14" t="n">
        <v>5897.60022261455</v>
      </c>
      <c r="AU27" s="14" t="n">
        <v>12.270507</v>
      </c>
      <c r="AV27" s="14" t="n">
        <v>0</v>
      </c>
      <c r="AW27" s="14" t="n">
        <v>2254.3125</v>
      </c>
      <c r="AX27" s="14" t="n">
        <v>319.925521659866</v>
      </c>
      <c r="AY27" s="14" t="n">
        <v>318.360296235481</v>
      </c>
      <c r="AZ27" s="14" t="n">
        <v>5568.83612056339</v>
      </c>
      <c r="BA27" s="14" t="n">
        <v>18.2612202637275</v>
      </c>
      <c r="BB27" s="14" t="n">
        <v>26.9185128856639</v>
      </c>
      <c r="BC27" s="14" t="n">
        <v>41.1463680944663</v>
      </c>
      <c r="BD27" s="14" t="n">
        <v>-5.08067650538881</v>
      </c>
      <c r="BE27" s="14" t="n">
        <v>-3.389032187156</v>
      </c>
      <c r="BF27" s="14" t="n">
        <v>5.28542761383372</v>
      </c>
      <c r="BG27" s="14" t="n">
        <v>6.97707193206652</v>
      </c>
      <c r="BH27" s="14" t="n">
        <v>10.9956654944829</v>
      </c>
      <c r="BI27" s="14" t="n">
        <v>14.5375344778911</v>
      </c>
      <c r="BJ27" s="14" t="n">
        <v>3.71992671744367</v>
      </c>
      <c r="BK27" s="14" t="n">
        <v>4.46573109600205</v>
      </c>
      <c r="BL27" s="14" t="n">
        <v>6.42123287671233</v>
      </c>
      <c r="BM27" s="14" t="n">
        <v>8712.70308277889</v>
      </c>
      <c r="BN27" s="14" t="n">
        <v>7473.09859446594</v>
      </c>
      <c r="BO27" s="14" t="n">
        <v>7473.09859446594</v>
      </c>
      <c r="BP27" s="14" t="n">
        <v>332.274945172847</v>
      </c>
      <c r="BQ27" s="14" t="n">
        <v>301.7195</v>
      </c>
      <c r="BR27" s="14" t="n">
        <v>1081.9108</v>
      </c>
      <c r="BS27" s="14" t="s">
        <v>2855</v>
      </c>
      <c r="BT27" s="14" t="n">
        <v>37.9555555555556</v>
      </c>
      <c r="BU27" s="14" t="n">
        <v>0.202495480090107</v>
      </c>
      <c r="BV27" s="14" t="n">
        <v>0.204285232461873</v>
      </c>
      <c r="BW27" s="14" t="n">
        <v>13328.9507681851</v>
      </c>
      <c r="BX27" s="14" t="n">
        <v>26915.3671366004</v>
      </c>
      <c r="BY27" s="14" t="n">
        <v>46.6795644855794</v>
      </c>
      <c r="BZ27" s="14" t="n">
        <v>0</v>
      </c>
      <c r="CA27" s="14" t="n">
        <v>950.69728</v>
      </c>
      <c r="CB27" s="14" t="n">
        <v>12000</v>
      </c>
    </row>
    <row r="28" customFormat="false" ht="15" hidden="false" customHeight="false" outlineLevel="0" collapsed="false">
      <c r="A28" s="0" t="s">
        <v>2865</v>
      </c>
      <c r="B28" s="14" t="n">
        <v>2465.07954157611</v>
      </c>
      <c r="C28" s="14" t="n">
        <v>7505.46533149617</v>
      </c>
      <c r="D28" s="14" t="n">
        <v>20180.6645744977</v>
      </c>
      <c r="E28" s="14" t="n">
        <v>3713.46369159839</v>
      </c>
      <c r="F28" s="14" t="n">
        <v>-1606.96308130411</v>
      </c>
      <c r="G28" s="14" t="n">
        <v>5020.20815964266</v>
      </c>
      <c r="H28" s="14" t="n">
        <v>120554.47714988</v>
      </c>
      <c r="I28" s="15" t="n">
        <v>321.759233357216</v>
      </c>
      <c r="J28" s="15" t="n">
        <v>359.393862557074</v>
      </c>
      <c r="K28" s="14" t="s">
        <v>60</v>
      </c>
      <c r="L28" s="14" t="n">
        <v>-4956.48323642636</v>
      </c>
      <c r="M28" s="14" t="n">
        <v>33802.8714241299</v>
      </c>
      <c r="N28" s="14" t="n">
        <v>11755.2436196396</v>
      </c>
      <c r="O28" s="14" t="n">
        <v>-19023.84719661</v>
      </c>
      <c r="P28" s="14" t="n">
        <v>951.290832135856</v>
      </c>
      <c r="Q28" s="14" t="n">
        <v>61.4155828462322</v>
      </c>
      <c r="R28" s="14" t="n">
        <v>17617.7170533315</v>
      </c>
      <c r="S28" s="14" t="n">
        <v>26970.82024149</v>
      </c>
      <c r="T28" s="14" t="n">
        <v>-955.692204749296</v>
      </c>
      <c r="U28" s="14" t="n">
        <v>122537.765414227</v>
      </c>
      <c r="V28" s="14" t="n">
        <v>0.750319556751226</v>
      </c>
      <c r="W28" s="14" t="n">
        <v>166164.457859316</v>
      </c>
      <c r="X28" s="14" t="n">
        <v>22173.3734272866</v>
      </c>
      <c r="Y28" s="14" t="n">
        <v>338.089306476425</v>
      </c>
      <c r="Z28" s="14" t="n">
        <v>458.910023099127</v>
      </c>
      <c r="AA28" s="14" t="n">
        <v>27.424347870838</v>
      </c>
      <c r="AB28" s="14" t="n">
        <v>25.224347870838</v>
      </c>
      <c r="AC28" s="14" t="n">
        <v>26.674347870838</v>
      </c>
      <c r="AD28" s="14" t="n">
        <v>21.0618991648036</v>
      </c>
      <c r="AE28" s="14" t="n">
        <v>674.686407680941</v>
      </c>
      <c r="AF28" s="14" t="n">
        <v>0.03</v>
      </c>
      <c r="AG28" s="14" t="n">
        <v>0.664073049535931</v>
      </c>
      <c r="AH28" s="14" t="n">
        <v>9819.91719809611</v>
      </c>
      <c r="AI28" s="14" t="n">
        <v>20180.6645744977</v>
      </c>
      <c r="AJ28" s="14" t="n">
        <v>16.69175</v>
      </c>
      <c r="AK28" s="14" t="n">
        <v>0</v>
      </c>
      <c r="AL28" s="14" t="n">
        <v>-37200.0960732068</v>
      </c>
      <c r="AM28" s="14" t="n">
        <v>812.6073</v>
      </c>
      <c r="AN28" s="14" t="n">
        <v>20079.98904</v>
      </c>
      <c r="AO28" s="14" t="n">
        <v>-5508.72242389994</v>
      </c>
      <c r="AP28" s="14" t="n">
        <v>0.516474502037109</v>
      </c>
      <c r="AQ28" s="14" t="n">
        <v>318.047665979711</v>
      </c>
      <c r="AR28" s="14" t="n">
        <v>393.085661145526</v>
      </c>
      <c r="AS28" s="14" t="n">
        <v>380.836826765389</v>
      </c>
      <c r="AT28" s="14" t="n">
        <v>-4956.48323642636</v>
      </c>
      <c r="AU28" s="14" t="n">
        <v>12.270507</v>
      </c>
      <c r="AV28" s="14" t="n">
        <v>0</v>
      </c>
      <c r="AW28" s="14" t="n">
        <v>2254.3125</v>
      </c>
      <c r="AX28" s="14" t="n">
        <v>380.836826765389</v>
      </c>
      <c r="AY28" s="14" t="n">
        <v>346.018648117608</v>
      </c>
      <c r="AZ28" s="14" t="n">
        <v>5568.83612056339</v>
      </c>
      <c r="BA28" s="14" t="n">
        <v>16.5523136016134</v>
      </c>
      <c r="BB28" s="14" t="n">
        <v>25.2096062235498</v>
      </c>
      <c r="BC28" s="14" t="n">
        <v>39.4374614323522</v>
      </c>
      <c r="BD28" s="14" t="n">
        <v>-5.08067650538881</v>
      </c>
      <c r="BE28" s="14" t="n">
        <v>-3.389032187156</v>
      </c>
      <c r="BF28" s="14" t="n">
        <v>5.28542761383372</v>
      </c>
      <c r="BG28" s="14" t="n">
        <v>6.97707193206652</v>
      </c>
      <c r="BH28" s="14" t="n">
        <v>10.9956654944829</v>
      </c>
      <c r="BI28" s="14" t="n">
        <v>14.5375344778911</v>
      </c>
      <c r="BJ28" s="14" t="n">
        <v>3.71992671744367</v>
      </c>
      <c r="BK28" s="14" t="n">
        <v>4.46573109600205</v>
      </c>
      <c r="BL28" s="14" t="n">
        <v>6.42123287671233</v>
      </c>
      <c r="BM28" s="14" t="n">
        <v>8712.70308277889</v>
      </c>
      <c r="BN28" s="14" t="n">
        <v>7473.09859446594</v>
      </c>
      <c r="BO28" s="14" t="n">
        <v>7473.09859446594</v>
      </c>
      <c r="BP28" s="14" t="n">
        <v>393.085661145526</v>
      </c>
      <c r="BQ28" s="14" t="n">
        <v>301.7195</v>
      </c>
      <c r="BR28" s="14" t="n">
        <v>1081.9108</v>
      </c>
      <c r="BS28" s="14" t="s">
        <v>2855</v>
      </c>
      <c r="BT28" s="14" t="n">
        <v>37.9555555555556</v>
      </c>
      <c r="BU28" s="14" t="n">
        <v>0.202495480090107</v>
      </c>
      <c r="BV28" s="14" t="n">
        <v>0.204285232461873</v>
      </c>
      <c r="BW28" s="14" t="n">
        <v>2307.78733528551</v>
      </c>
      <c r="BX28" s="14" t="n">
        <v>15449.1514097996</v>
      </c>
      <c r="BY28" s="14" t="n">
        <v>98.0999638339611</v>
      </c>
      <c r="BZ28" s="14" t="n">
        <v>0</v>
      </c>
      <c r="CA28" s="14" t="n">
        <v>950.69728</v>
      </c>
      <c r="CB28" s="14" t="n">
        <v>12000</v>
      </c>
    </row>
    <row r="29" customFormat="false" ht="15" hidden="false" customHeight="false" outlineLevel="0" collapsed="false">
      <c r="A29" s="0" t="s">
        <v>408</v>
      </c>
      <c r="B29" s="14" t="n">
        <v>2465.07954157611</v>
      </c>
      <c r="C29" s="14" t="n">
        <v>7505.46533149617</v>
      </c>
      <c r="D29" s="14" t="n">
        <v>20180.6645744977</v>
      </c>
      <c r="E29" s="14" t="n">
        <v>3713.46369159839</v>
      </c>
      <c r="F29" s="14" t="n">
        <v>-1606.96308130411</v>
      </c>
      <c r="G29" s="14" t="n">
        <v>5020.20815964266</v>
      </c>
      <c r="H29" s="14" t="n">
        <v>-1448.85130595877</v>
      </c>
      <c r="I29" s="15" t="n">
        <v>0.01</v>
      </c>
      <c r="J29" s="15" t="n">
        <v>0</v>
      </c>
      <c r="K29" s="14" t="s">
        <v>60</v>
      </c>
      <c r="L29" s="14" t="n">
        <v>-4956.48323642636</v>
      </c>
      <c r="M29" s="14" t="n">
        <v>33802.8714241299</v>
      </c>
      <c r="N29" s="14" t="n">
        <v>11755.2436196396</v>
      </c>
      <c r="O29" s="14" t="n">
        <v>-19023.84719661</v>
      </c>
      <c r="P29" s="14" t="n">
        <v>951.290832135856</v>
      </c>
      <c r="Q29" s="14" t="n">
        <v>61.4155828462322</v>
      </c>
      <c r="R29" s="14" t="n">
        <v>17617.7170533315</v>
      </c>
      <c r="S29" s="14" t="n">
        <v>26970.82024149</v>
      </c>
      <c r="T29" s="14" t="n">
        <v>-955.692204749296</v>
      </c>
      <c r="U29" s="14" t="n">
        <v>-10668.6335102172</v>
      </c>
      <c r="V29" s="14" t="n">
        <v>0.750319556751226</v>
      </c>
      <c r="W29" s="14" t="n">
        <v>58750.4322478388</v>
      </c>
      <c r="X29" s="14" t="n">
        <v>26703.4111200753</v>
      </c>
      <c r="Y29" s="14" t="n">
        <v>0</v>
      </c>
      <c r="Z29" s="14" t="n">
        <v>0</v>
      </c>
      <c r="AA29" s="14" t="n">
        <v>27.424347870838</v>
      </c>
      <c r="AB29" s="14" t="n">
        <v>25.224347870838</v>
      </c>
      <c r="AC29" s="14" t="n">
        <v>26.674347870838</v>
      </c>
      <c r="AD29" s="14" t="n">
        <v>21.0618991648036</v>
      </c>
      <c r="AE29" s="14" t="n">
        <v>674.686407680941</v>
      </c>
      <c r="AF29" s="14" t="n">
        <v>0.03</v>
      </c>
      <c r="AG29" s="14" t="n">
        <v>0.664073049535931</v>
      </c>
      <c r="AH29" s="14" t="n">
        <v>9819.91719809611</v>
      </c>
      <c r="AI29" s="14" t="n">
        <v>20180.6645744977</v>
      </c>
      <c r="AJ29" s="14" t="n">
        <v>16.69175</v>
      </c>
      <c r="AK29" s="14" t="n">
        <v>0</v>
      </c>
      <c r="AL29" s="14" t="n">
        <v>-45158.1001833351</v>
      </c>
      <c r="AM29" s="14" t="n">
        <v>812.6073</v>
      </c>
      <c r="AN29" s="14" t="n">
        <v>25189.194045</v>
      </c>
      <c r="AO29" s="14" t="n">
        <v>-8388.97292415448</v>
      </c>
      <c r="AP29" s="14" t="n">
        <v>0.516474502037109</v>
      </c>
      <c r="AQ29" s="14" t="n">
        <v>0</v>
      </c>
      <c r="AR29" s="14" t="n">
        <v>327.195752</v>
      </c>
      <c r="AS29" s="14" t="n">
        <v>314.925245</v>
      </c>
      <c r="AT29" s="14" t="n">
        <v>-4956.48323642636</v>
      </c>
      <c r="AU29" s="14" t="n">
        <v>12.270507</v>
      </c>
      <c r="AV29" s="14" t="n">
        <v>0</v>
      </c>
      <c r="AW29" s="14" t="n">
        <v>2254.3125</v>
      </c>
      <c r="AX29" s="14" t="n">
        <v>314.925245</v>
      </c>
      <c r="AY29" s="14" t="n">
        <v>314.925245</v>
      </c>
      <c r="AZ29" s="14" t="n">
        <v>5568.83612056339</v>
      </c>
      <c r="BA29" s="14" t="n">
        <v>16.5523136016134</v>
      </c>
      <c r="BB29" s="14" t="n">
        <v>25.2096062235498</v>
      </c>
      <c r="BC29" s="14" t="n">
        <v>39.4374614323522</v>
      </c>
      <c r="BD29" s="14" t="n">
        <v>-5.08067650538881</v>
      </c>
      <c r="BE29" s="14" t="n">
        <v>-3.389032187156</v>
      </c>
      <c r="BF29" s="14" t="n">
        <v>5.28542761383372</v>
      </c>
      <c r="BG29" s="14" t="n">
        <v>6.97707193206652</v>
      </c>
      <c r="BH29" s="14" t="n">
        <v>10.9956654944829</v>
      </c>
      <c r="BI29" s="14" t="n">
        <v>14.5375344778911</v>
      </c>
      <c r="BJ29" s="14" t="n">
        <v>3.71992671744367</v>
      </c>
      <c r="BK29" s="14" t="n">
        <v>4.46573109600205</v>
      </c>
      <c r="BL29" s="14" t="n">
        <v>6.42123287671233</v>
      </c>
      <c r="BM29" s="14" t="n">
        <v>8712.70308277889</v>
      </c>
      <c r="BN29" s="14" t="n">
        <v>7473.09859446594</v>
      </c>
      <c r="BO29" s="14" t="n">
        <v>7473.09859446594</v>
      </c>
      <c r="BP29" s="14" t="n">
        <v>327.195752</v>
      </c>
      <c r="BQ29" s="14" t="n">
        <v>301.7195</v>
      </c>
      <c r="BR29" s="14" t="n">
        <v>1081.9108</v>
      </c>
      <c r="BS29" s="14" t="s">
        <v>2856</v>
      </c>
      <c r="BT29" s="14" t="n">
        <v>37.9555555555556</v>
      </c>
      <c r="BU29" s="14" t="n">
        <v>0.202495480090107</v>
      </c>
      <c r="BV29" s="14" t="n">
        <v>0.204285232461873</v>
      </c>
      <c r="BW29" s="14" t="n">
        <v>13510.8578038903</v>
      </c>
      <c r="BX29" s="14" t="n">
        <v>27107.0656988521</v>
      </c>
      <c r="BY29" s="14" t="n">
        <v>118.020557092542</v>
      </c>
      <c r="BZ29" s="14" t="n">
        <v>0</v>
      </c>
      <c r="CA29" s="14" t="n">
        <v>950.69728</v>
      </c>
      <c r="CB29" s="14" t="n">
        <v>12000</v>
      </c>
    </row>
    <row r="30" customFormat="false" ht="15" hidden="false" customHeight="false" outlineLevel="0" collapsed="false">
      <c r="A30" s="0" t="s">
        <v>2866</v>
      </c>
      <c r="B30" s="14" t="n">
        <v>2465.07954157611</v>
      </c>
      <c r="C30" s="14" t="n">
        <v>7505.46533149617</v>
      </c>
      <c r="D30" s="14" t="n">
        <v>20180.6645744977</v>
      </c>
      <c r="E30" s="14" t="n">
        <v>3713.46369159839</v>
      </c>
      <c r="F30" s="14" t="n">
        <v>-1606.96308130411</v>
      </c>
      <c r="G30" s="14" t="n">
        <v>5020.20815964266</v>
      </c>
      <c r="H30" s="14" t="n">
        <v>-6074.82272236669</v>
      </c>
      <c r="I30" s="15" t="n">
        <v>0.01</v>
      </c>
      <c r="J30" s="15" t="n">
        <v>0</v>
      </c>
      <c r="K30" s="14" t="s">
        <v>60</v>
      </c>
      <c r="L30" s="14" t="n">
        <v>-4956.48323642636</v>
      </c>
      <c r="M30" s="14" t="n">
        <v>33802.8714241299</v>
      </c>
      <c r="N30" s="14" t="n">
        <v>11755.2436196396</v>
      </c>
      <c r="O30" s="14" t="n">
        <v>-19023.84719661</v>
      </c>
      <c r="P30" s="14" t="n">
        <v>951.290832135856</v>
      </c>
      <c r="Q30" s="14" t="n">
        <v>61.4155828462322</v>
      </c>
      <c r="R30" s="14" t="n">
        <v>17617.7170533315</v>
      </c>
      <c r="S30" s="14" t="n">
        <v>26970.82024149</v>
      </c>
      <c r="T30" s="14" t="n">
        <v>-955.692204749296</v>
      </c>
      <c r="U30" s="14" t="n">
        <v>-15294.6049266251</v>
      </c>
      <c r="V30" s="14" t="n">
        <v>0.750319556751226</v>
      </c>
      <c r="W30" s="14" t="n">
        <v>41133.8426690071</v>
      </c>
      <c r="X30" s="14" t="n">
        <v>22173.3734272866</v>
      </c>
      <c r="Y30" s="14" t="n">
        <v>0</v>
      </c>
      <c r="Z30" s="14" t="n">
        <v>0</v>
      </c>
      <c r="AA30" s="14" t="n">
        <v>27.424347870838</v>
      </c>
      <c r="AB30" s="14" t="n">
        <v>25.224347870838</v>
      </c>
      <c r="AC30" s="14" t="n">
        <v>26.674347870838</v>
      </c>
      <c r="AD30" s="14" t="n">
        <v>21.0618991648036</v>
      </c>
      <c r="AE30" s="14" t="n">
        <v>674.686407680941</v>
      </c>
      <c r="AF30" s="14" t="n">
        <v>0.03</v>
      </c>
      <c r="AG30" s="14" t="n">
        <v>0.614073049535931</v>
      </c>
      <c r="AH30" s="14" t="n">
        <v>9819.91719809611</v>
      </c>
      <c r="AI30" s="14" t="n">
        <v>20180.6645744977</v>
      </c>
      <c r="AJ30" s="14" t="n">
        <v>16.69175</v>
      </c>
      <c r="AK30" s="14" t="n">
        <v>0</v>
      </c>
      <c r="AL30" s="14" t="n">
        <v>-37805.582627509</v>
      </c>
      <c r="AM30" s="14" t="n">
        <v>812.6073</v>
      </c>
      <c r="AN30" s="14" t="n">
        <v>20079.98904</v>
      </c>
      <c r="AO30" s="14" t="n">
        <v>-5508.72242389994</v>
      </c>
      <c r="AP30" s="14" t="n">
        <v>0.516474502037109</v>
      </c>
      <c r="AQ30" s="14" t="n">
        <v>0</v>
      </c>
      <c r="AR30" s="14" t="n">
        <v>327.195752</v>
      </c>
      <c r="AS30" s="14" t="n">
        <v>314.925245</v>
      </c>
      <c r="AT30" s="14" t="n">
        <v>-4956.48323642636</v>
      </c>
      <c r="AU30" s="14" t="n">
        <v>12.270507</v>
      </c>
      <c r="AV30" s="14" t="n">
        <v>0</v>
      </c>
      <c r="AW30" s="14" t="n">
        <v>2254.3125</v>
      </c>
      <c r="AX30" s="14" t="n">
        <v>314.925245</v>
      </c>
      <c r="AY30" s="14" t="n">
        <v>314.925245</v>
      </c>
      <c r="AZ30" s="14" t="n">
        <v>4999.97554799083</v>
      </c>
      <c r="BA30" s="14" t="n">
        <v>14.7459783471229</v>
      </c>
      <c r="BB30" s="14" t="n">
        <v>23.4032709690593</v>
      </c>
      <c r="BC30" s="14" t="n">
        <v>37.6311261778617</v>
      </c>
      <c r="BD30" s="14" t="n">
        <v>-5.08067650538881</v>
      </c>
      <c r="BE30" s="14" t="n">
        <v>-3.389032187156</v>
      </c>
      <c r="BF30" s="14" t="n">
        <v>5.28542761383372</v>
      </c>
      <c r="BG30" s="14" t="n">
        <v>6.97707193206652</v>
      </c>
      <c r="BH30" s="14" t="n">
        <v>10.9956654944829</v>
      </c>
      <c r="BI30" s="14" t="n">
        <v>14.5375344778911</v>
      </c>
      <c r="BJ30" s="14" t="n">
        <v>3.71992671744367</v>
      </c>
      <c r="BK30" s="14" t="n">
        <v>4.46573109600205</v>
      </c>
      <c r="BL30" s="14" t="n">
        <v>6.42123287671233</v>
      </c>
      <c r="BM30" s="14" t="n">
        <v>8712.70308277889</v>
      </c>
      <c r="BN30" s="14" t="n">
        <v>7473.09859446594</v>
      </c>
      <c r="BO30" s="14" t="n">
        <v>7473.09859446594</v>
      </c>
      <c r="BP30" s="14" t="n">
        <v>327.195752</v>
      </c>
      <c r="BQ30" s="14" t="n">
        <v>301.7195</v>
      </c>
      <c r="BR30" s="14" t="n">
        <v>1081.9108</v>
      </c>
      <c r="BS30" s="14" t="s">
        <v>2856</v>
      </c>
      <c r="BT30" s="14" t="n">
        <v>37.9555555555556</v>
      </c>
      <c r="BU30" s="14" t="n">
        <v>0.202495480090107</v>
      </c>
      <c r="BV30" s="14" t="n">
        <v>0.204285232461873</v>
      </c>
      <c r="BW30" s="14" t="n">
        <v>13510.8578038903</v>
      </c>
      <c r="BX30" s="14" t="n">
        <v>27107.0656988521</v>
      </c>
      <c r="BY30" s="14" t="n">
        <v>99.4176208165455</v>
      </c>
      <c r="BZ30" s="14" t="n">
        <v>0</v>
      </c>
      <c r="CA30" s="14" t="n">
        <v>950.69728</v>
      </c>
      <c r="CB30" s="14" t="n">
        <v>12000</v>
      </c>
    </row>
    <row r="31" customFormat="false" ht="15" hidden="false" customHeight="false" outlineLevel="0" collapsed="false">
      <c r="A31" s="0" t="s">
        <v>2867</v>
      </c>
      <c r="B31" s="14" t="n">
        <v>2465.07954157611</v>
      </c>
      <c r="C31" s="14" t="n">
        <v>7505.46533149617</v>
      </c>
      <c r="D31" s="14" t="n">
        <v>20180.6645744977</v>
      </c>
      <c r="E31" s="14" t="n">
        <v>3713.46369159839</v>
      </c>
      <c r="F31" s="14" t="n">
        <v>-1606.96308130411</v>
      </c>
      <c r="G31" s="14" t="n">
        <v>5020.20815964266</v>
      </c>
      <c r="H31" s="14" t="n">
        <v>30862.6219128953</v>
      </c>
      <c r="I31" s="15" t="n">
        <v>68.5608645829291</v>
      </c>
      <c r="J31" s="15" t="n">
        <v>81.5613734022087</v>
      </c>
      <c r="K31" s="14" t="s">
        <v>60</v>
      </c>
      <c r="L31" s="14" t="n">
        <v>-4956.48323642636</v>
      </c>
      <c r="M31" s="14" t="n">
        <v>33802.8714241299</v>
      </c>
      <c r="N31" s="14" t="n">
        <v>11755.2436196396</v>
      </c>
      <c r="O31" s="14" t="n">
        <v>-18953.4476143676</v>
      </c>
      <c r="P31" s="14" t="n">
        <v>951.290832135856</v>
      </c>
      <c r="Q31" s="14" t="n">
        <v>61.4155828462322</v>
      </c>
      <c r="R31" s="14" t="n">
        <v>17617.7170533315</v>
      </c>
      <c r="S31" s="14" t="n">
        <v>26891.60387799</v>
      </c>
      <c r="T31" s="14" t="n">
        <v>-955.692204749296</v>
      </c>
      <c r="U31" s="14" t="n">
        <v>21824.7467443421</v>
      </c>
      <c r="V31" s="14" t="n">
        <v>0.750319556751226</v>
      </c>
      <c r="W31" s="14" t="n">
        <v>75378.2667197972</v>
      </c>
      <c r="X31" s="14" t="n">
        <v>18001.879897584</v>
      </c>
      <c r="Y31" s="14" t="n">
        <v>76.7264860134846</v>
      </c>
      <c r="Z31" s="14" t="n">
        <v>104.14571769728</v>
      </c>
      <c r="AA31" s="14" t="n">
        <v>27.424347870838</v>
      </c>
      <c r="AB31" s="14" t="n">
        <v>25.224347870838</v>
      </c>
      <c r="AC31" s="14" t="n">
        <v>26.674347870838</v>
      </c>
      <c r="AD31" s="14" t="n">
        <v>21.0618991648036</v>
      </c>
      <c r="AE31" s="14" t="n">
        <v>674.686407680941</v>
      </c>
      <c r="AF31" s="14" t="n">
        <v>0.03</v>
      </c>
      <c r="AG31" s="14" t="n">
        <v>0.664073049535931</v>
      </c>
      <c r="AH31" s="14" t="n">
        <v>9819.91719809611</v>
      </c>
      <c r="AI31" s="14" t="n">
        <v>20180.6645744977</v>
      </c>
      <c r="AJ31" s="14" t="n">
        <v>16.69175</v>
      </c>
      <c r="AK31" s="14" t="n">
        <v>0</v>
      </c>
      <c r="AL31" s="14" t="n">
        <v>-36980.4391716343</v>
      </c>
      <c r="AM31" s="14" t="n">
        <v>812.6073</v>
      </c>
      <c r="AN31" s="14" t="n">
        <v>20079.98904</v>
      </c>
      <c r="AO31" s="14" t="n">
        <v>-5508.72242389994</v>
      </c>
      <c r="AP31" s="14" t="n">
        <v>0.516474502037109</v>
      </c>
      <c r="AQ31" s="14" t="n">
        <v>72.1782065506271</v>
      </c>
      <c r="AR31" s="14" t="n">
        <v>330.5971045</v>
      </c>
      <c r="AS31" s="14" t="n">
        <v>318.3265975</v>
      </c>
      <c r="AT31" s="14" t="n">
        <v>-4956.48323642636</v>
      </c>
      <c r="AU31" s="14" t="n">
        <v>12.270507</v>
      </c>
      <c r="AV31" s="14" t="n">
        <v>0</v>
      </c>
      <c r="AW31" s="14" t="n">
        <v>2254.3125</v>
      </c>
      <c r="AX31" s="14" t="n">
        <v>318.3265975</v>
      </c>
      <c r="AY31" s="14" t="n">
        <v>315.673377812474</v>
      </c>
      <c r="AZ31" s="14" t="n">
        <v>5568.83612056339</v>
      </c>
      <c r="BA31" s="14" t="n">
        <v>16.5523136016134</v>
      </c>
      <c r="BB31" s="14" t="n">
        <v>25.2096062235498</v>
      </c>
      <c r="BC31" s="14" t="n">
        <v>39.4374614323522</v>
      </c>
      <c r="BD31" s="14" t="n">
        <v>-5.08067650538881</v>
      </c>
      <c r="BE31" s="14" t="n">
        <v>-3.389032187156</v>
      </c>
      <c r="BF31" s="14" t="n">
        <v>5.28542761383372</v>
      </c>
      <c r="BG31" s="14" t="n">
        <v>6.97707193206652</v>
      </c>
      <c r="BH31" s="14" t="n">
        <v>10.9956654944829</v>
      </c>
      <c r="BI31" s="14" t="n">
        <v>14.5375344778911</v>
      </c>
      <c r="BJ31" s="14" t="n">
        <v>3.71992671744367</v>
      </c>
      <c r="BK31" s="14" t="n">
        <v>4.46573109600205</v>
      </c>
      <c r="BL31" s="14" t="n">
        <v>6.42123287671233</v>
      </c>
      <c r="BM31" s="14" t="n">
        <v>8712.70308277889</v>
      </c>
      <c r="BN31" s="14" t="n">
        <v>7473.09859446594</v>
      </c>
      <c r="BO31" s="14" t="n">
        <v>7473.09859446594</v>
      </c>
      <c r="BP31" s="14" t="n">
        <v>330.5971045</v>
      </c>
      <c r="BQ31" s="14" t="n">
        <v>301.7195</v>
      </c>
      <c r="BR31" s="14" t="n">
        <v>1081.9108</v>
      </c>
      <c r="BS31" s="14" t="s">
        <v>2855</v>
      </c>
      <c r="BT31" s="14" t="n">
        <v>37.9555555555556</v>
      </c>
      <c r="BU31" s="14" t="n">
        <v>0.202495480090107</v>
      </c>
      <c r="BV31" s="14" t="n">
        <v>0.204285232461873</v>
      </c>
      <c r="BW31" s="14" t="n">
        <v>13328.9507681851</v>
      </c>
      <c r="BX31" s="14" t="n">
        <v>26915.3671366004</v>
      </c>
      <c r="BY31" s="14" t="n">
        <v>97.6485313769835</v>
      </c>
      <c r="BZ31" s="14" t="n">
        <v>0</v>
      </c>
      <c r="CA31" s="14" t="n">
        <v>950.69728</v>
      </c>
      <c r="CB31" s="14" t="n">
        <v>12000</v>
      </c>
    </row>
    <row r="32" customFormat="false" ht="15" hidden="false" customHeight="false" outlineLevel="0" collapsed="false">
      <c r="A32" s="0" t="s">
        <v>2868</v>
      </c>
      <c r="B32" s="14" t="n">
        <v>2465.07954157611</v>
      </c>
      <c r="C32" s="14" t="n">
        <v>7505.46533149617</v>
      </c>
      <c r="D32" s="14" t="n">
        <v>20180.6645744977</v>
      </c>
      <c r="E32" s="14" t="n">
        <v>3713.46369159839</v>
      </c>
      <c r="F32" s="14" t="n">
        <v>-996.261361304114</v>
      </c>
      <c r="G32" s="14" t="n">
        <v>4409.50643964266</v>
      </c>
      <c r="H32" s="14" t="n">
        <v>14831.0655363626</v>
      </c>
      <c r="I32" s="15" t="n">
        <v>10.0112129772391</v>
      </c>
      <c r="J32" s="15" t="n">
        <v>17.8901198578584</v>
      </c>
      <c r="K32" s="14" t="s">
        <v>58</v>
      </c>
      <c r="L32" s="14" t="n">
        <v>-7816.92218415352</v>
      </c>
      <c r="M32" s="14" t="n">
        <v>33410.3155066299</v>
      </c>
      <c r="N32" s="14" t="n">
        <v>11755.2436196396</v>
      </c>
      <c r="O32" s="14" t="n">
        <v>-27865.1071791589</v>
      </c>
      <c r="P32" s="14" t="n">
        <v>951.290832135856</v>
      </c>
      <c r="Q32" s="14" t="n">
        <v>672.117302846231</v>
      </c>
      <c r="R32" s="14" t="n">
        <v>21110.4903208315</v>
      </c>
      <c r="S32" s="14" t="n">
        <v>33291.96369149</v>
      </c>
      <c r="T32" s="14" t="n">
        <v>-955.692204749296</v>
      </c>
      <c r="U32" s="14" t="n">
        <v>3152.78369960419</v>
      </c>
      <c r="V32" s="14" t="n">
        <v>0.750319556751226</v>
      </c>
      <c r="W32" s="14" t="n">
        <v>57212.3040450872</v>
      </c>
      <c r="X32" s="14" t="n">
        <v>21544.3506556866</v>
      </c>
      <c r="Y32" s="14" t="n">
        <v>16.8296090881712</v>
      </c>
      <c r="Z32" s="14" t="n">
        <v>22.8438940464994</v>
      </c>
      <c r="AA32" s="14" t="n">
        <v>27.424347870838</v>
      </c>
      <c r="AB32" s="14" t="n">
        <v>25.224347870838</v>
      </c>
      <c r="AC32" s="14" t="n">
        <v>26.674347870838</v>
      </c>
      <c r="AD32" s="14" t="n">
        <v>21.0618991648036</v>
      </c>
      <c r="AE32" s="14" t="n">
        <v>674.686407680941</v>
      </c>
      <c r="AF32" s="14" t="n">
        <v>0.03</v>
      </c>
      <c r="AG32" s="14" t="n">
        <v>0.664073049535931</v>
      </c>
      <c r="AH32" s="14" t="n">
        <v>6305.63205881174</v>
      </c>
      <c r="AI32" s="14" t="n">
        <v>20180.6645744977</v>
      </c>
      <c r="AJ32" s="14" t="n">
        <v>16.69175</v>
      </c>
      <c r="AK32" s="14" t="n">
        <v>0</v>
      </c>
      <c r="AL32" s="14" t="n">
        <v>-39832.9234635678</v>
      </c>
      <c r="AM32" s="14" t="n">
        <v>812.6073</v>
      </c>
      <c r="AN32" s="14" t="n">
        <v>17273.143425</v>
      </c>
      <c r="AO32" s="14" t="n">
        <v>-4978.8550612797</v>
      </c>
      <c r="AP32" s="14" t="n">
        <v>0.516474502037109</v>
      </c>
      <c r="AQ32" s="14" t="n">
        <v>15.8319644759809</v>
      </c>
      <c r="AR32" s="14" t="n">
        <v>327.195752</v>
      </c>
      <c r="AS32" s="14" t="n">
        <v>314.925245</v>
      </c>
      <c r="AT32" s="14" t="n">
        <v>-7816.92218415352</v>
      </c>
      <c r="AU32" s="14" t="n">
        <v>12.270507</v>
      </c>
      <c r="AV32" s="14" t="n">
        <v>0</v>
      </c>
      <c r="AW32" s="14" t="n">
        <v>2254.3125</v>
      </c>
      <c r="AX32" s="14" t="n">
        <v>314.925245</v>
      </c>
      <c r="AY32" s="14" t="n">
        <v>314.925245</v>
      </c>
      <c r="AZ32" s="14" t="n">
        <v>5568.83612056339</v>
      </c>
      <c r="BA32" s="14" t="n">
        <v>8.74570021785626</v>
      </c>
      <c r="BB32" s="14" t="n">
        <v>17.4029928397926</v>
      </c>
      <c r="BC32" s="14" t="n">
        <v>31.6308480485951</v>
      </c>
      <c r="BD32" s="14" t="n">
        <v>-5.08067650538881</v>
      </c>
      <c r="BE32" s="14" t="n">
        <v>-3.389032187156</v>
      </c>
      <c r="BF32" s="14" t="n">
        <v>5.28542761383372</v>
      </c>
      <c r="BG32" s="14" t="n">
        <v>6.97707193206652</v>
      </c>
      <c r="BH32" s="14" t="n">
        <v>10.9956654944829</v>
      </c>
      <c r="BI32" s="14" t="n">
        <v>14.5375344778911</v>
      </c>
      <c r="BJ32" s="14" t="n">
        <v>3.71992671744367</v>
      </c>
      <c r="BK32" s="14" t="n">
        <v>4.46573109600205</v>
      </c>
      <c r="BL32" s="14" t="n">
        <v>6.42123287671233</v>
      </c>
      <c r="BM32" s="14" t="n">
        <v>8712.70308277889</v>
      </c>
      <c r="BN32" s="14" t="n">
        <v>7473.09859446594</v>
      </c>
      <c r="BO32" s="14" t="n">
        <v>7473.09859446594</v>
      </c>
      <c r="BP32" s="14" t="n">
        <v>327.195752</v>
      </c>
      <c r="BQ32" s="14" t="n">
        <v>301.7195</v>
      </c>
      <c r="BR32" s="14" t="n">
        <v>1081.9108</v>
      </c>
      <c r="BS32" s="14" t="s">
        <v>2855</v>
      </c>
      <c r="BT32" s="14" t="n">
        <v>37.9555555555556</v>
      </c>
      <c r="BU32" s="14" t="n">
        <v>0.202495480090107</v>
      </c>
      <c r="BV32" s="14" t="n">
        <v>0.204285232461873</v>
      </c>
      <c r="BW32" s="14" t="n">
        <v>13510.8578038903</v>
      </c>
      <c r="BX32" s="14" t="n">
        <v>27107.0656988521</v>
      </c>
      <c r="BY32" s="14" t="n">
        <v>103.769119600683</v>
      </c>
      <c r="BZ32" s="14" t="n">
        <v>0</v>
      </c>
      <c r="CA32" s="14" t="n">
        <v>950.69728</v>
      </c>
      <c r="CB32" s="14" t="n">
        <v>12000</v>
      </c>
    </row>
    <row r="33" customFormat="false" ht="15" hidden="false" customHeight="false" outlineLevel="0" collapsed="false">
      <c r="A33" s="0" t="s">
        <v>2869</v>
      </c>
      <c r="B33" s="14" t="n">
        <v>2465.07954157611</v>
      </c>
      <c r="C33" s="14" t="n">
        <v>7505.46533149617</v>
      </c>
      <c r="D33" s="14" t="n">
        <v>20180.6645744977</v>
      </c>
      <c r="E33" s="14" t="n">
        <v>3713.46369159839</v>
      </c>
      <c r="F33" s="14" t="n">
        <v>-1850.61558130411</v>
      </c>
      <c r="G33" s="14" t="n">
        <v>5263.86065964266</v>
      </c>
      <c r="H33" s="14" t="n">
        <v>4930.31629705495</v>
      </c>
      <c r="I33" s="15" t="n">
        <v>0.01</v>
      </c>
      <c r="J33" s="15" t="n">
        <v>0</v>
      </c>
      <c r="K33" s="14" t="s">
        <v>50</v>
      </c>
      <c r="L33" s="14" t="n">
        <v>-2686.83676689512</v>
      </c>
      <c r="M33" s="14" t="n">
        <v>35650.0115066299</v>
      </c>
      <c r="N33" s="14" t="n">
        <v>11755.2436196396</v>
      </c>
      <c r="O33" s="14" t="n">
        <v>-20696.0738794188</v>
      </c>
      <c r="P33" s="14" t="n">
        <v>951.290832135856</v>
      </c>
      <c r="Q33" s="14" t="n">
        <v>-182.236917153768</v>
      </c>
      <c r="R33" s="14" t="n">
        <v>13323.9713208315</v>
      </c>
      <c r="S33" s="14" t="n">
        <v>30635.68839149</v>
      </c>
      <c r="T33" s="14" t="n">
        <v>-1016.6053297493</v>
      </c>
      <c r="U33" s="14" t="n">
        <v>-2454.21980720351</v>
      </c>
      <c r="V33" s="14" t="n">
        <v>0.750319556751226</v>
      </c>
      <c r="W33" s="14" t="n">
        <v>51969.3326038065</v>
      </c>
      <c r="X33" s="14" t="n">
        <v>22424.3355022866</v>
      </c>
      <c r="Y33" s="14" t="n">
        <v>0</v>
      </c>
      <c r="Z33" s="14" t="n">
        <v>0</v>
      </c>
      <c r="AA33" s="14" t="n">
        <v>27.424347870838</v>
      </c>
      <c r="AB33" s="14" t="n">
        <v>25.224347870838</v>
      </c>
      <c r="AC33" s="14" t="n">
        <v>26.674347870838</v>
      </c>
      <c r="AD33" s="14" t="n">
        <v>21.0618991648036</v>
      </c>
      <c r="AE33" s="14" t="n">
        <v>674.686407680941</v>
      </c>
      <c r="AF33" s="14" t="n">
        <v>0.03</v>
      </c>
      <c r="AG33" s="14" t="n">
        <v>0.664073049535931</v>
      </c>
      <c r="AH33" s="14" t="n">
        <v>14054.7213339711</v>
      </c>
      <c r="AI33" s="14" t="n">
        <v>20180.6645744977</v>
      </c>
      <c r="AJ33" s="14" t="n">
        <v>16.69175</v>
      </c>
      <c r="AK33" s="14" t="n">
        <v>0</v>
      </c>
      <c r="AL33" s="14" t="n">
        <v>-35198.0908473034</v>
      </c>
      <c r="AM33" s="14" t="n">
        <v>812.6073</v>
      </c>
      <c r="AN33" s="14" t="n">
        <v>20079.98904</v>
      </c>
      <c r="AO33" s="14" t="n">
        <v>-5077.64491446433</v>
      </c>
      <c r="AP33" s="14" t="n">
        <v>0.516474502037109</v>
      </c>
      <c r="AQ33" s="14" t="n">
        <v>0</v>
      </c>
      <c r="AR33" s="14" t="n">
        <v>327.195752</v>
      </c>
      <c r="AS33" s="14" t="n">
        <v>314.925245</v>
      </c>
      <c r="AT33" s="14" t="n">
        <v>-2686.83676689512</v>
      </c>
      <c r="AU33" s="14" t="n">
        <v>12.270507</v>
      </c>
      <c r="AV33" s="14" t="n">
        <v>0</v>
      </c>
      <c r="AW33" s="14" t="n">
        <v>2254.3125</v>
      </c>
      <c r="AX33" s="14" t="n">
        <v>314.925245</v>
      </c>
      <c r="AY33" s="14" t="n">
        <v>314.925245</v>
      </c>
      <c r="AZ33" s="14" t="n">
        <v>5568.83612056339</v>
      </c>
      <c r="BA33" s="14" t="n">
        <v>22.3798746788462</v>
      </c>
      <c r="BB33" s="14" t="n">
        <v>31.0371673007826</v>
      </c>
      <c r="BC33" s="14" t="n">
        <v>45.265022509585</v>
      </c>
      <c r="BD33" s="14" t="n">
        <v>-5.08067650538881</v>
      </c>
      <c r="BE33" s="14" t="n">
        <v>-3.389032187156</v>
      </c>
      <c r="BF33" s="14" t="n">
        <v>5.28542761383372</v>
      </c>
      <c r="BG33" s="14" t="n">
        <v>6.97707193206652</v>
      </c>
      <c r="BH33" s="14" t="n">
        <v>10.9956654944829</v>
      </c>
      <c r="BI33" s="14" t="n">
        <v>14.5375344778911</v>
      </c>
      <c r="BJ33" s="14" t="n">
        <v>3.71992671744367</v>
      </c>
      <c r="BK33" s="14" t="n">
        <v>4.46573109600205</v>
      </c>
      <c r="BL33" s="14" t="n">
        <v>6.42123287671233</v>
      </c>
      <c r="BM33" s="14" t="n">
        <v>8712.70308277889</v>
      </c>
      <c r="BN33" s="14" t="n">
        <v>7473.09859446594</v>
      </c>
      <c r="BO33" s="14" t="n">
        <v>7473.09859446594</v>
      </c>
      <c r="BP33" s="14" t="n">
        <v>327.195752</v>
      </c>
      <c r="BQ33" s="14" t="n">
        <v>301.7195</v>
      </c>
      <c r="BR33" s="14" t="n">
        <v>1081.9108</v>
      </c>
      <c r="BS33" s="14" t="s">
        <v>2856</v>
      </c>
      <c r="BT33" s="14" t="n">
        <v>37.9555555555556</v>
      </c>
      <c r="BU33" s="14" t="n">
        <v>0.202495480090107</v>
      </c>
      <c r="BV33" s="14" t="n">
        <v>0.204285232461873</v>
      </c>
      <c r="BW33" s="14" t="n">
        <v>13510.8578038903</v>
      </c>
      <c r="BX33" s="14" t="n">
        <v>27107.0656988521</v>
      </c>
      <c r="BY33" s="14" t="n">
        <v>94.0822222172462</v>
      </c>
      <c r="BZ33" s="14" t="n">
        <v>0</v>
      </c>
      <c r="CA33" s="14" t="n">
        <v>950.69728</v>
      </c>
      <c r="CB33" s="14" t="n">
        <v>12000</v>
      </c>
    </row>
    <row r="34" customFormat="false" ht="15" hidden="false" customHeight="false" outlineLevel="0" collapsed="false">
      <c r="A34" s="0" t="s">
        <v>2870</v>
      </c>
      <c r="B34" s="14" t="n">
        <v>2465.07954157611</v>
      </c>
      <c r="C34" s="14" t="n">
        <v>7495.63121691284</v>
      </c>
      <c r="D34" s="14" t="n">
        <v>19584.733064081</v>
      </c>
      <c r="E34" s="14" t="n">
        <v>3706.48147024423</v>
      </c>
      <c r="F34" s="14" t="n">
        <v>-1613.54411463745</v>
      </c>
      <c r="G34" s="14" t="n">
        <v>5020.20033620516</v>
      </c>
      <c r="H34" s="14" t="n">
        <v>-7024.81138516716</v>
      </c>
      <c r="I34" s="15" t="n">
        <v>0.01</v>
      </c>
      <c r="J34" s="15" t="n">
        <v>0</v>
      </c>
      <c r="K34" s="14" t="s">
        <v>60</v>
      </c>
      <c r="L34" s="14" t="n">
        <v>-4963.28452015683</v>
      </c>
      <c r="M34" s="14" t="n">
        <v>33802.6747418383</v>
      </c>
      <c r="N34" s="14" t="n">
        <v>11302.335671723</v>
      </c>
      <c r="O34" s="14" t="n">
        <v>-19471.6377980488</v>
      </c>
      <c r="P34" s="14" t="n">
        <v>951.290832135856</v>
      </c>
      <c r="Q34" s="14" t="n">
        <v>-367.020133039184</v>
      </c>
      <c r="R34" s="14" t="n">
        <v>17617.7170533315</v>
      </c>
      <c r="S34" s="14" t="n">
        <v>26958.9016112816</v>
      </c>
      <c r="T34" s="14" t="n">
        <v>-955.692204749296</v>
      </c>
      <c r="U34" s="14" t="n">
        <v>-16244.5935894256</v>
      </c>
      <c r="V34" s="14" t="n">
        <v>0.750319556751226</v>
      </c>
      <c r="W34" s="14" t="n">
        <v>40795.4450813722</v>
      </c>
      <c r="X34" s="14" t="n">
        <v>22154.6714871696</v>
      </c>
      <c r="Y34" s="14" t="n">
        <v>0</v>
      </c>
      <c r="Z34" s="14" t="n">
        <v>0</v>
      </c>
      <c r="AA34" s="14" t="n">
        <v>27.424347870838</v>
      </c>
      <c r="AB34" s="14" t="n">
        <v>25.224347870838</v>
      </c>
      <c r="AC34" s="14" t="n">
        <v>26.674347870838</v>
      </c>
      <c r="AD34" s="14" t="n">
        <v>21.0618991648036</v>
      </c>
      <c r="AE34" s="14" t="n">
        <v>674.686407680941</v>
      </c>
      <c r="AF34" s="14" t="n">
        <v>0.03</v>
      </c>
      <c r="AG34" s="14" t="n">
        <v>0.653252141932886</v>
      </c>
      <c r="AH34" s="14" t="n">
        <v>9819.91719809611</v>
      </c>
      <c r="AI34" s="14" t="n">
        <v>19584.733064081</v>
      </c>
      <c r="AJ34" s="14" t="n">
        <v>16.69175</v>
      </c>
      <c r="AK34" s="14" t="n">
        <v>0</v>
      </c>
      <c r="AL34" s="14" t="n">
        <v>-38469.4279365695</v>
      </c>
      <c r="AM34" s="14" t="n">
        <v>812.6073</v>
      </c>
      <c r="AN34" s="14" t="n">
        <v>20079.98904</v>
      </c>
      <c r="AO34" s="14" t="n">
        <v>-5508.72242389994</v>
      </c>
      <c r="AP34" s="14" t="n">
        <v>0.53060707578045</v>
      </c>
      <c r="AQ34" s="14" t="n">
        <v>0</v>
      </c>
      <c r="AR34" s="14" t="n">
        <v>327.195752</v>
      </c>
      <c r="AS34" s="14" t="n">
        <v>314.925245</v>
      </c>
      <c r="AT34" s="14" t="n">
        <v>-4963.28452015683</v>
      </c>
      <c r="AU34" s="14" t="n">
        <v>12.270507</v>
      </c>
      <c r="AV34" s="14" t="n">
        <v>0</v>
      </c>
      <c r="AW34" s="14" t="n">
        <v>2254.3125</v>
      </c>
      <c r="AX34" s="14" t="n">
        <v>314.925245</v>
      </c>
      <c r="AY34" s="14" t="n">
        <v>314.925245</v>
      </c>
      <c r="AZ34" s="14" t="n">
        <v>5398.75156247731</v>
      </c>
      <c r="BA34" s="14" t="n">
        <v>16.0122344533505</v>
      </c>
      <c r="BB34" s="14" t="n">
        <v>24.6695270752869</v>
      </c>
      <c r="BC34" s="14" t="n">
        <v>38.8973822840893</v>
      </c>
      <c r="BD34" s="14" t="n">
        <v>-5.08067650538881</v>
      </c>
      <c r="BE34" s="14" t="n">
        <v>-3.389032187156</v>
      </c>
      <c r="BF34" s="14" t="n">
        <v>5.28542761383372</v>
      </c>
      <c r="BG34" s="14" t="n">
        <v>6.97707193206652</v>
      </c>
      <c r="BH34" s="14" t="n">
        <v>10.9956654944829</v>
      </c>
      <c r="BI34" s="14" t="n">
        <v>14.5375344778911</v>
      </c>
      <c r="BJ34" s="14" t="n">
        <v>3.71992671744367</v>
      </c>
      <c r="BK34" s="14" t="n">
        <v>4.46573109600205</v>
      </c>
      <c r="BL34" s="14" t="n">
        <v>5.70776255707763</v>
      </c>
      <c r="BM34" s="14" t="n">
        <v>8712.70308277889</v>
      </c>
      <c r="BN34" s="14" t="n">
        <v>7463.26447988261</v>
      </c>
      <c r="BO34" s="14" t="n">
        <v>7463.26447988261</v>
      </c>
      <c r="BP34" s="14" t="n">
        <v>327.195752</v>
      </c>
      <c r="BQ34" s="14" t="n">
        <v>301.7195</v>
      </c>
      <c r="BR34" s="14" t="n">
        <v>1081.9108</v>
      </c>
      <c r="BS34" s="14" t="s">
        <v>2856</v>
      </c>
      <c r="BT34" s="14" t="n">
        <v>37.9555555555556</v>
      </c>
      <c r="BU34" s="14" t="n">
        <v>0.202495480090107</v>
      </c>
      <c r="BV34" s="14" t="n">
        <v>0.204285232461873</v>
      </c>
      <c r="BW34" s="14" t="n">
        <v>13510.8578038903</v>
      </c>
      <c r="BX34" s="14" t="n">
        <v>27107.0656988521</v>
      </c>
      <c r="BY34" s="14" t="n">
        <v>100.863751560468</v>
      </c>
      <c r="BZ34" s="14" t="n">
        <v>0</v>
      </c>
      <c r="CA34" s="14" t="n">
        <v>950.69728</v>
      </c>
      <c r="CB34" s="14" t="n">
        <v>12000</v>
      </c>
    </row>
    <row r="35" customFormat="false" ht="15" hidden="false" customHeight="false" outlineLevel="0" collapsed="false">
      <c r="A35" s="0" t="s">
        <v>2871</v>
      </c>
      <c r="B35" s="14" t="n">
        <v>2465.07954157611</v>
      </c>
      <c r="C35" s="14" t="n">
        <v>7505.46533149617</v>
      </c>
      <c r="D35" s="14" t="n">
        <v>20180.6645744977</v>
      </c>
      <c r="E35" s="14" t="n">
        <v>3713.46369159839</v>
      </c>
      <c r="F35" s="14" t="n">
        <v>-1606.96308130411</v>
      </c>
      <c r="G35" s="14" t="n">
        <v>5020.20815964266</v>
      </c>
      <c r="H35" s="14" t="n">
        <v>7854.59013302158</v>
      </c>
      <c r="I35" s="15" t="n">
        <v>0.01</v>
      </c>
      <c r="J35" s="15" t="n">
        <v>2.28688359991828</v>
      </c>
      <c r="K35" s="14" t="s">
        <v>60</v>
      </c>
      <c r="L35" s="14" t="n">
        <v>-4956.48323642636</v>
      </c>
      <c r="M35" s="14" t="n">
        <v>33802.8714241299</v>
      </c>
      <c r="N35" s="14" t="n">
        <v>11755.2436196396</v>
      </c>
      <c r="O35" s="14" t="n">
        <v>-19023.84719661</v>
      </c>
      <c r="P35" s="14" t="n">
        <v>951.290832135856</v>
      </c>
      <c r="Q35" s="14" t="n">
        <v>61.4155828462322</v>
      </c>
      <c r="R35" s="14" t="n">
        <v>17617.7170533315</v>
      </c>
      <c r="S35" s="14" t="n">
        <v>26970.82024149</v>
      </c>
      <c r="T35" s="14" t="n">
        <v>-955.692204749296</v>
      </c>
      <c r="U35" s="14" t="n">
        <v>-1365.19207123687</v>
      </c>
      <c r="V35" s="14" t="n">
        <v>0.750319556751226</v>
      </c>
      <c r="W35" s="14" t="n">
        <v>53464.5708424573</v>
      </c>
      <c r="X35" s="14" t="n">
        <v>22173.3734272866</v>
      </c>
      <c r="Y35" s="14" t="n">
        <v>2.15131912600733</v>
      </c>
      <c r="Z35" s="14" t="n">
        <v>2.92012166873565</v>
      </c>
      <c r="AA35" s="14" t="n">
        <v>27.424347870838</v>
      </c>
      <c r="AB35" s="14" t="n">
        <v>25.224347870838</v>
      </c>
      <c r="AC35" s="14" t="n">
        <v>26.674347870838</v>
      </c>
      <c r="AD35" s="14" t="n">
        <v>21.0618991648036</v>
      </c>
      <c r="AE35" s="14" t="n">
        <v>674.686407680941</v>
      </c>
      <c r="AF35" s="14" t="n">
        <v>0.03</v>
      </c>
      <c r="AG35" s="14" t="n">
        <v>0.664073049535931</v>
      </c>
      <c r="AH35" s="14" t="n">
        <v>9819.91719809611</v>
      </c>
      <c r="AI35" s="14" t="n">
        <v>20180.6645744977</v>
      </c>
      <c r="AJ35" s="14" t="n">
        <v>16.69175</v>
      </c>
      <c r="AK35" s="14" t="n">
        <v>0</v>
      </c>
      <c r="AL35" s="14" t="n">
        <v>-37200.0960732068</v>
      </c>
      <c r="AM35" s="14" t="n">
        <v>812.6073</v>
      </c>
      <c r="AN35" s="14" t="n">
        <v>20079.98904</v>
      </c>
      <c r="AO35" s="14" t="n">
        <v>-5508.72242389994</v>
      </c>
      <c r="AP35" s="14" t="n">
        <v>0.516474502037109</v>
      </c>
      <c r="AQ35" s="14" t="n">
        <v>2.02379079638786</v>
      </c>
      <c r="AR35" s="14" t="n">
        <v>327.195752</v>
      </c>
      <c r="AS35" s="14" t="n">
        <v>314.925245</v>
      </c>
      <c r="AT35" s="14" t="n">
        <v>-4956.48323642636</v>
      </c>
      <c r="AU35" s="14" t="n">
        <v>12.270507</v>
      </c>
      <c r="AV35" s="14" t="n">
        <v>0</v>
      </c>
      <c r="AW35" s="14" t="n">
        <v>2254.3125</v>
      </c>
      <c r="AX35" s="14" t="n">
        <v>314.925245</v>
      </c>
      <c r="AY35" s="14" t="n">
        <v>314.925245</v>
      </c>
      <c r="AZ35" s="14" t="n">
        <v>5568.83612056339</v>
      </c>
      <c r="BA35" s="14" t="n">
        <v>16.5523136016134</v>
      </c>
      <c r="BB35" s="14" t="n">
        <v>25.2096062235498</v>
      </c>
      <c r="BC35" s="14" t="n">
        <v>39.4374614323522</v>
      </c>
      <c r="BD35" s="14" t="n">
        <v>-5.08067650538881</v>
      </c>
      <c r="BE35" s="14" t="n">
        <v>-3.389032187156</v>
      </c>
      <c r="BF35" s="14" t="n">
        <v>5.28542761383372</v>
      </c>
      <c r="BG35" s="14" t="n">
        <v>6.97707193206652</v>
      </c>
      <c r="BH35" s="14" t="n">
        <v>10.9956654944829</v>
      </c>
      <c r="BI35" s="14" t="n">
        <v>14.5375344778911</v>
      </c>
      <c r="BJ35" s="14" t="n">
        <v>3.71992671744367</v>
      </c>
      <c r="BK35" s="14" t="n">
        <v>4.46573109600205</v>
      </c>
      <c r="BL35" s="14" t="n">
        <v>6.42123287671233</v>
      </c>
      <c r="BM35" s="14" t="n">
        <v>8712.70308277889</v>
      </c>
      <c r="BN35" s="14" t="n">
        <v>7473.09859446594</v>
      </c>
      <c r="BO35" s="14" t="n">
        <v>7473.09859446594</v>
      </c>
      <c r="BP35" s="14" t="n">
        <v>327.195752</v>
      </c>
      <c r="BQ35" s="14" t="n">
        <v>301.7195</v>
      </c>
      <c r="BR35" s="14" t="n">
        <v>1081.9108</v>
      </c>
      <c r="BS35" s="14" t="s">
        <v>2855</v>
      </c>
      <c r="BT35" s="14" t="n">
        <v>37.9555555555556</v>
      </c>
      <c r="BU35" s="14" t="n">
        <v>0.202495480090107</v>
      </c>
      <c r="BV35" s="14" t="n">
        <v>0.204285232461873</v>
      </c>
      <c r="BW35" s="14" t="n">
        <v>13510.8578038903</v>
      </c>
      <c r="BX35" s="14" t="n">
        <v>27107.0656988521</v>
      </c>
      <c r="BY35" s="14" t="n">
        <v>98.1216364538248</v>
      </c>
      <c r="BZ35" s="14" t="n">
        <v>0</v>
      </c>
      <c r="CA35" s="14" t="n">
        <v>950.69728</v>
      </c>
      <c r="CB35" s="14" t="n">
        <v>12000</v>
      </c>
    </row>
    <row r="36" customFormat="false" ht="15" hidden="false" customHeight="false" outlineLevel="0" collapsed="false">
      <c r="A36" s="0" t="s">
        <v>2872</v>
      </c>
      <c r="B36" s="14" t="n">
        <v>2465.07954157611</v>
      </c>
      <c r="C36" s="14" t="n">
        <v>7515.29944607951</v>
      </c>
      <c r="D36" s="14" t="n">
        <v>20776.5960849144</v>
      </c>
      <c r="E36" s="14" t="n">
        <v>3720.44591295256</v>
      </c>
      <c r="F36" s="14" t="n">
        <v>-1600.38204797078</v>
      </c>
      <c r="G36" s="14" t="n">
        <v>5020.21598308016</v>
      </c>
      <c r="H36" s="14" t="n">
        <v>23388.0799224935</v>
      </c>
      <c r="I36" s="15" t="n">
        <v>44.9893996851064</v>
      </c>
      <c r="J36" s="15" t="n">
        <v>55.9331896867506</v>
      </c>
      <c r="K36" s="14" t="s">
        <v>60</v>
      </c>
      <c r="L36" s="14" t="n">
        <v>-4949.68195269589</v>
      </c>
      <c r="M36" s="14" t="n">
        <v>33803.0681064216</v>
      </c>
      <c r="N36" s="14" t="n">
        <v>12208.1515675563</v>
      </c>
      <c r="O36" s="14" t="n">
        <v>-18578.3220131659</v>
      </c>
      <c r="P36" s="14" t="n">
        <v>951.290832135856</v>
      </c>
      <c r="Q36" s="14" t="n">
        <v>489.851298731649</v>
      </c>
      <c r="R36" s="14" t="n">
        <v>17617.7170533315</v>
      </c>
      <c r="S36" s="14" t="n">
        <v>26982.7388716983</v>
      </c>
      <c r="T36" s="14" t="n">
        <v>-955.692204749296</v>
      </c>
      <c r="U36" s="14" t="n">
        <v>14168.2977182351</v>
      </c>
      <c r="V36" s="14" t="n">
        <v>0.750319556751226</v>
      </c>
      <c r="W36" s="14" t="n">
        <v>66798.330512288</v>
      </c>
      <c r="X36" s="14" t="n">
        <v>22468.9246273021</v>
      </c>
      <c r="Y36" s="14" t="n">
        <v>52.6175187735845</v>
      </c>
      <c r="Z36" s="14" t="n">
        <v>71.4210899110118</v>
      </c>
      <c r="AA36" s="14" t="n">
        <v>27.424347870838</v>
      </c>
      <c r="AB36" s="14" t="n">
        <v>25.224347870838</v>
      </c>
      <c r="AC36" s="14" t="n">
        <v>26.674347870838</v>
      </c>
      <c r="AD36" s="14" t="n">
        <v>21.0618991648036</v>
      </c>
      <c r="AE36" s="14" t="n">
        <v>674.686407680941</v>
      </c>
      <c r="AF36" s="14" t="n">
        <v>0.03</v>
      </c>
      <c r="AG36" s="14" t="n">
        <v>0.673496416960347</v>
      </c>
      <c r="AH36" s="14" t="n">
        <v>9819.91719809611</v>
      </c>
      <c r="AI36" s="14" t="n">
        <v>20776.5960849144</v>
      </c>
      <c r="AJ36" s="14" t="n">
        <v>16.69175</v>
      </c>
      <c r="AK36" s="14" t="n">
        <v>0</v>
      </c>
      <c r="AL36" s="14" t="n">
        <v>-36057.9637390482</v>
      </c>
      <c r="AM36" s="14" t="n">
        <v>812.6073</v>
      </c>
      <c r="AN36" s="14" t="n">
        <v>20079.98904</v>
      </c>
      <c r="AO36" s="14" t="n">
        <v>-5508.72242389994</v>
      </c>
      <c r="AP36" s="14" t="n">
        <v>0.503075231407596</v>
      </c>
      <c r="AQ36" s="14" t="n">
        <v>49.4983979528766</v>
      </c>
      <c r="AR36" s="14" t="n">
        <v>327.195752</v>
      </c>
      <c r="AS36" s="14" t="n">
        <v>314.925245</v>
      </c>
      <c r="AT36" s="14" t="n">
        <v>-4949.68195269589</v>
      </c>
      <c r="AU36" s="14" t="n">
        <v>12.270507</v>
      </c>
      <c r="AV36" s="14" t="n">
        <v>0</v>
      </c>
      <c r="AW36" s="14" t="n">
        <v>2254.3125</v>
      </c>
      <c r="AX36" s="14" t="n">
        <v>314.925245</v>
      </c>
      <c r="AY36" s="14" t="n">
        <v>314.925245</v>
      </c>
      <c r="AZ36" s="14" t="n">
        <v>5720.70345827138</v>
      </c>
      <c r="BA36" s="14" t="n">
        <v>17.0345465763246</v>
      </c>
      <c r="BB36" s="14" t="n">
        <v>25.6918391982609</v>
      </c>
      <c r="BC36" s="14" t="n">
        <v>39.9196944070634</v>
      </c>
      <c r="BD36" s="14" t="n">
        <v>-5.08067650538881</v>
      </c>
      <c r="BE36" s="14" t="n">
        <v>-3.389032187156</v>
      </c>
      <c r="BF36" s="14" t="n">
        <v>5.28542761383372</v>
      </c>
      <c r="BG36" s="14" t="n">
        <v>6.97707193206652</v>
      </c>
      <c r="BH36" s="14" t="n">
        <v>10.9956654944829</v>
      </c>
      <c r="BI36" s="14" t="n">
        <v>14.5375344778911</v>
      </c>
      <c r="BJ36" s="14" t="n">
        <v>3.71992671744367</v>
      </c>
      <c r="BK36" s="14" t="n">
        <v>4.46573109600205</v>
      </c>
      <c r="BL36" s="14" t="n">
        <v>7.13470319634703</v>
      </c>
      <c r="BM36" s="14" t="n">
        <v>8712.70308277889</v>
      </c>
      <c r="BN36" s="14" t="n">
        <v>7482.93270904927</v>
      </c>
      <c r="BO36" s="14" t="n">
        <v>7482.93270904927</v>
      </c>
      <c r="BP36" s="14" t="n">
        <v>327.195752</v>
      </c>
      <c r="BQ36" s="14" t="n">
        <v>301.7195</v>
      </c>
      <c r="BR36" s="14" t="n">
        <v>1081.9108</v>
      </c>
      <c r="BS36" s="14" t="s">
        <v>2855</v>
      </c>
      <c r="BT36" s="14" t="n">
        <v>37.9555555555556</v>
      </c>
      <c r="BU36" s="14" t="n">
        <v>0.202495480090107</v>
      </c>
      <c r="BV36" s="14" t="n">
        <v>0.204285232461873</v>
      </c>
      <c r="BW36" s="14" t="n">
        <v>13510.8578038903</v>
      </c>
      <c r="BX36" s="14" t="n">
        <v>27107.0656988521</v>
      </c>
      <c r="BY36" s="14" t="n">
        <v>95.6509139515783</v>
      </c>
      <c r="BZ36" s="14" t="n">
        <v>0</v>
      </c>
      <c r="CA36" s="14" t="n">
        <v>950.69728</v>
      </c>
      <c r="CB36" s="14" t="n">
        <v>12000</v>
      </c>
    </row>
    <row r="37" customFormat="false" ht="15" hidden="false" customHeight="false" outlineLevel="0" collapsed="false">
      <c r="A37" s="0" t="s">
        <v>2873</v>
      </c>
      <c r="B37" s="14" t="n">
        <v>2465.07954157611</v>
      </c>
      <c r="C37" s="14" t="n">
        <v>7505.46533149617</v>
      </c>
      <c r="D37" s="14" t="n">
        <v>20180.6645744977</v>
      </c>
      <c r="E37" s="14" t="n">
        <v>3713.46369159839</v>
      </c>
      <c r="F37" s="14" t="n">
        <v>-1602.71308130411</v>
      </c>
      <c r="G37" s="14" t="n">
        <v>5015.95815964266</v>
      </c>
      <c r="H37" s="14" t="n">
        <v>8539.21763005698</v>
      </c>
      <c r="I37" s="15" t="n">
        <v>0.01</v>
      </c>
      <c r="J37" s="15" t="n">
        <v>4.65130632521699</v>
      </c>
      <c r="K37" s="14" t="s">
        <v>60</v>
      </c>
      <c r="L37" s="14" t="n">
        <v>-4700.73948642636</v>
      </c>
      <c r="M37" s="14" t="n">
        <v>33547.8714241299</v>
      </c>
      <c r="N37" s="14" t="n">
        <v>11755.2436196396</v>
      </c>
      <c r="O37" s="14" t="n">
        <v>-18683.10344661</v>
      </c>
      <c r="P37" s="14" t="n">
        <v>951.290832135856</v>
      </c>
      <c r="Q37" s="14" t="n">
        <v>112.415582846232</v>
      </c>
      <c r="R37" s="14" t="n">
        <v>17617.7170533315</v>
      </c>
      <c r="S37" s="14" t="n">
        <v>26885.82024149</v>
      </c>
      <c r="T37" s="14" t="n">
        <v>-955.692204749296</v>
      </c>
      <c r="U37" s="14" t="n">
        <v>-680.564574201471</v>
      </c>
      <c r="V37" s="14" t="n">
        <v>0.750319556751226</v>
      </c>
      <c r="W37" s="14" t="n">
        <v>53881.8708916185</v>
      </c>
      <c r="X37" s="14" t="n">
        <v>22103.3334272866</v>
      </c>
      <c r="Y37" s="14" t="n">
        <v>4.37558092537624</v>
      </c>
      <c r="Z37" s="14" t="n">
        <v>5.93925304666957</v>
      </c>
      <c r="AA37" s="14" t="n">
        <v>27.424347870838</v>
      </c>
      <c r="AB37" s="14" t="n">
        <v>25.224347870838</v>
      </c>
      <c r="AC37" s="14" t="n">
        <v>26.674347870838</v>
      </c>
      <c r="AD37" s="14" t="n">
        <v>21.0618991648036</v>
      </c>
      <c r="AE37" s="14" t="n">
        <v>674.686407680941</v>
      </c>
      <c r="AF37" s="14" t="n">
        <v>0.03</v>
      </c>
      <c r="AG37" s="14" t="n">
        <v>0.664073049535931</v>
      </c>
      <c r="AH37" s="14" t="n">
        <v>9819.91719809611</v>
      </c>
      <c r="AI37" s="14" t="n">
        <v>20180.6645744977</v>
      </c>
      <c r="AJ37" s="14" t="n">
        <v>16.69175</v>
      </c>
      <c r="AK37" s="14" t="n">
        <v>0</v>
      </c>
      <c r="AL37" s="14" t="n">
        <v>-36869.7267142856</v>
      </c>
      <c r="AM37" s="14" t="n">
        <v>812.6073</v>
      </c>
      <c r="AN37" s="14" t="n">
        <v>20079.98904</v>
      </c>
      <c r="AO37" s="14" t="n">
        <v>-5508.72242389994</v>
      </c>
      <c r="AP37" s="14" t="n">
        <v>0.516474502037109</v>
      </c>
      <c r="AQ37" s="14" t="n">
        <v>4.11620028780265</v>
      </c>
      <c r="AR37" s="14" t="n">
        <v>327.195752</v>
      </c>
      <c r="AS37" s="14" t="n">
        <v>314.925245</v>
      </c>
      <c r="AT37" s="14" t="n">
        <v>-4700.73948642636</v>
      </c>
      <c r="AU37" s="14" t="n">
        <v>12.270507</v>
      </c>
      <c r="AV37" s="14" t="n">
        <v>0</v>
      </c>
      <c r="AW37" s="14" t="n">
        <v>2254.3125</v>
      </c>
      <c r="AX37" s="14" t="n">
        <v>314.925245</v>
      </c>
      <c r="AY37" s="14" t="n">
        <v>314.925245</v>
      </c>
      <c r="AZ37" s="14" t="n">
        <v>6294.16945389672</v>
      </c>
      <c r="BA37" s="14" t="n">
        <v>18.8555056919564</v>
      </c>
      <c r="BB37" s="14" t="n">
        <v>27.5127983138928</v>
      </c>
      <c r="BC37" s="14" t="n">
        <v>41.7406535226952</v>
      </c>
      <c r="BD37" s="14" t="n">
        <v>-5.08067650538881</v>
      </c>
      <c r="BE37" s="14" t="n">
        <v>-3.389032187156</v>
      </c>
      <c r="BF37" s="14" t="n">
        <v>5.28542761383372</v>
      </c>
      <c r="BG37" s="14" t="n">
        <v>6.97707193206652</v>
      </c>
      <c r="BH37" s="14" t="n">
        <v>10.9956654944829</v>
      </c>
      <c r="BI37" s="14" t="n">
        <v>14.5375344778911</v>
      </c>
      <c r="BJ37" s="14" t="n">
        <v>3.71992671744367</v>
      </c>
      <c r="BK37" s="14" t="n">
        <v>4.46573109600205</v>
      </c>
      <c r="BL37" s="14" t="n">
        <v>6.42123287671233</v>
      </c>
      <c r="BM37" s="14" t="n">
        <v>8712.70308277889</v>
      </c>
      <c r="BN37" s="14" t="n">
        <v>7473.09859446594</v>
      </c>
      <c r="BO37" s="14" t="n">
        <v>7473.09859446594</v>
      </c>
      <c r="BP37" s="14" t="n">
        <v>327.195752</v>
      </c>
      <c r="BQ37" s="14" t="n">
        <v>301.7195</v>
      </c>
      <c r="BR37" s="14" t="n">
        <v>1081.9108</v>
      </c>
      <c r="BS37" s="14" t="s">
        <v>2855</v>
      </c>
      <c r="BT37" s="14" t="n">
        <v>37.9555555555556</v>
      </c>
      <c r="BU37" s="14" t="n">
        <v>0.202495480090107</v>
      </c>
      <c r="BV37" s="14" t="n">
        <v>0.204285232461873</v>
      </c>
      <c r="BW37" s="14" t="n">
        <v>13510.8578038903</v>
      </c>
      <c r="BX37" s="14" t="n">
        <v>27107.0656988521</v>
      </c>
      <c r="BY37" s="14" t="n">
        <v>97.3748435440558</v>
      </c>
      <c r="BZ37" s="14" t="n">
        <v>0</v>
      </c>
      <c r="CA37" s="14" t="n">
        <v>950.69728</v>
      </c>
      <c r="CB37" s="14" t="n">
        <v>12000</v>
      </c>
    </row>
    <row r="38" customFormat="false" ht="15" hidden="false" customHeight="false" outlineLevel="0" collapsed="false">
      <c r="A38" s="0" t="s">
        <v>2874</v>
      </c>
      <c r="B38" s="14" t="n">
        <v>2465.07954157611</v>
      </c>
      <c r="C38" s="14" t="n">
        <v>7505.46533149617</v>
      </c>
      <c r="D38" s="14" t="n">
        <v>20180.6645744977</v>
      </c>
      <c r="E38" s="14" t="n">
        <v>3713.46369159839</v>
      </c>
      <c r="F38" s="14" t="n">
        <v>-1606.96308130411</v>
      </c>
      <c r="G38" s="14" t="n">
        <v>5020.20815964266</v>
      </c>
      <c r="H38" s="14" t="n">
        <v>7854.59013302158</v>
      </c>
      <c r="I38" s="15" t="n">
        <v>0.01</v>
      </c>
      <c r="J38" s="15" t="n">
        <v>2.28688359991828</v>
      </c>
      <c r="K38" s="14" t="s">
        <v>60</v>
      </c>
      <c r="L38" s="14" t="n">
        <v>-4956.48323642636</v>
      </c>
      <c r="M38" s="14" t="n">
        <v>33802.8714241299</v>
      </c>
      <c r="N38" s="14" t="n">
        <v>11755.2436196396</v>
      </c>
      <c r="O38" s="14" t="n">
        <v>-19023.84719661</v>
      </c>
      <c r="P38" s="14" t="n">
        <v>951.290832135856</v>
      </c>
      <c r="Q38" s="14" t="n">
        <v>61.4155828462322</v>
      </c>
      <c r="R38" s="14" t="n">
        <v>17617.7170533315</v>
      </c>
      <c r="S38" s="14" t="n">
        <v>26970.82024149</v>
      </c>
      <c r="T38" s="14" t="n">
        <v>-955.692204749296</v>
      </c>
      <c r="U38" s="14" t="n">
        <v>-1365.19207123687</v>
      </c>
      <c r="V38" s="14" t="n">
        <v>0.750319556751226</v>
      </c>
      <c r="W38" s="14" t="n">
        <v>53464.5708424573</v>
      </c>
      <c r="X38" s="14" t="n">
        <v>22173.3734272866</v>
      </c>
      <c r="Y38" s="14" t="n">
        <v>2.15131912600733</v>
      </c>
      <c r="Z38" s="14" t="n">
        <v>2.92012166873565</v>
      </c>
      <c r="AA38" s="14" t="n">
        <v>27.424347870838</v>
      </c>
      <c r="AB38" s="14" t="n">
        <v>25.224347870838</v>
      </c>
      <c r="AC38" s="14" t="n">
        <v>26.674347870838</v>
      </c>
      <c r="AD38" s="14" t="n">
        <v>21.0618991648036</v>
      </c>
      <c r="AE38" s="14" t="n">
        <v>674.686407680941</v>
      </c>
      <c r="AF38" s="14" t="n">
        <v>0.03</v>
      </c>
      <c r="AG38" s="14" t="n">
        <v>0.664073049535931</v>
      </c>
      <c r="AH38" s="14" t="n">
        <v>9819.91719809611</v>
      </c>
      <c r="AI38" s="14" t="n">
        <v>20180.6645744977</v>
      </c>
      <c r="AJ38" s="14" t="n">
        <v>16.69175</v>
      </c>
      <c r="AK38" s="14" t="n">
        <v>0</v>
      </c>
      <c r="AL38" s="14" t="n">
        <v>-37200.0960732068</v>
      </c>
      <c r="AM38" s="14" t="n">
        <v>812.6073</v>
      </c>
      <c r="AN38" s="14" t="n">
        <v>20079.98904</v>
      </c>
      <c r="AO38" s="14" t="n">
        <v>-5508.72242389994</v>
      </c>
      <c r="AP38" s="14" t="n">
        <v>0.516474502037109</v>
      </c>
      <c r="AQ38" s="14" t="n">
        <v>2.02379079638786</v>
      </c>
      <c r="AR38" s="14" t="n">
        <v>327.195752</v>
      </c>
      <c r="AS38" s="14" t="n">
        <v>314.925245</v>
      </c>
      <c r="AT38" s="14" t="n">
        <v>-4956.48323642636</v>
      </c>
      <c r="AU38" s="14" t="n">
        <v>12.270507</v>
      </c>
      <c r="AV38" s="14" t="n">
        <v>0</v>
      </c>
      <c r="AW38" s="14" t="n">
        <v>2254.3125</v>
      </c>
      <c r="AX38" s="14" t="n">
        <v>314.925245</v>
      </c>
      <c r="AY38" s="14" t="n">
        <v>314.925245</v>
      </c>
      <c r="AZ38" s="14" t="n">
        <v>5568.83612056339</v>
      </c>
      <c r="BA38" s="14" t="n">
        <v>16.5523136016134</v>
      </c>
      <c r="BB38" s="14" t="n">
        <v>25.2096062235498</v>
      </c>
      <c r="BC38" s="14" t="n">
        <v>39.4374614323522</v>
      </c>
      <c r="BD38" s="14" t="n">
        <v>-5.08067650538881</v>
      </c>
      <c r="BE38" s="14" t="n">
        <v>-3.389032187156</v>
      </c>
      <c r="BF38" s="14" t="n">
        <v>5.28542761383372</v>
      </c>
      <c r="BG38" s="14" t="n">
        <v>6.97707193206652</v>
      </c>
      <c r="BH38" s="14" t="n">
        <v>10.9956654944829</v>
      </c>
      <c r="BI38" s="14" t="n">
        <v>14.5375344778911</v>
      </c>
      <c r="BJ38" s="14" t="n">
        <v>3.71992671744367</v>
      </c>
      <c r="BK38" s="14" t="n">
        <v>4.46573109600205</v>
      </c>
      <c r="BL38" s="14" t="n">
        <v>6.42123287671233</v>
      </c>
      <c r="BM38" s="14" t="n">
        <v>8712.70308277889</v>
      </c>
      <c r="BN38" s="14" t="n">
        <v>7473.09859446594</v>
      </c>
      <c r="BO38" s="14" t="n">
        <v>7473.09859446594</v>
      </c>
      <c r="BP38" s="14" t="n">
        <v>327.195752</v>
      </c>
      <c r="BQ38" s="14" t="n">
        <v>301.7195</v>
      </c>
      <c r="BR38" s="14" t="n">
        <v>1081.9108</v>
      </c>
      <c r="BS38" s="14" t="s">
        <v>2855</v>
      </c>
      <c r="BT38" s="14" t="n">
        <v>37.9555555555556</v>
      </c>
      <c r="BU38" s="14" t="n">
        <v>0.202495480090107</v>
      </c>
      <c r="BV38" s="14" t="n">
        <v>0.204285232461873</v>
      </c>
      <c r="BW38" s="14" t="n">
        <v>13510.8578038903</v>
      </c>
      <c r="BX38" s="14" t="n">
        <v>27107.0656988521</v>
      </c>
      <c r="BY38" s="14" t="n">
        <v>98.1216364538248</v>
      </c>
      <c r="BZ38" s="14" t="n">
        <v>0</v>
      </c>
      <c r="CA38" s="14" t="n">
        <v>950.69728</v>
      </c>
      <c r="CB38" s="14" t="n">
        <v>12000</v>
      </c>
    </row>
    <row r="39" customFormat="false" ht="15" hidden="false" customHeight="false" outlineLevel="0" collapsed="false">
      <c r="A39" s="0" t="s">
        <v>2875</v>
      </c>
      <c r="B39" s="14" t="n">
        <v>2465.07954157611</v>
      </c>
      <c r="C39" s="14" t="n">
        <v>7505.46533149617</v>
      </c>
      <c r="D39" s="14" t="n">
        <v>20180.6645744977</v>
      </c>
      <c r="E39" s="14" t="n">
        <v>3713.46369159839</v>
      </c>
      <c r="F39" s="14" t="n">
        <v>-1612.02558130411</v>
      </c>
      <c r="G39" s="14" t="n">
        <v>5025.27065964266</v>
      </c>
      <c r="H39" s="14" t="n">
        <v>7039.07796743528</v>
      </c>
      <c r="I39" s="15" t="n">
        <v>0.01</v>
      </c>
      <c r="J39" s="15" t="n">
        <v>0</v>
      </c>
      <c r="K39" s="14" t="s">
        <v>60</v>
      </c>
      <c r="L39" s="14" t="n">
        <v>-5261.11917392636</v>
      </c>
      <c r="M39" s="14" t="n">
        <v>34106.6214241299</v>
      </c>
      <c r="N39" s="14" t="n">
        <v>11755.2436196396</v>
      </c>
      <c r="O39" s="14" t="n">
        <v>-19429.73313411</v>
      </c>
      <c r="P39" s="14" t="n">
        <v>951.290832135856</v>
      </c>
      <c r="Q39" s="14" t="n">
        <v>0.665582846230791</v>
      </c>
      <c r="R39" s="14" t="n">
        <v>17617.7170533315</v>
      </c>
      <c r="S39" s="14" t="n">
        <v>27072.07024149</v>
      </c>
      <c r="T39" s="14" t="n">
        <v>-955.692204749296</v>
      </c>
      <c r="U39" s="14" t="n">
        <v>-2180.70423682317</v>
      </c>
      <c r="V39" s="14" t="n">
        <v>0.750319556751226</v>
      </c>
      <c r="W39" s="14" t="n">
        <v>52967.4928427211</v>
      </c>
      <c r="X39" s="14" t="n">
        <v>22256.8034272866</v>
      </c>
      <c r="Y39" s="14" t="n">
        <v>0</v>
      </c>
      <c r="Z39" s="14" t="n">
        <v>0</v>
      </c>
      <c r="AA39" s="14" t="n">
        <v>27.424347870838</v>
      </c>
      <c r="AB39" s="14" t="n">
        <v>25.224347870838</v>
      </c>
      <c r="AC39" s="14" t="n">
        <v>26.674347870838</v>
      </c>
      <c r="AD39" s="14" t="n">
        <v>21.0618991648036</v>
      </c>
      <c r="AE39" s="14" t="n">
        <v>674.686407680941</v>
      </c>
      <c r="AF39" s="14" t="n">
        <v>0.03</v>
      </c>
      <c r="AG39" s="14" t="n">
        <v>0.664073049535931</v>
      </c>
      <c r="AH39" s="14" t="n">
        <v>9819.91719809611</v>
      </c>
      <c r="AI39" s="14" t="n">
        <v>20180.6645744977</v>
      </c>
      <c r="AJ39" s="14" t="n">
        <v>16.69175</v>
      </c>
      <c r="AK39" s="14" t="n">
        <v>0</v>
      </c>
      <c r="AL39" s="14" t="n">
        <v>-37593.624280157</v>
      </c>
      <c r="AM39" s="14" t="n">
        <v>812.6073</v>
      </c>
      <c r="AN39" s="14" t="n">
        <v>20079.98904</v>
      </c>
      <c r="AO39" s="14" t="n">
        <v>-5508.72242389994</v>
      </c>
      <c r="AP39" s="14" t="n">
        <v>0.516474502037109</v>
      </c>
      <c r="AQ39" s="14" t="n">
        <v>0</v>
      </c>
      <c r="AR39" s="14" t="n">
        <v>327.195752</v>
      </c>
      <c r="AS39" s="14" t="n">
        <v>314.925245</v>
      </c>
      <c r="AT39" s="14" t="n">
        <v>-5261.11917392636</v>
      </c>
      <c r="AU39" s="14" t="n">
        <v>12.270507</v>
      </c>
      <c r="AV39" s="14" t="n">
        <v>0</v>
      </c>
      <c r="AW39" s="14" t="n">
        <v>2254.3125</v>
      </c>
      <c r="AX39" s="14" t="n">
        <v>314.925245</v>
      </c>
      <c r="AY39" s="14" t="n">
        <v>314.925245</v>
      </c>
      <c r="AZ39" s="14" t="n">
        <v>4704.83612056339</v>
      </c>
      <c r="BA39" s="14" t="n">
        <v>13.8088053763519</v>
      </c>
      <c r="BB39" s="14" t="n">
        <v>22.4660979982883</v>
      </c>
      <c r="BC39" s="14" t="n">
        <v>36.6939532070907</v>
      </c>
      <c r="BD39" s="14" t="n">
        <v>-5.08067650538881</v>
      </c>
      <c r="BE39" s="14" t="n">
        <v>-3.389032187156</v>
      </c>
      <c r="BF39" s="14" t="n">
        <v>5.28542761383372</v>
      </c>
      <c r="BG39" s="14" t="n">
        <v>6.97707193206652</v>
      </c>
      <c r="BH39" s="14" t="n">
        <v>10.9956654944829</v>
      </c>
      <c r="BI39" s="14" t="n">
        <v>14.5375344778911</v>
      </c>
      <c r="BJ39" s="14" t="n">
        <v>3.71992671744367</v>
      </c>
      <c r="BK39" s="14" t="n">
        <v>4.46573109600205</v>
      </c>
      <c r="BL39" s="14" t="n">
        <v>6.42123287671233</v>
      </c>
      <c r="BM39" s="14" t="n">
        <v>8712.70308277889</v>
      </c>
      <c r="BN39" s="14" t="n">
        <v>7473.09859446594</v>
      </c>
      <c r="BO39" s="14" t="n">
        <v>7473.09859446594</v>
      </c>
      <c r="BP39" s="14" t="n">
        <v>327.195752</v>
      </c>
      <c r="BQ39" s="14" t="n">
        <v>301.7195</v>
      </c>
      <c r="BR39" s="14" t="n">
        <v>1081.9108</v>
      </c>
      <c r="BS39" s="14" t="s">
        <v>2855</v>
      </c>
      <c r="BT39" s="14" t="n">
        <v>37.9555555555556</v>
      </c>
      <c r="BU39" s="14" t="n">
        <v>0.202495480090107</v>
      </c>
      <c r="BV39" s="14" t="n">
        <v>0.204285232461873</v>
      </c>
      <c r="BW39" s="14" t="n">
        <v>13510.8578038903</v>
      </c>
      <c r="BX39" s="14" t="n">
        <v>27107.0656988521</v>
      </c>
      <c r="BY39" s="14" t="n">
        <v>99.0111985963438</v>
      </c>
      <c r="BZ39" s="14" t="n">
        <v>0</v>
      </c>
      <c r="CA39" s="14" t="n">
        <v>950.69728</v>
      </c>
      <c r="CB39" s="14" t="n">
        <v>12000</v>
      </c>
    </row>
    <row r="40" customFormat="false" ht="15" hidden="false" customHeight="false" outlineLevel="0" collapsed="false">
      <c r="A40" s="0" t="s">
        <v>2876</v>
      </c>
      <c r="B40" s="14" t="n">
        <v>2465.07954157611</v>
      </c>
      <c r="C40" s="14" t="n">
        <v>7505.46533149617</v>
      </c>
      <c r="D40" s="14" t="n">
        <v>20180.6645744977</v>
      </c>
      <c r="E40" s="14" t="n">
        <v>3713.46369159839</v>
      </c>
      <c r="F40" s="14" t="n">
        <v>-1610.26012505411</v>
      </c>
      <c r="G40" s="14" t="n">
        <v>5023.50520339266</v>
      </c>
      <c r="H40" s="14" t="n">
        <v>7854.59013302158</v>
      </c>
      <c r="I40" s="15" t="n">
        <v>0.01</v>
      </c>
      <c r="J40" s="15" t="n">
        <v>2.24338994997627</v>
      </c>
      <c r="K40" s="14" t="s">
        <v>60</v>
      </c>
      <c r="L40" s="14" t="n">
        <v>-4230.67427697345</v>
      </c>
      <c r="M40" s="14" t="n">
        <v>33802.8714241299</v>
      </c>
      <c r="N40" s="14" t="n">
        <v>11755.2436196396</v>
      </c>
      <c r="O40" s="14" t="n">
        <v>-18348.4132371571</v>
      </c>
      <c r="P40" s="14" t="n">
        <v>951.290832135856</v>
      </c>
      <c r="Q40" s="14" t="n">
        <v>54.3504890962327</v>
      </c>
      <c r="R40" s="14" t="n">
        <v>17617.7170533315</v>
      </c>
      <c r="S40" s="14" t="n">
        <v>26970.82024149</v>
      </c>
      <c r="T40" s="14" t="n">
        <v>-955.927707874296</v>
      </c>
      <c r="U40" s="14" t="n">
        <v>-1377.78582123687</v>
      </c>
      <c r="V40" s="14" t="n">
        <v>0.750319556751226</v>
      </c>
      <c r="W40" s="14" t="n">
        <v>53464.5708424573</v>
      </c>
      <c r="X40" s="14" t="n">
        <v>22173.3734272866</v>
      </c>
      <c r="Y40" s="14" t="n">
        <v>2.11040374186471</v>
      </c>
      <c r="Z40" s="14" t="n">
        <v>2.8645846271247</v>
      </c>
      <c r="AA40" s="14" t="n">
        <v>27.424347870838</v>
      </c>
      <c r="AB40" s="14" t="n">
        <v>25.224347870838</v>
      </c>
      <c r="AC40" s="14" t="n">
        <v>26.674347870838</v>
      </c>
      <c r="AD40" s="14" t="n">
        <v>21.0618991648036</v>
      </c>
      <c r="AE40" s="14" t="n">
        <v>674.686407680941</v>
      </c>
      <c r="AF40" s="14" t="n">
        <v>0.03</v>
      </c>
      <c r="AG40" s="14" t="n">
        <v>0.664073049535931</v>
      </c>
      <c r="AH40" s="14" t="n">
        <v>10576.4007527836</v>
      </c>
      <c r="AI40" s="14" t="n">
        <v>20180.6645744977</v>
      </c>
      <c r="AJ40" s="14" t="n">
        <v>16.69175</v>
      </c>
      <c r="AK40" s="14" t="n">
        <v>0</v>
      </c>
      <c r="AL40" s="14" t="n">
        <v>-36560.1299227882</v>
      </c>
      <c r="AM40" s="14" t="n">
        <v>812.6073</v>
      </c>
      <c r="AN40" s="14" t="n">
        <v>20079.98904</v>
      </c>
      <c r="AO40" s="14" t="n">
        <v>-5508.72242389994</v>
      </c>
      <c r="AP40" s="14" t="n">
        <v>0.516474502037109</v>
      </c>
      <c r="AQ40" s="14" t="n">
        <v>1.98530084068697</v>
      </c>
      <c r="AR40" s="14" t="n">
        <v>327.195752</v>
      </c>
      <c r="AS40" s="14" t="n">
        <v>314.925245</v>
      </c>
      <c r="AT40" s="14" t="n">
        <v>-4230.67427697345</v>
      </c>
      <c r="AU40" s="14" t="n">
        <v>12.270507</v>
      </c>
      <c r="AV40" s="14" t="n">
        <v>0</v>
      </c>
      <c r="AW40" s="14" t="n">
        <v>2254.3125</v>
      </c>
      <c r="AX40" s="14" t="n">
        <v>314.925245</v>
      </c>
      <c r="AY40" s="14" t="n">
        <v>314.925245</v>
      </c>
      <c r="AZ40" s="14" t="n">
        <v>5568.83612056339</v>
      </c>
      <c r="BA40" s="14" t="n">
        <v>16.5123239526413</v>
      </c>
      <c r="BB40" s="14" t="n">
        <v>25.1696165745777</v>
      </c>
      <c r="BC40" s="14" t="n">
        <v>39.3974717833801</v>
      </c>
      <c r="BD40" s="14" t="n">
        <v>-5.08067650538881</v>
      </c>
      <c r="BE40" s="14" t="n">
        <v>-3.389032187156</v>
      </c>
      <c r="BF40" s="14" t="n">
        <v>5.28542761383372</v>
      </c>
      <c r="BG40" s="14" t="n">
        <v>6.97707193206652</v>
      </c>
      <c r="BH40" s="14" t="n">
        <v>10.9956654944829</v>
      </c>
      <c r="BI40" s="14" t="n">
        <v>14.5375344778911</v>
      </c>
      <c r="BJ40" s="14" t="n">
        <v>3.71992671744367</v>
      </c>
      <c r="BK40" s="14" t="n">
        <v>4.46573109600205</v>
      </c>
      <c r="BL40" s="14" t="n">
        <v>6.42123287671233</v>
      </c>
      <c r="BM40" s="14" t="n">
        <v>8712.70308277889</v>
      </c>
      <c r="BN40" s="14" t="n">
        <v>7473.09859446594</v>
      </c>
      <c r="BO40" s="14" t="n">
        <v>7473.09859446594</v>
      </c>
      <c r="BP40" s="14" t="n">
        <v>327.195752</v>
      </c>
      <c r="BQ40" s="14" t="n">
        <v>301.7195</v>
      </c>
      <c r="BR40" s="14" t="n">
        <v>1081.9108</v>
      </c>
      <c r="BS40" s="14" t="s">
        <v>2855</v>
      </c>
      <c r="BT40" s="14" t="n">
        <v>37.9555555555556</v>
      </c>
      <c r="BU40" s="14" t="n">
        <v>0.202495480090107</v>
      </c>
      <c r="BV40" s="14" t="n">
        <v>0.204285232461873</v>
      </c>
      <c r="BW40" s="14" t="n">
        <v>13510.8578038903</v>
      </c>
      <c r="BX40" s="14" t="n">
        <v>27107.0656988521</v>
      </c>
      <c r="BY40" s="14" t="n">
        <v>96.6565414744112</v>
      </c>
      <c r="BZ40" s="14" t="n">
        <v>0</v>
      </c>
      <c r="CA40" s="14" t="n">
        <v>950.69728</v>
      </c>
      <c r="CB40" s="14" t="n">
        <v>12000</v>
      </c>
    </row>
    <row r="41" customFormat="false" ht="15" hidden="false" customHeight="false" outlineLevel="0" collapsed="false">
      <c r="A41" s="0" t="s">
        <v>2877</v>
      </c>
      <c r="B41" s="14" t="n">
        <v>2465.07954157611</v>
      </c>
      <c r="C41" s="14" t="n">
        <v>7505.46533149617</v>
      </c>
      <c r="D41" s="14" t="n">
        <v>20180.6645744977</v>
      </c>
      <c r="E41" s="14" t="n">
        <v>3713.46369159839</v>
      </c>
      <c r="F41" s="14" t="n">
        <v>-1556.81299630411</v>
      </c>
      <c r="G41" s="14" t="n">
        <v>4970.05807464266</v>
      </c>
      <c r="H41" s="14" t="n">
        <v>24801.7657016269</v>
      </c>
      <c r="I41" s="15" t="n">
        <v>49.4783563552312</v>
      </c>
      <c r="J41" s="15" t="n">
        <v>60.8450167689845</v>
      </c>
      <c r="K41" s="14" t="s">
        <v>50</v>
      </c>
      <c r="L41" s="14" t="n">
        <v>-2664.65452515528</v>
      </c>
      <c r="M41" s="14" t="n">
        <v>31582.8057241299</v>
      </c>
      <c r="N41" s="14" t="n">
        <v>11755.2436196396</v>
      </c>
      <c r="O41" s="14" t="n">
        <v>-13882.1729940577</v>
      </c>
      <c r="P41" s="14" t="n">
        <v>951.290832135856</v>
      </c>
      <c r="Q41" s="14" t="n">
        <v>595.655372846233</v>
      </c>
      <c r="R41" s="14" t="n">
        <v>17554.7575533315</v>
      </c>
      <c r="S41" s="14" t="n">
        <v>24107.4558414899</v>
      </c>
      <c r="T41" s="14" t="n">
        <v>-955.692204749296</v>
      </c>
      <c r="U41" s="14" t="n">
        <v>15581.9834973685</v>
      </c>
      <c r="V41" s="14" t="n">
        <v>0.750319556751226</v>
      </c>
      <c r="W41" s="14" t="n">
        <v>62971.3131419444</v>
      </c>
      <c r="X41" s="14" t="n">
        <v>20442.4454128718</v>
      </c>
      <c r="Y41" s="14" t="n">
        <v>57.2381770117336</v>
      </c>
      <c r="Z41" s="14" t="n">
        <v>77.6930019123163</v>
      </c>
      <c r="AA41" s="14" t="n">
        <v>27.424347870838</v>
      </c>
      <c r="AB41" s="14" t="n">
        <v>25.224347870838</v>
      </c>
      <c r="AC41" s="14" t="n">
        <v>26.674347870838</v>
      </c>
      <c r="AD41" s="14" t="n">
        <v>21.0618991648036</v>
      </c>
      <c r="AE41" s="14" t="n">
        <v>674.686407680941</v>
      </c>
      <c r="AF41" s="14" t="n">
        <v>0.03</v>
      </c>
      <c r="AG41" s="14" t="n">
        <v>0.664073049535931</v>
      </c>
      <c r="AH41" s="14" t="n">
        <v>9882.87669809611</v>
      </c>
      <c r="AI41" s="14" t="n">
        <v>20180.6645744977</v>
      </c>
      <c r="AJ41" s="14" t="n">
        <v>16.69175</v>
      </c>
      <c r="AK41" s="14" t="n">
        <v>0</v>
      </c>
      <c r="AL41" s="14" t="n">
        <v>-28273.4269229727</v>
      </c>
      <c r="AM41" s="14" t="n">
        <v>812.6073</v>
      </c>
      <c r="AN41" s="14" t="n">
        <v>18922.31607</v>
      </c>
      <c r="AO41" s="14" t="n">
        <v>-5045.92137660767</v>
      </c>
      <c r="AP41" s="14" t="n">
        <v>0.516474502037109</v>
      </c>
      <c r="AQ41" s="14" t="n">
        <v>53.8451475831721</v>
      </c>
      <c r="AR41" s="14" t="n">
        <v>330.5971045</v>
      </c>
      <c r="AS41" s="14" t="n">
        <v>314.925245</v>
      </c>
      <c r="AT41" s="14" t="n">
        <v>-2664.65452515528</v>
      </c>
      <c r="AU41" s="14" t="n">
        <v>12.270507</v>
      </c>
      <c r="AV41" s="14" t="n">
        <v>0</v>
      </c>
      <c r="AW41" s="14" t="n">
        <v>2254.3125</v>
      </c>
      <c r="AX41" s="14" t="n">
        <v>314.925245</v>
      </c>
      <c r="AY41" s="14" t="n">
        <v>314.925245</v>
      </c>
      <c r="AZ41" s="14" t="n">
        <v>5568.83612056339</v>
      </c>
      <c r="BA41" s="14" t="n">
        <v>16.5523136016134</v>
      </c>
      <c r="BB41" s="14" t="n">
        <v>25.2096062235498</v>
      </c>
      <c r="BC41" s="14" t="n">
        <v>39.4374614323522</v>
      </c>
      <c r="BD41" s="14" t="n">
        <v>-5.08067650538881</v>
      </c>
      <c r="BE41" s="14" t="n">
        <v>1.66500376416332</v>
      </c>
      <c r="BF41" s="14" t="n">
        <v>5.28542761383372</v>
      </c>
      <c r="BG41" s="14" t="n">
        <v>12.0311078833858</v>
      </c>
      <c r="BH41" s="14" t="n">
        <v>10.9956654944829</v>
      </c>
      <c r="BI41" s="14" t="n">
        <v>20.7322141232714</v>
      </c>
      <c r="BJ41" s="14" t="n">
        <v>3.71992671744367</v>
      </c>
      <c r="BK41" s="14" t="n">
        <v>4.46573109600205</v>
      </c>
      <c r="BL41" s="14" t="n">
        <v>6.42123287671233</v>
      </c>
      <c r="BM41" s="14" t="n">
        <v>8712.70308277889</v>
      </c>
      <c r="BN41" s="14" t="n">
        <v>7473.09859446594</v>
      </c>
      <c r="BO41" s="14" t="n">
        <v>7473.09859446594</v>
      </c>
      <c r="BP41" s="14" t="n">
        <v>330.5971045</v>
      </c>
      <c r="BQ41" s="14" t="n">
        <v>301.7195</v>
      </c>
      <c r="BR41" s="14" t="n">
        <v>1081.9108</v>
      </c>
      <c r="BS41" s="14" t="s">
        <v>2855</v>
      </c>
      <c r="BT41" s="14" t="n">
        <v>37.9555555555556</v>
      </c>
      <c r="BU41" s="14" t="n">
        <v>0.202495480090107</v>
      </c>
      <c r="BV41" s="14" t="n">
        <v>0.261164364412283</v>
      </c>
      <c r="BW41" s="14" t="n">
        <v>13510.8578038903</v>
      </c>
      <c r="BX41" s="14" t="n">
        <v>26915.3671366004</v>
      </c>
      <c r="BY41" s="14" t="n">
        <v>81.9185886635778</v>
      </c>
      <c r="BZ41" s="14" t="n">
        <v>0</v>
      </c>
      <c r="CA41" s="14" t="n">
        <v>950.69728</v>
      </c>
      <c r="CB41" s="14" t="n">
        <v>12000</v>
      </c>
    </row>
    <row r="42" customFormat="false" ht="15" hidden="false" customHeight="false" outlineLevel="0" collapsed="false">
      <c r="A42" s="0" t="s">
        <v>2878</v>
      </c>
      <c r="B42" s="14" t="n">
        <v>2465.07954157611</v>
      </c>
      <c r="C42" s="14" t="n">
        <v>7505.46533149617</v>
      </c>
      <c r="D42" s="14" t="n">
        <v>20180.6645744977</v>
      </c>
      <c r="E42" s="14" t="n">
        <v>3713.46369159839</v>
      </c>
      <c r="F42" s="14" t="n">
        <v>-1632.03812380411</v>
      </c>
      <c r="G42" s="14" t="n">
        <v>5045.28320214266</v>
      </c>
      <c r="H42" s="14" t="n">
        <v>-2181.3417285781</v>
      </c>
      <c r="I42" s="15" t="n">
        <v>0.01</v>
      </c>
      <c r="J42" s="15" t="n">
        <v>0</v>
      </c>
      <c r="K42" s="14" t="s">
        <v>60</v>
      </c>
      <c r="L42" s="14" t="n">
        <v>-6101.25645695685</v>
      </c>
      <c r="M42" s="14" t="n">
        <v>34912.9042741299</v>
      </c>
      <c r="N42" s="14" t="n">
        <v>11755.2436196396</v>
      </c>
      <c r="O42" s="14" t="n">
        <v>-21600.3026171405</v>
      </c>
      <c r="P42" s="14" t="n">
        <v>951.290832135856</v>
      </c>
      <c r="Q42" s="14" t="n">
        <v>-205.704312153767</v>
      </c>
      <c r="R42" s="14" t="n">
        <v>17649.1968033315</v>
      </c>
      <c r="S42" s="14" t="n">
        <v>28402.50244149</v>
      </c>
      <c r="T42" s="14" t="n">
        <v>-955.692204749296</v>
      </c>
      <c r="U42" s="14" t="n">
        <v>-11401.1239328365</v>
      </c>
      <c r="V42" s="14" t="n">
        <v>0.750319556751226</v>
      </c>
      <c r="W42" s="14" t="n">
        <v>47148.8556154167</v>
      </c>
      <c r="X42" s="14" t="n">
        <v>23233.4085156866</v>
      </c>
      <c r="Y42" s="14" t="n">
        <v>0</v>
      </c>
      <c r="Z42" s="14" t="n">
        <v>0</v>
      </c>
      <c r="AA42" s="14" t="n">
        <v>27.424347870838</v>
      </c>
      <c r="AB42" s="14" t="n">
        <v>25.224347870838</v>
      </c>
      <c r="AC42" s="14" t="n">
        <v>26.674347870838</v>
      </c>
      <c r="AD42" s="14" t="n">
        <v>21.0618991648036</v>
      </c>
      <c r="AE42" s="14" t="n">
        <v>674.686407680941</v>
      </c>
      <c r="AF42" s="14" t="n">
        <v>0.03</v>
      </c>
      <c r="AG42" s="14" t="n">
        <v>0.664073049535931</v>
      </c>
      <c r="AH42" s="14" t="n">
        <v>9788.43744809611</v>
      </c>
      <c r="AI42" s="14" t="n">
        <v>20180.6645744977</v>
      </c>
      <c r="AJ42" s="14" t="n">
        <v>16.69175</v>
      </c>
      <c r="AK42" s="14" t="n">
        <v>0</v>
      </c>
      <c r="AL42" s="14" t="n">
        <v>-41734.3167243626</v>
      </c>
      <c r="AM42" s="14" t="n">
        <v>812.6073</v>
      </c>
      <c r="AN42" s="14" t="n">
        <v>20658.825525</v>
      </c>
      <c r="AO42" s="14" t="n">
        <v>-5740.12294754607</v>
      </c>
      <c r="AP42" s="14" t="n">
        <v>0.516474502037109</v>
      </c>
      <c r="AQ42" s="14" t="n">
        <v>0</v>
      </c>
      <c r="AR42" s="14" t="n">
        <v>327.195752</v>
      </c>
      <c r="AS42" s="14" t="n">
        <v>314.925245</v>
      </c>
      <c r="AT42" s="14" t="n">
        <v>-6101.25645695685</v>
      </c>
      <c r="AU42" s="14" t="n">
        <v>12.270507</v>
      </c>
      <c r="AV42" s="14" t="n">
        <v>0</v>
      </c>
      <c r="AW42" s="14" t="n">
        <v>2254.3125</v>
      </c>
      <c r="AX42" s="14" t="n">
        <v>314.925245</v>
      </c>
      <c r="AY42" s="14" t="n">
        <v>314.925245</v>
      </c>
      <c r="AZ42" s="14" t="n">
        <v>5568.83612056339</v>
      </c>
      <c r="BA42" s="14" t="n">
        <v>16.5523136016134</v>
      </c>
      <c r="BB42" s="14" t="n">
        <v>25.2096062235498</v>
      </c>
      <c r="BC42" s="14" t="n">
        <v>39.4374614323522</v>
      </c>
      <c r="BD42" s="14" t="n">
        <v>-5.08067650538881</v>
      </c>
      <c r="BE42" s="14" t="n">
        <v>-5.91605016281566</v>
      </c>
      <c r="BF42" s="14" t="n">
        <v>5.28542761383372</v>
      </c>
      <c r="BG42" s="14" t="n">
        <v>4.45005395640687</v>
      </c>
      <c r="BH42" s="14" t="n">
        <v>10.9956654944829</v>
      </c>
      <c r="BI42" s="14" t="n">
        <v>11.440194655201</v>
      </c>
      <c r="BJ42" s="14" t="n">
        <v>3.71992671744367</v>
      </c>
      <c r="BK42" s="14" t="n">
        <v>4.46573109600205</v>
      </c>
      <c r="BL42" s="14" t="n">
        <v>6.42123287671233</v>
      </c>
      <c r="BM42" s="14" t="n">
        <v>8712.70308277889</v>
      </c>
      <c r="BN42" s="14" t="n">
        <v>7473.09859446594</v>
      </c>
      <c r="BO42" s="14" t="n">
        <v>7473.09859446594</v>
      </c>
      <c r="BP42" s="14" t="n">
        <v>327.195752</v>
      </c>
      <c r="BQ42" s="14" t="n">
        <v>301.7195</v>
      </c>
      <c r="BR42" s="14" t="n">
        <v>1081.9108</v>
      </c>
      <c r="BS42" s="14" t="s">
        <v>2856</v>
      </c>
      <c r="BT42" s="14" t="n">
        <v>37.9555555555556</v>
      </c>
      <c r="BU42" s="14" t="n">
        <v>0.202495480090107</v>
      </c>
      <c r="BV42" s="14" t="n">
        <v>0.180365060629974</v>
      </c>
      <c r="BW42" s="14" t="n">
        <v>13510.8578038903</v>
      </c>
      <c r="BX42" s="14" t="n">
        <v>27107.0656988521</v>
      </c>
      <c r="BY42" s="14" t="n">
        <v>108.077887694619</v>
      </c>
      <c r="BZ42" s="14" t="n">
        <v>0</v>
      </c>
      <c r="CA42" s="14" t="n">
        <v>950.69728</v>
      </c>
      <c r="CB42" s="14" t="n">
        <v>12000</v>
      </c>
    </row>
    <row r="43" customFormat="false" ht="15" hidden="false" customHeight="false" outlineLevel="0" collapsed="false">
      <c r="A43" s="0" t="s">
        <v>2879</v>
      </c>
      <c r="B43" s="14" t="n">
        <v>2465.07954157611</v>
      </c>
      <c r="C43" s="14" t="n">
        <v>7505.46533149617</v>
      </c>
      <c r="D43" s="14" t="n">
        <v>20180.6645744977</v>
      </c>
      <c r="E43" s="14" t="n">
        <v>3713.46369159839</v>
      </c>
      <c r="F43" s="14" t="n">
        <v>-1666.70068255411</v>
      </c>
      <c r="G43" s="14" t="n">
        <v>5079.94576089266</v>
      </c>
      <c r="H43" s="14" t="n">
        <v>-9759.50962993156</v>
      </c>
      <c r="I43" s="15" t="n">
        <v>0.01</v>
      </c>
      <c r="J43" s="15" t="n">
        <v>0</v>
      </c>
      <c r="K43" s="14" t="s">
        <v>60</v>
      </c>
      <c r="L43" s="14" t="n">
        <v>-7681.00122719143</v>
      </c>
      <c r="M43" s="14" t="n">
        <v>36447.3614491299</v>
      </c>
      <c r="N43" s="14" t="n">
        <v>11755.2436196396</v>
      </c>
      <c r="O43" s="14" t="n">
        <v>-25159.1374873751</v>
      </c>
      <c r="P43" s="14" t="n">
        <v>951.290832135856</v>
      </c>
      <c r="Q43" s="14" t="n">
        <v>-574.958284653767</v>
      </c>
      <c r="R43" s="14" t="n">
        <v>17692.7129283315</v>
      </c>
      <c r="S43" s="14" t="n">
        <v>30381.5925414899</v>
      </c>
      <c r="T43" s="14" t="n">
        <v>-955.692204749296</v>
      </c>
      <c r="U43" s="14" t="n">
        <v>-18979.29183419</v>
      </c>
      <c r="V43" s="14" t="n">
        <v>0.750319556751226</v>
      </c>
      <c r="W43" s="14" t="n">
        <v>44750.1749641342</v>
      </c>
      <c r="X43" s="14" t="n">
        <v>24698.7511378866</v>
      </c>
      <c r="Y43" s="14" t="n">
        <v>0</v>
      </c>
      <c r="Z43" s="14" t="n">
        <v>0</v>
      </c>
      <c r="AA43" s="14" t="n">
        <v>27.424347870838</v>
      </c>
      <c r="AB43" s="14" t="n">
        <v>25.224347870838</v>
      </c>
      <c r="AC43" s="14" t="n">
        <v>26.674347870838</v>
      </c>
      <c r="AD43" s="14" t="n">
        <v>21.0618991648036</v>
      </c>
      <c r="AE43" s="14" t="n">
        <v>674.686407680941</v>
      </c>
      <c r="AF43" s="14" t="n">
        <v>0.03</v>
      </c>
      <c r="AG43" s="14" t="n">
        <v>0.664073049535931</v>
      </c>
      <c r="AH43" s="14" t="n">
        <v>9744.92132309611</v>
      </c>
      <c r="AI43" s="14" t="n">
        <v>20180.6645744977</v>
      </c>
      <c r="AJ43" s="14" t="n">
        <v>16.69175</v>
      </c>
      <c r="AK43" s="14" t="n">
        <v>0</v>
      </c>
      <c r="AL43" s="14" t="n">
        <v>-48056.562032705</v>
      </c>
      <c r="AM43" s="14" t="n">
        <v>812.6073</v>
      </c>
      <c r="AN43" s="14" t="n">
        <v>21458.9818425</v>
      </c>
      <c r="AO43" s="14" t="n">
        <v>-6060.00014199808</v>
      </c>
      <c r="AP43" s="14" t="n">
        <v>0.516474502037109</v>
      </c>
      <c r="AQ43" s="14" t="n">
        <v>0</v>
      </c>
      <c r="AR43" s="14" t="n">
        <v>327.195752</v>
      </c>
      <c r="AS43" s="14" t="n">
        <v>314.925245</v>
      </c>
      <c r="AT43" s="14" t="n">
        <v>-7681.00122719143</v>
      </c>
      <c r="AU43" s="14" t="n">
        <v>12.270507</v>
      </c>
      <c r="AV43" s="14" t="n">
        <v>0</v>
      </c>
      <c r="AW43" s="14" t="n">
        <v>2254.3125</v>
      </c>
      <c r="AX43" s="14" t="n">
        <v>314.925245</v>
      </c>
      <c r="AY43" s="14" t="n">
        <v>314.925245</v>
      </c>
      <c r="AZ43" s="14" t="n">
        <v>5568.83612056339</v>
      </c>
      <c r="BA43" s="14" t="n">
        <v>16.5523136016134</v>
      </c>
      <c r="BB43" s="14" t="n">
        <v>25.2096062235498</v>
      </c>
      <c r="BC43" s="14" t="n">
        <v>39.4374614323522</v>
      </c>
      <c r="BD43" s="14" t="n">
        <v>-5.08067650538881</v>
      </c>
      <c r="BE43" s="14" t="n">
        <v>-9.4092808938746</v>
      </c>
      <c r="BF43" s="14" t="n">
        <v>5.28542761383372</v>
      </c>
      <c r="BG43" s="14" t="n">
        <v>0.956823225347922</v>
      </c>
      <c r="BH43" s="14" t="n">
        <v>10.9956654944829</v>
      </c>
      <c r="BI43" s="14" t="n">
        <v>7.15857784148225</v>
      </c>
      <c r="BJ43" s="14" t="n">
        <v>3.71992671744367</v>
      </c>
      <c r="BK43" s="14" t="n">
        <v>4.46573109600205</v>
      </c>
      <c r="BL43" s="14" t="n">
        <v>6.42123287671233</v>
      </c>
      <c r="BM43" s="14" t="n">
        <v>8712.70308277889</v>
      </c>
      <c r="BN43" s="14" t="n">
        <v>7473.09859446594</v>
      </c>
      <c r="BO43" s="14" t="n">
        <v>7473.09859446594</v>
      </c>
      <c r="BP43" s="14" t="n">
        <v>327.195752</v>
      </c>
      <c r="BQ43" s="14" t="n">
        <v>301.7195</v>
      </c>
      <c r="BR43" s="14" t="n">
        <v>1081.9108</v>
      </c>
      <c r="BS43" s="14" t="s">
        <v>2856</v>
      </c>
      <c r="BT43" s="14" t="n">
        <v>37.9555555555556</v>
      </c>
      <c r="BU43" s="14" t="n">
        <v>0.202495480090107</v>
      </c>
      <c r="BV43" s="14" t="n">
        <v>0.151123030213372</v>
      </c>
      <c r="BW43" s="14" t="n">
        <v>13510.8578038903</v>
      </c>
      <c r="BX43" s="14" t="n">
        <v>27107.0656988521</v>
      </c>
      <c r="BY43" s="14" t="n">
        <v>121.962942099545</v>
      </c>
      <c r="BZ43" s="14" t="n">
        <v>0</v>
      </c>
      <c r="CA43" s="14" t="n">
        <v>950.69728</v>
      </c>
      <c r="CB43" s="14" t="n">
        <v>12000</v>
      </c>
    </row>
    <row r="44" customFormat="false" ht="15" hidden="false" customHeight="false" outlineLevel="0" collapsed="false">
      <c r="A44" s="0" t="s">
        <v>2880</v>
      </c>
      <c r="B44" s="14" t="n">
        <v>2465.07954157611</v>
      </c>
      <c r="C44" s="14" t="n">
        <v>7505.46533149617</v>
      </c>
      <c r="D44" s="14" t="n">
        <v>20180.6645744977</v>
      </c>
      <c r="E44" s="14" t="n">
        <v>3713.46369159839</v>
      </c>
      <c r="F44" s="14" t="n">
        <v>-1552.56299630411</v>
      </c>
      <c r="G44" s="14" t="n">
        <v>4965.80807464266</v>
      </c>
      <c r="H44" s="14" t="n">
        <v>25319.4731789979</v>
      </c>
      <c r="I44" s="15" t="n">
        <v>51.1222622839887</v>
      </c>
      <c r="J44" s="15" t="n">
        <v>62.6145708318185</v>
      </c>
      <c r="K44" s="14" t="s">
        <v>50</v>
      </c>
      <c r="L44" s="14" t="n">
        <v>-2408.91077515528</v>
      </c>
      <c r="M44" s="14" t="n">
        <v>31327.8057241299</v>
      </c>
      <c r="N44" s="14" t="n">
        <v>11755.2436196396</v>
      </c>
      <c r="O44" s="14" t="n">
        <v>-13546.6049023322</v>
      </c>
      <c r="P44" s="14" t="n">
        <v>951.290832135856</v>
      </c>
      <c r="Q44" s="14" t="n">
        <v>646.655372846233</v>
      </c>
      <c r="R44" s="14" t="n">
        <v>17554.7575533315</v>
      </c>
      <c r="S44" s="14" t="n">
        <v>24022.4558414899</v>
      </c>
      <c r="T44" s="14" t="n">
        <v>-955.692204749296</v>
      </c>
      <c r="U44" s="14" t="n">
        <v>16099.6909747394</v>
      </c>
      <c r="V44" s="14" t="n">
        <v>0.750319556751226</v>
      </c>
      <c r="W44" s="14" t="n">
        <v>63221.6931714411</v>
      </c>
      <c r="X44" s="14" t="n">
        <v>20393.1932848718</v>
      </c>
      <c r="Y44" s="14" t="n">
        <v>58.9028334463746</v>
      </c>
      <c r="Z44" s="14" t="n">
        <v>79.9525454951491</v>
      </c>
      <c r="AA44" s="14" t="n">
        <v>27.424347870838</v>
      </c>
      <c r="AB44" s="14" t="n">
        <v>25.224347870838</v>
      </c>
      <c r="AC44" s="14" t="n">
        <v>26.674347870838</v>
      </c>
      <c r="AD44" s="14" t="n">
        <v>21.0618991648036</v>
      </c>
      <c r="AE44" s="14" t="n">
        <v>674.686407680941</v>
      </c>
      <c r="AF44" s="14" t="n">
        <v>0.03</v>
      </c>
      <c r="AG44" s="14" t="n">
        <v>0.664073049535931</v>
      </c>
      <c r="AH44" s="14" t="n">
        <v>9882.87669809611</v>
      </c>
      <c r="AI44" s="14" t="n">
        <v>20180.6645744977</v>
      </c>
      <c r="AJ44" s="14" t="n">
        <v>16.69175</v>
      </c>
      <c r="AK44" s="14" t="n">
        <v>0</v>
      </c>
      <c r="AL44" s="14" t="n">
        <v>-27953.3570346426</v>
      </c>
      <c r="AM44" s="14" t="n">
        <v>812.6073</v>
      </c>
      <c r="AN44" s="14" t="n">
        <v>18922.31607</v>
      </c>
      <c r="AO44" s="14" t="n">
        <v>-5045.92137660767</v>
      </c>
      <c r="AP44" s="14" t="n">
        <v>0.516474502037109</v>
      </c>
      <c r="AQ44" s="14" t="n">
        <v>55.4111246299279</v>
      </c>
      <c r="AR44" s="14" t="n">
        <v>330.5971045</v>
      </c>
      <c r="AS44" s="14" t="n">
        <v>314.925245</v>
      </c>
      <c r="AT44" s="14" t="n">
        <v>-2408.91077515528</v>
      </c>
      <c r="AU44" s="14" t="n">
        <v>12.270507</v>
      </c>
      <c r="AV44" s="14" t="n">
        <v>0</v>
      </c>
      <c r="AW44" s="14" t="n">
        <v>2254.3125</v>
      </c>
      <c r="AX44" s="14" t="n">
        <v>314.925245</v>
      </c>
      <c r="AY44" s="14" t="n">
        <v>314.925245</v>
      </c>
      <c r="AZ44" s="14" t="n">
        <v>6294.16945389672</v>
      </c>
      <c r="BA44" s="14" t="n">
        <v>18.8555056919564</v>
      </c>
      <c r="BB44" s="14" t="n">
        <v>27.5127983138928</v>
      </c>
      <c r="BC44" s="14" t="n">
        <v>41.7406535226952</v>
      </c>
      <c r="BD44" s="14" t="n">
        <v>-5.08067650538881</v>
      </c>
      <c r="BE44" s="14" t="n">
        <v>1.66500376416332</v>
      </c>
      <c r="BF44" s="14" t="n">
        <v>5.28542761383372</v>
      </c>
      <c r="BG44" s="14" t="n">
        <v>12.0311078833858</v>
      </c>
      <c r="BH44" s="14" t="n">
        <v>10.9956654944829</v>
      </c>
      <c r="BI44" s="14" t="n">
        <v>20.7322141232714</v>
      </c>
      <c r="BJ44" s="14" t="n">
        <v>3.71992671744367</v>
      </c>
      <c r="BK44" s="14" t="n">
        <v>4.46573109600205</v>
      </c>
      <c r="BL44" s="14" t="n">
        <v>6.42123287671233</v>
      </c>
      <c r="BM44" s="14" t="n">
        <v>8712.70308277889</v>
      </c>
      <c r="BN44" s="14" t="n">
        <v>7473.09859446594</v>
      </c>
      <c r="BO44" s="14" t="n">
        <v>7473.09859446594</v>
      </c>
      <c r="BP44" s="14" t="n">
        <v>330.5971045</v>
      </c>
      <c r="BQ44" s="14" t="n">
        <v>301.7195</v>
      </c>
      <c r="BR44" s="14" t="n">
        <v>1081.9108</v>
      </c>
      <c r="BS44" s="14" t="s">
        <v>2855</v>
      </c>
      <c r="BT44" s="14" t="n">
        <v>37.9555555555556</v>
      </c>
      <c r="BU44" s="14" t="n">
        <v>0.202495480090107</v>
      </c>
      <c r="BV44" s="14" t="n">
        <v>0.261164364412283</v>
      </c>
      <c r="BW44" s="14" t="n">
        <v>13510.8578038903</v>
      </c>
      <c r="BX44" s="14" t="n">
        <v>26915.3671366004</v>
      </c>
      <c r="BY44" s="14" t="n">
        <v>81.1941440685833</v>
      </c>
      <c r="BZ44" s="14" t="n">
        <v>0</v>
      </c>
      <c r="CA44" s="14" t="n">
        <v>950.69728</v>
      </c>
      <c r="CB44" s="14" t="n">
        <v>12000</v>
      </c>
    </row>
    <row r="45" customFormat="false" ht="15" hidden="false" customHeight="false" outlineLevel="0" collapsed="false">
      <c r="A45" s="0" t="s">
        <v>2881</v>
      </c>
      <c r="B45" s="14" t="n">
        <v>2465.07954157611</v>
      </c>
      <c r="C45" s="14" t="n">
        <v>7505.46533149617</v>
      </c>
      <c r="D45" s="14" t="n">
        <v>20180.6645744977</v>
      </c>
      <c r="E45" s="14" t="n">
        <v>3713.46369159839</v>
      </c>
      <c r="F45" s="14" t="n">
        <v>-1671.76318255411</v>
      </c>
      <c r="G45" s="14" t="n">
        <v>5085.00826089266</v>
      </c>
      <c r="H45" s="14" t="n">
        <v>-10055.6395857849</v>
      </c>
      <c r="I45" s="15" t="n">
        <v>0.01</v>
      </c>
      <c r="J45" s="15" t="n">
        <v>0</v>
      </c>
      <c r="K45" s="14" t="s">
        <v>60</v>
      </c>
      <c r="L45" s="14" t="n">
        <v>-7984.75122719142</v>
      </c>
      <c r="M45" s="14" t="n">
        <v>36751.1114491299</v>
      </c>
      <c r="N45" s="14" t="n">
        <v>11755.2436196396</v>
      </c>
      <c r="O45" s="14" t="n">
        <v>-25564.1374873751</v>
      </c>
      <c r="P45" s="14" t="n">
        <v>951.290832135856</v>
      </c>
      <c r="Q45" s="14" t="n">
        <v>-635.708284653768</v>
      </c>
      <c r="R45" s="14" t="n">
        <v>17692.7129283315</v>
      </c>
      <c r="S45" s="14" t="n">
        <v>30482.8425414899</v>
      </c>
      <c r="T45" s="14" t="n">
        <v>-955.692204749296</v>
      </c>
      <c r="U45" s="14" t="n">
        <v>-19275.4217900433</v>
      </c>
      <c r="V45" s="14" t="n">
        <v>0.750319556751226</v>
      </c>
      <c r="W45" s="14" t="n">
        <v>44782.9602917882</v>
      </c>
      <c r="X45" s="14" t="n">
        <v>24782.1811378866</v>
      </c>
      <c r="Y45" s="14" t="n">
        <v>0</v>
      </c>
      <c r="Z45" s="14" t="n">
        <v>0</v>
      </c>
      <c r="AA45" s="14" t="n">
        <v>27.424347870838</v>
      </c>
      <c r="AB45" s="14" t="n">
        <v>25.224347870838</v>
      </c>
      <c r="AC45" s="14" t="n">
        <v>26.674347870838</v>
      </c>
      <c r="AD45" s="14" t="n">
        <v>21.0618991648036</v>
      </c>
      <c r="AE45" s="14" t="n">
        <v>674.686407680941</v>
      </c>
      <c r="AF45" s="14" t="n">
        <v>0.03</v>
      </c>
      <c r="AG45" s="14" t="n">
        <v>0.664073049535931</v>
      </c>
      <c r="AH45" s="14" t="n">
        <v>9744.92132309611</v>
      </c>
      <c r="AI45" s="14" t="n">
        <v>20180.6645744977</v>
      </c>
      <c r="AJ45" s="14" t="n">
        <v>16.69175</v>
      </c>
      <c r="AK45" s="14" t="n">
        <v>0</v>
      </c>
      <c r="AL45" s="14" t="n">
        <v>-48461.562032705</v>
      </c>
      <c r="AM45" s="14" t="n">
        <v>812.6073</v>
      </c>
      <c r="AN45" s="14" t="n">
        <v>21458.9818425</v>
      </c>
      <c r="AO45" s="14" t="n">
        <v>-6060.00014199808</v>
      </c>
      <c r="AP45" s="14" t="n">
        <v>0.516474502037109</v>
      </c>
      <c r="AQ45" s="14" t="n">
        <v>0</v>
      </c>
      <c r="AR45" s="14" t="n">
        <v>327.195752</v>
      </c>
      <c r="AS45" s="14" t="n">
        <v>314.925245</v>
      </c>
      <c r="AT45" s="14" t="n">
        <v>-7984.75122719142</v>
      </c>
      <c r="AU45" s="14" t="n">
        <v>12.270507</v>
      </c>
      <c r="AV45" s="14" t="n">
        <v>0</v>
      </c>
      <c r="AW45" s="14" t="n">
        <v>2254.3125</v>
      </c>
      <c r="AX45" s="14" t="n">
        <v>314.925245</v>
      </c>
      <c r="AY45" s="14" t="n">
        <v>314.925245</v>
      </c>
      <c r="AZ45" s="14" t="n">
        <v>4704.83612056339</v>
      </c>
      <c r="BA45" s="14" t="n">
        <v>13.8088053763519</v>
      </c>
      <c r="BB45" s="14" t="n">
        <v>22.4660979982883</v>
      </c>
      <c r="BC45" s="14" t="n">
        <v>36.6939532070907</v>
      </c>
      <c r="BD45" s="14" t="n">
        <v>-5.08067650538881</v>
      </c>
      <c r="BE45" s="14" t="n">
        <v>-9.4092808938746</v>
      </c>
      <c r="BF45" s="14" t="n">
        <v>5.28542761383372</v>
      </c>
      <c r="BG45" s="14" t="n">
        <v>0.956823225347922</v>
      </c>
      <c r="BH45" s="14" t="n">
        <v>10.9956654944829</v>
      </c>
      <c r="BI45" s="14" t="n">
        <v>7.15857784148225</v>
      </c>
      <c r="BJ45" s="14" t="n">
        <v>3.71992671744367</v>
      </c>
      <c r="BK45" s="14" t="n">
        <v>4.46573109600205</v>
      </c>
      <c r="BL45" s="14" t="n">
        <v>6.42123287671233</v>
      </c>
      <c r="BM45" s="14" t="n">
        <v>8712.70308277889</v>
      </c>
      <c r="BN45" s="14" t="n">
        <v>7473.09859446594</v>
      </c>
      <c r="BO45" s="14" t="n">
        <v>7473.09859446594</v>
      </c>
      <c r="BP45" s="14" t="n">
        <v>327.195752</v>
      </c>
      <c r="BQ45" s="14" t="n">
        <v>301.7195</v>
      </c>
      <c r="BR45" s="14" t="n">
        <v>1081.9108</v>
      </c>
      <c r="BS45" s="14" t="s">
        <v>2856</v>
      </c>
      <c r="BT45" s="14" t="n">
        <v>37.9555555555556</v>
      </c>
      <c r="BU45" s="14" t="n">
        <v>0.202495480090107</v>
      </c>
      <c r="BV45" s="14" t="n">
        <v>0.151123030213372</v>
      </c>
      <c r="BW45" s="14" t="n">
        <v>13510.8578038903</v>
      </c>
      <c r="BX45" s="14" t="n">
        <v>27107.0656988521</v>
      </c>
      <c r="BY45" s="14" t="n">
        <v>122.87885342611</v>
      </c>
      <c r="BZ45" s="14" t="n">
        <v>0</v>
      </c>
      <c r="CA45" s="14" t="n">
        <v>950.69728</v>
      </c>
      <c r="CB45" s="14" t="n">
        <v>12000</v>
      </c>
    </row>
    <row r="46" customFormat="false" ht="15" hidden="false" customHeight="false" outlineLevel="0" collapsed="false">
      <c r="A46" s="0" t="s">
        <v>2882</v>
      </c>
      <c r="B46" s="14" t="n">
        <v>2465.07954157611</v>
      </c>
      <c r="C46" s="14" t="n">
        <v>7505.46533149617</v>
      </c>
      <c r="D46" s="14" t="n">
        <v>20180.6645744977</v>
      </c>
      <c r="E46" s="14" t="n">
        <v>3713.46369159839</v>
      </c>
      <c r="F46" s="14" t="n">
        <v>-1530.47546130411</v>
      </c>
      <c r="G46" s="14" t="n">
        <v>4943.72053964266</v>
      </c>
      <c r="H46" s="14" t="n">
        <v>31678.994284048</v>
      </c>
      <c r="I46" s="15" t="n">
        <v>71.1254393861786</v>
      </c>
      <c r="J46" s="15" t="n">
        <v>84.3517813242554</v>
      </c>
      <c r="K46" s="14" t="s">
        <v>50</v>
      </c>
      <c r="L46" s="14" t="n">
        <v>-1378.71503742602</v>
      </c>
      <c r="M46" s="14" t="n">
        <v>30327.4110241299</v>
      </c>
      <c r="N46" s="14" t="n">
        <v>11755.2436196396</v>
      </c>
      <c r="O46" s="14" t="n">
        <v>-11348.3759220194</v>
      </c>
      <c r="P46" s="14" t="n">
        <v>951.290832135856</v>
      </c>
      <c r="Q46" s="14" t="n">
        <v>883.886462846233</v>
      </c>
      <c r="R46" s="14" t="n">
        <v>17528.8330533315</v>
      </c>
      <c r="S46" s="14" t="n">
        <v>22814.67344149</v>
      </c>
      <c r="T46" s="14" t="n">
        <v>-955.692204749296</v>
      </c>
      <c r="U46" s="14" t="n">
        <v>22641.1191154947</v>
      </c>
      <c r="V46" s="14" t="n">
        <v>0.750319556751226</v>
      </c>
      <c r="W46" s="14" t="n">
        <v>66427.086881838</v>
      </c>
      <c r="X46" s="14" t="n">
        <v>19762.6619216789</v>
      </c>
      <c r="Y46" s="14" t="n">
        <v>79.3514809770568</v>
      </c>
      <c r="Z46" s="14" t="n">
        <v>107.708789572942</v>
      </c>
      <c r="AA46" s="14" t="n">
        <v>27.424347870838</v>
      </c>
      <c r="AB46" s="14" t="n">
        <v>25.224347870838</v>
      </c>
      <c r="AC46" s="14" t="n">
        <v>26.674347870838</v>
      </c>
      <c r="AD46" s="14" t="n">
        <v>21.0618991648036</v>
      </c>
      <c r="AE46" s="14" t="n">
        <v>674.686407680941</v>
      </c>
      <c r="AF46" s="14" t="n">
        <v>0.03</v>
      </c>
      <c r="AG46" s="14" t="n">
        <v>0.664073049535931</v>
      </c>
      <c r="AH46" s="14" t="n">
        <v>9908.80119809611</v>
      </c>
      <c r="AI46" s="14" t="n">
        <v>20180.6645744977</v>
      </c>
      <c r="AJ46" s="14" t="n">
        <v>16.69175</v>
      </c>
      <c r="AK46" s="14" t="n">
        <v>0</v>
      </c>
      <c r="AL46" s="14" t="n">
        <v>-24216.9155310291</v>
      </c>
      <c r="AM46" s="14" t="n">
        <v>812.6073</v>
      </c>
      <c r="AN46" s="14" t="n">
        <v>18445.6272</v>
      </c>
      <c r="AO46" s="14" t="n">
        <v>-4855.35623948733</v>
      </c>
      <c r="AP46" s="14" t="n">
        <v>0.516474502037109</v>
      </c>
      <c r="AQ46" s="14" t="n">
        <v>74.6475940922614</v>
      </c>
      <c r="AR46" s="14" t="n">
        <v>330.5971045</v>
      </c>
      <c r="AS46" s="14" t="n">
        <v>318.3265975</v>
      </c>
      <c r="AT46" s="14" t="n">
        <v>-1378.71503742602</v>
      </c>
      <c r="AU46" s="14" t="n">
        <v>12.270507</v>
      </c>
      <c r="AV46" s="14" t="n">
        <v>0</v>
      </c>
      <c r="AW46" s="14" t="n">
        <v>2254.3125</v>
      </c>
      <c r="AX46" s="14" t="n">
        <v>318.3265975</v>
      </c>
      <c r="AY46" s="14" t="n">
        <v>315.769045135121</v>
      </c>
      <c r="AZ46" s="14" t="n">
        <v>6539.50278723006</v>
      </c>
      <c r="BA46" s="14" t="n">
        <v>19.634526546043</v>
      </c>
      <c r="BB46" s="14" t="n">
        <v>28.2918191679794</v>
      </c>
      <c r="BC46" s="14" t="n">
        <v>42.5196743767818</v>
      </c>
      <c r="BD46" s="14" t="n">
        <v>-5.08067650538881</v>
      </c>
      <c r="BE46" s="14" t="n">
        <v>3.74607739117714</v>
      </c>
      <c r="BF46" s="14" t="n">
        <v>5.28542761383372</v>
      </c>
      <c r="BG46" s="14" t="n">
        <v>14.1121815103997</v>
      </c>
      <c r="BH46" s="14" t="n">
        <v>10.9956654944829</v>
      </c>
      <c r="BI46" s="14" t="n">
        <v>23.2829645654868</v>
      </c>
      <c r="BJ46" s="14" t="n">
        <v>3.71992671744367</v>
      </c>
      <c r="BK46" s="14" t="n">
        <v>4.46573109600205</v>
      </c>
      <c r="BL46" s="14" t="n">
        <v>6.42123287671233</v>
      </c>
      <c r="BM46" s="14" t="n">
        <v>8712.70308277889</v>
      </c>
      <c r="BN46" s="14" t="n">
        <v>7473.09859446594</v>
      </c>
      <c r="BO46" s="14" t="n">
        <v>7473.09859446594</v>
      </c>
      <c r="BP46" s="14" t="n">
        <v>330.5971045</v>
      </c>
      <c r="BQ46" s="14" t="n">
        <v>301.7195</v>
      </c>
      <c r="BR46" s="14" t="n">
        <v>1081.9108</v>
      </c>
      <c r="BS46" s="14" t="s">
        <v>2855</v>
      </c>
      <c r="BT46" s="14" t="n">
        <v>37.9555555555556</v>
      </c>
      <c r="BU46" s="14" t="n">
        <v>0.202495480090107</v>
      </c>
      <c r="BV46" s="14" t="n">
        <v>0.289064474837112</v>
      </c>
      <c r="BW46" s="14" t="n">
        <v>13328.9507681851</v>
      </c>
      <c r="BX46" s="14" t="n">
        <v>26915.3671366004</v>
      </c>
      <c r="BY46" s="14" t="n">
        <v>69.5788939454632</v>
      </c>
      <c r="BZ46" s="14" t="n">
        <v>0</v>
      </c>
      <c r="CA46" s="14" t="n">
        <v>950.69728</v>
      </c>
      <c r="CB46" s="14" t="n">
        <v>12000</v>
      </c>
    </row>
    <row r="47" customFormat="false" ht="15" hidden="false" customHeight="false" outlineLevel="0" collapsed="false">
      <c r="A47" s="0" t="s">
        <v>2883</v>
      </c>
      <c r="B47" s="14" t="n">
        <v>2465.07954157611</v>
      </c>
      <c r="C47" s="14" t="n">
        <v>7505.46533149617</v>
      </c>
      <c r="D47" s="14" t="n">
        <v>20180.6645744977</v>
      </c>
      <c r="E47" s="14" t="n">
        <v>3713.46369159839</v>
      </c>
      <c r="F47" s="14" t="n">
        <v>-1606.96308130411</v>
      </c>
      <c r="G47" s="14" t="n">
        <v>5020.20815964266</v>
      </c>
      <c r="H47" s="14" t="n">
        <v>-2155.48855941277</v>
      </c>
      <c r="I47" s="15" t="n">
        <v>0.01</v>
      </c>
      <c r="J47" s="15" t="n">
        <v>0</v>
      </c>
      <c r="K47" s="14" t="s">
        <v>60</v>
      </c>
      <c r="L47" s="14" t="n">
        <v>-4956.48323642636</v>
      </c>
      <c r="M47" s="14" t="n">
        <v>33802.8714241299</v>
      </c>
      <c r="N47" s="14" t="n">
        <v>11755.2436196396</v>
      </c>
      <c r="O47" s="14" t="n">
        <v>-19039.69631661</v>
      </c>
      <c r="P47" s="14" t="n">
        <v>951.290832135856</v>
      </c>
      <c r="Q47" s="14" t="n">
        <v>61.4155828462322</v>
      </c>
      <c r="R47" s="14" t="n">
        <v>17617.7170533315</v>
      </c>
      <c r="S47" s="14" t="n">
        <v>26970.82024149</v>
      </c>
      <c r="T47" s="14" t="n">
        <v>-955.692204749296</v>
      </c>
      <c r="U47" s="14" t="n">
        <v>-11375.2707636712</v>
      </c>
      <c r="V47" s="14" t="n">
        <v>0.750319556751226</v>
      </c>
      <c r="W47" s="14" t="n">
        <v>43757.7821115404</v>
      </c>
      <c r="X47" s="14" t="n">
        <v>24137.1632818992</v>
      </c>
      <c r="Y47" s="14" t="n">
        <v>0</v>
      </c>
      <c r="Z47" s="14" t="n">
        <v>0</v>
      </c>
      <c r="AA47" s="14" t="n">
        <v>27.424347870838</v>
      </c>
      <c r="AB47" s="14" t="n">
        <v>25.224347870838</v>
      </c>
      <c r="AC47" s="14" t="n">
        <v>26.674347870838</v>
      </c>
      <c r="AD47" s="14" t="n">
        <v>21.0618991648036</v>
      </c>
      <c r="AE47" s="14" t="n">
        <v>674.686407680941</v>
      </c>
      <c r="AF47" s="14" t="n">
        <v>0.03</v>
      </c>
      <c r="AG47" s="14" t="n">
        <v>0.664073049535931</v>
      </c>
      <c r="AH47" s="14" t="n">
        <v>9819.91719809611</v>
      </c>
      <c r="AI47" s="14" t="n">
        <v>20180.6645744977</v>
      </c>
      <c r="AJ47" s="14" t="n">
        <v>16.69175</v>
      </c>
      <c r="AK47" s="14" t="n">
        <v>0</v>
      </c>
      <c r="AL47" s="14" t="n">
        <v>-37250.5109072628</v>
      </c>
      <c r="AM47" s="14" t="n">
        <v>812.6073</v>
      </c>
      <c r="AN47" s="14" t="n">
        <v>20079.98904</v>
      </c>
      <c r="AO47" s="14" t="n">
        <v>-5508.72242389994</v>
      </c>
      <c r="AP47" s="14" t="n">
        <v>0.516474502037109</v>
      </c>
      <c r="AQ47" s="14" t="n">
        <v>0</v>
      </c>
      <c r="AR47" s="14" t="n">
        <v>327.195752</v>
      </c>
      <c r="AS47" s="14" t="n">
        <v>314.925245</v>
      </c>
      <c r="AT47" s="14" t="n">
        <v>-4956.48323642636</v>
      </c>
      <c r="AU47" s="14" t="n">
        <v>12.270507</v>
      </c>
      <c r="AV47" s="14" t="n">
        <v>0</v>
      </c>
      <c r="AW47" s="14" t="n">
        <v>2254.3125</v>
      </c>
      <c r="AX47" s="14" t="n">
        <v>314.925245</v>
      </c>
      <c r="AY47" s="14" t="n">
        <v>314.925245</v>
      </c>
      <c r="AZ47" s="14" t="n">
        <v>5568.83612056339</v>
      </c>
      <c r="BA47" s="14" t="n">
        <v>16.5523136016134</v>
      </c>
      <c r="BB47" s="14" t="n">
        <v>25.2096062235498</v>
      </c>
      <c r="BC47" s="14" t="n">
        <v>39.4374614323522</v>
      </c>
      <c r="BD47" s="14" t="n">
        <v>-7.90105987650039</v>
      </c>
      <c r="BE47" s="14" t="n">
        <v>-6.037682612954</v>
      </c>
      <c r="BF47" s="14" t="n">
        <v>2.46504424272214</v>
      </c>
      <c r="BG47" s="14" t="n">
        <v>4.32842150626852</v>
      </c>
      <c r="BH47" s="14" t="n">
        <v>7.19460973826781</v>
      </c>
      <c r="BI47" s="14" t="n">
        <v>10.9679247396189</v>
      </c>
      <c r="BJ47" s="14" t="n">
        <v>3.71992671744367</v>
      </c>
      <c r="BK47" s="14" t="n">
        <v>4.46573109600205</v>
      </c>
      <c r="BL47" s="14" t="n">
        <v>6.42123287671233</v>
      </c>
      <c r="BM47" s="14" t="n">
        <v>8712.70308277889</v>
      </c>
      <c r="BN47" s="14" t="n">
        <v>7473.09859446594</v>
      </c>
      <c r="BO47" s="14" t="n">
        <v>7473.09859446594</v>
      </c>
      <c r="BP47" s="14" t="n">
        <v>327.195752</v>
      </c>
      <c r="BQ47" s="14" t="n">
        <v>301.7195</v>
      </c>
      <c r="BR47" s="14" t="n">
        <v>1081.9108</v>
      </c>
      <c r="BS47" s="14" t="s">
        <v>2856</v>
      </c>
      <c r="BT47" s="14" t="n">
        <v>37.9555555555556</v>
      </c>
      <c r="BU47" s="14" t="n">
        <v>0.174994125827535</v>
      </c>
      <c r="BV47" s="14" t="n">
        <v>0.184712831464324</v>
      </c>
      <c r="BW47" s="14" t="n">
        <v>13510.8578038903</v>
      </c>
      <c r="BX47" s="14" t="n">
        <v>27107.0656988521</v>
      </c>
      <c r="BY47" s="14" t="n">
        <v>98.2301993732627</v>
      </c>
      <c r="BZ47" s="14" t="n">
        <v>0</v>
      </c>
      <c r="CA47" s="14" t="n">
        <v>950.69728</v>
      </c>
      <c r="CB47" s="14" t="n">
        <v>12000</v>
      </c>
    </row>
    <row r="48" customFormat="false" ht="15" hidden="false" customHeight="false" outlineLevel="0" collapsed="false">
      <c r="A48" s="0" t="s">
        <v>2884</v>
      </c>
      <c r="B48" s="14" t="n">
        <v>2465.07954157611</v>
      </c>
      <c r="C48" s="14" t="n">
        <v>7505.46533149617</v>
      </c>
      <c r="D48" s="14" t="n">
        <v>20180.6645744977</v>
      </c>
      <c r="E48" s="14" t="n">
        <v>3713.46369159839</v>
      </c>
      <c r="F48" s="14" t="n">
        <v>-1606.96308130411</v>
      </c>
      <c r="G48" s="14" t="n">
        <v>5020.20815964266</v>
      </c>
      <c r="H48" s="14" t="n">
        <v>3782.54624644022</v>
      </c>
      <c r="I48" s="15" t="n">
        <v>0.01</v>
      </c>
      <c r="J48" s="15" t="n">
        <v>0</v>
      </c>
      <c r="K48" s="14" t="s">
        <v>60</v>
      </c>
      <c r="L48" s="14" t="n">
        <v>-4956.48323642636</v>
      </c>
      <c r="M48" s="14" t="n">
        <v>33802.8714241299</v>
      </c>
      <c r="N48" s="14" t="n">
        <v>11755.2436196396</v>
      </c>
      <c r="O48" s="14" t="n">
        <v>-19029.13023661</v>
      </c>
      <c r="P48" s="14" t="n">
        <v>951.290832135856</v>
      </c>
      <c r="Q48" s="14" t="n">
        <v>61.4155828462322</v>
      </c>
      <c r="R48" s="14" t="n">
        <v>17617.7170533315</v>
      </c>
      <c r="S48" s="14" t="n">
        <v>26970.82024149</v>
      </c>
      <c r="T48" s="14" t="n">
        <v>-955.692204749296</v>
      </c>
      <c r="U48" s="14" t="n">
        <v>-5437.23595781823</v>
      </c>
      <c r="V48" s="14" t="n">
        <v>0.750319556751226</v>
      </c>
      <c r="W48" s="14" t="n">
        <v>49493.6236097151</v>
      </c>
      <c r="X48" s="14" t="n">
        <v>22667.9069347648</v>
      </c>
      <c r="Y48" s="14" t="n">
        <v>0</v>
      </c>
      <c r="Z48" s="14" t="n">
        <v>0</v>
      </c>
      <c r="AA48" s="14" t="n">
        <v>27.424347870838</v>
      </c>
      <c r="AB48" s="14" t="n">
        <v>25.224347870838</v>
      </c>
      <c r="AC48" s="14" t="n">
        <v>26.674347870838</v>
      </c>
      <c r="AD48" s="14" t="n">
        <v>21.0618991648036</v>
      </c>
      <c r="AE48" s="14" t="n">
        <v>674.686407680941</v>
      </c>
      <c r="AF48" s="14" t="n">
        <v>0.03</v>
      </c>
      <c r="AG48" s="14" t="n">
        <v>0.664073049535931</v>
      </c>
      <c r="AH48" s="14" t="n">
        <v>9819.91719809611</v>
      </c>
      <c r="AI48" s="14" t="n">
        <v>20180.6645744977</v>
      </c>
      <c r="AJ48" s="14" t="n">
        <v>16.69175</v>
      </c>
      <c r="AK48" s="14" t="n">
        <v>0</v>
      </c>
      <c r="AL48" s="14" t="n">
        <v>-37216.9010178921</v>
      </c>
      <c r="AM48" s="14" t="n">
        <v>812.6073</v>
      </c>
      <c r="AN48" s="14" t="n">
        <v>20079.98904</v>
      </c>
      <c r="AO48" s="14" t="n">
        <v>-5508.72242389994</v>
      </c>
      <c r="AP48" s="14" t="n">
        <v>0.516474502037109</v>
      </c>
      <c r="AQ48" s="14" t="n">
        <v>0</v>
      </c>
      <c r="AR48" s="14" t="n">
        <v>327.195752</v>
      </c>
      <c r="AS48" s="14" t="n">
        <v>314.925245</v>
      </c>
      <c r="AT48" s="14" t="n">
        <v>-4956.48323642636</v>
      </c>
      <c r="AU48" s="14" t="n">
        <v>12.270507</v>
      </c>
      <c r="AV48" s="14" t="n">
        <v>0</v>
      </c>
      <c r="AW48" s="14" t="n">
        <v>2254.3125</v>
      </c>
      <c r="AX48" s="14" t="n">
        <v>314.925245</v>
      </c>
      <c r="AY48" s="14" t="n">
        <v>314.925245</v>
      </c>
      <c r="AZ48" s="14" t="n">
        <v>5568.83612056339</v>
      </c>
      <c r="BA48" s="14" t="n">
        <v>16.5523136016134</v>
      </c>
      <c r="BB48" s="14" t="n">
        <v>25.2096062235498</v>
      </c>
      <c r="BC48" s="14" t="n">
        <v>39.4374614323522</v>
      </c>
      <c r="BD48" s="14" t="n">
        <v>-6.02080429575934</v>
      </c>
      <c r="BE48" s="14" t="n">
        <v>-4.271915662422</v>
      </c>
      <c r="BF48" s="14" t="n">
        <v>4.3452998234632</v>
      </c>
      <c r="BG48" s="14" t="n">
        <v>6.09418845680052</v>
      </c>
      <c r="BH48" s="14" t="n">
        <v>9.72864690907785</v>
      </c>
      <c r="BI48" s="14" t="n">
        <v>13.3476645651337</v>
      </c>
      <c r="BJ48" s="14" t="n">
        <v>3.71992671744367</v>
      </c>
      <c r="BK48" s="14" t="n">
        <v>4.46573109600205</v>
      </c>
      <c r="BL48" s="14" t="n">
        <v>6.42123287671233</v>
      </c>
      <c r="BM48" s="14" t="n">
        <v>8712.70308277889</v>
      </c>
      <c r="BN48" s="14" t="n">
        <v>7473.09859446594</v>
      </c>
      <c r="BO48" s="14" t="n">
        <v>7473.09859446594</v>
      </c>
      <c r="BP48" s="14" t="n">
        <v>327.195752</v>
      </c>
      <c r="BQ48" s="14" t="n">
        <v>301.7195</v>
      </c>
      <c r="BR48" s="14" t="n">
        <v>1081.9108</v>
      </c>
      <c r="BS48" s="14" t="s">
        <v>2856</v>
      </c>
      <c r="BT48" s="14" t="n">
        <v>37.9555555555556</v>
      </c>
      <c r="BU48" s="14" t="n">
        <v>0.193712268962596</v>
      </c>
      <c r="BV48" s="14" t="n">
        <v>0.197949868056233</v>
      </c>
      <c r="BW48" s="14" t="n">
        <v>13510.8578038903</v>
      </c>
      <c r="BX48" s="14" t="n">
        <v>27107.0656988521</v>
      </c>
      <c r="BY48" s="14" t="n">
        <v>98.1578240936374</v>
      </c>
      <c r="BZ48" s="14" t="n">
        <v>0</v>
      </c>
      <c r="CA48" s="14" t="n">
        <v>950.69728</v>
      </c>
      <c r="CB48" s="14" t="n">
        <v>12000</v>
      </c>
    </row>
    <row r="49" customFormat="false" ht="15" hidden="false" customHeight="false" outlineLevel="0" collapsed="false">
      <c r="A49" s="0" t="s">
        <v>2885</v>
      </c>
      <c r="B49" s="14" t="n">
        <v>2465.07954157611</v>
      </c>
      <c r="C49" s="14" t="n">
        <v>7505.46533149617</v>
      </c>
      <c r="D49" s="14" t="n">
        <v>20180.6645744977</v>
      </c>
      <c r="E49" s="14" t="n">
        <v>3713.46369159839</v>
      </c>
      <c r="F49" s="14" t="n">
        <v>-1606.96308130411</v>
      </c>
      <c r="G49" s="14" t="n">
        <v>5020.20815964266</v>
      </c>
      <c r="H49" s="14" t="n">
        <v>8056.78344069988</v>
      </c>
      <c r="I49" s="15" t="n">
        <v>0.01</v>
      </c>
      <c r="J49" s="15" t="n">
        <v>2.98517639950351</v>
      </c>
      <c r="K49" s="14" t="s">
        <v>60</v>
      </c>
      <c r="L49" s="14" t="n">
        <v>-4956.48323642636</v>
      </c>
      <c r="M49" s="14" t="n">
        <v>33802.8714241299</v>
      </c>
      <c r="N49" s="14" t="n">
        <v>11755.2436196396</v>
      </c>
      <c r="O49" s="14" t="n">
        <v>-19013.28111661</v>
      </c>
      <c r="P49" s="14" t="n">
        <v>951.290832135856</v>
      </c>
      <c r="Q49" s="14" t="n">
        <v>61.4155828462322</v>
      </c>
      <c r="R49" s="14" t="n">
        <v>17617.7170533315</v>
      </c>
      <c r="S49" s="14" t="n">
        <v>26970.82024149</v>
      </c>
      <c r="T49" s="14" t="n">
        <v>-955.692204749296</v>
      </c>
      <c r="U49" s="14" t="n">
        <v>-1162.99876355857</v>
      </c>
      <c r="V49" s="14" t="n">
        <v>0.750319556751226</v>
      </c>
      <c r="W49" s="14" t="n">
        <v>53464.5708424573</v>
      </c>
      <c r="X49" s="14" t="n">
        <v>22173.3734272866</v>
      </c>
      <c r="Y49" s="14" t="n">
        <v>2.80821773481916</v>
      </c>
      <c r="Z49" s="14" t="n">
        <v>3.81177174452603</v>
      </c>
      <c r="AA49" s="14" t="n">
        <v>27.424347870838</v>
      </c>
      <c r="AB49" s="14" t="n">
        <v>25.224347870838</v>
      </c>
      <c r="AC49" s="14" t="n">
        <v>26.674347870838</v>
      </c>
      <c r="AD49" s="14" t="n">
        <v>21.0618991648036</v>
      </c>
      <c r="AE49" s="14" t="n">
        <v>674.686407680941</v>
      </c>
      <c r="AF49" s="14" t="n">
        <v>0.03</v>
      </c>
      <c r="AG49" s="14" t="n">
        <v>0.664073049535931</v>
      </c>
      <c r="AH49" s="14" t="n">
        <v>9819.91719809611</v>
      </c>
      <c r="AI49" s="14" t="n">
        <v>20180.6645744977</v>
      </c>
      <c r="AJ49" s="14" t="n">
        <v>16.69175</v>
      </c>
      <c r="AK49" s="14" t="n">
        <v>0</v>
      </c>
      <c r="AL49" s="14" t="n">
        <v>-37166.4861838361</v>
      </c>
      <c r="AM49" s="14" t="n">
        <v>812.6073</v>
      </c>
      <c r="AN49" s="14" t="n">
        <v>20079.98904</v>
      </c>
      <c r="AO49" s="14" t="n">
        <v>-5508.72242389994</v>
      </c>
      <c r="AP49" s="14" t="n">
        <v>0.516474502037109</v>
      </c>
      <c r="AQ49" s="14" t="n">
        <v>2.6417490261093</v>
      </c>
      <c r="AR49" s="14" t="n">
        <v>327.195752</v>
      </c>
      <c r="AS49" s="14" t="n">
        <v>314.925245</v>
      </c>
      <c r="AT49" s="14" t="n">
        <v>-4956.48323642636</v>
      </c>
      <c r="AU49" s="14" t="n">
        <v>12.270507</v>
      </c>
      <c r="AV49" s="14" t="n">
        <v>0</v>
      </c>
      <c r="AW49" s="14" t="n">
        <v>2254.3125</v>
      </c>
      <c r="AX49" s="14" t="n">
        <v>314.925245</v>
      </c>
      <c r="AY49" s="14" t="n">
        <v>314.925245</v>
      </c>
      <c r="AZ49" s="14" t="n">
        <v>5568.83612056339</v>
      </c>
      <c r="BA49" s="14" t="n">
        <v>16.5523136016134</v>
      </c>
      <c r="BB49" s="14" t="n">
        <v>25.2096062235498</v>
      </c>
      <c r="BC49" s="14" t="n">
        <v>39.4374614323522</v>
      </c>
      <c r="BD49" s="14" t="n">
        <v>-3.20042092464776</v>
      </c>
      <c r="BE49" s="14" t="n">
        <v>-1.62326523662401</v>
      </c>
      <c r="BF49" s="14" t="n">
        <v>7.16568319457478</v>
      </c>
      <c r="BG49" s="14" t="n">
        <v>8.74283888259851</v>
      </c>
      <c r="BH49" s="14" t="n">
        <v>13.5297026652929</v>
      </c>
      <c r="BI49" s="14" t="n">
        <v>16.9172743034059</v>
      </c>
      <c r="BJ49" s="14" t="n">
        <v>3.71992671744367</v>
      </c>
      <c r="BK49" s="14" t="n">
        <v>4.46573109600205</v>
      </c>
      <c r="BL49" s="14" t="n">
        <v>6.42123287671233</v>
      </c>
      <c r="BM49" s="14" t="n">
        <v>8712.70308277889</v>
      </c>
      <c r="BN49" s="14" t="n">
        <v>7473.09859446594</v>
      </c>
      <c r="BO49" s="14" t="n">
        <v>7473.09859446594</v>
      </c>
      <c r="BP49" s="14" t="n">
        <v>327.195752</v>
      </c>
      <c r="BQ49" s="14" t="n">
        <v>301.7195</v>
      </c>
      <c r="BR49" s="14" t="n">
        <v>1081.9108</v>
      </c>
      <c r="BS49" s="14" t="s">
        <v>2855</v>
      </c>
      <c r="BT49" s="14" t="n">
        <v>37.9555555555556</v>
      </c>
      <c r="BU49" s="14" t="n">
        <v>0.219079878494096</v>
      </c>
      <c r="BV49" s="14" t="n">
        <v>0.216449049332874</v>
      </c>
      <c r="BW49" s="14" t="n">
        <v>13510.8578038903</v>
      </c>
      <c r="BX49" s="14" t="n">
        <v>27107.0656988521</v>
      </c>
      <c r="BY49" s="14" t="n">
        <v>98.0492611741996</v>
      </c>
      <c r="BZ49" s="14" t="n">
        <v>0</v>
      </c>
      <c r="CA49" s="14" t="n">
        <v>950.69728</v>
      </c>
      <c r="CB49" s="14" t="n">
        <v>12000</v>
      </c>
    </row>
    <row r="50" customFormat="false" ht="15" hidden="false" customHeight="false" outlineLevel="0" collapsed="false">
      <c r="A50" s="0" t="s">
        <v>2886</v>
      </c>
      <c r="B50" s="14" t="n">
        <v>2423.40833661368</v>
      </c>
      <c r="C50" s="14" t="n">
        <v>6935.71541427144</v>
      </c>
      <c r="D50" s="14" t="n">
        <v>18297.4878696007</v>
      </c>
      <c r="E50" s="14" t="n">
        <v>3492.35449191028</v>
      </c>
      <c r="F50" s="14" t="n">
        <v>-1387.35017743663</v>
      </c>
      <c r="G50" s="14" t="n">
        <v>4602.27605277605</v>
      </c>
      <c r="H50" s="14" t="n">
        <v>2265.48163795982</v>
      </c>
      <c r="I50" s="15" t="n">
        <v>0.01</v>
      </c>
      <c r="J50" s="15" t="n">
        <v>0</v>
      </c>
      <c r="K50" s="14" t="s">
        <v>50</v>
      </c>
      <c r="L50" s="14" t="n">
        <v>-642.300231244246</v>
      </c>
      <c r="M50" s="14" t="n">
        <v>30493.5468082854</v>
      </c>
      <c r="N50" s="14" t="n">
        <v>10781.1718299874</v>
      </c>
      <c r="O50" s="14" t="n">
        <v>-16781.2154969822</v>
      </c>
      <c r="P50" s="14" t="n">
        <v>945.057363780535</v>
      </c>
      <c r="Q50" s="14" t="n">
        <v>46.5964371030955</v>
      </c>
      <c r="R50" s="14" t="n">
        <v>16470.8696667323</v>
      </c>
      <c r="S50" s="14" t="n">
        <v>28068.299757392</v>
      </c>
      <c r="T50" s="14" t="n">
        <v>-960.237821871701</v>
      </c>
      <c r="U50" s="14" t="n">
        <v>-6923.94128647382</v>
      </c>
      <c r="V50" s="14" t="n">
        <v>0.82509878873241</v>
      </c>
      <c r="W50" s="14" t="n">
        <v>48451.6004884409</v>
      </c>
      <c r="X50" s="14" t="n">
        <v>21828.4057811921</v>
      </c>
      <c r="Y50" s="14" t="n">
        <v>0</v>
      </c>
      <c r="Z50" s="14" t="n">
        <v>0</v>
      </c>
      <c r="AA50" s="14" t="n">
        <v>30.1575455502983</v>
      </c>
      <c r="AB50" s="14" t="n">
        <v>27.9575455502983</v>
      </c>
      <c r="AC50" s="14" t="n">
        <v>29.4075455502983</v>
      </c>
      <c r="AD50" s="14" t="n">
        <v>23.1609949826291</v>
      </c>
      <c r="AE50" s="14" t="n">
        <v>653.683373262198</v>
      </c>
      <c r="AF50" s="14" t="n">
        <v>0.03</v>
      </c>
      <c r="AG50" s="14" t="n">
        <v>0.665508046698166</v>
      </c>
      <c r="AH50" s="14" t="n">
        <v>10960.7967600385</v>
      </c>
      <c r="AI50" s="14" t="n">
        <v>18297.4878696007</v>
      </c>
      <c r="AJ50" s="14" t="n">
        <v>16.69175</v>
      </c>
      <c r="AK50" s="14" t="n">
        <v>0</v>
      </c>
      <c r="AL50" s="14" t="n">
        <v>-37406.3587489961</v>
      </c>
      <c r="AM50" s="14" t="n">
        <v>684.5</v>
      </c>
      <c r="AN50" s="14" t="n">
        <v>20570.34</v>
      </c>
      <c r="AO50" s="14" t="n">
        <v>-5700.83861542981</v>
      </c>
      <c r="AP50" s="14" t="n">
        <v>0.657126602252572</v>
      </c>
      <c r="AQ50" s="14" t="n">
        <v>0</v>
      </c>
      <c r="AR50" s="14" t="n">
        <v>327.195752</v>
      </c>
      <c r="AS50" s="14" t="n">
        <v>314.925245</v>
      </c>
      <c r="AT50" s="14" t="n">
        <v>-642.300231244246</v>
      </c>
      <c r="AU50" s="14" t="n">
        <v>12.270507</v>
      </c>
      <c r="AV50" s="14" t="n">
        <v>0</v>
      </c>
      <c r="AW50" s="14" t="n">
        <v>2254.3125</v>
      </c>
      <c r="AX50" s="14" t="n">
        <v>314.925245</v>
      </c>
      <c r="AY50" s="14" t="n">
        <v>314.925245</v>
      </c>
      <c r="AZ50" s="14" t="n">
        <v>5720.74560387399</v>
      </c>
      <c r="BA50" s="14" t="n">
        <v>17.1310819475281</v>
      </c>
      <c r="BB50" s="14" t="n">
        <v>25.7883745694644</v>
      </c>
      <c r="BC50" s="14" t="n">
        <v>40.0162297782669</v>
      </c>
      <c r="BD50" s="14" t="n">
        <v>-5.08067650538881</v>
      </c>
      <c r="BE50" s="14" t="n">
        <v>-3.389032187156</v>
      </c>
      <c r="BF50" s="14" t="n">
        <v>5.28542761383372</v>
      </c>
      <c r="BG50" s="14" t="n">
        <v>6.97707193206652</v>
      </c>
      <c r="BH50" s="14" t="n">
        <v>10.9956654944829</v>
      </c>
      <c r="BI50" s="14" t="n">
        <v>14.5375344778911</v>
      </c>
      <c r="BJ50" s="14" t="n">
        <v>3.71992671744367</v>
      </c>
      <c r="BK50" s="14" t="n">
        <v>4.46573109600205</v>
      </c>
      <c r="BL50" s="14" t="n">
        <v>6.42123287671233</v>
      </c>
      <c r="BM50" s="14" t="n">
        <v>7672.79585778466</v>
      </c>
      <c r="BN50" s="14" t="n">
        <v>6903.34867724121</v>
      </c>
      <c r="BO50" s="14" t="n">
        <v>6903.34867724121</v>
      </c>
      <c r="BP50" s="14" t="n">
        <v>327.195752</v>
      </c>
      <c r="BQ50" s="14" t="n">
        <v>292.4</v>
      </c>
      <c r="BR50" s="14" t="n">
        <v>950</v>
      </c>
      <c r="BS50" s="14" t="s">
        <v>2856</v>
      </c>
      <c r="BT50" s="14" t="n">
        <v>37.9555555555556</v>
      </c>
      <c r="BU50" s="14" t="n">
        <v>0.202495480090107</v>
      </c>
      <c r="BV50" s="14" t="n">
        <v>0.204285232461873</v>
      </c>
      <c r="BW50" s="14" t="n">
        <v>13510.8578038903</v>
      </c>
      <c r="BX50" s="14" t="n">
        <v>27107.0656988521</v>
      </c>
      <c r="BY50" s="14" t="n">
        <v>98.1306411712152</v>
      </c>
      <c r="BZ50" s="14" t="n">
        <v>0</v>
      </c>
      <c r="CA50" s="14" t="n">
        <v>740.16</v>
      </c>
      <c r="CB50" s="14" t="n">
        <v>12000</v>
      </c>
    </row>
    <row r="51" customFormat="false" ht="15" hidden="false" customHeight="false" outlineLevel="0" collapsed="false">
      <c r="A51" s="0" t="s">
        <v>2887</v>
      </c>
      <c r="B51" s="14" t="n">
        <v>2465.07954157611</v>
      </c>
      <c r="C51" s="14" t="n">
        <v>7505.46533149617</v>
      </c>
      <c r="D51" s="14" t="n">
        <v>20180.6645744977</v>
      </c>
      <c r="E51" s="14" t="n">
        <v>3713.46369159839</v>
      </c>
      <c r="F51" s="14" t="n">
        <v>-1606.96308130411</v>
      </c>
      <c r="G51" s="14" t="n">
        <v>5020.20815964266</v>
      </c>
      <c r="H51" s="14" t="n">
        <v>7854.59013302158</v>
      </c>
      <c r="I51" s="15" t="n">
        <v>0.01</v>
      </c>
      <c r="J51" s="15" t="n">
        <v>5.33317693841748</v>
      </c>
      <c r="K51" s="14" t="s">
        <v>60</v>
      </c>
      <c r="L51" s="14" t="n">
        <v>-4956.48323642636</v>
      </c>
      <c r="M51" s="14" t="n">
        <v>33802.8714241299</v>
      </c>
      <c r="N51" s="14" t="n">
        <v>11755.2436196396</v>
      </c>
      <c r="O51" s="14" t="n">
        <v>-19023.84719661</v>
      </c>
      <c r="P51" s="14" t="n">
        <v>951.290832135856</v>
      </c>
      <c r="Q51" s="14" t="n">
        <v>61.4155828462322</v>
      </c>
      <c r="R51" s="14" t="n">
        <v>17617.7170533315</v>
      </c>
      <c r="S51" s="14" t="n">
        <v>26970.82024149</v>
      </c>
      <c r="T51" s="14" t="n">
        <v>-955.692204749296</v>
      </c>
      <c r="U51" s="14" t="n">
        <v>-1279.33426734661</v>
      </c>
      <c r="V51" s="14" t="n">
        <v>0.750319556751226</v>
      </c>
      <c r="W51" s="14" t="n">
        <v>53464.5708424573</v>
      </c>
      <c r="X51" s="14" t="n">
        <v>22173.3734272866</v>
      </c>
      <c r="Y51" s="14" t="n">
        <v>5.01703084075147</v>
      </c>
      <c r="Z51" s="14" t="n">
        <v>6.80993363266528</v>
      </c>
      <c r="AA51" s="14" t="n">
        <v>27.424347870838</v>
      </c>
      <c r="AB51" s="14" t="n">
        <v>25.224347870838</v>
      </c>
      <c r="AC51" s="14" t="n">
        <v>26.674347870838</v>
      </c>
      <c r="AD51" s="14" t="n">
        <v>21.0618991648036</v>
      </c>
      <c r="AE51" s="14" t="n">
        <v>674.686407680941</v>
      </c>
      <c r="AF51" s="14" t="n">
        <v>0.03</v>
      </c>
      <c r="AG51" s="14" t="n">
        <v>0.664073049535931</v>
      </c>
      <c r="AH51" s="14" t="n">
        <v>9819.91719809611</v>
      </c>
      <c r="AI51" s="14" t="n">
        <v>20180.6645744977</v>
      </c>
      <c r="AJ51" s="14" t="n">
        <v>16.69175</v>
      </c>
      <c r="AK51" s="14" t="n">
        <v>0</v>
      </c>
      <c r="AL51" s="14" t="n">
        <v>-37200.0960732068</v>
      </c>
      <c r="AM51" s="14" t="n">
        <v>812.6073</v>
      </c>
      <c r="AN51" s="14" t="n">
        <v>20079.98904</v>
      </c>
      <c r="AO51" s="14" t="n">
        <v>-5508.72242389994</v>
      </c>
      <c r="AP51" s="14" t="n">
        <v>0.516474502037109</v>
      </c>
      <c r="AQ51" s="14" t="n">
        <v>4.71962560921901</v>
      </c>
      <c r="AR51" s="14" t="n">
        <v>327.195752</v>
      </c>
      <c r="AS51" s="14" t="n">
        <v>314.925245</v>
      </c>
      <c r="AT51" s="14" t="n">
        <v>-4956.48323642636</v>
      </c>
      <c r="AU51" s="14" t="n">
        <v>12.270507</v>
      </c>
      <c r="AV51" s="14" t="n">
        <v>0</v>
      </c>
      <c r="AW51" s="14" t="n">
        <v>2254.3125</v>
      </c>
      <c r="AX51" s="14" t="n">
        <v>314.925245</v>
      </c>
      <c r="AY51" s="14" t="n">
        <v>314.925245</v>
      </c>
      <c r="AZ51" s="14" t="n">
        <v>5568.83612056339</v>
      </c>
      <c r="BA51" s="14" t="n">
        <v>16.8249427580669</v>
      </c>
      <c r="BB51" s="14" t="n">
        <v>25.4822353800033</v>
      </c>
      <c r="BC51" s="14" t="n">
        <v>39.7100905888057</v>
      </c>
      <c r="BD51" s="14" t="n">
        <v>-5.08067650538881</v>
      </c>
      <c r="BE51" s="14" t="n">
        <v>-3.389032187156</v>
      </c>
      <c r="BF51" s="14" t="n">
        <v>5.28542761383372</v>
      </c>
      <c r="BG51" s="14" t="n">
        <v>6.97707193206652</v>
      </c>
      <c r="BH51" s="14" t="n">
        <v>10.9956654944829</v>
      </c>
      <c r="BI51" s="14" t="n">
        <v>14.5375344778911</v>
      </c>
      <c r="BJ51" s="14" t="n">
        <v>3.71992671744367</v>
      </c>
      <c r="BK51" s="14" t="n">
        <v>4.46573109600205</v>
      </c>
      <c r="BL51" s="14" t="n">
        <v>6.42123287671233</v>
      </c>
      <c r="BM51" s="14" t="n">
        <v>8712.70308277889</v>
      </c>
      <c r="BN51" s="14" t="n">
        <v>7473.09859446594</v>
      </c>
      <c r="BO51" s="14" t="n">
        <v>7473.09859446594</v>
      </c>
      <c r="BP51" s="14" t="n">
        <v>327.195752</v>
      </c>
      <c r="BQ51" s="14" t="n">
        <v>301.7195</v>
      </c>
      <c r="BR51" s="14" t="n">
        <v>1081.9108</v>
      </c>
      <c r="BS51" s="14" t="s">
        <v>2855</v>
      </c>
      <c r="BT51" s="14" t="n">
        <v>37.9555555555556</v>
      </c>
      <c r="BU51" s="14" t="n">
        <v>0.202495480090107</v>
      </c>
      <c r="BV51" s="14" t="n">
        <v>0.204285232461873</v>
      </c>
      <c r="BW51" s="14" t="n">
        <v>13425</v>
      </c>
      <c r="BX51" s="14" t="n">
        <v>26225</v>
      </c>
      <c r="BY51" s="14" t="n">
        <v>98.1216364538248</v>
      </c>
      <c r="BZ51" s="14" t="n">
        <v>0</v>
      </c>
      <c r="CA51" s="14" t="n">
        <v>950.69728</v>
      </c>
      <c r="CB51" s="14" t="n">
        <v>12000</v>
      </c>
    </row>
    <row r="52" customFormat="false" ht="15" hidden="false" customHeight="false" outlineLevel="0" collapsed="false">
      <c r="A52" s="0" t="s">
        <v>2888</v>
      </c>
      <c r="B52" s="14" t="n">
        <v>2161.09062763565</v>
      </c>
      <c r="C52" s="14" t="n">
        <v>3835.54290963949</v>
      </c>
      <c r="D52" s="14" t="n">
        <v>10622.2691329812</v>
      </c>
      <c r="E52" s="14" t="n">
        <v>1529.29936141168</v>
      </c>
      <c r="F52" s="14" t="n">
        <v>-4222.71417078393</v>
      </c>
      <c r="G52" s="14" t="n">
        <v>5598.59181581002</v>
      </c>
      <c r="H52" s="14" t="n">
        <v>-32518.9990253506</v>
      </c>
      <c r="I52" s="15" t="n">
        <v>0.01</v>
      </c>
      <c r="J52" s="15" t="n">
        <v>0.0115</v>
      </c>
      <c r="K52" s="14" t="s">
        <v>60</v>
      </c>
      <c r="L52" s="14" t="n">
        <v>-5421.71198407323</v>
      </c>
      <c r="M52" s="14" t="n">
        <v>23405.4934154428</v>
      </c>
      <c r="N52" s="14" t="n">
        <v>5030.15603731872</v>
      </c>
      <c r="O52" s="14" t="n">
        <v>-26568.1848277475</v>
      </c>
      <c r="P52" s="14" t="n">
        <v>747.002337313713</v>
      </c>
      <c r="Q52" s="14" t="n">
        <v>-6486.76771030941</v>
      </c>
      <c r="R52" s="14" t="n">
        <v>10749.8273603027</v>
      </c>
      <c r="S52" s="14" t="n">
        <v>27577.7924226596</v>
      </c>
      <c r="T52" s="14" t="n">
        <v>-1436.17830391911</v>
      </c>
      <c r="U52" s="14" t="n">
        <v>-41655.4876321491</v>
      </c>
      <c r="V52" s="14" t="n">
        <v>0.750319556751226</v>
      </c>
      <c r="W52" s="14" t="n">
        <v>18300.1176338496</v>
      </c>
      <c r="X52" s="14" t="n">
        <v>14267.1592229818</v>
      </c>
      <c r="Y52" s="14" t="n">
        <v>0.0107238052947636</v>
      </c>
      <c r="Z52" s="14" t="n">
        <v>0.01520875</v>
      </c>
      <c r="AA52" s="14" t="n">
        <v>22.27279275</v>
      </c>
      <c r="AB52" s="14" t="n">
        <v>20.07279275</v>
      </c>
      <c r="AC52" s="14" t="n">
        <v>21.52279275</v>
      </c>
      <c r="AD52" s="14" t="n">
        <v>17.105504832</v>
      </c>
      <c r="AE52" s="14" t="n">
        <v>594.149368983825</v>
      </c>
      <c r="AF52" s="14" t="n">
        <v>0.02</v>
      </c>
      <c r="AG52" s="14" t="n">
        <v>0.584283932229117</v>
      </c>
      <c r="AH52" s="14" t="n">
        <v>13530.2399423265</v>
      </c>
      <c r="AI52" s="14" t="n">
        <v>10622.2691329812</v>
      </c>
      <c r="AJ52" s="14" t="n">
        <v>14.7365561910928</v>
      </c>
      <c r="AK52" s="14" t="n">
        <v>0</v>
      </c>
      <c r="AL52" s="14" t="n">
        <v>-53228.958531149</v>
      </c>
      <c r="AM52" s="14" t="n">
        <v>470.44678</v>
      </c>
      <c r="AN52" s="14" t="n">
        <v>12000</v>
      </c>
      <c r="AO52" s="14" t="n">
        <v>-2079.00657489433</v>
      </c>
      <c r="AP52" s="14" t="n">
        <v>1</v>
      </c>
      <c r="AQ52" s="14" t="n">
        <v>0</v>
      </c>
      <c r="AR52" s="14" t="n">
        <v>314.925245</v>
      </c>
      <c r="AS52" s="14" t="n">
        <v>314.925245</v>
      </c>
      <c r="AT52" s="14" t="n">
        <v>-5421.71198407323</v>
      </c>
      <c r="AU52" s="14" t="n">
        <v>0</v>
      </c>
      <c r="AV52" s="14" t="n">
        <v>0</v>
      </c>
      <c r="AW52" s="14" t="n">
        <v>998.76</v>
      </c>
      <c r="AX52" s="14" t="n">
        <v>314.925245</v>
      </c>
      <c r="AY52" s="14" t="n">
        <v>314.925245</v>
      </c>
      <c r="AZ52" s="14" t="n">
        <v>1499.88285266973</v>
      </c>
      <c r="BA52" s="14" t="n">
        <v>7.88324939104577</v>
      </c>
      <c r="BB52" s="14" t="n">
        <v>16.5405420129821</v>
      </c>
      <c r="BC52" s="14" t="n">
        <v>29.4152590602181</v>
      </c>
      <c r="BD52" s="14" t="n">
        <v>-10.5228208376523</v>
      </c>
      <c r="BE52" s="14" t="n">
        <v>-16.0462338006397</v>
      </c>
      <c r="BF52" s="14" t="n">
        <v>0.281691530055532</v>
      </c>
      <c r="BG52" s="14" t="n">
        <v>-5.24172143293188</v>
      </c>
      <c r="BH52" s="14" t="n">
        <v>4.7826220308265</v>
      </c>
      <c r="BI52" s="14" t="n">
        <v>-0.403691541818507</v>
      </c>
      <c r="BJ52" s="14" t="n">
        <v>3.37118358768332</v>
      </c>
      <c r="BK52" s="14" t="n">
        <v>4.04706880575186</v>
      </c>
      <c r="BL52" s="14" t="n">
        <v>5.70776255707763</v>
      </c>
      <c r="BM52" s="14" t="n">
        <v>5354.49215439957</v>
      </c>
      <c r="BN52" s="14" t="n">
        <v>3805.94290963949</v>
      </c>
      <c r="BO52" s="14" t="n">
        <v>3805.94290963949</v>
      </c>
      <c r="BP52" s="14" t="n">
        <v>314.925245</v>
      </c>
      <c r="BQ52" s="14" t="n">
        <v>189.4897</v>
      </c>
      <c r="BR52" s="14" t="n">
        <v>794.6073</v>
      </c>
      <c r="BS52" s="14" t="s">
        <v>2856</v>
      </c>
      <c r="BT52" s="14" t="n">
        <v>37.9555555555556</v>
      </c>
      <c r="BU52" s="14" t="n">
        <v>0.174994125827535</v>
      </c>
      <c r="BV52" s="14" t="n">
        <v>0.127439810912424</v>
      </c>
      <c r="BW52" s="14" t="n">
        <v>13425</v>
      </c>
      <c r="BX52" s="14" t="n">
        <v>13425</v>
      </c>
      <c r="BY52" s="14" t="n">
        <v>169.580301072683</v>
      </c>
      <c r="BZ52" s="14" t="n">
        <v>1732.5375</v>
      </c>
      <c r="CA52" s="14" t="n">
        <v>1028.66496</v>
      </c>
      <c r="CB52" s="14" t="n">
        <v>12000</v>
      </c>
    </row>
    <row r="53" customFormat="false" ht="15" hidden="false" customHeight="false" outlineLevel="0" collapsed="false">
      <c r="A53" s="0" t="s">
        <v>2889</v>
      </c>
      <c r="B53" s="14" t="n">
        <v>2465.07954157611</v>
      </c>
      <c r="C53" s="14" t="n">
        <v>7505.46533149617</v>
      </c>
      <c r="D53" s="14" t="n">
        <v>20180.6645744977</v>
      </c>
      <c r="E53" s="14" t="n">
        <v>3713.46369159839</v>
      </c>
      <c r="F53" s="14" t="n">
        <v>-1596.17827993432</v>
      </c>
      <c r="G53" s="14" t="n">
        <v>5009.42335827286</v>
      </c>
      <c r="H53" s="14" t="n">
        <v>7854.59013302158</v>
      </c>
      <c r="I53" s="15" t="n">
        <v>0.01</v>
      </c>
      <c r="J53" s="15" t="n">
        <v>0.0113</v>
      </c>
      <c r="K53" s="14" t="s">
        <v>58</v>
      </c>
      <c r="L53" s="14" t="n">
        <v>-20474.8534544129</v>
      </c>
      <c r="M53" s="14" t="n">
        <v>33802.8714241299</v>
      </c>
      <c r="N53" s="14" t="n">
        <v>11755.2436196396</v>
      </c>
      <c r="O53" s="14" t="n">
        <v>-34273.4174145966</v>
      </c>
      <c r="P53" s="14" t="n">
        <v>951.290832135856</v>
      </c>
      <c r="Q53" s="14" t="n">
        <v>116.865747362236</v>
      </c>
      <c r="R53" s="14" t="n">
        <v>17617.7170533315</v>
      </c>
      <c r="S53" s="14" t="n">
        <v>26970.82024149</v>
      </c>
      <c r="T53" s="14" t="n">
        <v>-955.692204749296</v>
      </c>
      <c r="U53" s="14" t="n">
        <v>-1365.19207123687</v>
      </c>
      <c r="V53" s="14" t="n">
        <v>0.750319556751226</v>
      </c>
      <c r="W53" s="14" t="n">
        <v>53464.5708424573</v>
      </c>
      <c r="X53" s="14" t="n">
        <v>22173.3734272866</v>
      </c>
      <c r="Y53" s="14" t="n">
        <v>0.0106301458127347</v>
      </c>
      <c r="Z53" s="14" t="n">
        <v>0.01442897</v>
      </c>
      <c r="AA53" s="14" t="n">
        <v>27.424347870838</v>
      </c>
      <c r="AB53" s="14" t="n">
        <v>25.224347870838</v>
      </c>
      <c r="AC53" s="14" t="n">
        <v>26.674347870838</v>
      </c>
      <c r="AD53" s="14" t="n">
        <v>21.0618991648036</v>
      </c>
      <c r="AE53" s="14" t="n">
        <v>674.686407680941</v>
      </c>
      <c r="AF53" s="14" t="n">
        <v>0.03</v>
      </c>
      <c r="AG53" s="14" t="n">
        <v>0.664073049535931</v>
      </c>
      <c r="AH53" s="14" t="n">
        <v>6840.51539342611</v>
      </c>
      <c r="AI53" s="14" t="n">
        <v>20180.6645744977</v>
      </c>
      <c r="AJ53" s="14" t="n">
        <v>16.69175</v>
      </c>
      <c r="AK53" s="14" t="n">
        <v>0</v>
      </c>
      <c r="AL53" s="14" t="n">
        <v>-52241.8987823319</v>
      </c>
      <c r="AM53" s="14" t="n">
        <v>812.6073</v>
      </c>
      <c r="AN53" s="14" t="n">
        <v>20079.98904</v>
      </c>
      <c r="AO53" s="14" t="n">
        <v>-5508.72242389994</v>
      </c>
      <c r="AP53" s="14" t="n">
        <v>0.516474502037109</v>
      </c>
      <c r="AQ53" s="14" t="n">
        <v>0</v>
      </c>
      <c r="AR53" s="14" t="n">
        <v>314.925245</v>
      </c>
      <c r="AS53" s="14" t="n">
        <v>314.925245</v>
      </c>
      <c r="AT53" s="14" t="n">
        <v>-20474.8534544129</v>
      </c>
      <c r="AU53" s="14" t="n">
        <v>0</v>
      </c>
      <c r="AV53" s="14" t="n">
        <v>0</v>
      </c>
      <c r="AW53" s="14" t="n">
        <v>2254.3125</v>
      </c>
      <c r="AX53" s="14" t="n">
        <v>314.925245</v>
      </c>
      <c r="AY53" s="14" t="n">
        <v>314.925245</v>
      </c>
      <c r="AZ53" s="14" t="n">
        <v>5568.83612056339</v>
      </c>
      <c r="BA53" s="14" t="n">
        <v>16.5523136016134</v>
      </c>
      <c r="BB53" s="14" t="n">
        <v>25.2096062235498</v>
      </c>
      <c r="BC53" s="14" t="n">
        <v>39.4374614323522</v>
      </c>
      <c r="BD53" s="14" t="n">
        <v>-5.08067650538881</v>
      </c>
      <c r="BE53" s="14" t="n">
        <v>-3.389032187156</v>
      </c>
      <c r="BF53" s="14" t="n">
        <v>5.28542761383372</v>
      </c>
      <c r="BG53" s="14" t="n">
        <v>6.97707193206652</v>
      </c>
      <c r="BH53" s="14" t="n">
        <v>10.9956654944829</v>
      </c>
      <c r="BI53" s="14" t="n">
        <v>14.5375344778911</v>
      </c>
      <c r="BJ53" s="14" t="n">
        <v>3.71992671744367</v>
      </c>
      <c r="BK53" s="14" t="n">
        <v>4.46573109600205</v>
      </c>
      <c r="BL53" s="14" t="n">
        <v>6.42123287671233</v>
      </c>
      <c r="BM53" s="14" t="n">
        <v>8712.70308277889</v>
      </c>
      <c r="BN53" s="14" t="n">
        <v>7473.09859446594</v>
      </c>
      <c r="BO53" s="14" t="n">
        <v>7473.09859446594</v>
      </c>
      <c r="BP53" s="14" t="n">
        <v>314.925245</v>
      </c>
      <c r="BQ53" s="14" t="n">
        <v>301.7195</v>
      </c>
      <c r="BR53" s="14" t="n">
        <v>1081.9108</v>
      </c>
      <c r="BS53" s="14" t="s">
        <v>2855</v>
      </c>
      <c r="BT53" s="14" t="n">
        <v>37.9555555555556</v>
      </c>
      <c r="BU53" s="14" t="n">
        <v>0.202495480090107</v>
      </c>
      <c r="BV53" s="14" t="n">
        <v>0.204285232461873</v>
      </c>
      <c r="BW53" s="14" t="n">
        <v>13510.8578038903</v>
      </c>
      <c r="BX53" s="14" t="n">
        <v>14061.88573854</v>
      </c>
      <c r="BY53" s="14" t="n">
        <v>120.347240288696</v>
      </c>
      <c r="BZ53" s="14" t="n">
        <v>0</v>
      </c>
      <c r="CA53" s="14" t="n">
        <v>950.69728</v>
      </c>
      <c r="CB53" s="14" t="n">
        <v>12000</v>
      </c>
    </row>
    <row r="54" customFormat="false" ht="15" hidden="false" customHeight="false" outlineLevel="0" collapsed="false">
      <c r="A54" s="0" t="s">
        <v>2890</v>
      </c>
      <c r="B54" s="14" t="n">
        <v>2822.95391308961</v>
      </c>
      <c r="C54" s="14" t="n">
        <v>12950.991141717</v>
      </c>
      <c r="D54" s="14" t="n">
        <v>28701.9254919039</v>
      </c>
      <c r="E54" s="14" t="n">
        <v>7435.26656429841</v>
      </c>
      <c r="F54" s="14" t="n">
        <v>1646.06851865079</v>
      </c>
      <c r="G54" s="14" t="n">
        <v>5271.15839997895</v>
      </c>
      <c r="H54" s="14" t="n">
        <v>125122.521479841</v>
      </c>
      <c r="I54" s="15" t="n">
        <v>329.741111435692</v>
      </c>
      <c r="J54" s="15" t="n">
        <v>369.310044807975</v>
      </c>
      <c r="K54" s="14" t="s">
        <v>689</v>
      </c>
      <c r="L54" s="14" t="n">
        <v>-26972.3460075187</v>
      </c>
      <c r="M54" s="14" t="n">
        <v>37679.8874728343</v>
      </c>
      <c r="N54" s="14" t="n">
        <v>18116.2303461208</v>
      </c>
      <c r="O54" s="14" t="n">
        <v>-31135.205531077</v>
      </c>
      <c r="P54" s="14" t="n">
        <v>1212.1769462832</v>
      </c>
      <c r="Q54" s="14" t="n">
        <v>6372.95370865437</v>
      </c>
      <c r="R54" s="14" t="n">
        <v>23963.3261282618</v>
      </c>
      <c r="S54" s="14" t="n">
        <v>22480.1453098381</v>
      </c>
      <c r="T54" s="14" t="n">
        <v>-533.47336857847</v>
      </c>
      <c r="U54" s="14" t="n">
        <v>127928.419768388</v>
      </c>
      <c r="V54" s="14" t="n">
        <v>0.750319556751226</v>
      </c>
      <c r="W54" s="14" t="n">
        <v>155509.533137691</v>
      </c>
      <c r="X54" s="14" t="n">
        <v>23098.7463313472</v>
      </c>
      <c r="Y54" s="14" t="n">
        <v>348.96519115715</v>
      </c>
      <c r="Z54" s="14" t="n">
        <v>463.262520207123</v>
      </c>
      <c r="AA54" s="14" t="n">
        <v>43.041696075</v>
      </c>
      <c r="AB54" s="14" t="n">
        <v>40.841696075</v>
      </c>
      <c r="AC54" s="14" t="n">
        <v>42.291696075</v>
      </c>
      <c r="AD54" s="14" t="n">
        <v>33.0560225856</v>
      </c>
      <c r="AE54" s="14" t="n">
        <v>785.656190328325</v>
      </c>
      <c r="AF54" s="14" t="n">
        <v>0.035</v>
      </c>
      <c r="AG54" s="14" t="n">
        <v>0.702162322639483</v>
      </c>
      <c r="AH54" s="14" t="n">
        <v>730.192296796198</v>
      </c>
      <c r="AI54" s="14" t="n">
        <v>28701.9254919039</v>
      </c>
      <c r="AJ54" s="14" t="n">
        <v>19.0921875</v>
      </c>
      <c r="AK54" s="14" t="n">
        <v>0</v>
      </c>
      <c r="AL54" s="14" t="n">
        <v>-40291.8073074442</v>
      </c>
      <c r="AM54" s="14" t="n">
        <v>1071.7478</v>
      </c>
      <c r="AN54" s="14" t="n">
        <v>26532.1623755</v>
      </c>
      <c r="AO54" s="14" t="n">
        <v>-8420.54944033089</v>
      </c>
      <c r="AP54" s="14" t="n">
        <v>0</v>
      </c>
      <c r="AQ54" s="14" t="n">
        <v>329.741111435692</v>
      </c>
      <c r="AR54" s="14" t="n">
        <v>387.966241793109</v>
      </c>
      <c r="AS54" s="14" t="n">
        <v>387.966241793109</v>
      </c>
      <c r="AT54" s="14" t="n">
        <v>-26972.3460075187</v>
      </c>
      <c r="AU54" s="14" t="n">
        <v>0</v>
      </c>
      <c r="AV54" s="14" t="n">
        <v>0</v>
      </c>
      <c r="AW54" s="14" t="n">
        <v>3694.865</v>
      </c>
      <c r="AX54" s="14" t="n">
        <v>387.966241793109</v>
      </c>
      <c r="AY54" s="14" t="n">
        <v>346.992103794168</v>
      </c>
      <c r="AZ54" s="14" t="n">
        <v>8271.11905654661</v>
      </c>
      <c r="BA54" s="14" t="n">
        <v>15.8427900602355</v>
      </c>
      <c r="BB54" s="14" t="n">
        <v>24.5000826821718</v>
      </c>
      <c r="BC54" s="14" t="n">
        <v>39.8696968642042</v>
      </c>
      <c r="BD54" s="14" t="n">
        <v>-3.55038744745451</v>
      </c>
      <c r="BE54" s="14" t="n">
        <v>3.53990841820985</v>
      </c>
      <c r="BF54" s="14" t="n">
        <v>6.57556217098934</v>
      </c>
      <c r="BG54" s="14" t="n">
        <v>13.6658580366537</v>
      </c>
      <c r="BH54" s="14" t="n">
        <v>12.452622461208</v>
      </c>
      <c r="BI54" s="14" t="n">
        <v>22.6119333489254</v>
      </c>
      <c r="BJ54" s="14" t="n">
        <v>4.18491755712413</v>
      </c>
      <c r="BK54" s="14" t="n">
        <v>5.02394748300231</v>
      </c>
      <c r="BL54" s="14" t="n">
        <v>7.13470319634703</v>
      </c>
      <c r="BM54" s="14" t="n">
        <v>12077.6391665806</v>
      </c>
      <c r="BN54" s="14" t="n">
        <v>12917.1615815789</v>
      </c>
      <c r="BO54" s="14" t="n">
        <v>12917.1615815789</v>
      </c>
      <c r="BP54" s="14" t="n">
        <v>387.966241793109</v>
      </c>
      <c r="BQ54" s="14" t="n">
        <v>413.9493</v>
      </c>
      <c r="BR54" s="14" t="n">
        <v>1369.2143</v>
      </c>
      <c r="BS54" s="14" t="s">
        <v>2855</v>
      </c>
      <c r="BT54" s="14" t="n">
        <v>37.9555555555556</v>
      </c>
      <c r="BU54" s="14" t="n">
        <v>0.202495480090107</v>
      </c>
      <c r="BV54" s="14" t="n">
        <v>0.261164364412283</v>
      </c>
      <c r="BW54" s="14" t="n">
        <v>0</v>
      </c>
      <c r="BX54" s="14" t="n">
        <v>0</v>
      </c>
      <c r="BY54" s="14" t="n">
        <v>77.2207769228312</v>
      </c>
      <c r="BZ54" s="14" t="n">
        <v>0</v>
      </c>
      <c r="CA54" s="14" t="n">
        <v>872.7296</v>
      </c>
      <c r="CB54" s="14" t="n">
        <v>12000</v>
      </c>
    </row>
    <row r="55" customFormat="false" ht="15" hidden="false" customHeight="false" outlineLevel="0" collapsed="false">
      <c r="A55" s="0" t="s">
        <v>2891</v>
      </c>
      <c r="B55" s="14" t="n">
        <v>2161.09062763565</v>
      </c>
      <c r="C55" s="14" t="n">
        <v>3835.54290963949</v>
      </c>
      <c r="D55" s="14" t="n">
        <v>10622.2691329812</v>
      </c>
      <c r="E55" s="14" t="n">
        <v>1529.29936141168</v>
      </c>
      <c r="F55" s="14" t="n">
        <v>-4222.71417078393</v>
      </c>
      <c r="G55" s="14" t="n">
        <v>5598.59181581002</v>
      </c>
      <c r="H55" s="14" t="n">
        <v>-32518.9990253506</v>
      </c>
      <c r="I55" s="15" t="n">
        <v>0.01</v>
      </c>
      <c r="J55" s="15" t="n">
        <v>0.0115</v>
      </c>
      <c r="K55" s="14" t="s">
        <v>60</v>
      </c>
      <c r="L55" s="14" t="n">
        <v>-5421.71198407323</v>
      </c>
      <c r="M55" s="14" t="n">
        <v>23405.4934154428</v>
      </c>
      <c r="N55" s="14" t="n">
        <v>5030.15603731872</v>
      </c>
      <c r="O55" s="14" t="n">
        <v>-26568.1848277475</v>
      </c>
      <c r="P55" s="14" t="n">
        <v>747.002337313713</v>
      </c>
      <c r="Q55" s="14" t="n">
        <v>-6486.76771030941</v>
      </c>
      <c r="R55" s="14" t="n">
        <v>10749.8273603027</v>
      </c>
      <c r="S55" s="14" t="n">
        <v>27577.7924226596</v>
      </c>
      <c r="T55" s="14" t="n">
        <v>-1436.17830391911</v>
      </c>
      <c r="U55" s="14" t="n">
        <v>-41741.3454360394</v>
      </c>
      <c r="V55" s="14" t="n">
        <v>0.750319556751226</v>
      </c>
      <c r="W55" s="14" t="n">
        <v>18300.1176338496</v>
      </c>
      <c r="X55" s="14" t="n">
        <v>14267.1592229818</v>
      </c>
      <c r="Y55" s="14" t="n">
        <v>0.0107238052947636</v>
      </c>
      <c r="Z55" s="14" t="n">
        <v>0.01520875</v>
      </c>
      <c r="AA55" s="14" t="n">
        <v>22.27279275</v>
      </c>
      <c r="AB55" s="14" t="n">
        <v>20.07279275</v>
      </c>
      <c r="AC55" s="14" t="n">
        <v>21.52279275</v>
      </c>
      <c r="AD55" s="14" t="n">
        <v>17.105504832</v>
      </c>
      <c r="AE55" s="14" t="n">
        <v>594.149368983825</v>
      </c>
      <c r="AF55" s="14" t="n">
        <v>0.02</v>
      </c>
      <c r="AG55" s="14" t="n">
        <v>0.584283932229117</v>
      </c>
      <c r="AH55" s="14" t="n">
        <v>13530.2399423265</v>
      </c>
      <c r="AI55" s="14" t="n">
        <v>10622.2691329812</v>
      </c>
      <c r="AJ55" s="14" t="n">
        <v>14.7365561910928</v>
      </c>
      <c r="AK55" s="14" t="n">
        <v>0</v>
      </c>
      <c r="AL55" s="14" t="n">
        <v>-53228.958531149</v>
      </c>
      <c r="AM55" s="14" t="n">
        <v>470.44678</v>
      </c>
      <c r="AN55" s="14" t="n">
        <v>12000</v>
      </c>
      <c r="AO55" s="14" t="n">
        <v>-2079.00657489433</v>
      </c>
      <c r="AP55" s="14" t="n">
        <v>1</v>
      </c>
      <c r="AQ55" s="14" t="n">
        <v>0</v>
      </c>
      <c r="AR55" s="14" t="n">
        <v>314.925245</v>
      </c>
      <c r="AS55" s="14" t="n">
        <v>314.925245</v>
      </c>
      <c r="AT55" s="14" t="n">
        <v>-5421.71198407323</v>
      </c>
      <c r="AU55" s="14" t="n">
        <v>0</v>
      </c>
      <c r="AV55" s="14" t="n">
        <v>0</v>
      </c>
      <c r="AW55" s="14" t="n">
        <v>998.76</v>
      </c>
      <c r="AX55" s="14" t="n">
        <v>314.925245</v>
      </c>
      <c r="AY55" s="14" t="n">
        <v>314.925245</v>
      </c>
      <c r="AZ55" s="14" t="n">
        <v>1499.88285266973</v>
      </c>
      <c r="BA55" s="14" t="n">
        <v>7.61062023459227</v>
      </c>
      <c r="BB55" s="14" t="n">
        <v>16.2679128565286</v>
      </c>
      <c r="BC55" s="14" t="n">
        <v>29.1426299037646</v>
      </c>
      <c r="BD55" s="14" t="n">
        <v>-10.5228208376523</v>
      </c>
      <c r="BE55" s="14" t="n">
        <v>-16.0462338006397</v>
      </c>
      <c r="BF55" s="14" t="n">
        <v>0.281691530055532</v>
      </c>
      <c r="BG55" s="14" t="n">
        <v>-5.24172143293188</v>
      </c>
      <c r="BH55" s="14" t="n">
        <v>4.7826220308265</v>
      </c>
      <c r="BI55" s="14" t="n">
        <v>-0.403691541818507</v>
      </c>
      <c r="BJ55" s="14" t="n">
        <v>3.37118358768332</v>
      </c>
      <c r="BK55" s="14" t="n">
        <v>4.04706880575186</v>
      </c>
      <c r="BL55" s="14" t="n">
        <v>5.70776255707763</v>
      </c>
      <c r="BM55" s="14" t="n">
        <v>5354.49215439957</v>
      </c>
      <c r="BN55" s="14" t="n">
        <v>3805.94290963949</v>
      </c>
      <c r="BO55" s="14" t="n">
        <v>3805.94290963949</v>
      </c>
      <c r="BP55" s="14" t="n">
        <v>314.925245</v>
      </c>
      <c r="BQ55" s="14" t="n">
        <v>189.4897</v>
      </c>
      <c r="BR55" s="14" t="n">
        <v>794.6073</v>
      </c>
      <c r="BS55" s="14" t="s">
        <v>2856</v>
      </c>
      <c r="BT55" s="14" t="n">
        <v>37.9555555555556</v>
      </c>
      <c r="BU55" s="14" t="n">
        <v>0.174994125827535</v>
      </c>
      <c r="BV55" s="14" t="n">
        <v>0.127439810912424</v>
      </c>
      <c r="BW55" s="14" t="n">
        <v>13510.8578038903</v>
      </c>
      <c r="BX55" s="14" t="n">
        <v>14061.88573854</v>
      </c>
      <c r="BY55" s="14" t="n">
        <v>169.580301072683</v>
      </c>
      <c r="BZ55" s="14" t="n">
        <v>1732.5375</v>
      </c>
      <c r="CA55" s="14" t="n">
        <v>1028.66496</v>
      </c>
      <c r="CB55" s="14" t="n">
        <v>12000</v>
      </c>
    </row>
    <row r="56" customFormat="false" ht="15" hidden="false" customHeight="false" outlineLevel="0" collapsed="false">
      <c r="A56" s="0" t="s">
        <v>2892</v>
      </c>
      <c r="B56" s="14" t="n">
        <v>2465.07954157611</v>
      </c>
      <c r="C56" s="14" t="n">
        <v>7956.89610146433</v>
      </c>
      <c r="D56" s="14" t="n">
        <v>21191.0313140156</v>
      </c>
      <c r="E56" s="14" t="n">
        <v>4033.97953827579</v>
      </c>
      <c r="F56" s="14" t="n">
        <v>-1294.099799873</v>
      </c>
      <c r="G56" s="14" t="n">
        <v>5009.80349409021</v>
      </c>
      <c r="H56" s="14" t="n">
        <v>14519.6034434797</v>
      </c>
      <c r="I56" s="15" t="n">
        <v>16.8288231044204</v>
      </c>
      <c r="J56" s="15" t="n">
        <v>19.0165701079951</v>
      </c>
      <c r="K56" s="14" t="s">
        <v>58</v>
      </c>
      <c r="L56" s="14" t="n">
        <v>-20163.3662231349</v>
      </c>
      <c r="M56" s="14" t="n">
        <v>33811.9000395293</v>
      </c>
      <c r="N56" s="14" t="n">
        <v>12523.1223416732</v>
      </c>
      <c r="O56" s="14" t="n">
        <v>-33217.1551340761</v>
      </c>
      <c r="P56" s="14" t="n">
        <v>951.290832135856</v>
      </c>
      <c r="Q56" s="14" t="n">
        <v>841.026953176086</v>
      </c>
      <c r="R56" s="14" t="n">
        <v>17617.7170533315</v>
      </c>
      <c r="S56" s="14" t="n">
        <v>26991.0275762803</v>
      </c>
      <c r="T56" s="14" t="n">
        <v>-955.692204749296</v>
      </c>
      <c r="U56" s="14" t="n">
        <v>5299.82123922126</v>
      </c>
      <c r="V56" s="14" t="n">
        <v>0.750319556751226</v>
      </c>
      <c r="W56" s="14" t="n">
        <v>58471.5120920686</v>
      </c>
      <c r="X56" s="14" t="n">
        <v>22187.0946821811</v>
      </c>
      <c r="Y56" s="14" t="n">
        <v>17.8892843456707</v>
      </c>
      <c r="Z56" s="14" t="n">
        <v>24.2822583708989</v>
      </c>
      <c r="AA56" s="14" t="n">
        <v>27.424347870838</v>
      </c>
      <c r="AB56" s="14" t="n">
        <v>25.224347870838</v>
      </c>
      <c r="AC56" s="14" t="n">
        <v>26.674347870838</v>
      </c>
      <c r="AD56" s="14" t="n">
        <v>21.0618991648036</v>
      </c>
      <c r="AE56" s="14" t="n">
        <v>674.686407680941</v>
      </c>
      <c r="AF56" s="14" t="n">
        <v>0.03</v>
      </c>
      <c r="AG56" s="14" t="n">
        <v>0.667430425644163</v>
      </c>
      <c r="AH56" s="14" t="n">
        <v>6840.51539342611</v>
      </c>
      <c r="AI56" s="14" t="n">
        <v>21191.0313140156</v>
      </c>
      <c r="AJ56" s="14" t="n">
        <v>19.7391827628362</v>
      </c>
      <c r="AK56" s="14" t="n">
        <v>0</v>
      </c>
      <c r="AL56" s="14" t="n">
        <v>-50676.5536055641</v>
      </c>
      <c r="AM56" s="14" t="n">
        <v>812.6073</v>
      </c>
      <c r="AN56" s="14" t="n">
        <v>20079.98904</v>
      </c>
      <c r="AO56" s="14" t="n">
        <v>-5508.72242389994</v>
      </c>
      <c r="AP56" s="14" t="n">
        <v>0.448161561074905</v>
      </c>
      <c r="AQ56" s="14" t="n">
        <v>15.0791128369893</v>
      </c>
      <c r="AR56" s="14" t="n">
        <v>314.925245</v>
      </c>
      <c r="AS56" s="14" t="n">
        <v>314.925245</v>
      </c>
      <c r="AT56" s="14" t="n">
        <v>-20163.3662231349</v>
      </c>
      <c r="AU56" s="14" t="n">
        <v>0</v>
      </c>
      <c r="AV56" s="14" t="n">
        <v>0</v>
      </c>
      <c r="AW56" s="14" t="n">
        <v>2254.3125</v>
      </c>
      <c r="AX56" s="14" t="n">
        <v>314.925245</v>
      </c>
      <c r="AY56" s="14" t="n">
        <v>314.925245</v>
      </c>
      <c r="AZ56" s="14" t="n">
        <v>5747.32141250041</v>
      </c>
      <c r="BA56" s="14" t="n">
        <v>17.1190680767493</v>
      </c>
      <c r="BB56" s="14" t="n">
        <v>25.7763606986857</v>
      </c>
      <c r="BC56" s="14" t="n">
        <v>40.0042159074881</v>
      </c>
      <c r="BD56" s="14" t="n">
        <v>-5.08067650538881</v>
      </c>
      <c r="BE56" s="14" t="n">
        <v>-3.389032187156</v>
      </c>
      <c r="BF56" s="14" t="n">
        <v>5.28542761383372</v>
      </c>
      <c r="BG56" s="14" t="n">
        <v>6.97707193206652</v>
      </c>
      <c r="BH56" s="14" t="n">
        <v>10.9956654944829</v>
      </c>
      <c r="BI56" s="14" t="n">
        <v>14.5375344778911</v>
      </c>
      <c r="BJ56" s="14" t="n">
        <v>3.71992671744367</v>
      </c>
      <c r="BK56" s="14" t="n">
        <v>4.46573109600205</v>
      </c>
      <c r="BL56" s="14" t="n">
        <v>6.42123287671233</v>
      </c>
      <c r="BM56" s="14" t="n">
        <v>8712.70308277889</v>
      </c>
      <c r="BN56" s="14" t="n">
        <v>7924.5293644341</v>
      </c>
      <c r="BO56" s="14" t="n">
        <v>7924.5293644341</v>
      </c>
      <c r="BP56" s="14" t="n">
        <v>314.925245</v>
      </c>
      <c r="BQ56" s="14" t="n">
        <v>301.7195</v>
      </c>
      <c r="BR56" s="14" t="n">
        <v>1081.9108</v>
      </c>
      <c r="BS56" s="14" t="s">
        <v>2855</v>
      </c>
      <c r="BT56" s="14" t="n">
        <v>37.9555555555556</v>
      </c>
      <c r="BU56" s="14" t="n">
        <v>0.202495480090107</v>
      </c>
      <c r="BV56" s="14" t="n">
        <v>0.204285232461873</v>
      </c>
      <c r="BW56" s="14" t="n">
        <v>13510.8578038903</v>
      </c>
      <c r="BX56" s="14" t="n">
        <v>14061.88573854</v>
      </c>
      <c r="BY56" s="14" t="n">
        <v>116.904083046017</v>
      </c>
      <c r="BZ56" s="14" t="n">
        <v>0</v>
      </c>
      <c r="CA56" s="14" t="n">
        <v>950.69728</v>
      </c>
      <c r="CB56" s="14" t="n">
        <v>12000</v>
      </c>
    </row>
    <row r="57" customFormat="false" ht="15" hidden="false" customHeight="false" outlineLevel="0" collapsed="false">
      <c r="A57" s="0" t="s">
        <v>2893</v>
      </c>
      <c r="B57" s="14" t="n">
        <v>2161.09062763565</v>
      </c>
      <c r="C57" s="14" t="n">
        <v>3835.54290963949</v>
      </c>
      <c r="D57" s="14" t="n">
        <v>10622.2691329812</v>
      </c>
      <c r="E57" s="14" t="n">
        <v>1529.29936141168</v>
      </c>
      <c r="F57" s="14" t="n">
        <v>-4222.71417078393</v>
      </c>
      <c r="G57" s="14" t="n">
        <v>5598.59181581002</v>
      </c>
      <c r="H57" s="14" t="n">
        <v>-32518.9990253506</v>
      </c>
      <c r="I57" s="15" t="n">
        <v>0.01</v>
      </c>
      <c r="J57" s="15" t="n">
        <v>0</v>
      </c>
      <c r="K57" s="14" t="s">
        <v>83</v>
      </c>
      <c r="L57" s="14" t="n">
        <v>3855.65032121054</v>
      </c>
      <c r="M57" s="14" t="n">
        <v>23405.4934154428</v>
      </c>
      <c r="N57" s="14" t="n">
        <v>5030.15603731872</v>
      </c>
      <c r="O57" s="14" t="n">
        <v>-17275.1980821531</v>
      </c>
      <c r="P57" s="14" t="n">
        <v>747.002337313713</v>
      </c>
      <c r="Q57" s="14" t="n">
        <v>-6486.76771030941</v>
      </c>
      <c r="R57" s="14" t="n">
        <v>10749.8273603027</v>
      </c>
      <c r="S57" s="14" t="n">
        <v>27577.7924226596</v>
      </c>
      <c r="T57" s="14" t="n">
        <v>-1436.17830391911</v>
      </c>
      <c r="U57" s="14" t="n">
        <v>-41741.3454360394</v>
      </c>
      <c r="V57" s="14" t="n">
        <v>0.750319556751226</v>
      </c>
      <c r="W57" s="14" t="n">
        <v>18300.1176338496</v>
      </c>
      <c r="X57" s="14" t="n">
        <v>14267.1592229818</v>
      </c>
      <c r="Y57" s="14" t="n">
        <v>0</v>
      </c>
      <c r="Z57" s="14" t="n">
        <v>0</v>
      </c>
      <c r="AA57" s="14" t="n">
        <v>22.27279275</v>
      </c>
      <c r="AB57" s="14" t="n">
        <v>20.07279275</v>
      </c>
      <c r="AC57" s="14" t="n">
        <v>21.52279275</v>
      </c>
      <c r="AD57" s="14" t="n">
        <v>17.105504832</v>
      </c>
      <c r="AE57" s="14" t="n">
        <v>594.149368983825</v>
      </c>
      <c r="AF57" s="14" t="n">
        <v>0.02</v>
      </c>
      <c r="AG57" s="14" t="n">
        <v>0.584283932229117</v>
      </c>
      <c r="AH57" s="14" t="n">
        <v>22530.2399423265</v>
      </c>
      <c r="AI57" s="14" t="n">
        <v>10622.2691329812</v>
      </c>
      <c r="AJ57" s="14" t="n">
        <v>14.7365561910928</v>
      </c>
      <c r="AK57" s="14" t="n">
        <v>0</v>
      </c>
      <c r="AL57" s="14" t="n">
        <v>-43935.5282045242</v>
      </c>
      <c r="AM57" s="14" t="n">
        <v>470.44678</v>
      </c>
      <c r="AN57" s="14" t="n">
        <v>12000</v>
      </c>
      <c r="AO57" s="14" t="n">
        <v>-2079.00657489433</v>
      </c>
      <c r="AP57" s="14" t="n">
        <v>1</v>
      </c>
      <c r="AQ57" s="14" t="n">
        <v>0</v>
      </c>
      <c r="AR57" s="14" t="n">
        <v>367.876700282496</v>
      </c>
      <c r="AS57" s="14" t="n">
        <v>314.925245</v>
      </c>
      <c r="AT57" s="14" t="n">
        <v>3855.65032121054</v>
      </c>
      <c r="AU57" s="14" t="n">
        <v>52.951455282496</v>
      </c>
      <c r="AV57" s="14" t="n">
        <v>0</v>
      </c>
      <c r="AW57" s="14" t="n">
        <v>998.76</v>
      </c>
      <c r="AX57" s="14" t="n">
        <v>314.925245</v>
      </c>
      <c r="AY57" s="14" t="n">
        <v>314.925245</v>
      </c>
      <c r="AZ57" s="14" t="n">
        <v>1499.88285266973</v>
      </c>
      <c r="BA57" s="14" t="n">
        <v>7.61062023459227</v>
      </c>
      <c r="BB57" s="14" t="n">
        <v>16.2679128565286</v>
      </c>
      <c r="BC57" s="14" t="n">
        <v>29.1426299037646</v>
      </c>
      <c r="BD57" s="14" t="n">
        <v>-10.5228208376523</v>
      </c>
      <c r="BE57" s="14" t="n">
        <v>-16.0462338006397</v>
      </c>
      <c r="BF57" s="14" t="n">
        <v>0.281691530055532</v>
      </c>
      <c r="BG57" s="14" t="n">
        <v>-5.24172143293188</v>
      </c>
      <c r="BH57" s="14" t="n">
        <v>4.7826220308265</v>
      </c>
      <c r="BI57" s="14" t="n">
        <v>-0.403691541818507</v>
      </c>
      <c r="BJ57" s="14" t="n">
        <v>3.37118358768332</v>
      </c>
      <c r="BK57" s="14" t="n">
        <v>4.04706880575186</v>
      </c>
      <c r="BL57" s="14" t="n">
        <v>5.70776255707763</v>
      </c>
      <c r="BM57" s="14" t="n">
        <v>5354.49215439957</v>
      </c>
      <c r="BN57" s="14" t="n">
        <v>3805.94290963949</v>
      </c>
      <c r="BO57" s="14" t="n">
        <v>3805.94290963949</v>
      </c>
      <c r="BP57" s="14" t="n">
        <v>367.876700282496</v>
      </c>
      <c r="BQ57" s="14" t="n">
        <v>189.4897</v>
      </c>
      <c r="BR57" s="14" t="n">
        <v>794.6073</v>
      </c>
      <c r="BS57" s="14" t="s">
        <v>2856</v>
      </c>
      <c r="BT57" s="14" t="n">
        <v>37.9555555555556</v>
      </c>
      <c r="BU57" s="14" t="n">
        <v>0.174994125827535</v>
      </c>
      <c r="BV57" s="14" t="n">
        <v>0.127439810912424</v>
      </c>
      <c r="BW57" s="14" t="n">
        <v>13510.8578038903</v>
      </c>
      <c r="BX57" s="14" t="n">
        <v>14061.88573854</v>
      </c>
      <c r="BY57" s="14" t="n">
        <v>193.377935009518</v>
      </c>
      <c r="BZ57" s="14" t="n">
        <v>1732.5375</v>
      </c>
      <c r="CA57" s="14" t="n">
        <v>1028.66496</v>
      </c>
      <c r="CB57" s="14" t="n">
        <v>12000</v>
      </c>
    </row>
    <row r="58" customFormat="false" ht="15" hidden="false" customHeight="false" outlineLevel="0" collapsed="false">
      <c r="A58" s="0" t="s">
        <v>2894</v>
      </c>
      <c r="B58" s="14" t="n">
        <v>2161.09062763565</v>
      </c>
      <c r="C58" s="14" t="n">
        <v>3835.54290963949</v>
      </c>
      <c r="D58" s="14" t="n">
        <v>10622.2691329812</v>
      </c>
      <c r="E58" s="14" t="n">
        <v>1529.29936141168</v>
      </c>
      <c r="F58" s="14" t="n">
        <v>-4222.71417078393</v>
      </c>
      <c r="G58" s="14" t="n">
        <v>5598.59181581002</v>
      </c>
      <c r="H58" s="14" t="n">
        <v>-32518.9990253506</v>
      </c>
      <c r="I58" s="15" t="n">
        <v>0.01</v>
      </c>
      <c r="J58" s="15" t="n">
        <v>0</v>
      </c>
      <c r="K58" s="14" t="s">
        <v>83</v>
      </c>
      <c r="L58" s="14" t="n">
        <v>3855.65032121054</v>
      </c>
      <c r="M58" s="14" t="n">
        <v>23405.4934154428</v>
      </c>
      <c r="N58" s="14" t="n">
        <v>5030.15603731872</v>
      </c>
      <c r="O58" s="14" t="n">
        <v>-17275.1980821531</v>
      </c>
      <c r="P58" s="14" t="n">
        <v>747.002337313713</v>
      </c>
      <c r="Q58" s="14" t="n">
        <v>-6486.76771030941</v>
      </c>
      <c r="R58" s="14" t="n">
        <v>10749.8273603027</v>
      </c>
      <c r="S58" s="14" t="n">
        <v>27577.7924226596</v>
      </c>
      <c r="T58" s="14" t="n">
        <v>-1436.17830391911</v>
      </c>
      <c r="U58" s="14" t="n">
        <v>-41741.3454360394</v>
      </c>
      <c r="V58" s="14" t="n">
        <v>0.750319556751226</v>
      </c>
      <c r="W58" s="14" t="n">
        <v>18300.1176338496</v>
      </c>
      <c r="X58" s="14" t="n">
        <v>14267.1592229818</v>
      </c>
      <c r="Y58" s="14" t="n">
        <v>0</v>
      </c>
      <c r="Z58" s="14" t="n">
        <v>0</v>
      </c>
      <c r="AA58" s="14" t="n">
        <v>22.27279275</v>
      </c>
      <c r="AB58" s="14" t="n">
        <v>20.07279275</v>
      </c>
      <c r="AC58" s="14" t="n">
        <v>21.52279275</v>
      </c>
      <c r="AD58" s="14" t="n">
        <v>17.105504832</v>
      </c>
      <c r="AE58" s="14" t="n">
        <v>594.149368983825</v>
      </c>
      <c r="AF58" s="14" t="n">
        <v>0.02</v>
      </c>
      <c r="AG58" s="14" t="n">
        <v>0.584283932229117</v>
      </c>
      <c r="AH58" s="14" t="n">
        <v>22530.2399423265</v>
      </c>
      <c r="AI58" s="14" t="n">
        <v>10622.2691329812</v>
      </c>
      <c r="AJ58" s="14" t="n">
        <v>14.7365561910928</v>
      </c>
      <c r="AK58" s="14" t="n">
        <v>0</v>
      </c>
      <c r="AL58" s="14" t="n">
        <v>-43935.5282045242</v>
      </c>
      <c r="AM58" s="14" t="n">
        <v>470.44678</v>
      </c>
      <c r="AN58" s="14" t="n">
        <v>12000</v>
      </c>
      <c r="AO58" s="14" t="n">
        <v>-2079.00657489433</v>
      </c>
      <c r="AP58" s="14" t="n">
        <v>1</v>
      </c>
      <c r="AQ58" s="14" t="n">
        <v>0</v>
      </c>
      <c r="AR58" s="14" t="n">
        <v>389.057282395494</v>
      </c>
      <c r="AS58" s="14" t="n">
        <v>314.925245</v>
      </c>
      <c r="AT58" s="14" t="n">
        <v>3855.65032121054</v>
      </c>
      <c r="AU58" s="14" t="n">
        <v>74.1320373954944</v>
      </c>
      <c r="AV58" s="14" t="n">
        <v>0</v>
      </c>
      <c r="AW58" s="14" t="n">
        <v>998.76</v>
      </c>
      <c r="AX58" s="14" t="n">
        <v>314.925245</v>
      </c>
      <c r="AY58" s="14" t="n">
        <v>314.925245</v>
      </c>
      <c r="AZ58" s="14" t="n">
        <v>1499.88285266973</v>
      </c>
      <c r="BA58" s="14" t="n">
        <v>7.61062023459227</v>
      </c>
      <c r="BB58" s="14" t="n">
        <v>16.2679128565286</v>
      </c>
      <c r="BC58" s="14" t="n">
        <v>29.1426299037646</v>
      </c>
      <c r="BD58" s="14" t="n">
        <v>-10.5228208376523</v>
      </c>
      <c r="BE58" s="14" t="n">
        <v>-16.0462338006397</v>
      </c>
      <c r="BF58" s="14" t="n">
        <v>0.281691530055532</v>
      </c>
      <c r="BG58" s="14" t="n">
        <v>-5.24172143293188</v>
      </c>
      <c r="BH58" s="14" t="n">
        <v>4.7826220308265</v>
      </c>
      <c r="BI58" s="14" t="n">
        <v>-0.403691541818507</v>
      </c>
      <c r="BJ58" s="14" t="n">
        <v>3.37118358768332</v>
      </c>
      <c r="BK58" s="14" t="n">
        <v>4.04706880575186</v>
      </c>
      <c r="BL58" s="14" t="n">
        <v>5.70776255707763</v>
      </c>
      <c r="BM58" s="14" t="n">
        <v>5354.49215439957</v>
      </c>
      <c r="BN58" s="14" t="n">
        <v>3805.94290963949</v>
      </c>
      <c r="BO58" s="14" t="n">
        <v>3805.94290963949</v>
      </c>
      <c r="BP58" s="14" t="n">
        <v>389.057282395494</v>
      </c>
      <c r="BQ58" s="14" t="n">
        <v>189.4897</v>
      </c>
      <c r="BR58" s="14" t="n">
        <v>794.6073</v>
      </c>
      <c r="BS58" s="14" t="s">
        <v>2856</v>
      </c>
      <c r="BT58" s="14" t="n">
        <v>37.9555555555556</v>
      </c>
      <c r="BU58" s="14" t="n">
        <v>0.174994125827535</v>
      </c>
      <c r="BV58" s="14" t="n">
        <v>0.127439810912424</v>
      </c>
      <c r="BW58" s="14" t="n">
        <v>13510.8578038903</v>
      </c>
      <c r="BX58" s="14" t="n">
        <v>14061.88573854</v>
      </c>
      <c r="BY58" s="14" t="n">
        <v>214.558517122516</v>
      </c>
      <c r="BZ58" s="14" t="n">
        <v>1732.5375</v>
      </c>
      <c r="CA58" s="14" t="n">
        <v>1028.66496</v>
      </c>
      <c r="CB58" s="14" t="n">
        <v>12000</v>
      </c>
    </row>
    <row r="59" customFormat="false" ht="15" hidden="false" customHeight="false" outlineLevel="0" collapsed="false">
      <c r="A59" s="0" t="s">
        <v>2895</v>
      </c>
      <c r="B59" s="14" t="n">
        <v>2822.95391308961</v>
      </c>
      <c r="C59" s="14" t="n">
        <v>12950.991141717</v>
      </c>
      <c r="D59" s="14" t="n">
        <v>28701.9254919039</v>
      </c>
      <c r="E59" s="14" t="n">
        <v>7435.26656429841</v>
      </c>
      <c r="F59" s="14" t="n">
        <v>1635.28371728099</v>
      </c>
      <c r="G59" s="14" t="n">
        <v>5281.94320134874</v>
      </c>
      <c r="H59" s="14" t="n">
        <v>125122.521479841</v>
      </c>
      <c r="I59" s="15" t="n">
        <v>338.102347537128</v>
      </c>
      <c r="J59" s="15" t="n">
        <v>374.300220401554</v>
      </c>
      <c r="K59" s="14" t="s">
        <v>58</v>
      </c>
      <c r="L59" s="14" t="n">
        <v>-11547.2723388274</v>
      </c>
      <c r="M59" s="14" t="n">
        <v>37679.8874728343</v>
      </c>
      <c r="N59" s="14" t="n">
        <v>18116.2303461208</v>
      </c>
      <c r="O59" s="14" t="n">
        <v>-16029.9411684141</v>
      </c>
      <c r="P59" s="14" t="n">
        <v>1212.1769462832</v>
      </c>
      <c r="Q59" s="14" t="n">
        <v>6317.50354413837</v>
      </c>
      <c r="R59" s="14" t="n">
        <v>23963.3261282618</v>
      </c>
      <c r="S59" s="14" t="n">
        <v>22480.1453098381</v>
      </c>
      <c r="T59" s="14" t="n">
        <v>-533.47336857847</v>
      </c>
      <c r="U59" s="14" t="n">
        <v>131187.44928022</v>
      </c>
      <c r="V59" s="14" t="n">
        <v>0.750319556751226</v>
      </c>
      <c r="W59" s="14" t="n">
        <v>155509.533137691</v>
      </c>
      <c r="X59" s="14" t="n">
        <v>23098.7463313472</v>
      </c>
      <c r="Y59" s="14" t="n">
        <v>353.680463878277</v>
      </c>
      <c r="Z59" s="14" t="n">
        <v>469.522196471709</v>
      </c>
      <c r="AA59" s="14" t="n">
        <v>43.041696075</v>
      </c>
      <c r="AB59" s="14" t="n">
        <v>40.841696075</v>
      </c>
      <c r="AC59" s="14" t="n">
        <v>42.291696075</v>
      </c>
      <c r="AD59" s="14" t="n">
        <v>33.0560225856</v>
      </c>
      <c r="AE59" s="14" t="n">
        <v>785.656190328325</v>
      </c>
      <c r="AF59" s="14" t="n">
        <v>0.035</v>
      </c>
      <c r="AG59" s="14" t="n">
        <v>0.702162322639483</v>
      </c>
      <c r="AH59" s="14" t="n">
        <v>3709.5941014662</v>
      </c>
      <c r="AI59" s="14" t="n">
        <v>28701.9254919039</v>
      </c>
      <c r="AJ59" s="14" t="n">
        <v>19.0921875</v>
      </c>
      <c r="AK59" s="14" t="n">
        <v>0</v>
      </c>
      <c r="AL59" s="14" t="n">
        <v>-25420.3261547901</v>
      </c>
      <c r="AM59" s="14" t="n">
        <v>1071.7478</v>
      </c>
      <c r="AN59" s="14" t="n">
        <v>26532.1623755</v>
      </c>
      <c r="AO59" s="14" t="n">
        <v>-8420.54944033089</v>
      </c>
      <c r="AP59" s="14" t="n">
        <v>0</v>
      </c>
      <c r="AQ59" s="14" t="n">
        <v>334.19662535853</v>
      </c>
      <c r="AR59" s="14" t="n">
        <v>400.260908960753</v>
      </c>
      <c r="AS59" s="14" t="n">
        <v>388.011057112858</v>
      </c>
      <c r="AT59" s="14" t="n">
        <v>-11547.2723388274</v>
      </c>
      <c r="AU59" s="14" t="n">
        <v>12.270507</v>
      </c>
      <c r="AV59" s="14" t="n">
        <v>2090.27951183204</v>
      </c>
      <c r="AW59" s="14" t="n">
        <v>6953.89451183204</v>
      </c>
      <c r="AX59" s="14" t="n">
        <v>388.011057112858</v>
      </c>
      <c r="AY59" s="14" t="n">
        <v>348.050205310708</v>
      </c>
      <c r="AZ59" s="14" t="n">
        <v>8271.11905654661</v>
      </c>
      <c r="BA59" s="14" t="n">
        <v>15.8427900602355</v>
      </c>
      <c r="BB59" s="14" t="n">
        <v>24.5000826821718</v>
      </c>
      <c r="BC59" s="14" t="n">
        <v>39.8696968642042</v>
      </c>
      <c r="BD59" s="14" t="n">
        <v>-3.55038744745451</v>
      </c>
      <c r="BE59" s="14" t="n">
        <v>3.53990841820985</v>
      </c>
      <c r="BF59" s="14" t="n">
        <v>6.57556217098934</v>
      </c>
      <c r="BG59" s="14" t="n">
        <v>13.6658580366537</v>
      </c>
      <c r="BH59" s="14" t="n">
        <v>12.452622461208</v>
      </c>
      <c r="BI59" s="14" t="n">
        <v>22.6119333489254</v>
      </c>
      <c r="BJ59" s="14" t="n">
        <v>4.18491755712413</v>
      </c>
      <c r="BK59" s="14" t="n">
        <v>5.02394748300231</v>
      </c>
      <c r="BL59" s="14" t="n">
        <v>7.13470319634703</v>
      </c>
      <c r="BM59" s="14" t="n">
        <v>12077.6391665806</v>
      </c>
      <c r="BN59" s="14" t="n">
        <v>12917.1615815789</v>
      </c>
      <c r="BO59" s="14" t="n">
        <v>12917.1615815789</v>
      </c>
      <c r="BP59" s="14" t="n">
        <v>400.260908960753</v>
      </c>
      <c r="BQ59" s="14" t="n">
        <v>413.9493</v>
      </c>
      <c r="BR59" s="14" t="n">
        <v>1369.2143</v>
      </c>
      <c r="BS59" s="14" t="s">
        <v>2855</v>
      </c>
      <c r="BT59" s="14" t="n">
        <v>37.9555555555556</v>
      </c>
      <c r="BU59" s="14" t="n">
        <v>0.202495480090107</v>
      </c>
      <c r="BV59" s="14" t="n">
        <v>0.261164364412283</v>
      </c>
      <c r="BW59" s="14" t="n">
        <v>0</v>
      </c>
      <c r="BX59" s="14" t="n">
        <v>13045.179960312</v>
      </c>
      <c r="BY59" s="14" t="n">
        <v>61.5891760763424</v>
      </c>
      <c r="BZ59" s="14" t="n">
        <v>0</v>
      </c>
      <c r="CA59" s="14" t="n">
        <v>872.7296</v>
      </c>
      <c r="CB59" s="14" t="n">
        <v>12000</v>
      </c>
    </row>
    <row r="60" customFormat="false" ht="15" hidden="false" customHeight="false" outlineLevel="0" collapsed="false">
      <c r="A60" s="0" t="s">
        <v>2896</v>
      </c>
      <c r="B60" s="14" t="n">
        <v>2822.95391308961</v>
      </c>
      <c r="C60" s="14" t="n">
        <v>12950.991141717</v>
      </c>
      <c r="D60" s="14" t="n">
        <v>28701.9254919039</v>
      </c>
      <c r="E60" s="14" t="n">
        <v>7435.26656429841</v>
      </c>
      <c r="F60" s="14" t="n">
        <v>1635.28371728099</v>
      </c>
      <c r="G60" s="14" t="n">
        <v>5281.94320134874</v>
      </c>
      <c r="H60" s="14" t="n">
        <v>125122.521479841</v>
      </c>
      <c r="I60" s="15" t="n">
        <v>332.739609810154</v>
      </c>
      <c r="J60" s="15" t="n">
        <v>368.477264994969</v>
      </c>
      <c r="K60" s="14" t="s">
        <v>58</v>
      </c>
      <c r="L60" s="14" t="n">
        <v>-11547.2723388274</v>
      </c>
      <c r="M60" s="14" t="n">
        <v>37679.8874728343</v>
      </c>
      <c r="N60" s="14" t="n">
        <v>18116.2303461208</v>
      </c>
      <c r="O60" s="14" t="n">
        <v>-16029.9411684141</v>
      </c>
      <c r="P60" s="14" t="n">
        <v>1212.1769462832</v>
      </c>
      <c r="Q60" s="14" t="n">
        <v>6317.50354413837</v>
      </c>
      <c r="R60" s="14" t="n">
        <v>23963.3261282618</v>
      </c>
      <c r="S60" s="14" t="n">
        <v>22480.1453098381</v>
      </c>
      <c r="T60" s="14" t="n">
        <v>-533.47336857847</v>
      </c>
      <c r="U60" s="14" t="n">
        <v>129097.169768388</v>
      </c>
      <c r="V60" s="14" t="n">
        <v>0.750319556751226</v>
      </c>
      <c r="W60" s="14" t="n">
        <v>155509.533137691</v>
      </c>
      <c r="X60" s="14" t="n">
        <v>23098.7463313472</v>
      </c>
      <c r="Y60" s="14" t="n">
        <v>348.178288199262</v>
      </c>
      <c r="Z60" s="14" t="n">
        <v>462.217881209689</v>
      </c>
      <c r="AA60" s="14" t="n">
        <v>43.041696075</v>
      </c>
      <c r="AB60" s="14" t="n">
        <v>40.841696075</v>
      </c>
      <c r="AC60" s="14" t="n">
        <v>42.291696075</v>
      </c>
      <c r="AD60" s="14" t="n">
        <v>33.0560225856</v>
      </c>
      <c r="AE60" s="14" t="n">
        <v>785.656190328325</v>
      </c>
      <c r="AF60" s="14" t="n">
        <v>0.035</v>
      </c>
      <c r="AG60" s="14" t="n">
        <v>0.702162322639483</v>
      </c>
      <c r="AH60" s="14" t="n">
        <v>3709.5941014662</v>
      </c>
      <c r="AI60" s="14" t="n">
        <v>28701.9254919039</v>
      </c>
      <c r="AJ60" s="14" t="n">
        <v>19.0921875</v>
      </c>
      <c r="AK60" s="14" t="n">
        <v>0</v>
      </c>
      <c r="AL60" s="14" t="n">
        <v>-25420.3261547901</v>
      </c>
      <c r="AM60" s="14" t="n">
        <v>1071.7478</v>
      </c>
      <c r="AN60" s="14" t="n">
        <v>26532.1623755</v>
      </c>
      <c r="AO60" s="14" t="n">
        <v>-8420.54944033089</v>
      </c>
      <c r="AP60" s="14" t="n">
        <v>0</v>
      </c>
      <c r="AQ60" s="14" t="n">
        <v>328.997558031222</v>
      </c>
      <c r="AR60" s="14" t="n">
        <v>400.232653135053</v>
      </c>
      <c r="AS60" s="14" t="n">
        <v>387.982572444696</v>
      </c>
      <c r="AT60" s="14" t="n">
        <v>-11547.2723388274</v>
      </c>
      <c r="AU60" s="14" t="n">
        <v>12.270507</v>
      </c>
      <c r="AV60" s="14" t="n">
        <v>0</v>
      </c>
      <c r="AW60" s="14" t="n">
        <v>4863.615</v>
      </c>
      <c r="AX60" s="14" t="n">
        <v>387.982572444696</v>
      </c>
      <c r="AY60" s="14" t="n">
        <v>347.377674784333</v>
      </c>
      <c r="AZ60" s="14" t="n">
        <v>8271.11905654661</v>
      </c>
      <c r="BA60" s="14" t="n">
        <v>15.8427900602355</v>
      </c>
      <c r="BB60" s="14" t="n">
        <v>24.5000826821718</v>
      </c>
      <c r="BC60" s="14" t="n">
        <v>33.2323137232241</v>
      </c>
      <c r="BD60" s="14" t="n">
        <v>-3.55038744745451</v>
      </c>
      <c r="BE60" s="14" t="n">
        <v>3.53990841820985</v>
      </c>
      <c r="BF60" s="14" t="n">
        <v>6.57556217098934</v>
      </c>
      <c r="BG60" s="14" t="n">
        <v>13.6658580366537</v>
      </c>
      <c r="BH60" s="14" t="n">
        <v>12.452622461208</v>
      </c>
      <c r="BI60" s="14" t="n">
        <v>22.6119333489254</v>
      </c>
      <c r="BJ60" s="14" t="n">
        <v>4.18491755712413</v>
      </c>
      <c r="BK60" s="14" t="n">
        <v>5.02394748300231</v>
      </c>
      <c r="BL60" s="14" t="n">
        <v>7.13470319634703</v>
      </c>
      <c r="BM60" s="14" t="n">
        <v>12077.6391665806</v>
      </c>
      <c r="BN60" s="14" t="n">
        <v>12917.1615815789</v>
      </c>
      <c r="BO60" s="14" t="n">
        <v>12917.1615815789</v>
      </c>
      <c r="BP60" s="14" t="n">
        <v>400.232653135053</v>
      </c>
      <c r="BQ60" s="14" t="n">
        <v>413.9493</v>
      </c>
      <c r="BR60" s="14" t="n">
        <v>1369.2143</v>
      </c>
      <c r="BS60" s="14" t="s">
        <v>2855</v>
      </c>
      <c r="BT60" s="14" t="n">
        <v>37.9555555555556</v>
      </c>
      <c r="BU60" s="14" t="n">
        <v>0.202495480090107</v>
      </c>
      <c r="BV60" s="14" t="n">
        <v>0.261164364412283</v>
      </c>
      <c r="BW60" s="14" t="n">
        <v>0</v>
      </c>
      <c r="BX60" s="14" t="n">
        <v>13045.179960312</v>
      </c>
      <c r="BY60" s="14" t="n">
        <v>61.5894049188037</v>
      </c>
      <c r="BZ60" s="14" t="n">
        <v>0</v>
      </c>
      <c r="CA60" s="14" t="n">
        <v>872.7296</v>
      </c>
      <c r="CB60" s="14" t="n">
        <v>12000</v>
      </c>
    </row>
    <row r="61" customFormat="false" ht="15" hidden="false" customHeight="false" outlineLevel="0" collapsed="false">
      <c r="A61" s="0" t="s">
        <v>2897</v>
      </c>
      <c r="B61" s="14" t="n">
        <v>2465.07954157611</v>
      </c>
      <c r="C61" s="14" t="n">
        <v>7505.46533149617</v>
      </c>
      <c r="D61" s="14" t="n">
        <v>20180.6645744977</v>
      </c>
      <c r="E61" s="14" t="n">
        <v>3713.46369159839</v>
      </c>
      <c r="F61" s="14" t="n">
        <v>-1606.96308130411</v>
      </c>
      <c r="G61" s="14" t="n">
        <v>5020.20815964266</v>
      </c>
      <c r="H61" s="14" t="n">
        <v>7854.59013302158</v>
      </c>
      <c r="I61" s="15" t="n">
        <v>0.01</v>
      </c>
      <c r="J61" s="15" t="n">
        <v>2.28688359991828</v>
      </c>
      <c r="K61" s="14" t="s">
        <v>60</v>
      </c>
      <c r="L61" s="14" t="n">
        <v>-4956.48323642636</v>
      </c>
      <c r="M61" s="14" t="n">
        <v>33802.8714241299</v>
      </c>
      <c r="N61" s="14" t="n">
        <v>11755.2436196396</v>
      </c>
      <c r="O61" s="14" t="n">
        <v>-19023.84719661</v>
      </c>
      <c r="P61" s="14" t="n">
        <v>951.290832135856</v>
      </c>
      <c r="Q61" s="14" t="n">
        <v>61.4155828462322</v>
      </c>
      <c r="R61" s="14" t="n">
        <v>17617.7170533315</v>
      </c>
      <c r="S61" s="14" t="n">
        <v>26970.82024149</v>
      </c>
      <c r="T61" s="14" t="n">
        <v>-955.692204749296</v>
      </c>
      <c r="U61" s="14" t="n">
        <v>-1365.19207123687</v>
      </c>
      <c r="V61" s="14" t="n">
        <v>0.750319556751226</v>
      </c>
      <c r="W61" s="14" t="n">
        <v>53464.5708424573</v>
      </c>
      <c r="X61" s="14" t="n">
        <v>22173.3734272866</v>
      </c>
      <c r="Y61" s="14" t="n">
        <v>2.15131912600733</v>
      </c>
      <c r="Z61" s="14" t="n">
        <v>2.92012166873565</v>
      </c>
      <c r="AA61" s="14" t="n">
        <v>27.424347870838</v>
      </c>
      <c r="AB61" s="14" t="n">
        <v>25.224347870838</v>
      </c>
      <c r="AC61" s="14" t="n">
        <v>26.674347870838</v>
      </c>
      <c r="AD61" s="14" t="n">
        <v>21.0618991648036</v>
      </c>
      <c r="AE61" s="14" t="n">
        <v>674.686407680941</v>
      </c>
      <c r="AF61" s="14" t="n">
        <v>0.03</v>
      </c>
      <c r="AG61" s="14" t="n">
        <v>0.664073049535931</v>
      </c>
      <c r="AH61" s="14" t="n">
        <v>9819.91719809611</v>
      </c>
      <c r="AI61" s="14" t="n">
        <v>20180.6645744977</v>
      </c>
      <c r="AJ61" s="14" t="n">
        <v>16.69175</v>
      </c>
      <c r="AK61" s="14" t="n">
        <v>0</v>
      </c>
      <c r="AL61" s="14" t="n">
        <v>-37200.0960732068</v>
      </c>
      <c r="AM61" s="14" t="n">
        <v>812.6073</v>
      </c>
      <c r="AN61" s="14" t="n">
        <v>20079.98904</v>
      </c>
      <c r="AO61" s="14" t="n">
        <v>-5508.72242389994</v>
      </c>
      <c r="AP61" s="14" t="n">
        <v>0.516474502037109</v>
      </c>
      <c r="AQ61" s="14" t="n">
        <v>2.02379079638786</v>
      </c>
      <c r="AR61" s="14" t="n">
        <v>327.195752</v>
      </c>
      <c r="AS61" s="14" t="n">
        <v>314.925245</v>
      </c>
      <c r="AT61" s="14" t="n">
        <v>-4956.48323642636</v>
      </c>
      <c r="AU61" s="14" t="n">
        <v>12.270507</v>
      </c>
      <c r="AV61" s="14" t="n">
        <v>0</v>
      </c>
      <c r="AW61" s="14" t="n">
        <v>2254.3125</v>
      </c>
      <c r="AX61" s="14" t="n">
        <v>314.925245</v>
      </c>
      <c r="AY61" s="14" t="n">
        <v>314.925245</v>
      </c>
      <c r="AZ61" s="14" t="n">
        <v>5568.83612056339</v>
      </c>
      <c r="BA61" s="14" t="n">
        <v>16.5523136016134</v>
      </c>
      <c r="BB61" s="14" t="n">
        <v>25.2096062235498</v>
      </c>
      <c r="BC61" s="14" t="n">
        <v>39.4374614323522</v>
      </c>
      <c r="BD61" s="14" t="n">
        <v>-5.08067650538881</v>
      </c>
      <c r="BE61" s="14" t="n">
        <v>-3.389032187156</v>
      </c>
      <c r="BF61" s="14" t="n">
        <v>5.28542761383372</v>
      </c>
      <c r="BG61" s="14" t="n">
        <v>6.97707193206652</v>
      </c>
      <c r="BH61" s="14" t="n">
        <v>10.9956654944829</v>
      </c>
      <c r="BI61" s="14" t="n">
        <v>14.5375344778911</v>
      </c>
      <c r="BJ61" s="14" t="n">
        <v>3.71992671744367</v>
      </c>
      <c r="BK61" s="14" t="n">
        <v>4.46573109600205</v>
      </c>
      <c r="BL61" s="14" t="n">
        <v>6.42123287671233</v>
      </c>
      <c r="BM61" s="14" t="n">
        <v>8712.70308277889</v>
      </c>
      <c r="BN61" s="14" t="n">
        <v>7473.09859446594</v>
      </c>
      <c r="BO61" s="14" t="n">
        <v>7473.09859446594</v>
      </c>
      <c r="BP61" s="14" t="n">
        <v>327.195752</v>
      </c>
      <c r="BQ61" s="14" t="n">
        <v>301.7195</v>
      </c>
      <c r="BR61" s="14" t="n">
        <v>1081.9108</v>
      </c>
      <c r="BS61" s="14" t="s">
        <v>2855</v>
      </c>
      <c r="BT61" s="14" t="n">
        <v>37.9555555555556</v>
      </c>
      <c r="BU61" s="14" t="n">
        <v>0.202495480090107</v>
      </c>
      <c r="BV61" s="14" t="n">
        <v>0.204285232461873</v>
      </c>
      <c r="BW61" s="14" t="n">
        <v>13510.8578038903</v>
      </c>
      <c r="BX61" s="14" t="n">
        <v>27107.0656988521</v>
      </c>
      <c r="BY61" s="14" t="n">
        <v>98.1216364538248</v>
      </c>
      <c r="BZ61" s="14" t="n">
        <v>0</v>
      </c>
      <c r="CA61" s="14" t="n">
        <v>950.69728</v>
      </c>
      <c r="CB61" s="14" t="n">
        <v>12000</v>
      </c>
    </row>
    <row r="62" customFormat="false" ht="15" hidden="false" customHeight="false" outlineLevel="0" collapsed="false">
      <c r="A62" s="0" t="s">
        <v>2898</v>
      </c>
      <c r="B62" s="14" t="n">
        <v>2465.07954157611</v>
      </c>
      <c r="C62" s="14" t="n">
        <v>7956.89610146433</v>
      </c>
      <c r="D62" s="14" t="n">
        <v>21191.0313140156</v>
      </c>
      <c r="E62" s="14" t="n">
        <v>4033.97953827579</v>
      </c>
      <c r="F62" s="14" t="n">
        <v>-1304.8846012428</v>
      </c>
      <c r="G62" s="14" t="n">
        <v>5020.58829546001</v>
      </c>
      <c r="H62" s="14" t="n">
        <v>14519.6034434797</v>
      </c>
      <c r="I62" s="15" t="n">
        <v>16.8288231044204</v>
      </c>
      <c r="J62" s="15" t="n">
        <v>25.3051073842469</v>
      </c>
      <c r="K62" s="14" t="s">
        <v>60</v>
      </c>
      <c r="L62" s="14" t="n">
        <v>-4644.22140115303</v>
      </c>
      <c r="M62" s="14" t="n">
        <v>33811.9000395293</v>
      </c>
      <c r="N62" s="14" t="n">
        <v>12523.1223416732</v>
      </c>
      <c r="O62" s="14" t="n">
        <v>-17971.472780481</v>
      </c>
      <c r="P62" s="14" t="n">
        <v>951.290832135856</v>
      </c>
      <c r="Q62" s="14" t="n">
        <v>785.576788660082</v>
      </c>
      <c r="R62" s="14" t="n">
        <v>17617.7170533315</v>
      </c>
      <c r="S62" s="14" t="n">
        <v>26991.0275762803</v>
      </c>
      <c r="T62" s="14" t="n">
        <v>-955.692204749296</v>
      </c>
      <c r="U62" s="14" t="n">
        <v>5299.82123922126</v>
      </c>
      <c r="V62" s="14" t="n">
        <v>0.750319556751226</v>
      </c>
      <c r="W62" s="14" t="n">
        <v>58471.5120920686</v>
      </c>
      <c r="X62" s="14" t="n">
        <v>22187.0946821811</v>
      </c>
      <c r="Y62" s="14" t="n">
        <v>23.8050425930489</v>
      </c>
      <c r="Z62" s="14" t="n">
        <v>32.3120916189449</v>
      </c>
      <c r="AA62" s="14" t="n">
        <v>27.424347870838</v>
      </c>
      <c r="AB62" s="14" t="n">
        <v>25.224347870838</v>
      </c>
      <c r="AC62" s="14" t="n">
        <v>26.674347870838</v>
      </c>
      <c r="AD62" s="14" t="n">
        <v>21.0618991648036</v>
      </c>
      <c r="AE62" s="14" t="n">
        <v>674.686407680941</v>
      </c>
      <c r="AF62" s="14" t="n">
        <v>0.03</v>
      </c>
      <c r="AG62" s="14" t="n">
        <v>0.667430425644163</v>
      </c>
      <c r="AH62" s="14" t="n">
        <v>9819.91719809611</v>
      </c>
      <c r="AI62" s="14" t="n">
        <v>21191.0313140156</v>
      </c>
      <c r="AJ62" s="14" t="n">
        <v>19.7391827628362</v>
      </c>
      <c r="AK62" s="14" t="n">
        <v>0</v>
      </c>
      <c r="AL62" s="14" t="n">
        <v>-35642.6200890909</v>
      </c>
      <c r="AM62" s="14" t="n">
        <v>812.6073</v>
      </c>
      <c r="AN62" s="14" t="n">
        <v>20079.98904</v>
      </c>
      <c r="AO62" s="14" t="n">
        <v>-5508.72242389994</v>
      </c>
      <c r="AP62" s="14" t="n">
        <v>0.448161561074905</v>
      </c>
      <c r="AQ62" s="14" t="n">
        <v>22.3939003400415</v>
      </c>
      <c r="AR62" s="14" t="n">
        <v>327.195752</v>
      </c>
      <c r="AS62" s="14" t="n">
        <v>314.925245</v>
      </c>
      <c r="AT62" s="14" t="n">
        <v>-4644.22140115303</v>
      </c>
      <c r="AU62" s="14" t="n">
        <v>12.270507</v>
      </c>
      <c r="AV62" s="14" t="n">
        <v>0</v>
      </c>
      <c r="AW62" s="14" t="n">
        <v>2254.3125</v>
      </c>
      <c r="AX62" s="14" t="n">
        <v>314.925245</v>
      </c>
      <c r="AY62" s="14" t="n">
        <v>314.925245</v>
      </c>
      <c r="AZ62" s="14" t="n">
        <v>5747.32141250041</v>
      </c>
      <c r="BA62" s="14" t="n">
        <v>17.1190680767493</v>
      </c>
      <c r="BB62" s="14" t="n">
        <v>25.7763606986857</v>
      </c>
      <c r="BC62" s="14" t="n">
        <v>40.0042159074881</v>
      </c>
      <c r="BD62" s="14" t="n">
        <v>-5.08067650538881</v>
      </c>
      <c r="BE62" s="14" t="n">
        <v>-3.389032187156</v>
      </c>
      <c r="BF62" s="14" t="n">
        <v>5.28542761383372</v>
      </c>
      <c r="BG62" s="14" t="n">
        <v>6.97707193206652</v>
      </c>
      <c r="BH62" s="14" t="n">
        <v>10.9956654944829</v>
      </c>
      <c r="BI62" s="14" t="n">
        <v>14.5375344778911</v>
      </c>
      <c r="BJ62" s="14" t="n">
        <v>3.71992671744367</v>
      </c>
      <c r="BK62" s="14" t="n">
        <v>4.46573109600205</v>
      </c>
      <c r="BL62" s="14" t="n">
        <v>6.42123287671233</v>
      </c>
      <c r="BM62" s="14" t="n">
        <v>8712.70308277889</v>
      </c>
      <c r="BN62" s="14" t="n">
        <v>7924.5293644341</v>
      </c>
      <c r="BO62" s="14" t="n">
        <v>7924.5293644341</v>
      </c>
      <c r="BP62" s="14" t="n">
        <v>327.195752</v>
      </c>
      <c r="BQ62" s="14" t="n">
        <v>301.7195</v>
      </c>
      <c r="BR62" s="14" t="n">
        <v>1081.9108</v>
      </c>
      <c r="BS62" s="14" t="s">
        <v>2855</v>
      </c>
      <c r="BT62" s="14" t="n">
        <v>37.9555555555556</v>
      </c>
      <c r="BU62" s="14" t="n">
        <v>0.202495480090107</v>
      </c>
      <c r="BV62" s="14" t="n">
        <v>0.204285232461873</v>
      </c>
      <c r="BW62" s="14" t="n">
        <v>13510.8578038903</v>
      </c>
      <c r="BX62" s="14" t="n">
        <v>27107.0656988521</v>
      </c>
      <c r="BY62" s="14" t="n">
        <v>94.6972409870161</v>
      </c>
      <c r="BZ62" s="14" t="n">
        <v>0</v>
      </c>
      <c r="CA62" s="14" t="n">
        <v>950.69728</v>
      </c>
      <c r="CB62" s="14" t="n">
        <v>12000</v>
      </c>
    </row>
    <row r="63" customFormat="false" ht="15" hidden="false" customHeight="false" outlineLevel="0" collapsed="false">
      <c r="A63" s="0" t="s">
        <v>2899</v>
      </c>
      <c r="B63" s="14" t="n">
        <v>2465.07954157611</v>
      </c>
      <c r="C63" s="14" t="n">
        <v>7505.46533149617</v>
      </c>
      <c r="D63" s="14" t="n">
        <v>20180.6645744977</v>
      </c>
      <c r="E63" s="14" t="n">
        <v>3713.46369159839</v>
      </c>
      <c r="F63" s="14" t="n">
        <v>-1606.96308130411</v>
      </c>
      <c r="G63" s="14" t="n">
        <v>5020.20815964266</v>
      </c>
      <c r="H63" s="14" t="n">
        <v>7854.59013302158</v>
      </c>
      <c r="I63" s="15" t="n">
        <v>0.01</v>
      </c>
      <c r="J63" s="15" t="n">
        <v>2.01008730973614</v>
      </c>
      <c r="K63" s="14" t="s">
        <v>60</v>
      </c>
      <c r="L63" s="14" t="n">
        <v>-4956.48323642636</v>
      </c>
      <c r="M63" s="14" t="n">
        <v>33802.8714241299</v>
      </c>
      <c r="N63" s="14" t="n">
        <v>11755.2436196396</v>
      </c>
      <c r="O63" s="14" t="n">
        <v>-19023.84719661</v>
      </c>
      <c r="P63" s="14" t="n">
        <v>951.290832135856</v>
      </c>
      <c r="Q63" s="14" t="n">
        <v>61.4155828462322</v>
      </c>
      <c r="R63" s="14" t="n">
        <v>17617.7170533315</v>
      </c>
      <c r="S63" s="14" t="n">
        <v>26970.82024149</v>
      </c>
      <c r="T63" s="14" t="n">
        <v>-955.692204749296</v>
      </c>
      <c r="U63" s="14" t="n">
        <v>-1472.91664414736</v>
      </c>
      <c r="V63" s="14" t="n">
        <v>0.750319556751226</v>
      </c>
      <c r="W63" s="14" t="n">
        <v>53464.5708424573</v>
      </c>
      <c r="X63" s="14" t="n">
        <v>22173.3734272866</v>
      </c>
      <c r="Y63" s="14" t="n">
        <v>1.89093107954183</v>
      </c>
      <c r="Z63" s="14" t="n">
        <v>2.56668048580207</v>
      </c>
      <c r="AA63" s="14" t="n">
        <v>27.424347870838</v>
      </c>
      <c r="AB63" s="14" t="n">
        <v>25.224347870838</v>
      </c>
      <c r="AC63" s="14" t="n">
        <v>26.674347870838</v>
      </c>
      <c r="AD63" s="14" t="n">
        <v>21.0618991648036</v>
      </c>
      <c r="AE63" s="14" t="n">
        <v>674.686407680941</v>
      </c>
      <c r="AF63" s="14" t="n">
        <v>0.03</v>
      </c>
      <c r="AG63" s="14" t="n">
        <v>0.664073049535931</v>
      </c>
      <c r="AH63" s="14" t="n">
        <v>9819.91719809611</v>
      </c>
      <c r="AI63" s="14" t="n">
        <v>20180.6645744977</v>
      </c>
      <c r="AJ63" s="14" t="n">
        <v>16.69175</v>
      </c>
      <c r="AK63" s="14" t="n">
        <v>0</v>
      </c>
      <c r="AL63" s="14" t="n">
        <v>-37200.0960732068</v>
      </c>
      <c r="AM63" s="14" t="n">
        <v>812.6073</v>
      </c>
      <c r="AN63" s="14" t="n">
        <v>20079.98904</v>
      </c>
      <c r="AO63" s="14" t="n">
        <v>-5508.72242389994</v>
      </c>
      <c r="AP63" s="14" t="n">
        <v>0.516474502037109</v>
      </c>
      <c r="AQ63" s="14" t="n">
        <v>1.77883832720012</v>
      </c>
      <c r="AR63" s="14" t="n">
        <v>327.195752</v>
      </c>
      <c r="AS63" s="14" t="n">
        <v>314.925245</v>
      </c>
      <c r="AT63" s="14" t="n">
        <v>-4956.48323642636</v>
      </c>
      <c r="AU63" s="14" t="n">
        <v>12.270507</v>
      </c>
      <c r="AV63" s="14" t="n">
        <v>0</v>
      </c>
      <c r="AW63" s="14" t="n">
        <v>2254.3125</v>
      </c>
      <c r="AX63" s="14" t="n">
        <v>314.925245</v>
      </c>
      <c r="AY63" s="14" t="n">
        <v>314.925245</v>
      </c>
      <c r="AZ63" s="14" t="n">
        <v>5568.83612056339</v>
      </c>
      <c r="BA63" s="14" t="n">
        <v>16.2102496527214</v>
      </c>
      <c r="BB63" s="14" t="n">
        <v>24.8675422746577</v>
      </c>
      <c r="BC63" s="14" t="n">
        <v>39.0953974834602</v>
      </c>
      <c r="BD63" s="14" t="n">
        <v>-5.08067650538881</v>
      </c>
      <c r="BE63" s="14" t="n">
        <v>-3.389032187156</v>
      </c>
      <c r="BF63" s="14" t="n">
        <v>5.28542761383372</v>
      </c>
      <c r="BG63" s="14" t="n">
        <v>6.97707193206652</v>
      </c>
      <c r="BH63" s="14" t="n">
        <v>10.9956654944829</v>
      </c>
      <c r="BI63" s="14" t="n">
        <v>14.5375344778911</v>
      </c>
      <c r="BJ63" s="14" t="n">
        <v>3.71992671744367</v>
      </c>
      <c r="BK63" s="14" t="n">
        <v>4.46573109600205</v>
      </c>
      <c r="BL63" s="14" t="n">
        <v>6.42123287671233</v>
      </c>
      <c r="BM63" s="14" t="n">
        <v>8712.70308277889</v>
      </c>
      <c r="BN63" s="14" t="n">
        <v>7473.09859446594</v>
      </c>
      <c r="BO63" s="14" t="n">
        <v>7473.09859446594</v>
      </c>
      <c r="BP63" s="14" t="n">
        <v>327.195752</v>
      </c>
      <c r="BQ63" s="14" t="n">
        <v>301.7195</v>
      </c>
      <c r="BR63" s="14" t="n">
        <v>1081.9108</v>
      </c>
      <c r="BS63" s="14" t="s">
        <v>2855</v>
      </c>
      <c r="BT63" s="14" t="n">
        <v>37.9555555555556</v>
      </c>
      <c r="BU63" s="14" t="n">
        <v>0.202495480090107</v>
      </c>
      <c r="BV63" s="14" t="n">
        <v>0.204285232461873</v>
      </c>
      <c r="BW63" s="14" t="n">
        <v>13618.5823768008</v>
      </c>
      <c r="BX63" s="14" t="n">
        <v>27187.2131062122</v>
      </c>
      <c r="BY63" s="14" t="n">
        <v>98.1216364538248</v>
      </c>
      <c r="BZ63" s="14" t="n">
        <v>0</v>
      </c>
      <c r="CA63" s="14" t="n">
        <v>950.69728</v>
      </c>
      <c r="CB63" s="14" t="n">
        <v>12000</v>
      </c>
    </row>
    <row r="64" customFormat="false" ht="15" hidden="false" customHeight="false" outlineLevel="0" collapsed="false">
      <c r="A64" s="0" t="s">
        <v>2900</v>
      </c>
      <c r="B64" s="14" t="n">
        <v>2465.07954157611</v>
      </c>
      <c r="C64" s="14" t="n">
        <v>7505.46533149617</v>
      </c>
      <c r="D64" s="14" t="n">
        <v>20180.6645744977</v>
      </c>
      <c r="E64" s="14" t="n">
        <v>3713.46369159839</v>
      </c>
      <c r="F64" s="14" t="n">
        <v>-1350.734683568</v>
      </c>
      <c r="G64" s="14" t="n">
        <v>4763.97976190655</v>
      </c>
      <c r="H64" s="14" t="n">
        <v>13253.3667423344</v>
      </c>
      <c r="I64" s="15" t="n">
        <v>13.9506131024429</v>
      </c>
      <c r="J64" s="15" t="n">
        <v>22.1747008539731</v>
      </c>
      <c r="K64" s="14" t="s">
        <v>50</v>
      </c>
      <c r="L64" s="14" t="n">
        <v>-2343.29025560125</v>
      </c>
      <c r="M64" s="14" t="n">
        <v>32196.9341288522</v>
      </c>
      <c r="N64" s="14" t="n">
        <v>11755.2436196396</v>
      </c>
      <c r="O64" s="14" t="n">
        <v>-16190.3425157849</v>
      </c>
      <c r="P64" s="14" t="n">
        <v>951.290832135856</v>
      </c>
      <c r="Q64" s="14" t="n">
        <v>575.014130624012</v>
      </c>
      <c r="R64" s="14" t="n">
        <v>16655.6616097204</v>
      </c>
      <c r="S64" s="14" t="n">
        <v>26750.50854149</v>
      </c>
      <c r="T64" s="14" t="n">
        <v>-955.692204749296</v>
      </c>
      <c r="U64" s="14" t="n">
        <v>4393.40024918705</v>
      </c>
      <c r="V64" s="14" t="n">
        <v>0.750319556751226</v>
      </c>
      <c r="W64" s="14" t="n">
        <v>56886.8048995889</v>
      </c>
      <c r="X64" s="14" t="n">
        <v>21598.9827128755</v>
      </c>
      <c r="Y64" s="14" t="n">
        <v>20.860203843496</v>
      </c>
      <c r="Z64" s="14" t="n">
        <v>28.3148755204382</v>
      </c>
      <c r="AA64" s="14" t="n">
        <v>27.424347870838</v>
      </c>
      <c r="AB64" s="14" t="n">
        <v>25.224347870838</v>
      </c>
      <c r="AC64" s="14" t="n">
        <v>26.674347870838</v>
      </c>
      <c r="AD64" s="14" t="n">
        <v>21.0618991648036</v>
      </c>
      <c r="AE64" s="14" t="n">
        <v>674.686407680941</v>
      </c>
      <c r="AF64" s="14" t="n">
        <v>0.03</v>
      </c>
      <c r="AG64" s="14" t="n">
        <v>0.664073049535931</v>
      </c>
      <c r="AH64" s="14" t="n">
        <v>10785.1210291794</v>
      </c>
      <c r="AI64" s="14" t="n">
        <v>20180.6645744977</v>
      </c>
      <c r="AJ64" s="14" t="n">
        <v>16.69175</v>
      </c>
      <c r="AK64" s="14" t="n">
        <v>0</v>
      </c>
      <c r="AL64" s="14" t="n">
        <v>-34457.2312002271</v>
      </c>
      <c r="AM64" s="14" t="n">
        <v>812.6073</v>
      </c>
      <c r="AN64" s="14" t="n">
        <v>20079.98904</v>
      </c>
      <c r="AO64" s="14" t="n">
        <v>-5508.72242389994</v>
      </c>
      <c r="AP64" s="14" t="n">
        <v>0.516474502037109</v>
      </c>
      <c r="AQ64" s="14" t="n">
        <v>19.6236290743124</v>
      </c>
      <c r="AR64" s="14" t="n">
        <v>327.195752</v>
      </c>
      <c r="AS64" s="14" t="n">
        <v>314.925245</v>
      </c>
      <c r="AT64" s="14" t="n">
        <v>-2343.29025560125</v>
      </c>
      <c r="AU64" s="14" t="n">
        <v>12.270507</v>
      </c>
      <c r="AV64" s="14" t="n">
        <v>0</v>
      </c>
      <c r="AW64" s="14" t="n">
        <v>2254.3125</v>
      </c>
      <c r="AX64" s="14" t="n">
        <v>314.925245</v>
      </c>
      <c r="AY64" s="14" t="n">
        <v>314.925245</v>
      </c>
      <c r="AZ64" s="14" t="n">
        <v>6459.91019463747</v>
      </c>
      <c r="BA64" s="14" t="n">
        <v>20.5243349147514</v>
      </c>
      <c r="BB64" s="14" t="n">
        <v>29.1816275366877</v>
      </c>
      <c r="BC64" s="14" t="n">
        <v>43.4094827454902</v>
      </c>
      <c r="BD64" s="14" t="n">
        <v>-5.08067650538881</v>
      </c>
      <c r="BE64" s="14" t="n">
        <v>-3.389032187156</v>
      </c>
      <c r="BF64" s="14" t="n">
        <v>5.28542761383372</v>
      </c>
      <c r="BG64" s="14" t="n">
        <v>6.97707193206652</v>
      </c>
      <c r="BH64" s="14" t="n">
        <v>10.9956654944829</v>
      </c>
      <c r="BI64" s="14" t="n">
        <v>14.5375344778911</v>
      </c>
      <c r="BJ64" s="14" t="n">
        <v>3.71992671744367</v>
      </c>
      <c r="BK64" s="14" t="n">
        <v>4.46573109600205</v>
      </c>
      <c r="BL64" s="14" t="n">
        <v>6.42123287671233</v>
      </c>
      <c r="BM64" s="14" t="n">
        <v>8712.70308277889</v>
      </c>
      <c r="BN64" s="14" t="n">
        <v>7473.09859446594</v>
      </c>
      <c r="BO64" s="14" t="n">
        <v>7473.09859446594</v>
      </c>
      <c r="BP64" s="14" t="n">
        <v>327.195752</v>
      </c>
      <c r="BQ64" s="14" t="n">
        <v>301.7195</v>
      </c>
      <c r="BR64" s="14" t="n">
        <v>1081.9108</v>
      </c>
      <c r="BS64" s="14" t="s">
        <v>2855</v>
      </c>
      <c r="BT64" s="14" t="n">
        <v>37.9555555555556</v>
      </c>
      <c r="BU64" s="14" t="n">
        <v>0.202495480090107</v>
      </c>
      <c r="BV64" s="14" t="n">
        <v>0.204285232461873</v>
      </c>
      <c r="BW64" s="14" t="n">
        <v>13510.8578038903</v>
      </c>
      <c r="BX64" s="14" t="n">
        <v>27107.0656988521</v>
      </c>
      <c r="BY64" s="14" t="n">
        <v>91.8827519091279</v>
      </c>
      <c r="BZ64" s="14" t="n">
        <v>0</v>
      </c>
      <c r="CA64" s="14" t="n">
        <v>950.69728</v>
      </c>
      <c r="CB64" s="14" t="n">
        <v>12000</v>
      </c>
    </row>
    <row r="65" customFormat="false" ht="15" hidden="false" customHeight="false" outlineLevel="0" collapsed="false">
      <c r="A65" s="0" t="s">
        <v>2901</v>
      </c>
      <c r="B65" s="14" t="n">
        <v>2465.07954157611</v>
      </c>
      <c r="C65" s="14" t="n">
        <v>7956.89610146433</v>
      </c>
      <c r="D65" s="14" t="n">
        <v>21191.0313140156</v>
      </c>
      <c r="E65" s="14" t="n">
        <v>4033.97953827579</v>
      </c>
      <c r="F65" s="14" t="n">
        <v>-1048.65620350669</v>
      </c>
      <c r="G65" s="14" t="n">
        <v>4764.3598977239</v>
      </c>
      <c r="H65" s="14" t="n">
        <v>19161.6191382451</v>
      </c>
      <c r="I65" s="15" t="n">
        <v>32.7114221824223</v>
      </c>
      <c r="J65" s="15" t="n">
        <v>42.5793826585802</v>
      </c>
      <c r="K65" s="14" t="s">
        <v>50</v>
      </c>
      <c r="L65" s="14" t="n">
        <v>-2031.02842032792</v>
      </c>
      <c r="M65" s="14" t="n">
        <v>32205.9627442515</v>
      </c>
      <c r="N65" s="14" t="n">
        <v>12523.1223416732</v>
      </c>
      <c r="O65" s="14" t="n">
        <v>-15228.1682111854</v>
      </c>
      <c r="P65" s="14" t="n">
        <v>951.290832135856</v>
      </c>
      <c r="Q65" s="14" t="n">
        <v>1299.17533643786</v>
      </c>
      <c r="R65" s="14" t="n">
        <v>16655.6616097204</v>
      </c>
      <c r="S65" s="14" t="n">
        <v>26770.7158762803</v>
      </c>
      <c r="T65" s="14" t="n">
        <v>-955.692204749296</v>
      </c>
      <c r="U65" s="14" t="n">
        <v>10301.6526450978</v>
      </c>
      <c r="V65" s="14" t="n">
        <v>0.750319556751226</v>
      </c>
      <c r="W65" s="14" t="n">
        <v>61155.9413307052</v>
      </c>
      <c r="X65" s="14" t="n">
        <v>21704.5886449866</v>
      </c>
      <c r="Y65" s="14" t="n">
        <v>40.055313829817</v>
      </c>
      <c r="Z65" s="14" t="n">
        <v>54.369613716741</v>
      </c>
      <c r="AA65" s="14" t="n">
        <v>27.424347870838</v>
      </c>
      <c r="AB65" s="14" t="n">
        <v>25.224347870838</v>
      </c>
      <c r="AC65" s="14" t="n">
        <v>26.674347870838</v>
      </c>
      <c r="AD65" s="14" t="n">
        <v>21.0618991648036</v>
      </c>
      <c r="AE65" s="14" t="n">
        <v>674.686407680941</v>
      </c>
      <c r="AF65" s="14" t="n">
        <v>0.03</v>
      </c>
      <c r="AG65" s="14" t="n">
        <v>0.667430425644163</v>
      </c>
      <c r="AH65" s="14" t="n">
        <v>10785.1210291794</v>
      </c>
      <c r="AI65" s="14" t="n">
        <v>21191.0313140156</v>
      </c>
      <c r="AJ65" s="14" t="n">
        <v>19.7391827628362</v>
      </c>
      <c r="AK65" s="14" t="n">
        <v>0</v>
      </c>
      <c r="AL65" s="14" t="n">
        <v>-33026.4804511548</v>
      </c>
      <c r="AM65" s="14" t="n">
        <v>812.6073</v>
      </c>
      <c r="AN65" s="14" t="n">
        <v>20079.98904</v>
      </c>
      <c r="AO65" s="14" t="n">
        <v>-5508.72242389994</v>
      </c>
      <c r="AP65" s="14" t="n">
        <v>0.448161561074905</v>
      </c>
      <c r="AQ65" s="14" t="n">
        <v>37.680869609363</v>
      </c>
      <c r="AR65" s="14" t="n">
        <v>327.195752</v>
      </c>
      <c r="AS65" s="14" t="n">
        <v>314.925245</v>
      </c>
      <c r="AT65" s="14" t="n">
        <v>-2031.02842032792</v>
      </c>
      <c r="AU65" s="14" t="n">
        <v>12.270507</v>
      </c>
      <c r="AV65" s="14" t="n">
        <v>0</v>
      </c>
      <c r="AW65" s="14" t="n">
        <v>2254.3125</v>
      </c>
      <c r="AX65" s="14" t="n">
        <v>314.925245</v>
      </c>
      <c r="AY65" s="14" t="n">
        <v>314.925245</v>
      </c>
      <c r="AZ65" s="14" t="n">
        <v>6638.39548657448</v>
      </c>
      <c r="BA65" s="14" t="n">
        <v>21.0910893898872</v>
      </c>
      <c r="BB65" s="14" t="n">
        <v>29.7483820118236</v>
      </c>
      <c r="BC65" s="14" t="n">
        <v>43.976237220626</v>
      </c>
      <c r="BD65" s="14" t="n">
        <v>-5.08067650538881</v>
      </c>
      <c r="BE65" s="14" t="n">
        <v>-3.389032187156</v>
      </c>
      <c r="BF65" s="14" t="n">
        <v>5.28542761383372</v>
      </c>
      <c r="BG65" s="14" t="n">
        <v>6.97707193206652</v>
      </c>
      <c r="BH65" s="14" t="n">
        <v>10.9956654944829</v>
      </c>
      <c r="BI65" s="14" t="n">
        <v>14.5375344778911</v>
      </c>
      <c r="BJ65" s="14" t="n">
        <v>3.71992671744367</v>
      </c>
      <c r="BK65" s="14" t="n">
        <v>4.46573109600205</v>
      </c>
      <c r="BL65" s="14" t="n">
        <v>6.42123287671233</v>
      </c>
      <c r="BM65" s="14" t="n">
        <v>8712.70308277889</v>
      </c>
      <c r="BN65" s="14" t="n">
        <v>7924.5293644341</v>
      </c>
      <c r="BO65" s="14" t="n">
        <v>7924.5293644341</v>
      </c>
      <c r="BP65" s="14" t="n">
        <v>327.195752</v>
      </c>
      <c r="BQ65" s="14" t="n">
        <v>301.7195</v>
      </c>
      <c r="BR65" s="14" t="n">
        <v>1081.9108</v>
      </c>
      <c r="BS65" s="14" t="s">
        <v>2855</v>
      </c>
      <c r="BT65" s="14" t="n">
        <v>37.9555555555556</v>
      </c>
      <c r="BU65" s="14" t="n">
        <v>0.202495480090107</v>
      </c>
      <c r="BV65" s="14" t="n">
        <v>0.204285232461873</v>
      </c>
      <c r="BW65" s="14" t="n">
        <v>13510.8578038903</v>
      </c>
      <c r="BX65" s="14" t="n">
        <v>27107.0656988521</v>
      </c>
      <c r="BY65" s="14" t="n">
        <v>88.7352568896695</v>
      </c>
      <c r="BZ65" s="14" t="n">
        <v>0</v>
      </c>
      <c r="CA65" s="14" t="n">
        <v>950.69728</v>
      </c>
      <c r="CB65" s="14" t="n">
        <v>12000</v>
      </c>
    </row>
    <row r="66" customFormat="false" ht="15" hidden="false" customHeight="false" outlineLevel="0" collapsed="false">
      <c r="A66" s="0" t="s">
        <v>2902</v>
      </c>
      <c r="B66" s="14" t="n">
        <v>2465.07954157611</v>
      </c>
      <c r="C66" s="14" t="n">
        <v>7505.46533149617</v>
      </c>
      <c r="D66" s="14" t="n">
        <v>20180.6645744977</v>
      </c>
      <c r="E66" s="14" t="n">
        <v>3713.46369159839</v>
      </c>
      <c r="F66" s="14" t="n">
        <v>-1423.94279720689</v>
      </c>
      <c r="G66" s="14" t="n">
        <v>4837.18787554544</v>
      </c>
      <c r="H66" s="14" t="n">
        <v>11710.8591396736</v>
      </c>
      <c r="I66" s="15" t="n">
        <v>8.72616025951597</v>
      </c>
      <c r="J66" s="15" t="n">
        <v>16.4924673528145</v>
      </c>
      <c r="K66" s="14" t="s">
        <v>50</v>
      </c>
      <c r="L66" s="14" t="n">
        <v>-3089.91682155128</v>
      </c>
      <c r="M66" s="14" t="n">
        <v>32655.7733560744</v>
      </c>
      <c r="N66" s="14" t="n">
        <v>11755.2436196396</v>
      </c>
      <c r="O66" s="14" t="n">
        <v>-16999.9152817349</v>
      </c>
      <c r="P66" s="14" t="n">
        <v>951.290832135856</v>
      </c>
      <c r="Q66" s="14" t="n">
        <v>428.271688401787</v>
      </c>
      <c r="R66" s="14" t="n">
        <v>16930.5345936093</v>
      </c>
      <c r="S66" s="14" t="n">
        <v>26813.45474149</v>
      </c>
      <c r="T66" s="14" t="n">
        <v>-955.692204749296</v>
      </c>
      <c r="U66" s="14" t="n">
        <v>2748.08815763733</v>
      </c>
      <c r="V66" s="14" t="n">
        <v>0.750319556751226</v>
      </c>
      <c r="W66" s="14" t="n">
        <v>55909.0237404084</v>
      </c>
      <c r="X66" s="14" t="n">
        <v>21763.0943455644</v>
      </c>
      <c r="Y66" s="14" t="n">
        <v>15.5148082099277</v>
      </c>
      <c r="Z66" s="14" t="n">
        <v>21.0592315628088</v>
      </c>
      <c r="AA66" s="14" t="n">
        <v>27.424347870838</v>
      </c>
      <c r="AB66" s="14" t="n">
        <v>25.224347870838</v>
      </c>
      <c r="AC66" s="14" t="n">
        <v>26.674347870838</v>
      </c>
      <c r="AD66" s="14" t="n">
        <v>21.0618991648036</v>
      </c>
      <c r="AE66" s="14" t="n">
        <v>674.686407680941</v>
      </c>
      <c r="AF66" s="14" t="n">
        <v>0.03</v>
      </c>
      <c r="AG66" s="14" t="n">
        <v>0.664073049535931</v>
      </c>
      <c r="AH66" s="14" t="n">
        <v>10509.3485060128</v>
      </c>
      <c r="AI66" s="14" t="n">
        <v>20180.6645744977</v>
      </c>
      <c r="AJ66" s="14" t="n">
        <v>16.69175</v>
      </c>
      <c r="AK66" s="14" t="n">
        <v>0</v>
      </c>
      <c r="AL66" s="14" t="n">
        <v>-35237.1245778956</v>
      </c>
      <c r="AM66" s="14" t="n">
        <v>812.6073</v>
      </c>
      <c r="AN66" s="14" t="n">
        <v>20079.98904</v>
      </c>
      <c r="AO66" s="14" t="n">
        <v>-5508.72242389994</v>
      </c>
      <c r="AP66" s="14" t="n">
        <v>0.516474502037109</v>
      </c>
      <c r="AQ66" s="14" t="n">
        <v>14.5951038520482</v>
      </c>
      <c r="AR66" s="14" t="n">
        <v>327.195752</v>
      </c>
      <c r="AS66" s="14" t="n">
        <v>314.925245</v>
      </c>
      <c r="AT66" s="14" t="n">
        <v>-3089.91682155128</v>
      </c>
      <c r="AU66" s="14" t="n">
        <v>12.270507</v>
      </c>
      <c r="AV66" s="14" t="n">
        <v>0</v>
      </c>
      <c r="AW66" s="14" t="n">
        <v>2254.3125</v>
      </c>
      <c r="AX66" s="14" t="n">
        <v>314.925245</v>
      </c>
      <c r="AY66" s="14" t="n">
        <v>314.925245</v>
      </c>
      <c r="AZ66" s="14" t="n">
        <v>6205.31760204487</v>
      </c>
      <c r="BA66" s="14" t="n">
        <v>19.3894716824262</v>
      </c>
      <c r="BB66" s="14" t="n">
        <v>28.0467643043626</v>
      </c>
      <c r="BC66" s="14" t="n">
        <v>42.274619513165</v>
      </c>
      <c r="BD66" s="14" t="n">
        <v>-5.08067650538881</v>
      </c>
      <c r="BE66" s="14" t="n">
        <v>-3.389032187156</v>
      </c>
      <c r="BF66" s="14" t="n">
        <v>5.28542761383372</v>
      </c>
      <c r="BG66" s="14" t="n">
        <v>6.97707193206652</v>
      </c>
      <c r="BH66" s="14" t="n">
        <v>10.9956654944829</v>
      </c>
      <c r="BI66" s="14" t="n">
        <v>14.5375344778911</v>
      </c>
      <c r="BJ66" s="14" t="n">
        <v>3.71992671744367</v>
      </c>
      <c r="BK66" s="14" t="n">
        <v>4.46573109600205</v>
      </c>
      <c r="BL66" s="14" t="n">
        <v>6.42123287671233</v>
      </c>
      <c r="BM66" s="14" t="n">
        <v>8712.70308277889</v>
      </c>
      <c r="BN66" s="14" t="n">
        <v>7473.09859446594</v>
      </c>
      <c r="BO66" s="14" t="n">
        <v>7473.09859446594</v>
      </c>
      <c r="BP66" s="14" t="n">
        <v>327.195752</v>
      </c>
      <c r="BQ66" s="14" t="n">
        <v>301.7195</v>
      </c>
      <c r="BR66" s="14" t="n">
        <v>1081.9108</v>
      </c>
      <c r="BS66" s="14" t="s">
        <v>2855</v>
      </c>
      <c r="BT66" s="14" t="n">
        <v>37.9555555555556</v>
      </c>
      <c r="BU66" s="14" t="n">
        <v>0.202495480090107</v>
      </c>
      <c r="BV66" s="14" t="n">
        <v>0.204285232461873</v>
      </c>
      <c r="BW66" s="14" t="n">
        <v>13510.8578038903</v>
      </c>
      <c r="BX66" s="14" t="n">
        <v>27107.0656988521</v>
      </c>
      <c r="BY66" s="14" t="n">
        <v>93.657119251493</v>
      </c>
      <c r="BZ66" s="14" t="n">
        <v>0</v>
      </c>
      <c r="CA66" s="14" t="n">
        <v>950.69728</v>
      </c>
      <c r="CB66" s="14" t="n">
        <v>12000</v>
      </c>
    </row>
    <row r="67" customFormat="false" ht="15" hidden="false" customHeight="false" outlineLevel="0" collapsed="false">
      <c r="A67" s="0" t="s">
        <v>2903</v>
      </c>
      <c r="B67" s="14" t="n">
        <v>2465.07954157611</v>
      </c>
      <c r="C67" s="14" t="n">
        <v>7956.89610146433</v>
      </c>
      <c r="D67" s="14" t="n">
        <v>21191.0313140156</v>
      </c>
      <c r="E67" s="14" t="n">
        <v>4033.97953827579</v>
      </c>
      <c r="F67" s="14" t="n">
        <v>-1121.86431714557</v>
      </c>
      <c r="G67" s="14" t="n">
        <v>4837.56801136279</v>
      </c>
      <c r="H67" s="14" t="n">
        <v>18018.3263647195</v>
      </c>
      <c r="I67" s="15" t="n">
        <v>28.7546188387763</v>
      </c>
      <c r="J67" s="15" t="n">
        <v>38.2758735270544</v>
      </c>
      <c r="K67" s="14" t="s">
        <v>50</v>
      </c>
      <c r="L67" s="14" t="n">
        <v>-2777.65498627795</v>
      </c>
      <c r="M67" s="14" t="n">
        <v>32664.8019714737</v>
      </c>
      <c r="N67" s="14" t="n">
        <v>12523.1223416732</v>
      </c>
      <c r="O67" s="14" t="n">
        <v>-16004.0895695512</v>
      </c>
      <c r="P67" s="14" t="n">
        <v>951.290832135856</v>
      </c>
      <c r="Q67" s="14" t="n">
        <v>1152.43289421564</v>
      </c>
      <c r="R67" s="14" t="n">
        <v>16930.5345936093</v>
      </c>
      <c r="S67" s="14" t="n">
        <v>26833.6620762803</v>
      </c>
      <c r="T67" s="14" t="n">
        <v>-955.692204749296</v>
      </c>
      <c r="U67" s="14" t="n">
        <v>9055.55538268324</v>
      </c>
      <c r="V67" s="14" t="n">
        <v>0.750319556751226</v>
      </c>
      <c r="W67" s="14" t="n">
        <v>60569.2726351969</v>
      </c>
      <c r="X67" s="14" t="n">
        <v>21819.9919450934</v>
      </c>
      <c r="Y67" s="14" t="n">
        <v>36.0069129825113</v>
      </c>
      <c r="Z67" s="14" t="n">
        <v>48.8744629066957</v>
      </c>
      <c r="AA67" s="14" t="n">
        <v>27.424347870838</v>
      </c>
      <c r="AB67" s="14" t="n">
        <v>25.224347870838</v>
      </c>
      <c r="AC67" s="14" t="n">
        <v>26.674347870838</v>
      </c>
      <c r="AD67" s="14" t="n">
        <v>21.0618991648036</v>
      </c>
      <c r="AE67" s="14" t="n">
        <v>674.686407680941</v>
      </c>
      <c r="AF67" s="14" t="n">
        <v>0.03</v>
      </c>
      <c r="AG67" s="14" t="n">
        <v>0.667430425644163</v>
      </c>
      <c r="AH67" s="14" t="n">
        <v>10509.3485060128</v>
      </c>
      <c r="AI67" s="14" t="n">
        <v>21191.0313140156</v>
      </c>
      <c r="AJ67" s="14" t="n">
        <v>19.7391827628362</v>
      </c>
      <c r="AK67" s="14" t="n">
        <v>0</v>
      </c>
      <c r="AL67" s="14" t="n">
        <v>-33766.1234189872</v>
      </c>
      <c r="AM67" s="14" t="n">
        <v>812.6073</v>
      </c>
      <c r="AN67" s="14" t="n">
        <v>20079.98904</v>
      </c>
      <c r="AO67" s="14" t="n">
        <v>-5508.72242389994</v>
      </c>
      <c r="AP67" s="14" t="n">
        <v>0.448161561074905</v>
      </c>
      <c r="AQ67" s="14" t="n">
        <v>33.8724544487207</v>
      </c>
      <c r="AR67" s="14" t="n">
        <v>327.195752</v>
      </c>
      <c r="AS67" s="14" t="n">
        <v>314.925245</v>
      </c>
      <c r="AT67" s="14" t="n">
        <v>-2777.65498627795</v>
      </c>
      <c r="AU67" s="14" t="n">
        <v>12.270507</v>
      </c>
      <c r="AV67" s="14" t="n">
        <v>0</v>
      </c>
      <c r="AW67" s="14" t="n">
        <v>2254.3125</v>
      </c>
      <c r="AX67" s="14" t="n">
        <v>314.925245</v>
      </c>
      <c r="AY67" s="14" t="n">
        <v>314.925245</v>
      </c>
      <c r="AZ67" s="14" t="n">
        <v>6383.80289398189</v>
      </c>
      <c r="BA67" s="14" t="n">
        <v>19.9562261575621</v>
      </c>
      <c r="BB67" s="14" t="n">
        <v>28.6135187794985</v>
      </c>
      <c r="BC67" s="14" t="n">
        <v>42.8413739883009</v>
      </c>
      <c r="BD67" s="14" t="n">
        <v>-5.08067650538881</v>
      </c>
      <c r="BE67" s="14" t="n">
        <v>-3.389032187156</v>
      </c>
      <c r="BF67" s="14" t="n">
        <v>5.28542761383372</v>
      </c>
      <c r="BG67" s="14" t="n">
        <v>6.97707193206652</v>
      </c>
      <c r="BH67" s="14" t="n">
        <v>10.9956654944829</v>
      </c>
      <c r="BI67" s="14" t="n">
        <v>14.5375344778911</v>
      </c>
      <c r="BJ67" s="14" t="n">
        <v>3.71992671744367</v>
      </c>
      <c r="BK67" s="14" t="n">
        <v>4.46573109600205</v>
      </c>
      <c r="BL67" s="14" t="n">
        <v>6.42123287671233</v>
      </c>
      <c r="BM67" s="14" t="n">
        <v>8712.70308277889</v>
      </c>
      <c r="BN67" s="14" t="n">
        <v>7924.5293644341</v>
      </c>
      <c r="BO67" s="14" t="n">
        <v>7924.5293644341</v>
      </c>
      <c r="BP67" s="14" t="n">
        <v>327.195752</v>
      </c>
      <c r="BQ67" s="14" t="n">
        <v>301.7195</v>
      </c>
      <c r="BR67" s="14" t="n">
        <v>1081.9108</v>
      </c>
      <c r="BS67" s="14" t="s">
        <v>2855</v>
      </c>
      <c r="BT67" s="14" t="n">
        <v>37.9555555555556</v>
      </c>
      <c r="BU67" s="14" t="n">
        <v>0.202495480090107</v>
      </c>
      <c r="BV67" s="14" t="n">
        <v>0.204285232461873</v>
      </c>
      <c r="BW67" s="14" t="n">
        <v>13510.8578038903</v>
      </c>
      <c r="BX67" s="14" t="n">
        <v>27107.0656988521</v>
      </c>
      <c r="BY67" s="14" t="n">
        <v>90.4213918467836</v>
      </c>
      <c r="BZ67" s="14" t="n">
        <v>0</v>
      </c>
      <c r="CA67" s="14" t="n">
        <v>950.69728</v>
      </c>
      <c r="CB67" s="14" t="n">
        <v>12000</v>
      </c>
    </row>
    <row r="68" customFormat="false" ht="15" hidden="false" customHeight="false" outlineLevel="0" collapsed="false">
      <c r="A68" s="0" t="s">
        <v>2904</v>
      </c>
      <c r="B68" s="14" t="n">
        <v>2465.07954157611</v>
      </c>
      <c r="C68" s="14" t="n">
        <v>7505.46533149617</v>
      </c>
      <c r="D68" s="14" t="n">
        <v>20180.6645744977</v>
      </c>
      <c r="E68" s="14" t="n">
        <v>3713.46369159839</v>
      </c>
      <c r="F68" s="14" t="n">
        <v>-1606.96308130411</v>
      </c>
      <c r="G68" s="14" t="n">
        <v>5020.20815964266</v>
      </c>
      <c r="H68" s="14" t="n">
        <v>7854.59013302158</v>
      </c>
      <c r="I68" s="15" t="n">
        <v>0.01</v>
      </c>
      <c r="J68" s="15" t="n">
        <v>2.28688359991828</v>
      </c>
      <c r="K68" s="14" t="s">
        <v>60</v>
      </c>
      <c r="L68" s="14" t="n">
        <v>-4956.48323642636</v>
      </c>
      <c r="M68" s="14" t="n">
        <v>33802.8714241299</v>
      </c>
      <c r="N68" s="14" t="n">
        <v>11755.2436196396</v>
      </c>
      <c r="O68" s="14" t="n">
        <v>-19023.84719661</v>
      </c>
      <c r="P68" s="14" t="n">
        <v>951.290832135856</v>
      </c>
      <c r="Q68" s="14" t="n">
        <v>61.4155828462322</v>
      </c>
      <c r="R68" s="14" t="n">
        <v>17617.7170533315</v>
      </c>
      <c r="S68" s="14" t="n">
        <v>26970.82024149</v>
      </c>
      <c r="T68" s="14" t="n">
        <v>-955.692204749296</v>
      </c>
      <c r="U68" s="14" t="n">
        <v>-1365.19207123687</v>
      </c>
      <c r="V68" s="14" t="n">
        <v>0.750319556751226</v>
      </c>
      <c r="W68" s="14" t="n">
        <v>53464.5708424573</v>
      </c>
      <c r="X68" s="14" t="n">
        <v>22173.3734272866</v>
      </c>
      <c r="Y68" s="14" t="n">
        <v>2.15131912600733</v>
      </c>
      <c r="Z68" s="14" t="n">
        <v>2.92012166873565</v>
      </c>
      <c r="AA68" s="14" t="n">
        <v>27.424347870838</v>
      </c>
      <c r="AB68" s="14" t="n">
        <v>25.224347870838</v>
      </c>
      <c r="AC68" s="14" t="n">
        <v>26.674347870838</v>
      </c>
      <c r="AD68" s="14" t="n">
        <v>21.0618991648036</v>
      </c>
      <c r="AE68" s="14" t="n">
        <v>674.686407680941</v>
      </c>
      <c r="AF68" s="14" t="n">
        <v>0.03</v>
      </c>
      <c r="AG68" s="14" t="n">
        <v>0.664073049535931</v>
      </c>
      <c r="AH68" s="14" t="n">
        <v>9819.91719809611</v>
      </c>
      <c r="AI68" s="14" t="n">
        <v>20180.6645744977</v>
      </c>
      <c r="AJ68" s="14" t="n">
        <v>16.69175</v>
      </c>
      <c r="AK68" s="14" t="n">
        <v>0</v>
      </c>
      <c r="AL68" s="14" t="n">
        <v>-37200.0960732068</v>
      </c>
      <c r="AM68" s="14" t="n">
        <v>812.6073</v>
      </c>
      <c r="AN68" s="14" t="n">
        <v>20079.98904</v>
      </c>
      <c r="AO68" s="14" t="n">
        <v>-5508.72242389994</v>
      </c>
      <c r="AP68" s="14" t="n">
        <v>0.516474502037109</v>
      </c>
      <c r="AQ68" s="14" t="n">
        <v>2.02379079638786</v>
      </c>
      <c r="AR68" s="14" t="n">
        <v>327.195752</v>
      </c>
      <c r="AS68" s="14" t="n">
        <v>314.925245</v>
      </c>
      <c r="AT68" s="14" t="n">
        <v>-4956.48323642636</v>
      </c>
      <c r="AU68" s="14" t="n">
        <v>12.270507</v>
      </c>
      <c r="AV68" s="14" t="n">
        <v>0</v>
      </c>
      <c r="AW68" s="14" t="n">
        <v>2254.3125</v>
      </c>
      <c r="AX68" s="14" t="n">
        <v>314.925245</v>
      </c>
      <c r="AY68" s="14" t="n">
        <v>314.925245</v>
      </c>
      <c r="AZ68" s="14" t="n">
        <v>5568.83612056339</v>
      </c>
      <c r="BA68" s="14" t="n">
        <v>16.5523136016134</v>
      </c>
      <c r="BB68" s="14" t="n">
        <v>25.2096062235498</v>
      </c>
      <c r="BC68" s="14" t="n">
        <v>39.4374614323522</v>
      </c>
      <c r="BD68" s="14" t="n">
        <v>-5.08067650538881</v>
      </c>
      <c r="BE68" s="14" t="n">
        <v>-3.389032187156</v>
      </c>
      <c r="BF68" s="14" t="n">
        <v>5.28542761383372</v>
      </c>
      <c r="BG68" s="14" t="n">
        <v>6.97707193206652</v>
      </c>
      <c r="BH68" s="14" t="n">
        <v>10.9956654944829</v>
      </c>
      <c r="BI68" s="14" t="n">
        <v>14.5375344778911</v>
      </c>
      <c r="BJ68" s="14" t="n">
        <v>3.71992671744367</v>
      </c>
      <c r="BK68" s="14" t="n">
        <v>4.46573109600205</v>
      </c>
      <c r="BL68" s="14" t="n">
        <v>6.42123287671233</v>
      </c>
      <c r="BM68" s="14" t="n">
        <v>8712.70308277889</v>
      </c>
      <c r="BN68" s="14" t="n">
        <v>7473.09859446594</v>
      </c>
      <c r="BO68" s="14" t="n">
        <v>7473.09859446594</v>
      </c>
      <c r="BP68" s="14" t="n">
        <v>327.195752</v>
      </c>
      <c r="BQ68" s="14" t="n">
        <v>301.7195</v>
      </c>
      <c r="BR68" s="14" t="n">
        <v>1081.9108</v>
      </c>
      <c r="BS68" s="14" t="s">
        <v>2855</v>
      </c>
      <c r="BT68" s="14" t="n">
        <v>37.9555555555556</v>
      </c>
      <c r="BU68" s="14" t="n">
        <v>0.202495480090107</v>
      </c>
      <c r="BV68" s="14" t="n">
        <v>0.204285232461873</v>
      </c>
      <c r="BW68" s="14" t="n">
        <v>13510.8578038903</v>
      </c>
      <c r="BX68" s="14" t="n">
        <v>27107.0656988521</v>
      </c>
      <c r="BY68" s="14" t="n">
        <v>98.1216364538248</v>
      </c>
      <c r="BZ68" s="14" t="n">
        <v>0</v>
      </c>
      <c r="CA68" s="14" t="n">
        <v>950.69728</v>
      </c>
      <c r="CB68" s="14" t="n">
        <v>12000</v>
      </c>
    </row>
    <row r="69" customFormat="false" ht="15" hidden="false" customHeight="false" outlineLevel="0" collapsed="false">
      <c r="A69" s="0" t="s">
        <v>2905</v>
      </c>
      <c r="B69" s="14" t="n">
        <v>2465.07954157611</v>
      </c>
      <c r="C69" s="14" t="n">
        <v>7956.89610146433</v>
      </c>
      <c r="D69" s="14" t="n">
        <v>21191.0313140156</v>
      </c>
      <c r="E69" s="14" t="n">
        <v>4033.97953827579</v>
      </c>
      <c r="F69" s="14" t="n">
        <v>-1304.8846012428</v>
      </c>
      <c r="G69" s="14" t="n">
        <v>5020.58829546001</v>
      </c>
      <c r="H69" s="14" t="n">
        <v>14519.6034434797</v>
      </c>
      <c r="I69" s="15" t="n">
        <v>16.8288231044204</v>
      </c>
      <c r="J69" s="15" t="n">
        <v>25.3051073842469</v>
      </c>
      <c r="K69" s="14" t="s">
        <v>60</v>
      </c>
      <c r="L69" s="14" t="n">
        <v>-4644.22140115303</v>
      </c>
      <c r="M69" s="14" t="n">
        <v>33811.9000395293</v>
      </c>
      <c r="N69" s="14" t="n">
        <v>12523.1223416732</v>
      </c>
      <c r="O69" s="14" t="n">
        <v>-17971.472780481</v>
      </c>
      <c r="P69" s="14" t="n">
        <v>951.290832135856</v>
      </c>
      <c r="Q69" s="14" t="n">
        <v>785.576788660082</v>
      </c>
      <c r="R69" s="14" t="n">
        <v>17617.7170533315</v>
      </c>
      <c r="S69" s="14" t="n">
        <v>26991.0275762803</v>
      </c>
      <c r="T69" s="14" t="n">
        <v>-955.692204749296</v>
      </c>
      <c r="U69" s="14" t="n">
        <v>5299.82123922126</v>
      </c>
      <c r="V69" s="14" t="n">
        <v>0.750319556751226</v>
      </c>
      <c r="W69" s="14" t="n">
        <v>58471.5120920686</v>
      </c>
      <c r="X69" s="14" t="n">
        <v>22187.0946821811</v>
      </c>
      <c r="Y69" s="14" t="n">
        <v>23.8050425930489</v>
      </c>
      <c r="Z69" s="14" t="n">
        <v>32.3120916189449</v>
      </c>
      <c r="AA69" s="14" t="n">
        <v>27.424347870838</v>
      </c>
      <c r="AB69" s="14" t="n">
        <v>25.224347870838</v>
      </c>
      <c r="AC69" s="14" t="n">
        <v>26.674347870838</v>
      </c>
      <c r="AD69" s="14" t="n">
        <v>21.0618991648036</v>
      </c>
      <c r="AE69" s="14" t="n">
        <v>674.686407680941</v>
      </c>
      <c r="AF69" s="14" t="n">
        <v>0.03</v>
      </c>
      <c r="AG69" s="14" t="n">
        <v>0.667430425644163</v>
      </c>
      <c r="AH69" s="14" t="n">
        <v>9819.91719809611</v>
      </c>
      <c r="AI69" s="14" t="n">
        <v>21191.0313140156</v>
      </c>
      <c r="AJ69" s="14" t="n">
        <v>19.7391827628362</v>
      </c>
      <c r="AK69" s="14" t="n">
        <v>0</v>
      </c>
      <c r="AL69" s="14" t="n">
        <v>-35642.6200890909</v>
      </c>
      <c r="AM69" s="14" t="n">
        <v>812.6073</v>
      </c>
      <c r="AN69" s="14" t="n">
        <v>20079.98904</v>
      </c>
      <c r="AO69" s="14" t="n">
        <v>-5508.72242389994</v>
      </c>
      <c r="AP69" s="14" t="n">
        <v>0.448161561074905</v>
      </c>
      <c r="AQ69" s="14" t="n">
        <v>22.3939003400415</v>
      </c>
      <c r="AR69" s="14" t="n">
        <v>327.195752</v>
      </c>
      <c r="AS69" s="14" t="n">
        <v>314.925245</v>
      </c>
      <c r="AT69" s="14" t="n">
        <v>-4644.22140115303</v>
      </c>
      <c r="AU69" s="14" t="n">
        <v>12.270507</v>
      </c>
      <c r="AV69" s="14" t="n">
        <v>0</v>
      </c>
      <c r="AW69" s="14" t="n">
        <v>2254.3125</v>
      </c>
      <c r="AX69" s="14" t="n">
        <v>314.925245</v>
      </c>
      <c r="AY69" s="14" t="n">
        <v>314.925245</v>
      </c>
      <c r="AZ69" s="14" t="n">
        <v>5747.32141250041</v>
      </c>
      <c r="BA69" s="14" t="n">
        <v>17.1190680767493</v>
      </c>
      <c r="BB69" s="14" t="n">
        <v>25.7763606986857</v>
      </c>
      <c r="BC69" s="14" t="n">
        <v>40.0042159074881</v>
      </c>
      <c r="BD69" s="14" t="n">
        <v>-5.08067650538881</v>
      </c>
      <c r="BE69" s="14" t="n">
        <v>-3.389032187156</v>
      </c>
      <c r="BF69" s="14" t="n">
        <v>5.28542761383372</v>
      </c>
      <c r="BG69" s="14" t="n">
        <v>6.97707193206652</v>
      </c>
      <c r="BH69" s="14" t="n">
        <v>10.9956654944829</v>
      </c>
      <c r="BI69" s="14" t="n">
        <v>14.5375344778911</v>
      </c>
      <c r="BJ69" s="14" t="n">
        <v>3.71992671744367</v>
      </c>
      <c r="BK69" s="14" t="n">
        <v>4.46573109600205</v>
      </c>
      <c r="BL69" s="14" t="n">
        <v>6.42123287671233</v>
      </c>
      <c r="BM69" s="14" t="n">
        <v>8712.70308277889</v>
      </c>
      <c r="BN69" s="14" t="n">
        <v>7924.5293644341</v>
      </c>
      <c r="BO69" s="14" t="n">
        <v>7924.5293644341</v>
      </c>
      <c r="BP69" s="14" t="n">
        <v>327.195752</v>
      </c>
      <c r="BQ69" s="14" t="n">
        <v>301.7195</v>
      </c>
      <c r="BR69" s="14" t="n">
        <v>1081.9108</v>
      </c>
      <c r="BS69" s="14" t="s">
        <v>2855</v>
      </c>
      <c r="BT69" s="14" t="n">
        <v>37.9555555555556</v>
      </c>
      <c r="BU69" s="14" t="n">
        <v>0.202495480090107</v>
      </c>
      <c r="BV69" s="14" t="n">
        <v>0.204285232461873</v>
      </c>
      <c r="BW69" s="14" t="n">
        <v>13510.8578038903</v>
      </c>
      <c r="BX69" s="14" t="n">
        <v>27107.0656988521</v>
      </c>
      <c r="BY69" s="14" t="n">
        <v>94.6972409870161</v>
      </c>
      <c r="BZ69" s="14" t="n">
        <v>0</v>
      </c>
      <c r="CA69" s="14" t="n">
        <v>950.69728</v>
      </c>
      <c r="CB69" s="14" t="n">
        <v>12000</v>
      </c>
    </row>
    <row r="70" customFormat="false" ht="15" hidden="false" customHeight="false" outlineLevel="0" collapsed="false">
      <c r="A70" s="0" t="s">
        <v>2906</v>
      </c>
      <c r="B70" s="14" t="n">
        <v>2465.07954157611</v>
      </c>
      <c r="C70" s="14" t="n">
        <v>7505.46533149617</v>
      </c>
      <c r="D70" s="14" t="n">
        <v>20180.6645744977</v>
      </c>
      <c r="E70" s="14" t="n">
        <v>3713.46369159839</v>
      </c>
      <c r="F70" s="14" t="n">
        <v>-1789.98336540134</v>
      </c>
      <c r="G70" s="14" t="n">
        <v>5203.22844373988</v>
      </c>
      <c r="H70" s="14" t="n">
        <v>3994.32902633295</v>
      </c>
      <c r="I70" s="15" t="n">
        <v>0.01</v>
      </c>
      <c r="J70" s="15" t="n">
        <v>0</v>
      </c>
      <c r="K70" s="14" t="s">
        <v>60</v>
      </c>
      <c r="L70" s="14" t="n">
        <v>-6811.62266161398</v>
      </c>
      <c r="M70" s="14" t="n">
        <v>34949.9694921855</v>
      </c>
      <c r="N70" s="14" t="n">
        <v>11755.2436196396</v>
      </c>
      <c r="O70" s="14" t="n">
        <v>-21036.3521217977</v>
      </c>
      <c r="P70" s="14" t="n">
        <v>951.290832135856</v>
      </c>
      <c r="Q70" s="14" t="n">
        <v>-305.440522709323</v>
      </c>
      <c r="R70" s="14" t="n">
        <v>18304.8995130537</v>
      </c>
      <c r="S70" s="14" t="n">
        <v>27128.18574149</v>
      </c>
      <c r="T70" s="14" t="n">
        <v>-955.692204749296</v>
      </c>
      <c r="U70" s="14" t="n">
        <v>-5482.46440014772</v>
      </c>
      <c r="V70" s="14" t="n">
        <v>0.750319556751226</v>
      </c>
      <c r="W70" s="14" t="n">
        <v>51020.1179445062</v>
      </c>
      <c r="X70" s="14" t="n">
        <v>22583.6525090088</v>
      </c>
      <c r="Y70" s="14" t="n">
        <v>0</v>
      </c>
      <c r="Z70" s="14" t="n">
        <v>0</v>
      </c>
      <c r="AA70" s="14" t="n">
        <v>27.424347870838</v>
      </c>
      <c r="AB70" s="14" t="n">
        <v>25.224347870838</v>
      </c>
      <c r="AC70" s="14" t="n">
        <v>26.674347870838</v>
      </c>
      <c r="AD70" s="14" t="n">
        <v>21.0618991648036</v>
      </c>
      <c r="AE70" s="14" t="n">
        <v>674.686407680941</v>
      </c>
      <c r="AF70" s="14" t="n">
        <v>0.03</v>
      </c>
      <c r="AG70" s="14" t="n">
        <v>0.664073049535931</v>
      </c>
      <c r="AH70" s="14" t="n">
        <v>9130.48589017945</v>
      </c>
      <c r="AI70" s="14" t="n">
        <v>20180.6645744977</v>
      </c>
      <c r="AJ70" s="14" t="n">
        <v>16.69175</v>
      </c>
      <c r="AK70" s="14" t="n">
        <v>0</v>
      </c>
      <c r="AL70" s="14" t="n">
        <v>-39172.3031728128</v>
      </c>
      <c r="AM70" s="14" t="n">
        <v>812.6073</v>
      </c>
      <c r="AN70" s="14" t="n">
        <v>20079.98904</v>
      </c>
      <c r="AO70" s="14" t="n">
        <v>-5508.72242389994</v>
      </c>
      <c r="AP70" s="14" t="n">
        <v>0.516474502037109</v>
      </c>
      <c r="AQ70" s="14" t="n">
        <v>0</v>
      </c>
      <c r="AR70" s="14" t="n">
        <v>327.195752</v>
      </c>
      <c r="AS70" s="14" t="n">
        <v>314.925245</v>
      </c>
      <c r="AT70" s="14" t="n">
        <v>-6811.62266161398</v>
      </c>
      <c r="AU70" s="14" t="n">
        <v>12.270507</v>
      </c>
      <c r="AV70" s="14" t="n">
        <v>0</v>
      </c>
      <c r="AW70" s="14" t="n">
        <v>2254.3125</v>
      </c>
      <c r="AX70" s="14" t="n">
        <v>314.925245</v>
      </c>
      <c r="AY70" s="14" t="n">
        <v>314.925245</v>
      </c>
      <c r="AZ70" s="14" t="n">
        <v>4932.35463908191</v>
      </c>
      <c r="BA70" s="14" t="n">
        <v>13.7151555208006</v>
      </c>
      <c r="BB70" s="14" t="n">
        <v>22.372448142737</v>
      </c>
      <c r="BC70" s="14" t="n">
        <v>36.6003033515394</v>
      </c>
      <c r="BD70" s="14" t="n">
        <v>-5.08067650538881</v>
      </c>
      <c r="BE70" s="14" t="n">
        <v>-3.389032187156</v>
      </c>
      <c r="BF70" s="14" t="n">
        <v>5.28542761383372</v>
      </c>
      <c r="BG70" s="14" t="n">
        <v>6.97707193206652</v>
      </c>
      <c r="BH70" s="14" t="n">
        <v>10.9956654944829</v>
      </c>
      <c r="BI70" s="14" t="n">
        <v>14.5375344778911</v>
      </c>
      <c r="BJ70" s="14" t="n">
        <v>3.71992671744367</v>
      </c>
      <c r="BK70" s="14" t="n">
        <v>4.46573109600205</v>
      </c>
      <c r="BL70" s="14" t="n">
        <v>6.42123287671233</v>
      </c>
      <c r="BM70" s="14" t="n">
        <v>8712.70308277889</v>
      </c>
      <c r="BN70" s="14" t="n">
        <v>7473.09859446594</v>
      </c>
      <c r="BO70" s="14" t="n">
        <v>7473.09859446594</v>
      </c>
      <c r="BP70" s="14" t="n">
        <v>327.195752</v>
      </c>
      <c r="BQ70" s="14" t="n">
        <v>301.7195</v>
      </c>
      <c r="BR70" s="14" t="n">
        <v>1081.9108</v>
      </c>
      <c r="BS70" s="14" t="s">
        <v>2856</v>
      </c>
      <c r="BT70" s="14" t="n">
        <v>37.9555555555556</v>
      </c>
      <c r="BU70" s="14" t="n">
        <v>0.202495480090107</v>
      </c>
      <c r="BV70" s="14" t="n">
        <v>0.204285232461873</v>
      </c>
      <c r="BW70" s="14" t="n">
        <v>13510.8578038903</v>
      </c>
      <c r="BX70" s="14" t="n">
        <v>27107.0656988521</v>
      </c>
      <c r="BY70" s="14" t="n">
        <v>102.630018495498</v>
      </c>
      <c r="BZ70" s="14" t="n">
        <v>0</v>
      </c>
      <c r="CA70" s="14" t="n">
        <v>950.69728</v>
      </c>
      <c r="CB70" s="14" t="n">
        <v>12000</v>
      </c>
    </row>
    <row r="71" customFormat="false" ht="15" hidden="false" customHeight="false" outlineLevel="0" collapsed="false">
      <c r="A71" s="0" t="s">
        <v>2907</v>
      </c>
      <c r="B71" s="14" t="n">
        <v>2465.07954157611</v>
      </c>
      <c r="C71" s="14" t="n">
        <v>7956.89610146433</v>
      </c>
      <c r="D71" s="14" t="n">
        <v>21191.0313140156</v>
      </c>
      <c r="E71" s="14" t="n">
        <v>4033.97953827579</v>
      </c>
      <c r="F71" s="14" t="n">
        <v>-1487.90488534002</v>
      </c>
      <c r="G71" s="14" t="n">
        <v>5203.60857955723</v>
      </c>
      <c r="H71" s="14" t="n">
        <v>10663.3344368278</v>
      </c>
      <c r="I71" s="15" t="n">
        <v>3.76769099710338</v>
      </c>
      <c r="J71" s="15" t="n">
        <v>11.0995236313508</v>
      </c>
      <c r="K71" s="14" t="s">
        <v>60</v>
      </c>
      <c r="L71" s="14" t="n">
        <v>-6499.99166990755</v>
      </c>
      <c r="M71" s="14" t="n">
        <v>34958.9981075849</v>
      </c>
      <c r="N71" s="14" t="n">
        <v>12523.1223416732</v>
      </c>
      <c r="O71" s="14" t="n">
        <v>-19977.049742848</v>
      </c>
      <c r="P71" s="14" t="n">
        <v>951.290832135856</v>
      </c>
      <c r="Q71" s="14" t="n">
        <v>418.720683104527</v>
      </c>
      <c r="R71" s="14" t="n">
        <v>18304.8995130537</v>
      </c>
      <c r="S71" s="14" t="n">
        <v>27148.3930762803</v>
      </c>
      <c r="T71" s="14" t="n">
        <v>-955.692204749296</v>
      </c>
      <c r="U71" s="14" t="n">
        <v>1186.54101034708</v>
      </c>
      <c r="V71" s="14" t="n">
        <v>0.750319556751226</v>
      </c>
      <c r="W71" s="14" t="n">
        <v>56027.0591941174</v>
      </c>
      <c r="X71" s="14" t="n">
        <v>22597.3737639034</v>
      </c>
      <c r="Y71" s="14" t="n">
        <v>10.4415535091286</v>
      </c>
      <c r="Z71" s="14" t="n">
        <v>14.1729817248718</v>
      </c>
      <c r="AA71" s="14" t="n">
        <v>27.424347870838</v>
      </c>
      <c r="AB71" s="14" t="n">
        <v>25.224347870838</v>
      </c>
      <c r="AC71" s="14" t="n">
        <v>26.674347870838</v>
      </c>
      <c r="AD71" s="14" t="n">
        <v>21.0618991648036</v>
      </c>
      <c r="AE71" s="14" t="n">
        <v>674.686407680941</v>
      </c>
      <c r="AF71" s="14" t="n">
        <v>0.03</v>
      </c>
      <c r="AG71" s="14" t="n">
        <v>0.667430425644163</v>
      </c>
      <c r="AH71" s="14" t="n">
        <v>9130.48589017945</v>
      </c>
      <c r="AI71" s="14" t="n">
        <v>21191.0313140156</v>
      </c>
      <c r="AJ71" s="14" t="n">
        <v>19.7391827628362</v>
      </c>
      <c r="AK71" s="14" t="n">
        <v>0</v>
      </c>
      <c r="AL71" s="14" t="n">
        <v>-37570.8924407152</v>
      </c>
      <c r="AM71" s="14" t="n">
        <v>812.6073</v>
      </c>
      <c r="AN71" s="14" t="n">
        <v>20079.98904</v>
      </c>
      <c r="AO71" s="14" t="n">
        <v>-5508.72242389994</v>
      </c>
      <c r="AP71" s="14" t="n">
        <v>0.448161561074905</v>
      </c>
      <c r="AQ71" s="14" t="n">
        <v>9.82258728438121</v>
      </c>
      <c r="AR71" s="14" t="n">
        <v>327.195752</v>
      </c>
      <c r="AS71" s="14" t="n">
        <v>314.925245</v>
      </c>
      <c r="AT71" s="14" t="n">
        <v>-6499.99166990755</v>
      </c>
      <c r="AU71" s="14" t="n">
        <v>12.270507</v>
      </c>
      <c r="AV71" s="14" t="n">
        <v>0</v>
      </c>
      <c r="AW71" s="14" t="n">
        <v>2254.3125</v>
      </c>
      <c r="AX71" s="14" t="n">
        <v>314.925245</v>
      </c>
      <c r="AY71" s="14" t="n">
        <v>314.925245</v>
      </c>
      <c r="AZ71" s="14" t="n">
        <v>5110.83993101892</v>
      </c>
      <c r="BA71" s="14" t="n">
        <v>14.2819099959365</v>
      </c>
      <c r="BB71" s="14" t="n">
        <v>22.9392026178729</v>
      </c>
      <c r="BC71" s="14" t="n">
        <v>37.1670578266753</v>
      </c>
      <c r="BD71" s="14" t="n">
        <v>-5.08067650538881</v>
      </c>
      <c r="BE71" s="14" t="n">
        <v>-3.389032187156</v>
      </c>
      <c r="BF71" s="14" t="n">
        <v>5.28542761383372</v>
      </c>
      <c r="BG71" s="14" t="n">
        <v>6.97707193206652</v>
      </c>
      <c r="BH71" s="14" t="n">
        <v>10.9956654944829</v>
      </c>
      <c r="BI71" s="14" t="n">
        <v>14.5375344778911</v>
      </c>
      <c r="BJ71" s="14" t="n">
        <v>3.71992671744367</v>
      </c>
      <c r="BK71" s="14" t="n">
        <v>4.46573109600205</v>
      </c>
      <c r="BL71" s="14" t="n">
        <v>6.42123287671233</v>
      </c>
      <c r="BM71" s="14" t="n">
        <v>8712.70308277889</v>
      </c>
      <c r="BN71" s="14" t="n">
        <v>7924.5293644341</v>
      </c>
      <c r="BO71" s="14" t="n">
        <v>7924.5293644341</v>
      </c>
      <c r="BP71" s="14" t="n">
        <v>327.195752</v>
      </c>
      <c r="BQ71" s="14" t="n">
        <v>301.7195</v>
      </c>
      <c r="BR71" s="14" t="n">
        <v>1081.9108</v>
      </c>
      <c r="BS71" s="14" t="s">
        <v>2855</v>
      </c>
      <c r="BT71" s="14" t="n">
        <v>37.9555555555556</v>
      </c>
      <c r="BU71" s="14" t="n">
        <v>0.202495480090107</v>
      </c>
      <c r="BV71" s="14" t="n">
        <v>0.204285232461873</v>
      </c>
      <c r="BW71" s="14" t="n">
        <v>13510.8578038903</v>
      </c>
      <c r="BX71" s="14" t="n">
        <v>27107.0656988521</v>
      </c>
      <c r="BY71" s="14" t="n">
        <v>99.1099764229751</v>
      </c>
      <c r="BZ71" s="14" t="n">
        <v>0</v>
      </c>
      <c r="CA71" s="14" t="n">
        <v>950.69728</v>
      </c>
      <c r="CB71" s="14" t="n">
        <v>12000</v>
      </c>
    </row>
    <row r="72" customFormat="false" ht="15" hidden="false" customHeight="false" outlineLevel="0" collapsed="false">
      <c r="A72" s="0" t="s">
        <v>2908</v>
      </c>
      <c r="B72" s="14" t="n">
        <v>2465.07954157611</v>
      </c>
      <c r="C72" s="14" t="n">
        <v>7505.46533149617</v>
      </c>
      <c r="D72" s="14" t="n">
        <v>20180.6645744977</v>
      </c>
      <c r="E72" s="14" t="n">
        <v>3713.46369159839</v>
      </c>
      <c r="F72" s="14" t="n">
        <v>-1973.00364949856</v>
      </c>
      <c r="G72" s="14" t="n">
        <v>5386.2487278371</v>
      </c>
      <c r="H72" s="14" t="n">
        <v>100.884557519853</v>
      </c>
      <c r="I72" s="15" t="n">
        <v>0.01</v>
      </c>
      <c r="J72" s="15" t="n">
        <v>0</v>
      </c>
      <c r="K72" s="14" t="s">
        <v>58</v>
      </c>
      <c r="L72" s="14" t="n">
        <v>-8664.78295537696</v>
      </c>
      <c r="M72" s="14" t="n">
        <v>36097.067560241</v>
      </c>
      <c r="N72" s="14" t="n">
        <v>11755.2436196396</v>
      </c>
      <c r="O72" s="14" t="n">
        <v>-23046.8779155606</v>
      </c>
      <c r="P72" s="14" t="n">
        <v>951.290832135856</v>
      </c>
      <c r="Q72" s="14" t="n">
        <v>-672.296628264879</v>
      </c>
      <c r="R72" s="14" t="n">
        <v>18992.081972776</v>
      </c>
      <c r="S72" s="14" t="n">
        <v>27285.55124149</v>
      </c>
      <c r="T72" s="14" t="n">
        <v>-955.692204749296</v>
      </c>
      <c r="U72" s="14" t="n">
        <v>-9632.92009118305</v>
      </c>
      <c r="V72" s="14" t="n">
        <v>0.750319556751226</v>
      </c>
      <c r="W72" s="14" t="n">
        <v>48575.665046555</v>
      </c>
      <c r="X72" s="14" t="n">
        <v>22993.9315907311</v>
      </c>
      <c r="Y72" s="14" t="n">
        <v>0</v>
      </c>
      <c r="Z72" s="14" t="n">
        <v>0</v>
      </c>
      <c r="AA72" s="14" t="n">
        <v>27.424347870838</v>
      </c>
      <c r="AB72" s="14" t="n">
        <v>25.224347870838</v>
      </c>
      <c r="AC72" s="14" t="n">
        <v>26.674347870838</v>
      </c>
      <c r="AD72" s="14" t="n">
        <v>21.0618991648036</v>
      </c>
      <c r="AE72" s="14" t="n">
        <v>674.686407680941</v>
      </c>
      <c r="AF72" s="14" t="n">
        <v>0.03</v>
      </c>
      <c r="AG72" s="14" t="n">
        <v>0.664073049535931</v>
      </c>
      <c r="AH72" s="14" t="n">
        <v>8441.05458226278</v>
      </c>
      <c r="AI72" s="14" t="n">
        <v>20180.6645744977</v>
      </c>
      <c r="AJ72" s="14" t="n">
        <v>16.69175</v>
      </c>
      <c r="AK72" s="14" t="n">
        <v>0</v>
      </c>
      <c r="AL72" s="14" t="n">
        <v>-41159.0028124531</v>
      </c>
      <c r="AM72" s="14" t="n">
        <v>812.6073</v>
      </c>
      <c r="AN72" s="14" t="n">
        <v>20079.98904</v>
      </c>
      <c r="AO72" s="14" t="n">
        <v>-5508.72242389994</v>
      </c>
      <c r="AP72" s="14" t="n">
        <v>0.516474502037109</v>
      </c>
      <c r="AQ72" s="14" t="n">
        <v>0</v>
      </c>
      <c r="AR72" s="14" t="n">
        <v>327.195752</v>
      </c>
      <c r="AS72" s="14" t="n">
        <v>314.925245</v>
      </c>
      <c r="AT72" s="14" t="n">
        <v>-8664.78295537696</v>
      </c>
      <c r="AU72" s="14" t="n">
        <v>12.270507</v>
      </c>
      <c r="AV72" s="14" t="n">
        <v>0</v>
      </c>
      <c r="AW72" s="14" t="n">
        <v>2254.3125</v>
      </c>
      <c r="AX72" s="14" t="n">
        <v>314.925245</v>
      </c>
      <c r="AY72" s="14" t="n">
        <v>314.925245</v>
      </c>
      <c r="AZ72" s="14" t="n">
        <v>4295.87315760043</v>
      </c>
      <c r="BA72" s="14" t="n">
        <v>10.8779974399878</v>
      </c>
      <c r="BB72" s="14" t="n">
        <v>19.5352900619242</v>
      </c>
      <c r="BC72" s="14" t="n">
        <v>33.7631452707266</v>
      </c>
      <c r="BD72" s="14" t="n">
        <v>-5.08067650538881</v>
      </c>
      <c r="BE72" s="14" t="n">
        <v>-3.389032187156</v>
      </c>
      <c r="BF72" s="14" t="n">
        <v>5.28542761383372</v>
      </c>
      <c r="BG72" s="14" t="n">
        <v>6.97707193206652</v>
      </c>
      <c r="BH72" s="14" t="n">
        <v>10.9956654944829</v>
      </c>
      <c r="BI72" s="14" t="n">
        <v>14.5375344778911</v>
      </c>
      <c r="BJ72" s="14" t="n">
        <v>3.71992671744367</v>
      </c>
      <c r="BK72" s="14" t="n">
        <v>4.46573109600205</v>
      </c>
      <c r="BL72" s="14" t="n">
        <v>6.42123287671233</v>
      </c>
      <c r="BM72" s="14" t="n">
        <v>8712.70308277889</v>
      </c>
      <c r="BN72" s="14" t="n">
        <v>7473.09859446594</v>
      </c>
      <c r="BO72" s="14" t="n">
        <v>7473.09859446594</v>
      </c>
      <c r="BP72" s="14" t="n">
        <v>327.195752</v>
      </c>
      <c r="BQ72" s="14" t="n">
        <v>301.7195</v>
      </c>
      <c r="BR72" s="14" t="n">
        <v>1081.9108</v>
      </c>
      <c r="BS72" s="14" t="s">
        <v>2856</v>
      </c>
      <c r="BT72" s="14" t="n">
        <v>37.9555555555556</v>
      </c>
      <c r="BU72" s="14" t="n">
        <v>0.202495480090107</v>
      </c>
      <c r="BV72" s="14" t="n">
        <v>0.204285232461873</v>
      </c>
      <c r="BW72" s="14" t="n">
        <v>13510.8578038903</v>
      </c>
      <c r="BX72" s="14" t="n">
        <v>27107.0656988521</v>
      </c>
      <c r="BY72" s="14" t="n">
        <v>107.173492274112</v>
      </c>
      <c r="BZ72" s="14" t="n">
        <v>0</v>
      </c>
      <c r="CA72" s="14" t="n">
        <v>950.69728</v>
      </c>
      <c r="CB72" s="14" t="n">
        <v>12000</v>
      </c>
    </row>
    <row r="73" customFormat="false" ht="15" hidden="false" customHeight="false" outlineLevel="0" collapsed="false">
      <c r="A73" s="0" t="s">
        <v>2909</v>
      </c>
      <c r="B73" s="14" t="n">
        <v>2465.07954157611</v>
      </c>
      <c r="C73" s="14" t="n">
        <v>7956.89610146433</v>
      </c>
      <c r="D73" s="14" t="n">
        <v>21191.0313140156</v>
      </c>
      <c r="E73" s="14" t="n">
        <v>4033.97953827579</v>
      </c>
      <c r="F73" s="14" t="n">
        <v>-1670.92516943724</v>
      </c>
      <c r="G73" s="14" t="n">
        <v>5386.62886365446</v>
      </c>
      <c r="H73" s="14" t="n">
        <v>6807.06543017575</v>
      </c>
      <c r="I73" s="15" t="n">
        <v>0.01</v>
      </c>
      <c r="J73" s="15" t="n">
        <v>0</v>
      </c>
      <c r="K73" s="14" t="s">
        <v>58</v>
      </c>
      <c r="L73" s="14" t="n">
        <v>-8353.15196367053</v>
      </c>
      <c r="M73" s="14" t="n">
        <v>36106.0961756404</v>
      </c>
      <c r="N73" s="14" t="n">
        <v>12523.1223416732</v>
      </c>
      <c r="O73" s="14" t="n">
        <v>-21987.575536611</v>
      </c>
      <c r="P73" s="14" t="n">
        <v>951.290832135856</v>
      </c>
      <c r="Q73" s="14" t="n">
        <v>51.8645775489708</v>
      </c>
      <c r="R73" s="14" t="n">
        <v>18992.081972776</v>
      </c>
      <c r="S73" s="14" t="n">
        <v>27305.7585762803</v>
      </c>
      <c r="T73" s="14" t="n">
        <v>-955.692204749296</v>
      </c>
      <c r="U73" s="14" t="n">
        <v>-2926.73921852715</v>
      </c>
      <c r="V73" s="14" t="n">
        <v>0.750319556751226</v>
      </c>
      <c r="W73" s="14" t="n">
        <v>53582.6062961663</v>
      </c>
      <c r="X73" s="14" t="n">
        <v>23007.6528456256</v>
      </c>
      <c r="Y73" s="14" t="n">
        <v>0</v>
      </c>
      <c r="Z73" s="14" t="n">
        <v>0</v>
      </c>
      <c r="AA73" s="14" t="n">
        <v>27.424347870838</v>
      </c>
      <c r="AB73" s="14" t="n">
        <v>25.224347870838</v>
      </c>
      <c r="AC73" s="14" t="n">
        <v>26.674347870838</v>
      </c>
      <c r="AD73" s="14" t="n">
        <v>21.0618991648036</v>
      </c>
      <c r="AE73" s="14" t="n">
        <v>674.686407680941</v>
      </c>
      <c r="AF73" s="14" t="n">
        <v>0.03</v>
      </c>
      <c r="AG73" s="14" t="n">
        <v>0.667430425644163</v>
      </c>
      <c r="AH73" s="14" t="n">
        <v>8441.05458226278</v>
      </c>
      <c r="AI73" s="14" t="n">
        <v>21191.0313140156</v>
      </c>
      <c r="AJ73" s="14" t="n">
        <v>19.7391827628362</v>
      </c>
      <c r="AK73" s="14" t="n">
        <v>0</v>
      </c>
      <c r="AL73" s="14" t="n">
        <v>-39520.4578149143</v>
      </c>
      <c r="AM73" s="14" t="n">
        <v>812.6073</v>
      </c>
      <c r="AN73" s="14" t="n">
        <v>20079.98904</v>
      </c>
      <c r="AO73" s="14" t="n">
        <v>-5508.72242389994</v>
      </c>
      <c r="AP73" s="14" t="n">
        <v>0.448161561074905</v>
      </c>
      <c r="AQ73" s="14" t="n">
        <v>0</v>
      </c>
      <c r="AR73" s="14" t="n">
        <v>327.195752</v>
      </c>
      <c r="AS73" s="14" t="n">
        <v>314.925245</v>
      </c>
      <c r="AT73" s="14" t="n">
        <v>-8353.15196367053</v>
      </c>
      <c r="AU73" s="14" t="n">
        <v>12.270507</v>
      </c>
      <c r="AV73" s="14" t="n">
        <v>0</v>
      </c>
      <c r="AW73" s="14" t="n">
        <v>2254.3125</v>
      </c>
      <c r="AX73" s="14" t="n">
        <v>314.925245</v>
      </c>
      <c r="AY73" s="14" t="n">
        <v>314.925245</v>
      </c>
      <c r="AZ73" s="14" t="n">
        <v>4474.35844953744</v>
      </c>
      <c r="BA73" s="14" t="n">
        <v>11.4447519151237</v>
      </c>
      <c r="BB73" s="14" t="n">
        <v>20.10204453706</v>
      </c>
      <c r="BC73" s="14" t="n">
        <v>34.3298997458625</v>
      </c>
      <c r="BD73" s="14" t="n">
        <v>-5.08067650538881</v>
      </c>
      <c r="BE73" s="14" t="n">
        <v>-3.389032187156</v>
      </c>
      <c r="BF73" s="14" t="n">
        <v>5.28542761383372</v>
      </c>
      <c r="BG73" s="14" t="n">
        <v>6.97707193206652</v>
      </c>
      <c r="BH73" s="14" t="n">
        <v>10.9956654944829</v>
      </c>
      <c r="BI73" s="14" t="n">
        <v>14.5375344778911</v>
      </c>
      <c r="BJ73" s="14" t="n">
        <v>3.71992671744367</v>
      </c>
      <c r="BK73" s="14" t="n">
        <v>4.46573109600205</v>
      </c>
      <c r="BL73" s="14" t="n">
        <v>6.42123287671233</v>
      </c>
      <c r="BM73" s="14" t="n">
        <v>8712.70308277889</v>
      </c>
      <c r="BN73" s="14" t="n">
        <v>7924.5293644341</v>
      </c>
      <c r="BO73" s="14" t="n">
        <v>7924.5293644341</v>
      </c>
      <c r="BP73" s="14" t="n">
        <v>327.195752</v>
      </c>
      <c r="BQ73" s="14" t="n">
        <v>301.7195</v>
      </c>
      <c r="BR73" s="14" t="n">
        <v>1081.9108</v>
      </c>
      <c r="BS73" s="14" t="s">
        <v>2855</v>
      </c>
      <c r="BT73" s="14" t="n">
        <v>37.9555555555556</v>
      </c>
      <c r="BU73" s="14" t="n">
        <v>0.202495480090107</v>
      </c>
      <c r="BV73" s="14" t="n">
        <v>0.204285232461873</v>
      </c>
      <c r="BW73" s="14" t="n">
        <v>13510.8578038903</v>
      </c>
      <c r="BX73" s="14" t="n">
        <v>27107.0656988521</v>
      </c>
      <c r="BY73" s="14" t="n">
        <v>103.574493625307</v>
      </c>
      <c r="BZ73" s="14" t="n">
        <v>0</v>
      </c>
      <c r="CA73" s="14" t="n">
        <v>950.69728</v>
      </c>
      <c r="CB73" s="14" t="n">
        <v>12000</v>
      </c>
    </row>
    <row r="74" customFormat="false" ht="15" hidden="false" customHeight="false" outlineLevel="0" collapsed="false">
      <c r="A74" s="0" t="s">
        <v>2910</v>
      </c>
      <c r="B74" s="14" t="n">
        <v>2465.07954157611</v>
      </c>
      <c r="C74" s="14" t="n">
        <v>6780.01708687863</v>
      </c>
      <c r="D74" s="14" t="n">
        <v>16955.7668933197</v>
      </c>
      <c r="E74" s="14" t="n">
        <v>3198.39543791994</v>
      </c>
      <c r="F74" s="14" t="n">
        <v>-2092.40380438917</v>
      </c>
      <c r="G74" s="14" t="n">
        <v>5019.59855883396</v>
      </c>
      <c r="H74" s="14" t="n">
        <v>-21383.1389377051</v>
      </c>
      <c r="I74" s="15" t="n">
        <v>0.01</v>
      </c>
      <c r="J74" s="15" t="n">
        <v>0</v>
      </c>
      <c r="K74" s="14" t="s">
        <v>60</v>
      </c>
      <c r="L74" s="14" t="n">
        <v>-5458.28416064784</v>
      </c>
      <c r="M74" s="14" t="n">
        <v>33788.3624592376</v>
      </c>
      <c r="N74" s="14" t="n">
        <v>9304.32138194432</v>
      </c>
      <c r="O74" s="14" t="n">
        <v>-21912.0724049032</v>
      </c>
      <c r="P74" s="14" t="n">
        <v>951.290832135856</v>
      </c>
      <c r="Q74" s="14" t="n">
        <v>-2253.6322508782</v>
      </c>
      <c r="R74" s="14" t="n">
        <v>17617.7170533315</v>
      </c>
      <c r="S74" s="14" t="n">
        <v>26906.3222878664</v>
      </c>
      <c r="T74" s="14" t="n">
        <v>-955.692204749296</v>
      </c>
      <c r="U74" s="14" t="n">
        <v>-30602.9211419636</v>
      </c>
      <c r="V74" s="14" t="n">
        <v>0.750319556751226</v>
      </c>
      <c r="W74" s="14" t="n">
        <v>33996.5632013231</v>
      </c>
      <c r="X74" s="14" t="n">
        <v>22099.9789423105</v>
      </c>
      <c r="Y74" s="14" t="n">
        <v>0</v>
      </c>
      <c r="Z74" s="14" t="n">
        <v>0</v>
      </c>
      <c r="AA74" s="14" t="n">
        <v>27.424347870838</v>
      </c>
      <c r="AB74" s="14" t="n">
        <v>25.224347870838</v>
      </c>
      <c r="AC74" s="14" t="n">
        <v>26.674347870838</v>
      </c>
      <c r="AD74" s="14" t="n">
        <v>21.0618991648036</v>
      </c>
      <c r="AE74" s="14" t="n">
        <v>674.686407680941</v>
      </c>
      <c r="AF74" s="14" t="n">
        <v>0.03</v>
      </c>
      <c r="AG74" s="14" t="n">
        <v>0.620726255745269</v>
      </c>
      <c r="AH74" s="14" t="n">
        <v>9819.91719809611</v>
      </c>
      <c r="AI74" s="14" t="n">
        <v>16955.7668933197</v>
      </c>
      <c r="AJ74" s="14" t="n">
        <v>11.97975</v>
      </c>
      <c r="AK74" s="14" t="n">
        <v>0</v>
      </c>
      <c r="AL74" s="14" t="n">
        <v>-43476.1906810328</v>
      </c>
      <c r="AM74" s="14" t="n">
        <v>812.6073</v>
      </c>
      <c r="AN74" s="14" t="n">
        <v>20079.98904</v>
      </c>
      <c r="AO74" s="14" t="n">
        <v>-5508.72242389994</v>
      </c>
      <c r="AP74" s="14" t="n">
        <v>0.748513771068273</v>
      </c>
      <c r="AQ74" s="14" t="n">
        <v>0</v>
      </c>
      <c r="AR74" s="14" t="n">
        <v>327.195752</v>
      </c>
      <c r="AS74" s="14" t="n">
        <v>314.925245</v>
      </c>
      <c r="AT74" s="14" t="n">
        <v>-5458.28416064784</v>
      </c>
      <c r="AU74" s="14" t="n">
        <v>12.270507</v>
      </c>
      <c r="AV74" s="14" t="n">
        <v>0</v>
      </c>
      <c r="AW74" s="14" t="n">
        <v>2254.3125</v>
      </c>
      <c r="AX74" s="14" t="n">
        <v>314.925245</v>
      </c>
      <c r="AY74" s="14" t="n">
        <v>314.925245</v>
      </c>
      <c r="AZ74" s="14" t="n">
        <v>4660.89588567426</v>
      </c>
      <c r="BA74" s="14" t="n">
        <v>13.6692794552428</v>
      </c>
      <c r="BB74" s="14" t="n">
        <v>22.3265720771792</v>
      </c>
      <c r="BC74" s="14" t="n">
        <v>36.5544272859816</v>
      </c>
      <c r="BD74" s="14" t="n">
        <v>-5.08067650538881</v>
      </c>
      <c r="BE74" s="14" t="n">
        <v>-3.389032187156</v>
      </c>
      <c r="BF74" s="14" t="n">
        <v>5.28542761383372</v>
      </c>
      <c r="BG74" s="14" t="n">
        <v>6.97707193206652</v>
      </c>
      <c r="BH74" s="14" t="n">
        <v>10.9956654944829</v>
      </c>
      <c r="BI74" s="14" t="n">
        <v>14.5375344778911</v>
      </c>
      <c r="BJ74" s="14" t="n">
        <v>3.71992671744367</v>
      </c>
      <c r="BK74" s="14" t="n">
        <v>4.46573109600205</v>
      </c>
      <c r="BL74" s="14" t="n">
        <v>6.42123287671233</v>
      </c>
      <c r="BM74" s="14" t="n">
        <v>8712.70308277889</v>
      </c>
      <c r="BN74" s="14" t="n">
        <v>6747.6503498484</v>
      </c>
      <c r="BO74" s="14" t="n">
        <v>6747.6503498484</v>
      </c>
      <c r="BP74" s="14" t="n">
        <v>327.195752</v>
      </c>
      <c r="BQ74" s="14" t="n">
        <v>301.7195</v>
      </c>
      <c r="BR74" s="14" t="n">
        <v>1081.9108</v>
      </c>
      <c r="BS74" s="14" t="s">
        <v>2856</v>
      </c>
      <c r="BT74" s="14" t="n">
        <v>37.9555555555556</v>
      </c>
      <c r="BU74" s="14" t="n">
        <v>0.202495480090107</v>
      </c>
      <c r="BV74" s="14" t="n">
        <v>0.204285232461873</v>
      </c>
      <c r="BW74" s="14" t="n">
        <v>13510.8578038903</v>
      </c>
      <c r="BX74" s="14" t="n">
        <v>27107.0656988521</v>
      </c>
      <c r="BY74" s="14" t="n">
        <v>111.76509145928</v>
      </c>
      <c r="BZ74" s="14" t="n">
        <v>0</v>
      </c>
      <c r="CA74" s="14" t="n">
        <v>950.69728</v>
      </c>
      <c r="CB74" s="14" t="n">
        <v>12000</v>
      </c>
    </row>
    <row r="75" customFormat="false" ht="15" hidden="false" customHeight="false" outlineLevel="0" collapsed="false">
      <c r="A75" s="0" t="s">
        <v>2911</v>
      </c>
      <c r="B75" s="14" t="n">
        <v>2822.95391308961</v>
      </c>
      <c r="C75" s="14" t="n">
        <v>13762.4032760641</v>
      </c>
      <c r="D75" s="14" t="n">
        <v>30419.9622517823</v>
      </c>
      <c r="E75" s="14" t="n">
        <v>8019.48330102835</v>
      </c>
      <c r="F75" s="14" t="n">
        <v>2186.29337288072</v>
      </c>
      <c r="G75" s="14" t="n">
        <v>5282.69379710507</v>
      </c>
      <c r="H75" s="14" t="n">
        <v>135594.508245563</v>
      </c>
      <c r="I75" s="15" t="n">
        <v>356.607622917543</v>
      </c>
      <c r="J75" s="15" t="n">
        <v>394.030191470345</v>
      </c>
      <c r="K75" s="14" t="s">
        <v>58</v>
      </c>
      <c r="L75" s="14" t="n">
        <v>-11122.2344984339</v>
      </c>
      <c r="M75" s="14" t="n">
        <v>37696.1157155213</v>
      </c>
      <c r="N75" s="14" t="n">
        <v>19439.1186512272</v>
      </c>
      <c r="O75" s="14" t="n">
        <v>-14644.7079620689</v>
      </c>
      <c r="P75" s="14" t="n">
        <v>1212.1769462832</v>
      </c>
      <c r="Q75" s="14" t="n">
        <v>7565.88500421239</v>
      </c>
      <c r="R75" s="14" t="n">
        <v>23963.3261282618</v>
      </c>
      <c r="S75" s="14" t="n">
        <v>22514.5060450356</v>
      </c>
      <c r="T75" s="14" t="n">
        <v>-533.47336857847</v>
      </c>
      <c r="U75" s="14" t="n">
        <v>138400.40653411</v>
      </c>
      <c r="V75" s="14" t="n">
        <v>0.750319556751226</v>
      </c>
      <c r="W75" s="14" t="n">
        <v>163329.005865574</v>
      </c>
      <c r="X75" s="14" t="n">
        <v>23387.0064726318</v>
      </c>
      <c r="Y75" s="14" t="n">
        <v>372.323534172034</v>
      </c>
      <c r="Z75" s="14" t="n">
        <v>494.2714721804</v>
      </c>
      <c r="AA75" s="14" t="n">
        <v>43.041696075</v>
      </c>
      <c r="AB75" s="14" t="n">
        <v>40.841696075</v>
      </c>
      <c r="AC75" s="14" t="n">
        <v>42.291696075</v>
      </c>
      <c r="AD75" s="14" t="n">
        <v>33.0560225856</v>
      </c>
      <c r="AE75" s="14" t="n">
        <v>785.656190328325</v>
      </c>
      <c r="AF75" s="14" t="n">
        <v>0.035</v>
      </c>
      <c r="AG75" s="14" t="n">
        <v>0.705389662089965</v>
      </c>
      <c r="AH75" s="14" t="n">
        <v>3709.5941014662</v>
      </c>
      <c r="AI75" s="14" t="n">
        <v>30419.9622517823</v>
      </c>
      <c r="AJ75" s="14" t="n">
        <v>22.5205493581907</v>
      </c>
      <c r="AK75" s="14" t="n">
        <v>0</v>
      </c>
      <c r="AL75" s="14" t="n">
        <v>-23298.9092959418</v>
      </c>
      <c r="AM75" s="14" t="n">
        <v>1071.7478</v>
      </c>
      <c r="AN75" s="14" t="n">
        <v>26532.1623755</v>
      </c>
      <c r="AO75" s="14" t="n">
        <v>-8420.54944033089</v>
      </c>
      <c r="AP75" s="14" t="n">
        <v>0</v>
      </c>
      <c r="AQ75" s="14" t="n">
        <v>351.812670955665</v>
      </c>
      <c r="AR75" s="14" t="n">
        <v>422.943060623435</v>
      </c>
      <c r="AS75" s="14" t="n">
        <v>388.102770775913</v>
      </c>
      <c r="AT75" s="14" t="n">
        <v>-11122.2344984339</v>
      </c>
      <c r="AU75" s="14" t="n">
        <v>12.270507</v>
      </c>
      <c r="AV75" s="14" t="n">
        <v>0</v>
      </c>
      <c r="AW75" s="14" t="n">
        <v>3694.865</v>
      </c>
      <c r="AX75" s="14" t="n">
        <v>388.102770775913</v>
      </c>
      <c r="AY75" s="14" t="n">
        <v>350.215589079255</v>
      </c>
      <c r="AZ75" s="14" t="n">
        <v>8425.67990670636</v>
      </c>
      <c r="BA75" s="14" t="n">
        <v>16.3335758978705</v>
      </c>
      <c r="BB75" s="14" t="n">
        <v>24.9908685198069</v>
      </c>
      <c r="BC75" s="14" t="n">
        <v>40.3604827018393</v>
      </c>
      <c r="BD75" s="14" t="n">
        <v>-3.55038744745451</v>
      </c>
      <c r="BE75" s="14" t="n">
        <v>3.53990841820985</v>
      </c>
      <c r="BF75" s="14" t="n">
        <v>6.57556217098934</v>
      </c>
      <c r="BG75" s="14" t="n">
        <v>13.6658580366537</v>
      </c>
      <c r="BH75" s="14" t="n">
        <v>12.452622461208</v>
      </c>
      <c r="BI75" s="14" t="n">
        <v>22.6119333489254</v>
      </c>
      <c r="BJ75" s="14" t="n">
        <v>4.18491755712413</v>
      </c>
      <c r="BK75" s="14" t="n">
        <v>5.02394748300231</v>
      </c>
      <c r="BL75" s="14" t="n">
        <v>7.13470319634703</v>
      </c>
      <c r="BM75" s="14" t="n">
        <v>12077.6391665806</v>
      </c>
      <c r="BN75" s="14" t="n">
        <v>13728.573715926</v>
      </c>
      <c r="BO75" s="14" t="n">
        <v>13728.573715926</v>
      </c>
      <c r="BP75" s="14" t="n">
        <v>422.943060623435</v>
      </c>
      <c r="BQ75" s="14" t="n">
        <v>413.9493</v>
      </c>
      <c r="BR75" s="14" t="n">
        <v>1369.2143</v>
      </c>
      <c r="BS75" s="14" t="s">
        <v>2855</v>
      </c>
      <c r="BT75" s="14" t="n">
        <v>37.9555555555556</v>
      </c>
      <c r="BU75" s="14" t="n">
        <v>0.202495480090107</v>
      </c>
      <c r="BV75" s="14" t="n">
        <v>0.261164364412283</v>
      </c>
      <c r="BW75" s="14" t="n">
        <v>0</v>
      </c>
      <c r="BX75" s="14" t="n">
        <v>5227.25443172942</v>
      </c>
      <c r="BY75" s="14" t="n">
        <v>80.4329895277084</v>
      </c>
      <c r="BZ75" s="14" t="n">
        <v>0</v>
      </c>
      <c r="CA75" s="14" t="n">
        <v>872.7296</v>
      </c>
      <c r="CB75" s="14" t="n">
        <v>12000</v>
      </c>
    </row>
    <row r="76" customFormat="false" ht="15" hidden="false" customHeight="false" outlineLevel="0" collapsed="false">
      <c r="A76" s="0" t="s">
        <v>2912</v>
      </c>
      <c r="B76" s="14" t="n">
        <v>2161.09062763565</v>
      </c>
      <c r="C76" s="14" t="n">
        <v>3976.83854212675</v>
      </c>
      <c r="D76" s="14" t="n">
        <v>10933.9941489898</v>
      </c>
      <c r="E76" s="14" t="n">
        <v>1626.79334782789</v>
      </c>
      <c r="F76" s="14" t="n">
        <v>-4131.10601652273</v>
      </c>
      <c r="G76" s="14" t="n">
        <v>5598.82582266555</v>
      </c>
      <c r="H76" s="14" t="n">
        <v>-31336.6265663163</v>
      </c>
      <c r="I76" s="15" t="n">
        <v>0.01</v>
      </c>
      <c r="J76" s="15" t="n">
        <v>0</v>
      </c>
      <c r="K76" s="14" t="s">
        <v>83</v>
      </c>
      <c r="L76" s="14" t="n">
        <v>3950.86300929732</v>
      </c>
      <c r="M76" s="14" t="n">
        <v>23408.3193280925</v>
      </c>
      <c r="N76" s="14" t="n">
        <v>5260.83254916512</v>
      </c>
      <c r="O76" s="14" t="n">
        <v>-16954.7102715193</v>
      </c>
      <c r="P76" s="14" t="n">
        <v>747.002337313713</v>
      </c>
      <c r="Q76" s="14" t="n">
        <v>-6269.89849129765</v>
      </c>
      <c r="R76" s="14" t="n">
        <v>10749.8273603027</v>
      </c>
      <c r="S76" s="14" t="n">
        <v>27584.0269229798</v>
      </c>
      <c r="T76" s="14" t="n">
        <v>-1436.17830391911</v>
      </c>
      <c r="U76" s="14" t="n">
        <v>-40558.9729770051</v>
      </c>
      <c r="V76" s="14" t="n">
        <v>0.750319556751226</v>
      </c>
      <c r="W76" s="14" t="n">
        <v>18739.1672215631</v>
      </c>
      <c r="X76" s="14" t="n">
        <v>14330.7874375401</v>
      </c>
      <c r="Y76" s="14" t="n">
        <v>0</v>
      </c>
      <c r="Z76" s="14" t="n">
        <v>0</v>
      </c>
      <c r="AA76" s="14" t="n">
        <v>22.27279275</v>
      </c>
      <c r="AB76" s="14" t="n">
        <v>20.07279275</v>
      </c>
      <c r="AC76" s="14" t="n">
        <v>21.52279275</v>
      </c>
      <c r="AD76" s="14" t="n">
        <v>17.105504832</v>
      </c>
      <c r="AE76" s="14" t="n">
        <v>594.149368983825</v>
      </c>
      <c r="AF76" s="14" t="n">
        <v>0.02</v>
      </c>
      <c r="AG76" s="14" t="n">
        <v>0.58809630086512</v>
      </c>
      <c r="AH76" s="14" t="n">
        <v>22530.2399423265</v>
      </c>
      <c r="AI76" s="14" t="n">
        <v>10933.9941489898</v>
      </c>
      <c r="AJ76" s="14" t="n">
        <v>17.4558999751261</v>
      </c>
      <c r="AK76" s="14" t="n">
        <v>0</v>
      </c>
      <c r="AL76" s="14" t="n">
        <v>-43068.5974833593</v>
      </c>
      <c r="AM76" s="14" t="n">
        <v>470.44678</v>
      </c>
      <c r="AN76" s="14" t="n">
        <v>12000</v>
      </c>
      <c r="AO76" s="14" t="n">
        <v>-2079.00657489433</v>
      </c>
      <c r="AP76" s="14" t="n">
        <v>1</v>
      </c>
      <c r="AQ76" s="14" t="n">
        <v>0</v>
      </c>
      <c r="AR76" s="14" t="n">
        <v>376.701942829579</v>
      </c>
      <c r="AS76" s="14" t="n">
        <v>314.925245</v>
      </c>
      <c r="AT76" s="14" t="n">
        <v>3950.86300929732</v>
      </c>
      <c r="AU76" s="14" t="n">
        <v>61.7766978295787</v>
      </c>
      <c r="AV76" s="14" t="n">
        <v>0</v>
      </c>
      <c r="AW76" s="14" t="n">
        <v>998.76</v>
      </c>
      <c r="AX76" s="14" t="n">
        <v>314.925245</v>
      </c>
      <c r="AY76" s="14" t="n">
        <v>314.925245</v>
      </c>
      <c r="AZ76" s="14" t="n">
        <v>1660.06328760634</v>
      </c>
      <c r="BA76" s="14" t="n">
        <v>8.11925025863688</v>
      </c>
      <c r="BB76" s="14" t="n">
        <v>16.7765428805732</v>
      </c>
      <c r="BC76" s="14" t="n">
        <v>29.6512599278092</v>
      </c>
      <c r="BD76" s="14" t="n">
        <v>-10.5228208376523</v>
      </c>
      <c r="BE76" s="14" t="n">
        <v>-16.0462338006397</v>
      </c>
      <c r="BF76" s="14" t="n">
        <v>0.281691530055532</v>
      </c>
      <c r="BG76" s="14" t="n">
        <v>-5.24172143293188</v>
      </c>
      <c r="BH76" s="14" t="n">
        <v>4.7826220308265</v>
      </c>
      <c r="BI76" s="14" t="n">
        <v>-0.403691541818507</v>
      </c>
      <c r="BJ76" s="14" t="n">
        <v>3.37118358768332</v>
      </c>
      <c r="BK76" s="14" t="n">
        <v>4.04706880575186</v>
      </c>
      <c r="BL76" s="14" t="n">
        <v>5.70776255707763</v>
      </c>
      <c r="BM76" s="14" t="n">
        <v>5354.49215439957</v>
      </c>
      <c r="BN76" s="14" t="n">
        <v>3947.23854212675</v>
      </c>
      <c r="BO76" s="14" t="n">
        <v>3947.23854212675</v>
      </c>
      <c r="BP76" s="14" t="n">
        <v>376.701942829579</v>
      </c>
      <c r="BQ76" s="14" t="n">
        <v>189.4897</v>
      </c>
      <c r="BR76" s="14" t="n">
        <v>794.6073</v>
      </c>
      <c r="BS76" s="14" t="s">
        <v>2856</v>
      </c>
      <c r="BT76" s="14" t="n">
        <v>37.9555555555556</v>
      </c>
      <c r="BU76" s="14" t="n">
        <v>0.174994125827535</v>
      </c>
      <c r="BV76" s="14" t="n">
        <v>0.127439810912424</v>
      </c>
      <c r="BW76" s="14" t="n">
        <v>13510.8578038903</v>
      </c>
      <c r="BX76" s="14" t="n">
        <v>14061.88573854</v>
      </c>
      <c r="BY76" s="14" t="n">
        <v>199.566430225792</v>
      </c>
      <c r="BZ76" s="14" t="n">
        <v>1732.5375</v>
      </c>
      <c r="CA76" s="14" t="n">
        <v>1028.66496</v>
      </c>
      <c r="CB76" s="14" t="n">
        <v>12000</v>
      </c>
    </row>
    <row r="77" customFormat="false" ht="15" hidden="false" customHeight="false" outlineLevel="0" collapsed="false">
      <c r="A77" s="0" t="s">
        <v>2913</v>
      </c>
      <c r="B77" s="14" t="n">
        <v>2465.07954157611</v>
      </c>
      <c r="C77" s="14" t="n">
        <v>7505.46533149617</v>
      </c>
      <c r="D77" s="14" t="n">
        <v>20180.6645744977</v>
      </c>
      <c r="E77" s="14" t="n">
        <v>3713.46369159839</v>
      </c>
      <c r="F77" s="14" t="n">
        <v>-1606.96308130411</v>
      </c>
      <c r="G77" s="14" t="n">
        <v>5020.20815964266</v>
      </c>
      <c r="H77" s="14" t="n">
        <v>-5539.09254712372</v>
      </c>
      <c r="I77" s="15" t="n">
        <v>0.01</v>
      </c>
      <c r="J77" s="15" t="n">
        <v>0</v>
      </c>
      <c r="K77" s="14" t="s">
        <v>60</v>
      </c>
      <c r="L77" s="14" t="n">
        <v>-4956.48323642636</v>
      </c>
      <c r="M77" s="14" t="n">
        <v>33802.8714241299</v>
      </c>
      <c r="N77" s="14" t="n">
        <v>11755.2436196396</v>
      </c>
      <c r="O77" s="14" t="n">
        <v>-19023.84719661</v>
      </c>
      <c r="P77" s="14" t="n">
        <v>951.290832135856</v>
      </c>
      <c r="Q77" s="14" t="n">
        <v>61.4155828462322</v>
      </c>
      <c r="R77" s="14" t="n">
        <v>17617.7170533315</v>
      </c>
      <c r="S77" s="14" t="n">
        <v>26970.82024149</v>
      </c>
      <c r="T77" s="14" t="n">
        <v>-955.692204749296</v>
      </c>
      <c r="U77" s="14" t="n">
        <v>-14758.8747513822</v>
      </c>
      <c r="V77" s="14" t="n">
        <v>0.750319556751226</v>
      </c>
      <c r="W77" s="14" t="n">
        <v>41250.2772667983</v>
      </c>
      <c r="X77" s="14" t="n">
        <v>22173.3734272866</v>
      </c>
      <c r="Y77" s="14" t="n">
        <v>0</v>
      </c>
      <c r="Z77" s="14" t="n">
        <v>0</v>
      </c>
      <c r="AA77" s="14" t="n">
        <v>27.424347870838</v>
      </c>
      <c r="AB77" s="14" t="n">
        <v>25.224347870838</v>
      </c>
      <c r="AC77" s="14" t="n">
        <v>26.674347870838</v>
      </c>
      <c r="AD77" s="14" t="n">
        <v>21.0618991648036</v>
      </c>
      <c r="AE77" s="14" t="n">
        <v>674.686407680941</v>
      </c>
      <c r="AF77" s="14" t="n">
        <v>0.03</v>
      </c>
      <c r="AG77" s="14" t="n">
        <v>0.62</v>
      </c>
      <c r="AH77" s="14" t="n">
        <v>9819.91719809611</v>
      </c>
      <c r="AI77" s="14" t="n">
        <v>20180.6645744977</v>
      </c>
      <c r="AJ77" s="14" t="n">
        <v>16.69175</v>
      </c>
      <c r="AK77" s="14" t="n">
        <v>0</v>
      </c>
      <c r="AL77" s="14" t="n">
        <v>-37398.180075381</v>
      </c>
      <c r="AM77" s="14" t="n">
        <v>812.6073</v>
      </c>
      <c r="AN77" s="14" t="n">
        <v>20079.98904</v>
      </c>
      <c r="AO77" s="14" t="n">
        <v>-5508.72242389994</v>
      </c>
      <c r="AP77" s="14" t="n">
        <v>0.516474502037109</v>
      </c>
      <c r="AQ77" s="14" t="n">
        <v>0</v>
      </c>
      <c r="AR77" s="14" t="n">
        <v>327.195752</v>
      </c>
      <c r="AS77" s="14" t="n">
        <v>314.925245</v>
      </c>
      <c r="AT77" s="14" t="n">
        <v>-4956.48323642636</v>
      </c>
      <c r="AU77" s="14" t="n">
        <v>12.270507</v>
      </c>
      <c r="AV77" s="14" t="n">
        <v>0</v>
      </c>
      <c r="AW77" s="14" t="n">
        <v>2254.3125</v>
      </c>
      <c r="AX77" s="14" t="n">
        <v>314.925245</v>
      </c>
      <c r="AY77" s="14" t="n">
        <v>314.925245</v>
      </c>
      <c r="AZ77" s="14" t="n">
        <v>5150.57157410792</v>
      </c>
      <c r="BA77" s="14" t="n">
        <v>15.2241744540025</v>
      </c>
      <c r="BB77" s="14" t="n">
        <v>23.8814670759388</v>
      </c>
      <c r="BC77" s="14" t="n">
        <v>38.1093222847413</v>
      </c>
      <c r="BD77" s="14" t="n">
        <v>-5.08067650538881</v>
      </c>
      <c r="BE77" s="14" t="n">
        <v>-3.389032187156</v>
      </c>
      <c r="BF77" s="14" t="n">
        <v>5.28542761383372</v>
      </c>
      <c r="BG77" s="14" t="n">
        <v>6.97707193206652</v>
      </c>
      <c r="BH77" s="14" t="n">
        <v>10.9956654944829</v>
      </c>
      <c r="BI77" s="14" t="n">
        <v>14.5375344778911</v>
      </c>
      <c r="BJ77" s="14" t="n">
        <v>3.71992671744367</v>
      </c>
      <c r="BK77" s="14" t="n">
        <v>4.46573109600205</v>
      </c>
      <c r="BL77" s="14" t="n">
        <v>6.42123287671233</v>
      </c>
      <c r="BM77" s="14" t="n">
        <v>8712.70308277889</v>
      </c>
      <c r="BN77" s="14" t="n">
        <v>7473.09859446594</v>
      </c>
      <c r="BO77" s="14" t="n">
        <v>7473.09859446594</v>
      </c>
      <c r="BP77" s="14" t="n">
        <v>327.195752</v>
      </c>
      <c r="BQ77" s="14" t="n">
        <v>301.7195</v>
      </c>
      <c r="BR77" s="14" t="n">
        <v>1081.9108</v>
      </c>
      <c r="BS77" s="14" t="s">
        <v>2856</v>
      </c>
      <c r="BT77" s="14" t="n">
        <v>37.9555555555556</v>
      </c>
      <c r="BU77" s="14" t="n">
        <v>0.202495480090107</v>
      </c>
      <c r="BV77" s="14" t="n">
        <v>0.204285232461873</v>
      </c>
      <c r="BW77" s="14" t="n">
        <v>13510.8578038903</v>
      </c>
      <c r="BX77" s="14" t="n">
        <v>27107.0656988521</v>
      </c>
      <c r="BY77" s="14" t="n">
        <v>98.5445110578991</v>
      </c>
      <c r="BZ77" s="14" t="n">
        <v>0</v>
      </c>
      <c r="CA77" s="14" t="n">
        <v>950.69728</v>
      </c>
      <c r="CB77" s="14" t="n">
        <v>12000</v>
      </c>
    </row>
    <row r="78" customFormat="false" ht="15" hidden="false" customHeight="false" outlineLevel="0" collapsed="false">
      <c r="A78" s="0" t="s">
        <v>2914</v>
      </c>
      <c r="B78" s="14" t="n">
        <v>2465.07954157611</v>
      </c>
      <c r="C78" s="14" t="n">
        <v>7505.46533149617</v>
      </c>
      <c r="D78" s="14" t="n">
        <v>20180.6645744977</v>
      </c>
      <c r="E78" s="14" t="n">
        <v>3713.46369159839</v>
      </c>
      <c r="F78" s="14" t="n">
        <v>-1606.96308130411</v>
      </c>
      <c r="G78" s="14" t="n">
        <v>5020.20815964266</v>
      </c>
      <c r="H78" s="14" t="n">
        <v>-3126.69710599845</v>
      </c>
      <c r="I78" s="15" t="n">
        <v>0.01</v>
      </c>
      <c r="J78" s="15" t="n">
        <v>0</v>
      </c>
      <c r="K78" s="14" t="s">
        <v>60</v>
      </c>
      <c r="L78" s="14" t="n">
        <v>-4956.48323642636</v>
      </c>
      <c r="M78" s="14" t="n">
        <v>33802.8714241299</v>
      </c>
      <c r="N78" s="14" t="n">
        <v>11755.2436196396</v>
      </c>
      <c r="O78" s="14" t="n">
        <v>-19023.84719661</v>
      </c>
      <c r="P78" s="14" t="n">
        <v>951.290832135856</v>
      </c>
      <c r="Q78" s="14" t="n">
        <v>61.4155828462322</v>
      </c>
      <c r="R78" s="14" t="n">
        <v>17617.7170533315</v>
      </c>
      <c r="S78" s="14" t="n">
        <v>26970.82024149</v>
      </c>
      <c r="T78" s="14" t="n">
        <v>-955.692204749296</v>
      </c>
      <c r="U78" s="14" t="n">
        <v>-12346.4793102569</v>
      </c>
      <c r="V78" s="14" t="n">
        <v>0.750319556751226</v>
      </c>
      <c r="W78" s="14" t="n">
        <v>42483.2836034372</v>
      </c>
      <c r="X78" s="14" t="n">
        <v>21527.5470167831</v>
      </c>
      <c r="Y78" s="14" t="n">
        <v>0</v>
      </c>
      <c r="Z78" s="14" t="n">
        <v>0</v>
      </c>
      <c r="AA78" s="14" t="n">
        <v>27.424347870838</v>
      </c>
      <c r="AB78" s="14" t="n">
        <v>25.224347870838</v>
      </c>
      <c r="AC78" s="14" t="n">
        <v>26.674347870838</v>
      </c>
      <c r="AD78" s="14" t="n">
        <v>21.0618991648036</v>
      </c>
      <c r="AE78" s="14" t="n">
        <v>674.686407680941</v>
      </c>
      <c r="AF78" s="14" t="n">
        <v>0</v>
      </c>
      <c r="AG78" s="14" t="n">
        <v>0.664073049535931</v>
      </c>
      <c r="AH78" s="14" t="n">
        <v>9819.91719809611</v>
      </c>
      <c r="AI78" s="14" t="n">
        <v>20180.6645744977</v>
      </c>
      <c r="AJ78" s="14" t="n">
        <v>16.69175</v>
      </c>
      <c r="AK78" s="14" t="n">
        <v>0</v>
      </c>
      <c r="AL78" s="14" t="n">
        <v>-37200.0960732068</v>
      </c>
      <c r="AM78" s="14" t="n">
        <v>812.6073</v>
      </c>
      <c r="AN78" s="14" t="n">
        <v>20079.98904</v>
      </c>
      <c r="AO78" s="14" t="n">
        <v>-5508.72242389994</v>
      </c>
      <c r="AP78" s="14" t="n">
        <v>0.516474502037109</v>
      </c>
      <c r="AQ78" s="14" t="n">
        <v>0</v>
      </c>
      <c r="AR78" s="14" t="n">
        <v>327.195752</v>
      </c>
      <c r="AS78" s="14" t="n">
        <v>314.925245</v>
      </c>
      <c r="AT78" s="14" t="n">
        <v>-4956.48323642636</v>
      </c>
      <c r="AU78" s="14" t="n">
        <v>12.270507</v>
      </c>
      <c r="AV78" s="14" t="n">
        <v>0</v>
      </c>
      <c r="AW78" s="14" t="n">
        <v>2254.3125</v>
      </c>
      <c r="AX78" s="14" t="n">
        <v>314.925245</v>
      </c>
      <c r="AY78" s="14" t="n">
        <v>314.925245</v>
      </c>
      <c r="AZ78" s="14" t="n">
        <v>5568.83612056339</v>
      </c>
      <c r="BA78" s="14" t="n">
        <v>16.5523136016134</v>
      </c>
      <c r="BB78" s="14" t="n">
        <v>25.2096062235498</v>
      </c>
      <c r="BC78" s="14" t="n">
        <v>38.2920108256858</v>
      </c>
      <c r="BD78" s="14" t="n">
        <v>-5.08067650538881</v>
      </c>
      <c r="BE78" s="14" t="n">
        <v>-3.389032187156</v>
      </c>
      <c r="BF78" s="14" t="n">
        <v>5.28542761383372</v>
      </c>
      <c r="BG78" s="14" t="n">
        <v>6.97707193206652</v>
      </c>
      <c r="BH78" s="14" t="n">
        <v>10.9956654944829</v>
      </c>
      <c r="BI78" s="14" t="n">
        <v>14.5375344778911</v>
      </c>
      <c r="BJ78" s="14" t="n">
        <v>3.71992671744367</v>
      </c>
      <c r="BK78" s="14" t="n">
        <v>4.46573109600205</v>
      </c>
      <c r="BL78" s="14" t="n">
        <v>6.42123287671233</v>
      </c>
      <c r="BM78" s="14" t="n">
        <v>8712.70308277889</v>
      </c>
      <c r="BN78" s="14" t="n">
        <v>7473.09859446594</v>
      </c>
      <c r="BO78" s="14" t="n">
        <v>7473.09859446594</v>
      </c>
      <c r="BP78" s="14" t="n">
        <v>327.195752</v>
      </c>
      <c r="BQ78" s="14" t="n">
        <v>301.7195</v>
      </c>
      <c r="BR78" s="14" t="n">
        <v>1081.9108</v>
      </c>
      <c r="BS78" s="14" t="s">
        <v>2856</v>
      </c>
      <c r="BT78" s="14" t="n">
        <v>37.9555555555556</v>
      </c>
      <c r="BU78" s="14" t="n">
        <v>0.202495480090107</v>
      </c>
      <c r="BV78" s="14" t="n">
        <v>0.204285232461873</v>
      </c>
      <c r="BW78" s="14" t="n">
        <v>13510.8578038903</v>
      </c>
      <c r="BX78" s="14" t="n">
        <v>27107.0656988521</v>
      </c>
      <c r="BY78" s="14" t="n">
        <v>98.1216364538248</v>
      </c>
      <c r="BZ78" s="14" t="n">
        <v>0</v>
      </c>
      <c r="CA78" s="14" t="n">
        <v>950.69728</v>
      </c>
      <c r="CB78" s="14" t="n">
        <v>12000</v>
      </c>
    </row>
    <row r="79" customFormat="false" ht="15" hidden="false" customHeight="false" outlineLevel="0" collapsed="false">
      <c r="A79" s="0" t="s">
        <v>2915</v>
      </c>
      <c r="B79" s="14" t="n">
        <v>2459.56905536219</v>
      </c>
      <c r="C79" s="14" t="n">
        <v>7511.19546585623</v>
      </c>
      <c r="D79" s="14" t="n">
        <v>20213.2759026459</v>
      </c>
      <c r="E79" s="14" t="n">
        <v>3693.41165728692</v>
      </c>
      <c r="F79" s="14" t="n">
        <v>-1680.27178050889</v>
      </c>
      <c r="G79" s="14" t="n">
        <v>5073.23561916156</v>
      </c>
      <c r="H79" s="14" t="n">
        <v>7865.8898214323</v>
      </c>
      <c r="I79" s="15" t="n">
        <v>0.01</v>
      </c>
      <c r="J79" s="15" t="n">
        <v>1.38565429278383</v>
      </c>
      <c r="K79" s="14" t="s">
        <v>60</v>
      </c>
      <c r="L79" s="14" t="n">
        <v>-5266.28962782809</v>
      </c>
      <c r="M79" s="14" t="n">
        <v>33802.9860268171</v>
      </c>
      <c r="N79" s="14" t="n">
        <v>11757.8044597451</v>
      </c>
      <c r="O79" s="14" t="n">
        <v>-19331.7449744692</v>
      </c>
      <c r="P79" s="14" t="n">
        <v>936.11756162734</v>
      </c>
      <c r="Q79" s="14" t="n">
        <v>9.59213655194617</v>
      </c>
      <c r="R79" s="14" t="n">
        <v>17882.8102306725</v>
      </c>
      <c r="S79" s="14" t="n">
        <v>26971.4724680529</v>
      </c>
      <c r="T79" s="14" t="n">
        <v>-970.642944413692</v>
      </c>
      <c r="U79" s="14" t="n">
        <v>-1626.146408292</v>
      </c>
      <c r="V79" s="14" t="n">
        <v>0.680687121553251</v>
      </c>
      <c r="W79" s="14" t="n">
        <v>53437.8154596559</v>
      </c>
      <c r="X79" s="14" t="n">
        <v>22228.6306329783</v>
      </c>
      <c r="Y79" s="14" t="n">
        <v>1.30351390958706</v>
      </c>
      <c r="Z79" s="14" t="n">
        <v>1.76934196645567</v>
      </c>
      <c r="AA79" s="14" t="n">
        <v>24.8792667666866</v>
      </c>
      <c r="AB79" s="14" t="n">
        <v>22.6792667666866</v>
      </c>
      <c r="AC79" s="14" t="n">
        <v>24.1292667666866</v>
      </c>
      <c r="AD79" s="14" t="n">
        <v>19.1072768768153</v>
      </c>
      <c r="AE79" s="14" t="n">
        <v>672.575012117954</v>
      </c>
      <c r="AF79" s="14" t="n">
        <v>0.03</v>
      </c>
      <c r="AG79" s="14" t="n">
        <v>0.663891064415959</v>
      </c>
      <c r="AH79" s="14" t="n">
        <v>9537.26852752383</v>
      </c>
      <c r="AI79" s="14" t="n">
        <v>20213.2759026459</v>
      </c>
      <c r="AJ79" s="14" t="n">
        <v>16.69175</v>
      </c>
      <c r="AK79" s="14" t="n">
        <v>0</v>
      </c>
      <c r="AL79" s="14" t="n">
        <v>-37486.7122956281</v>
      </c>
      <c r="AM79" s="14" t="n">
        <v>820.1176</v>
      </c>
      <c r="AN79" s="14" t="n">
        <v>20079.98904</v>
      </c>
      <c r="AO79" s="14" t="n">
        <v>-5508.72242389994</v>
      </c>
      <c r="AP79" s="14" t="n">
        <v>0.520728453250248</v>
      </c>
      <c r="AQ79" s="14" t="n">
        <v>1.22624273697684</v>
      </c>
      <c r="AR79" s="14" t="n">
        <v>327.195752</v>
      </c>
      <c r="AS79" s="14" t="n">
        <v>314.925245</v>
      </c>
      <c r="AT79" s="14" t="n">
        <v>-5266.28962782809</v>
      </c>
      <c r="AU79" s="14" t="n">
        <v>12.270507</v>
      </c>
      <c r="AV79" s="14" t="n">
        <v>0</v>
      </c>
      <c r="AW79" s="14" t="n">
        <v>2254.3125</v>
      </c>
      <c r="AX79" s="14" t="n">
        <v>314.925245</v>
      </c>
      <c r="AY79" s="14" t="n">
        <v>314.925245</v>
      </c>
      <c r="AZ79" s="14" t="n">
        <v>5508.45332086671</v>
      </c>
      <c r="BA79" s="14" t="n">
        <v>15.4960730161293</v>
      </c>
      <c r="BB79" s="14" t="n">
        <v>24.1533656380657</v>
      </c>
      <c r="BC79" s="14" t="n">
        <v>38.3812208468681</v>
      </c>
      <c r="BD79" s="14" t="n">
        <v>-5.08067650538881</v>
      </c>
      <c r="BE79" s="14" t="n">
        <v>-3.389032187156</v>
      </c>
      <c r="BF79" s="14" t="n">
        <v>5.28542761383372</v>
      </c>
      <c r="BG79" s="14" t="n">
        <v>6.97707193206652</v>
      </c>
      <c r="BH79" s="14" t="n">
        <v>10.9956654944829</v>
      </c>
      <c r="BI79" s="14" t="n">
        <v>14.5375344778911</v>
      </c>
      <c r="BJ79" s="14" t="n">
        <v>3.71992671744367</v>
      </c>
      <c r="BK79" s="14" t="n">
        <v>4.46573109600205</v>
      </c>
      <c r="BL79" s="14" t="n">
        <v>6.42123287671233</v>
      </c>
      <c r="BM79" s="14" t="n">
        <v>8712.70308277889</v>
      </c>
      <c r="BN79" s="14" t="n">
        <v>7478.828728826</v>
      </c>
      <c r="BO79" s="14" t="n">
        <v>7478.828728826</v>
      </c>
      <c r="BP79" s="14" t="n">
        <v>327.195752</v>
      </c>
      <c r="BQ79" s="14" t="n">
        <v>301.7195</v>
      </c>
      <c r="BR79" s="14" t="n">
        <v>1081.9108</v>
      </c>
      <c r="BS79" s="14" t="s">
        <v>2855</v>
      </c>
      <c r="BT79" s="14" t="n">
        <v>37.9555555555556</v>
      </c>
      <c r="BU79" s="14" t="n">
        <v>0.202495480090107</v>
      </c>
      <c r="BV79" s="14" t="n">
        <v>0.204285232461873</v>
      </c>
      <c r="BW79" s="14" t="n">
        <v>13510.8578038903</v>
      </c>
      <c r="BX79" s="14" t="n">
        <v>27107.0656988521</v>
      </c>
      <c r="BY79" s="14" t="n">
        <v>98.7785954363396</v>
      </c>
      <c r="BZ79" s="14" t="n">
        <v>0</v>
      </c>
      <c r="CA79" s="14" t="n">
        <v>950.69728</v>
      </c>
      <c r="CB79" s="14" t="n">
        <v>12000</v>
      </c>
    </row>
    <row r="80" customFormat="false" ht="15" hidden="false" customHeight="false" outlineLevel="0" collapsed="false">
      <c r="A80" s="0" t="s">
        <v>2916</v>
      </c>
      <c r="B80" s="14" t="n">
        <v>2411.48195157205</v>
      </c>
      <c r="C80" s="14" t="n">
        <v>7382.21857901564</v>
      </c>
      <c r="D80" s="14" t="n">
        <v>20073.6999072084</v>
      </c>
      <c r="E80" s="14" t="n">
        <v>3625.95849733722</v>
      </c>
      <c r="F80" s="14" t="n">
        <v>-1742.17495277861</v>
      </c>
      <c r="G80" s="14" t="n">
        <v>5072.8447069552</v>
      </c>
      <c r="H80" s="14" t="n">
        <v>6979.17619510009</v>
      </c>
      <c r="I80" s="15" t="n">
        <v>0.01</v>
      </c>
      <c r="J80" s="15" t="n">
        <v>0</v>
      </c>
      <c r="K80" s="14" t="s">
        <v>60</v>
      </c>
      <c r="L80" s="14" t="n">
        <v>-5351.16743470611</v>
      </c>
      <c r="M80" s="14" t="n">
        <v>33800.4064890803</v>
      </c>
      <c r="N80" s="14" t="n">
        <v>11673.9504724998</v>
      </c>
      <c r="O80" s="14" t="n">
        <v>-19497.6852486838</v>
      </c>
      <c r="P80" s="14" t="n">
        <v>915.693844724144</v>
      </c>
      <c r="Q80" s="14" t="n">
        <v>-67.7672071338161</v>
      </c>
      <c r="R80" s="14" t="n">
        <v>17881.8484885967</v>
      </c>
      <c r="S80" s="14" t="n">
        <v>26968.6809481442</v>
      </c>
      <c r="T80" s="14" t="n">
        <v>-989.128569966617</v>
      </c>
      <c r="U80" s="14" t="n">
        <v>-2518.57582432773</v>
      </c>
      <c r="V80" s="14" t="n">
        <v>0.680687121553251</v>
      </c>
      <c r="W80" s="14" t="n">
        <v>52783.9865062709</v>
      </c>
      <c r="X80" s="14" t="n">
        <v>22226.2201530947</v>
      </c>
      <c r="Y80" s="14" t="n">
        <v>0</v>
      </c>
      <c r="Z80" s="14" t="n">
        <v>0</v>
      </c>
      <c r="AA80" s="14" t="n">
        <v>24.8792667666866</v>
      </c>
      <c r="AB80" s="14" t="n">
        <v>22.6792667666866</v>
      </c>
      <c r="AC80" s="14" t="n">
        <v>24.1292667666866</v>
      </c>
      <c r="AD80" s="14" t="n">
        <v>19.1072768768153</v>
      </c>
      <c r="AE80" s="14" t="n">
        <v>657.967813452274</v>
      </c>
      <c r="AF80" s="14" t="n">
        <v>0.03</v>
      </c>
      <c r="AG80" s="14" t="n">
        <v>0.663817139233013</v>
      </c>
      <c r="AH80" s="14" t="n">
        <v>9517.75653953653</v>
      </c>
      <c r="AI80" s="14" t="n">
        <v>20073.6999072084</v>
      </c>
      <c r="AJ80" s="14" t="n">
        <v>16.69175</v>
      </c>
      <c r="AK80" s="14" t="n">
        <v>0</v>
      </c>
      <c r="AL80" s="14" t="n">
        <v>-37709.7614278029</v>
      </c>
      <c r="AM80" s="14" t="n">
        <v>812.6073</v>
      </c>
      <c r="AN80" s="14" t="n">
        <v>20079.98904</v>
      </c>
      <c r="AO80" s="14" t="n">
        <v>-5508.72242389994</v>
      </c>
      <c r="AP80" s="14" t="n">
        <v>0.552627763380929</v>
      </c>
      <c r="AQ80" s="14" t="n">
        <v>0</v>
      </c>
      <c r="AR80" s="14" t="n">
        <v>327.195752</v>
      </c>
      <c r="AS80" s="14" t="n">
        <v>314.925245</v>
      </c>
      <c r="AT80" s="14" t="n">
        <v>-5351.16743470611</v>
      </c>
      <c r="AU80" s="14" t="n">
        <v>12.270507</v>
      </c>
      <c r="AV80" s="14" t="n">
        <v>0</v>
      </c>
      <c r="AW80" s="14" t="n">
        <v>2254.3125</v>
      </c>
      <c r="AX80" s="14" t="n">
        <v>314.925245</v>
      </c>
      <c r="AY80" s="14" t="n">
        <v>314.925245</v>
      </c>
      <c r="AZ80" s="14" t="n">
        <v>5497.52561066616</v>
      </c>
      <c r="BA80" s="14" t="n">
        <v>15.4432239664951</v>
      </c>
      <c r="BB80" s="14" t="n">
        <v>24.1005165884315</v>
      </c>
      <c r="BC80" s="14" t="n">
        <v>38.3283717972339</v>
      </c>
      <c r="BD80" s="14" t="n">
        <v>-5.08067650538881</v>
      </c>
      <c r="BE80" s="14" t="n">
        <v>-3.389032187156</v>
      </c>
      <c r="BF80" s="14" t="n">
        <v>5.28542761383372</v>
      </c>
      <c r="BG80" s="14" t="n">
        <v>6.97707193206652</v>
      </c>
      <c r="BH80" s="14" t="n">
        <v>10.9956654944829</v>
      </c>
      <c r="BI80" s="14" t="n">
        <v>14.5375344778911</v>
      </c>
      <c r="BJ80" s="14" t="n">
        <v>3.71992671744367</v>
      </c>
      <c r="BK80" s="14" t="n">
        <v>4.46573109600205</v>
      </c>
      <c r="BL80" s="14" t="n">
        <v>6.42123287671233</v>
      </c>
      <c r="BM80" s="14" t="n">
        <v>8712.70308277889</v>
      </c>
      <c r="BN80" s="14" t="n">
        <v>7349.85184198541</v>
      </c>
      <c r="BO80" s="14" t="n">
        <v>7349.85184198541</v>
      </c>
      <c r="BP80" s="14" t="n">
        <v>327.195752</v>
      </c>
      <c r="BQ80" s="14" t="n">
        <v>301.7195</v>
      </c>
      <c r="BR80" s="14" t="n">
        <v>1081.9108</v>
      </c>
      <c r="BS80" s="14" t="s">
        <v>2855</v>
      </c>
      <c r="BT80" s="14" t="n">
        <v>37.9555555555556</v>
      </c>
      <c r="BU80" s="14" t="n">
        <v>0.202495480090107</v>
      </c>
      <c r="BV80" s="14" t="n">
        <v>0.204285232461873</v>
      </c>
      <c r="BW80" s="14" t="n">
        <v>13510.8578038903</v>
      </c>
      <c r="BX80" s="14" t="n">
        <v>27107.0656988521</v>
      </c>
      <c r="BY80" s="14" t="n">
        <v>99.2738356839733</v>
      </c>
      <c r="BZ80" s="14" t="n">
        <v>0</v>
      </c>
      <c r="CA80" s="14" t="n">
        <v>950.69728</v>
      </c>
      <c r="CB80" s="14" t="n">
        <v>12000</v>
      </c>
    </row>
    <row r="81" customFormat="false" ht="15" hidden="false" customHeight="false" outlineLevel="0" collapsed="false">
      <c r="A81" s="0" t="s">
        <v>2917</v>
      </c>
      <c r="B81" s="14" t="n">
        <v>2630.80272621423</v>
      </c>
      <c r="C81" s="14" t="n">
        <v>7836.91170077241</v>
      </c>
      <c r="D81" s="14" t="n">
        <v>20512.1109437739</v>
      </c>
      <c r="E81" s="14" t="n">
        <v>3948.79061378452</v>
      </c>
      <c r="F81" s="14" t="n">
        <v>-1386.0540761815</v>
      </c>
      <c r="G81" s="14" t="n">
        <v>5021.36822193513</v>
      </c>
      <c r="H81" s="14" t="n">
        <v>10165.701544348</v>
      </c>
      <c r="I81" s="15" t="n">
        <v>3.15886927247691</v>
      </c>
      <c r="J81" s="15" t="n">
        <v>10.4373553040801</v>
      </c>
      <c r="K81" s="14" t="s">
        <v>60</v>
      </c>
      <c r="L81" s="14" t="n">
        <v>-4625.47509271857</v>
      </c>
      <c r="M81" s="14" t="n">
        <v>33809.5003515155</v>
      </c>
      <c r="N81" s="14" t="n">
        <v>12007.1428602896</v>
      </c>
      <c r="O81" s="14" t="n">
        <v>-18447.5687396378</v>
      </c>
      <c r="P81" s="14" t="n">
        <v>1052.38197476511</v>
      </c>
      <c r="Q81" s="14" t="n">
        <v>297.571120955552</v>
      </c>
      <c r="R81" s="14" t="n">
        <v>17621.0315170243</v>
      </c>
      <c r="S81" s="14" t="n">
        <v>26977.4491688755</v>
      </c>
      <c r="T81" s="14" t="n">
        <v>-861.312851097888</v>
      </c>
      <c r="U81" s="14" t="n">
        <v>994.807679557764</v>
      </c>
      <c r="V81" s="14" t="n">
        <v>0.750319556751226</v>
      </c>
      <c r="W81" s="14" t="n">
        <v>55079.6614071741</v>
      </c>
      <c r="X81" s="14" t="n">
        <v>22179.1770532127</v>
      </c>
      <c r="Y81" s="14" t="n">
        <v>9.81863794528234</v>
      </c>
      <c r="Z81" s="14" t="n">
        <v>13.3274589877798</v>
      </c>
      <c r="AA81" s="14" t="n">
        <v>27.424347870838</v>
      </c>
      <c r="AB81" s="14" t="n">
        <v>25.224347870838</v>
      </c>
      <c r="AC81" s="14" t="n">
        <v>26.674347870838</v>
      </c>
      <c r="AD81" s="14" t="n">
        <v>21.0618991648036</v>
      </c>
      <c r="AE81" s="14" t="n">
        <v>757.548</v>
      </c>
      <c r="AF81" s="14" t="n">
        <v>0.03</v>
      </c>
      <c r="AG81" s="14" t="n">
        <v>0.665171299391834</v>
      </c>
      <c r="AH81" s="14" t="n">
        <v>9918.12165000295</v>
      </c>
      <c r="AI81" s="14" t="n">
        <v>20512.1109437739</v>
      </c>
      <c r="AJ81" s="14" t="n">
        <v>16.69175</v>
      </c>
      <c r="AK81" s="14" t="n">
        <v>0</v>
      </c>
      <c r="AL81" s="14" t="n">
        <v>-36467.0934034798</v>
      </c>
      <c r="AM81" s="14" t="n">
        <v>812.6073</v>
      </c>
      <c r="AN81" s="14" t="n">
        <v>20079.98904</v>
      </c>
      <c r="AO81" s="14" t="n">
        <v>-5508.72242389994</v>
      </c>
      <c r="AP81" s="14" t="n">
        <v>0.516474502037109</v>
      </c>
      <c r="AQ81" s="14" t="n">
        <v>9.23659761423014</v>
      </c>
      <c r="AR81" s="14" t="n">
        <v>327.195752</v>
      </c>
      <c r="AS81" s="14" t="n">
        <v>314.925245</v>
      </c>
      <c r="AT81" s="14" t="n">
        <v>-4625.47509271857</v>
      </c>
      <c r="AU81" s="14" t="n">
        <v>12.270507</v>
      </c>
      <c r="AV81" s="14" t="n">
        <v>0</v>
      </c>
      <c r="AW81" s="14" t="n">
        <v>2254.3125</v>
      </c>
      <c r="AX81" s="14" t="n">
        <v>314.925245</v>
      </c>
      <c r="AY81" s="14" t="n">
        <v>314.925245</v>
      </c>
      <c r="AZ81" s="14" t="n">
        <v>5744.33647336268</v>
      </c>
      <c r="BA81" s="14" t="n">
        <v>17.2648277484788</v>
      </c>
      <c r="BB81" s="14" t="n">
        <v>25.9221203704151</v>
      </c>
      <c r="BC81" s="14" t="n">
        <v>40.1499755792176</v>
      </c>
      <c r="BD81" s="14" t="n">
        <v>-5.08067650538881</v>
      </c>
      <c r="BE81" s="14" t="n">
        <v>-3.389032187156</v>
      </c>
      <c r="BF81" s="14" t="n">
        <v>5.28542761383372</v>
      </c>
      <c r="BG81" s="14" t="n">
        <v>6.97707193206652</v>
      </c>
      <c r="BH81" s="14" t="n">
        <v>10.9956654944829</v>
      </c>
      <c r="BI81" s="14" t="n">
        <v>14.5375344778911</v>
      </c>
      <c r="BJ81" s="14" t="n">
        <v>3.71992671744367</v>
      </c>
      <c r="BK81" s="14" t="n">
        <v>4.46573109600205</v>
      </c>
      <c r="BL81" s="14" t="n">
        <v>6.42123287671233</v>
      </c>
      <c r="BM81" s="14" t="n">
        <v>8712.70308277889</v>
      </c>
      <c r="BN81" s="14" t="n">
        <v>7804.54496374217</v>
      </c>
      <c r="BO81" s="14" t="n">
        <v>7804.54496374217</v>
      </c>
      <c r="BP81" s="14" t="n">
        <v>327.195752</v>
      </c>
      <c r="BQ81" s="14" t="n">
        <v>301.7195</v>
      </c>
      <c r="BR81" s="14" t="n">
        <v>1081.9108</v>
      </c>
      <c r="BS81" s="14" t="s">
        <v>2855</v>
      </c>
      <c r="BT81" s="14" t="n">
        <v>37.9555555555556</v>
      </c>
      <c r="BU81" s="14" t="n">
        <v>0.202495480090107</v>
      </c>
      <c r="BV81" s="14" t="n">
        <v>0.204285232461873</v>
      </c>
      <c r="BW81" s="14" t="n">
        <v>13510.8578038903</v>
      </c>
      <c r="BX81" s="14" t="n">
        <v>27107.0656988521</v>
      </c>
      <c r="BY81" s="14" t="n">
        <v>96.4918554238018</v>
      </c>
      <c r="BZ81" s="14" t="n">
        <v>0</v>
      </c>
      <c r="CA81" s="14" t="n">
        <v>950.69728</v>
      </c>
      <c r="CB81" s="14" t="n">
        <v>12000</v>
      </c>
    </row>
    <row r="82" customFormat="false" ht="15" hidden="false" customHeight="false" outlineLevel="0" collapsed="false">
      <c r="A82" s="0" t="s">
        <v>2918</v>
      </c>
      <c r="B82" s="14" t="n">
        <v>2397.04425048022</v>
      </c>
      <c r="C82" s="14" t="n">
        <v>7494.48962601672</v>
      </c>
      <c r="D82" s="14" t="n">
        <v>20180.6645744977</v>
      </c>
      <c r="E82" s="14" t="n">
        <v>3705.67094070798</v>
      </c>
      <c r="F82" s="14" t="n">
        <v>-1614.01173569453</v>
      </c>
      <c r="G82" s="14" t="n">
        <v>5019.90309136184</v>
      </c>
      <c r="H82" s="14" t="n">
        <v>7810.6974763565</v>
      </c>
      <c r="I82" s="15" t="n">
        <v>0.01</v>
      </c>
      <c r="J82" s="15" t="n">
        <v>2.13529635672099</v>
      </c>
      <c r="K82" s="14" t="s">
        <v>60</v>
      </c>
      <c r="L82" s="14" t="n">
        <v>-5005.39334973042</v>
      </c>
      <c r="M82" s="14" t="n">
        <v>33802.6519100203</v>
      </c>
      <c r="N82" s="14" t="n">
        <v>11755.2436196396</v>
      </c>
      <c r="O82" s="14" t="n">
        <v>-19072.7573099141</v>
      </c>
      <c r="P82" s="14" t="n">
        <v>909.789304567362</v>
      </c>
      <c r="Q82" s="14" t="n">
        <v>61.731626832534</v>
      </c>
      <c r="R82" s="14" t="n">
        <v>17616.3563475096</v>
      </c>
      <c r="S82" s="14" t="n">
        <v>26970.82024149</v>
      </c>
      <c r="T82" s="14" t="n">
        <v>-994.472320673954</v>
      </c>
      <c r="U82" s="14" t="n">
        <v>-1409.08472790195</v>
      </c>
      <c r="V82" s="14" t="n">
        <v>0.750319556751226</v>
      </c>
      <c r="W82" s="14" t="n">
        <v>53467.1847074292</v>
      </c>
      <c r="X82" s="14" t="n">
        <v>22173.0479019807</v>
      </c>
      <c r="Y82" s="14" t="n">
        <v>2.0087178429509</v>
      </c>
      <c r="Z82" s="14" t="n">
        <v>2.72655991789703</v>
      </c>
      <c r="AA82" s="14" t="n">
        <v>27.424347870838</v>
      </c>
      <c r="AB82" s="14" t="n">
        <v>25.224347870838</v>
      </c>
      <c r="AC82" s="14" t="n">
        <v>26.674347870838</v>
      </c>
      <c r="AD82" s="14" t="n">
        <v>21.0618991648036</v>
      </c>
      <c r="AE82" s="14" t="n">
        <v>674.686407680941</v>
      </c>
      <c r="AF82" s="14" t="n">
        <v>0.03</v>
      </c>
      <c r="AG82" s="14" t="n">
        <v>0.664073049535931</v>
      </c>
      <c r="AH82" s="14" t="n">
        <v>9779.77637634954</v>
      </c>
      <c r="AI82" s="14" t="n">
        <v>20180.6645744977</v>
      </c>
      <c r="AJ82" s="14" t="n">
        <v>16.69175</v>
      </c>
      <c r="AK82" s="14" t="n">
        <v>79.0109965753425</v>
      </c>
      <c r="AL82" s="14" t="n">
        <v>-37248.8134755519</v>
      </c>
      <c r="AM82" s="14" t="n">
        <v>812.6073</v>
      </c>
      <c r="AN82" s="14" t="n">
        <v>20079.98904</v>
      </c>
      <c r="AO82" s="14" t="n">
        <v>-5508.72242389994</v>
      </c>
      <c r="AP82" s="14" t="n">
        <v>0.527738650098603</v>
      </c>
      <c r="AQ82" s="14" t="n">
        <v>1.88964279355839</v>
      </c>
      <c r="AR82" s="14" t="n">
        <v>327.195752</v>
      </c>
      <c r="AS82" s="14" t="n">
        <v>314.925245</v>
      </c>
      <c r="AT82" s="14" t="n">
        <v>-5005.39334973042</v>
      </c>
      <c r="AU82" s="14" t="n">
        <v>12.270507</v>
      </c>
      <c r="AV82" s="14" t="n">
        <v>0</v>
      </c>
      <c r="AW82" s="14" t="n">
        <v>2254.3125</v>
      </c>
      <c r="AX82" s="14" t="n">
        <v>314.925245</v>
      </c>
      <c r="AY82" s="14" t="n">
        <v>314.925245</v>
      </c>
      <c r="AZ82" s="14" t="n">
        <v>5533.015509676</v>
      </c>
      <c r="BA82" s="14" t="n">
        <v>16.4385703833224</v>
      </c>
      <c r="BB82" s="14" t="n">
        <v>25.0958630052588</v>
      </c>
      <c r="BC82" s="14" t="n">
        <v>39.3237182140612</v>
      </c>
      <c r="BD82" s="14" t="n">
        <v>-5.08067650538881</v>
      </c>
      <c r="BE82" s="14" t="n">
        <v>-3.389032187156</v>
      </c>
      <c r="BF82" s="14" t="n">
        <v>5.28542761383372</v>
      </c>
      <c r="BG82" s="14" t="n">
        <v>6.97707193206652</v>
      </c>
      <c r="BH82" s="14" t="n">
        <v>10.9956654944829</v>
      </c>
      <c r="BI82" s="14" t="n">
        <v>14.5375344778911</v>
      </c>
      <c r="BJ82" s="14" t="n">
        <v>3.71992671744367</v>
      </c>
      <c r="BK82" s="14" t="n">
        <v>4.46573109600205</v>
      </c>
      <c r="BL82" s="14" t="n">
        <v>6.42123287671233</v>
      </c>
      <c r="BM82" s="14" t="n">
        <v>8712.70308277889</v>
      </c>
      <c r="BN82" s="14" t="n">
        <v>7462.12288898649</v>
      </c>
      <c r="BO82" s="14" t="n">
        <v>7462.12288898649</v>
      </c>
      <c r="BP82" s="14" t="n">
        <v>327.195752</v>
      </c>
      <c r="BQ82" s="14" t="n">
        <v>301.7195</v>
      </c>
      <c r="BR82" s="14" t="n">
        <v>1081.9108</v>
      </c>
      <c r="BS82" s="14" t="s">
        <v>2855</v>
      </c>
      <c r="BT82" s="14" t="n">
        <v>37.9555555555556</v>
      </c>
      <c r="BU82" s="14" t="n">
        <v>0.202495480090107</v>
      </c>
      <c r="BV82" s="14" t="n">
        <v>0.204285232461873</v>
      </c>
      <c r="BW82" s="14" t="n">
        <v>13510.8578038903</v>
      </c>
      <c r="BX82" s="14" t="n">
        <v>27107.0656988521</v>
      </c>
      <c r="BY82" s="14" t="n">
        <v>98.2325521136254</v>
      </c>
      <c r="BZ82" s="14" t="n">
        <v>0</v>
      </c>
      <c r="CA82" s="14" t="n">
        <v>950.69728</v>
      </c>
      <c r="CB82" s="14" t="n">
        <v>12000</v>
      </c>
    </row>
    <row r="83" customFormat="false" ht="15" hidden="false" customHeight="false" outlineLevel="0" collapsed="false">
      <c r="A83" s="0" t="s">
        <v>2919</v>
      </c>
      <c r="B83" s="14" t="n">
        <v>2241.12406212405</v>
      </c>
      <c r="C83" s="14" t="n">
        <v>7358.87629040028</v>
      </c>
      <c r="D83" s="14" t="n">
        <v>20180.6645744977</v>
      </c>
      <c r="E83" s="14" t="n">
        <v>3609.38547242031</v>
      </c>
      <c r="F83" s="14" t="n">
        <v>-1703.84214979727</v>
      </c>
      <c r="G83" s="14" t="n">
        <v>5018.87257060156</v>
      </c>
      <c r="H83" s="14" t="n">
        <v>7641.09246349607</v>
      </c>
      <c r="I83" s="15" t="n">
        <v>0.01</v>
      </c>
      <c r="J83" s="15" t="n">
        <v>1.54955016851167</v>
      </c>
      <c r="K83" s="14" t="s">
        <v>60</v>
      </c>
      <c r="L83" s="14" t="n">
        <v>-5194.95002723376</v>
      </c>
      <c r="M83" s="14" t="n">
        <v>33799.939643308</v>
      </c>
      <c r="N83" s="14" t="n">
        <v>11755.2436196396</v>
      </c>
      <c r="O83" s="14" t="n">
        <v>-19262.3139874174</v>
      </c>
      <c r="P83" s="14" t="n">
        <v>814.677989670102</v>
      </c>
      <c r="Q83" s="14" t="n">
        <v>62.8977609284243</v>
      </c>
      <c r="R83" s="14" t="n">
        <v>17613.2379437425</v>
      </c>
      <c r="S83" s="14" t="n">
        <v>26970.82024149</v>
      </c>
      <c r="T83" s="14" t="n">
        <v>-1083.34682803697</v>
      </c>
      <c r="U83" s="14" t="n">
        <v>-1578.68974076238</v>
      </c>
      <c r="V83" s="14" t="n">
        <v>0.750319556751226</v>
      </c>
      <c r="W83" s="14" t="n">
        <v>53476.8293050101</v>
      </c>
      <c r="X83" s="14" t="n">
        <v>22171.846783862</v>
      </c>
      <c r="Y83" s="14" t="n">
        <v>1.45769418012625</v>
      </c>
      <c r="Z83" s="14" t="n">
        <v>1.97862061017255</v>
      </c>
      <c r="AA83" s="14" t="n">
        <v>27.424347870838</v>
      </c>
      <c r="AB83" s="14" t="n">
        <v>25.224347870838</v>
      </c>
      <c r="AC83" s="14" t="n">
        <v>26.674347870838</v>
      </c>
      <c r="AD83" s="14" t="n">
        <v>21.0618991648036</v>
      </c>
      <c r="AE83" s="14" t="n">
        <v>674.686407680941</v>
      </c>
      <c r="AF83" s="14" t="n">
        <v>0.03</v>
      </c>
      <c r="AG83" s="14" t="n">
        <v>0.664073049535931</v>
      </c>
      <c r="AH83" s="14" t="n">
        <v>9687.7834652194</v>
      </c>
      <c r="AI83" s="14" t="n">
        <v>20180.6645744977</v>
      </c>
      <c r="AJ83" s="14" t="n">
        <v>16.69175</v>
      </c>
      <c r="AK83" s="14" t="n">
        <v>370.544520547945</v>
      </c>
      <c r="AL83" s="14" t="n">
        <v>-37437.6152821042</v>
      </c>
      <c r="AM83" s="14" t="n">
        <v>812.6073</v>
      </c>
      <c r="AN83" s="14" t="n">
        <v>20079.98904</v>
      </c>
      <c r="AO83" s="14" t="n">
        <v>-5508.72242389994</v>
      </c>
      <c r="AP83" s="14" t="n">
        <v>0.569300925240711</v>
      </c>
      <c r="AQ83" s="14" t="n">
        <v>1.37128333496608</v>
      </c>
      <c r="AR83" s="14" t="n">
        <v>327.195752</v>
      </c>
      <c r="AS83" s="14" t="n">
        <v>314.925245</v>
      </c>
      <c r="AT83" s="14" t="n">
        <v>-5194.95002723376</v>
      </c>
      <c r="AU83" s="14" t="n">
        <v>12.270507</v>
      </c>
      <c r="AV83" s="14" t="n">
        <v>0</v>
      </c>
      <c r="AW83" s="14" t="n">
        <v>2254.3125</v>
      </c>
      <c r="AX83" s="14" t="n">
        <v>314.925245</v>
      </c>
      <c r="AY83" s="14" t="n">
        <v>314.925245</v>
      </c>
      <c r="AZ83" s="14" t="n">
        <v>5376.75335854546</v>
      </c>
      <c r="BA83" s="14" t="n">
        <v>15.9423823081792</v>
      </c>
      <c r="BB83" s="14" t="n">
        <v>24.5996749301156</v>
      </c>
      <c r="BC83" s="14" t="n">
        <v>38.827530138918</v>
      </c>
      <c r="BD83" s="14" t="n">
        <v>-5.08067650538881</v>
      </c>
      <c r="BE83" s="14" t="n">
        <v>-3.389032187156</v>
      </c>
      <c r="BF83" s="14" t="n">
        <v>5.28542761383372</v>
      </c>
      <c r="BG83" s="14" t="n">
        <v>6.97707193206652</v>
      </c>
      <c r="BH83" s="14" t="n">
        <v>10.9956654944829</v>
      </c>
      <c r="BI83" s="14" t="n">
        <v>14.5375344778911</v>
      </c>
      <c r="BJ83" s="14" t="n">
        <v>3.71992671744367</v>
      </c>
      <c r="BK83" s="14" t="n">
        <v>4.46573109600205</v>
      </c>
      <c r="BL83" s="14" t="n">
        <v>6.42123287671233</v>
      </c>
      <c r="BM83" s="14" t="n">
        <v>8712.70308277889</v>
      </c>
      <c r="BN83" s="14" t="n">
        <v>7326.50955337005</v>
      </c>
      <c r="BO83" s="14" t="n">
        <v>7326.50955337005</v>
      </c>
      <c r="BP83" s="14" t="n">
        <v>327.195752</v>
      </c>
      <c r="BQ83" s="14" t="n">
        <v>301.7195</v>
      </c>
      <c r="BR83" s="14" t="n">
        <v>1081.9108</v>
      </c>
      <c r="BS83" s="14" t="s">
        <v>2855</v>
      </c>
      <c r="BT83" s="14" t="n">
        <v>37.9555555555556</v>
      </c>
      <c r="BU83" s="14" t="n">
        <v>0.202495480090107</v>
      </c>
      <c r="BV83" s="14" t="n">
        <v>0.204285232461873</v>
      </c>
      <c r="BW83" s="14" t="n">
        <v>13510.8578038903</v>
      </c>
      <c r="BX83" s="14" t="n">
        <v>27107.0656988521</v>
      </c>
      <c r="BY83" s="14" t="n">
        <v>98.662606410245</v>
      </c>
      <c r="BZ83" s="14" t="n">
        <v>0</v>
      </c>
      <c r="CA83" s="14" t="n">
        <v>950.69728</v>
      </c>
      <c r="CB83" s="14" t="n">
        <v>12000</v>
      </c>
    </row>
    <row r="84" customFormat="false" ht="15" hidden="false" customHeight="false" outlineLevel="0" collapsed="false">
      <c r="A84" s="0" t="s">
        <v>2920</v>
      </c>
      <c r="B84" s="14" t="n">
        <v>2465.07954157611</v>
      </c>
      <c r="C84" s="14" t="n">
        <v>7427.49505704675</v>
      </c>
      <c r="D84" s="14" t="n">
        <v>19717.2220167865</v>
      </c>
      <c r="E84" s="14" t="n">
        <v>3679.89773840597</v>
      </c>
      <c r="F84" s="14" t="n">
        <v>-1637.37836099218</v>
      </c>
      <c r="G84" s="14" t="n">
        <v>5020.17629711628</v>
      </c>
      <c r="H84" s="14" t="n">
        <v>7581.8586322955</v>
      </c>
      <c r="I84" s="15" t="n">
        <v>0.01</v>
      </c>
      <c r="J84" s="15" t="n">
        <v>1.34498079727897</v>
      </c>
      <c r="K84" s="14" t="s">
        <v>60</v>
      </c>
      <c r="L84" s="14" t="n">
        <v>-4988.55918707299</v>
      </c>
      <c r="M84" s="14" t="n">
        <v>33801.3120186409</v>
      </c>
      <c r="N84" s="14" t="n">
        <v>11403.0272757791</v>
      </c>
      <c r="O84" s="14" t="n">
        <v>-19398.870639963</v>
      </c>
      <c r="P84" s="14" t="n">
        <v>951.290832135856</v>
      </c>
      <c r="Q84" s="14" t="n">
        <v>-270.899045212691</v>
      </c>
      <c r="R84" s="14" t="n">
        <v>17617.7170533315</v>
      </c>
      <c r="S84" s="14" t="n">
        <v>26961.5513903357</v>
      </c>
      <c r="T84" s="14" t="n">
        <v>-955.692204749296</v>
      </c>
      <c r="U84" s="14" t="n">
        <v>-1637.92357196295</v>
      </c>
      <c r="V84" s="14" t="n">
        <v>0.750319556751226</v>
      </c>
      <c r="W84" s="14" t="n">
        <v>53482.4820206305</v>
      </c>
      <c r="X84" s="14" t="n">
        <v>22171.1428064181</v>
      </c>
      <c r="Y84" s="14" t="n">
        <v>1.26525150357554</v>
      </c>
      <c r="Z84" s="14" t="n">
        <v>1.71740598004552</v>
      </c>
      <c r="AA84" s="14" t="n">
        <v>27.424347870838</v>
      </c>
      <c r="AB84" s="14" t="n">
        <v>25.224347870838</v>
      </c>
      <c r="AC84" s="14" t="n">
        <v>26.674347870838</v>
      </c>
      <c r="AD84" s="14" t="n">
        <v>21.0618991648036</v>
      </c>
      <c r="AE84" s="14" t="n">
        <v>674.686407680941</v>
      </c>
      <c r="AF84" s="14" t="n">
        <v>0.03</v>
      </c>
      <c r="AG84" s="14" t="n">
        <v>0.664073049535931</v>
      </c>
      <c r="AH84" s="14" t="n">
        <v>9819.91719809611</v>
      </c>
      <c r="AI84" s="14" t="n">
        <v>19717.2220167865</v>
      </c>
      <c r="AJ84" s="14" t="n">
        <v>16.69175</v>
      </c>
      <c r="AK84" s="14" t="n">
        <v>0</v>
      </c>
      <c r="AL84" s="14" t="n">
        <v>-37573.6485911601</v>
      </c>
      <c r="AM84" s="14" t="n">
        <v>812.6073</v>
      </c>
      <c r="AN84" s="14" t="n">
        <v>20079.98904</v>
      </c>
      <c r="AO84" s="14" t="n">
        <v>-5508.72242389994</v>
      </c>
      <c r="AP84" s="14" t="n">
        <v>0.608823494226591</v>
      </c>
      <c r="AQ84" s="14" t="n">
        <v>1.19024849316723</v>
      </c>
      <c r="AR84" s="14" t="n">
        <v>327.195752</v>
      </c>
      <c r="AS84" s="14" t="n">
        <v>314.925245</v>
      </c>
      <c r="AT84" s="14" t="n">
        <v>-4988.55918707299</v>
      </c>
      <c r="AU84" s="14" t="n">
        <v>12.270507</v>
      </c>
      <c r="AV84" s="14" t="n">
        <v>0</v>
      </c>
      <c r="AW84" s="14" t="n">
        <v>2254.3125</v>
      </c>
      <c r="AX84" s="14" t="n">
        <v>314.925245</v>
      </c>
      <c r="AY84" s="14" t="n">
        <v>314.925245</v>
      </c>
      <c r="AZ84" s="14" t="n">
        <v>5545.01891852493</v>
      </c>
      <c r="BA84" s="14" t="n">
        <v>16.4766854885402</v>
      </c>
      <c r="BB84" s="14" t="n">
        <v>25.1339781104766</v>
      </c>
      <c r="BC84" s="14" t="n">
        <v>39.361833319279</v>
      </c>
      <c r="BD84" s="14" t="n">
        <v>-5.08067650538881</v>
      </c>
      <c r="BE84" s="14" t="n">
        <v>-3.389032187156</v>
      </c>
      <c r="BF84" s="14" t="n">
        <v>5.28542761383372</v>
      </c>
      <c r="BG84" s="14" t="n">
        <v>6.97707193206652</v>
      </c>
      <c r="BH84" s="14" t="n">
        <v>10.9956654944829</v>
      </c>
      <c r="BI84" s="14" t="n">
        <v>14.5375344778911</v>
      </c>
      <c r="BJ84" s="14" t="n">
        <v>3.71992671744367</v>
      </c>
      <c r="BK84" s="14" t="n">
        <v>4.46573109600205</v>
      </c>
      <c r="BL84" s="14" t="n">
        <v>6.42123287671233</v>
      </c>
      <c r="BM84" s="14" t="n">
        <v>8712.70308277889</v>
      </c>
      <c r="BN84" s="14" t="n">
        <v>7395.12832001652</v>
      </c>
      <c r="BO84" s="14" t="n">
        <v>7395.12832001652</v>
      </c>
      <c r="BP84" s="14" t="n">
        <v>327.195752</v>
      </c>
      <c r="BQ84" s="14" t="n">
        <v>301.7195</v>
      </c>
      <c r="BR84" s="14" t="n">
        <v>1081.9108</v>
      </c>
      <c r="BS84" s="14" t="s">
        <v>2855</v>
      </c>
      <c r="BT84" s="14" t="n">
        <v>37.9555555555556</v>
      </c>
      <c r="BU84" s="14" t="n">
        <v>0.202495480090107</v>
      </c>
      <c r="BV84" s="14" t="n">
        <v>0.204285232461873</v>
      </c>
      <c r="BW84" s="14" t="n">
        <v>13510.8578038903</v>
      </c>
      <c r="BX84" s="14" t="n">
        <v>27107.0656988521</v>
      </c>
      <c r="BY84" s="14" t="n">
        <v>98.9530770947012</v>
      </c>
      <c r="BZ84" s="14" t="n">
        <v>0</v>
      </c>
      <c r="CA84" s="14" t="n">
        <v>950.69728</v>
      </c>
      <c r="CB84" s="14" t="n">
        <v>12000</v>
      </c>
    </row>
    <row r="85" customFormat="false" ht="15" hidden="false" customHeight="false" outlineLevel="0" collapsed="false">
      <c r="A85" s="0" t="s">
        <v>2921</v>
      </c>
      <c r="B85" s="14" t="n">
        <v>2397.04425048022</v>
      </c>
      <c r="C85" s="14" t="n">
        <v>7416.5193515673</v>
      </c>
      <c r="D85" s="14" t="n">
        <v>19717.2220167865</v>
      </c>
      <c r="E85" s="14" t="n">
        <v>3672.10498751556</v>
      </c>
      <c r="F85" s="14" t="n">
        <v>-1644.42701538259</v>
      </c>
      <c r="G85" s="14" t="n">
        <v>5019.87122883545</v>
      </c>
      <c r="H85" s="14" t="n">
        <v>7537.98297808598</v>
      </c>
      <c r="I85" s="15" t="n">
        <v>0.01</v>
      </c>
      <c r="J85" s="15" t="n">
        <v>1.19345227359337</v>
      </c>
      <c r="K85" s="14" t="s">
        <v>60</v>
      </c>
      <c r="L85" s="14" t="n">
        <v>-5037.46930037705</v>
      </c>
      <c r="M85" s="14" t="n">
        <v>33801.0925045314</v>
      </c>
      <c r="N85" s="14" t="n">
        <v>11403.0272757791</v>
      </c>
      <c r="O85" s="14" t="n">
        <v>-19447.780753267</v>
      </c>
      <c r="P85" s="14" t="n">
        <v>909.789304567362</v>
      </c>
      <c r="Q85" s="14" t="n">
        <v>-270.583001226391</v>
      </c>
      <c r="R85" s="14" t="n">
        <v>17616.3563475096</v>
      </c>
      <c r="S85" s="14" t="n">
        <v>26961.5513903357</v>
      </c>
      <c r="T85" s="14" t="n">
        <v>-994.472320673954</v>
      </c>
      <c r="U85" s="14" t="n">
        <v>-1681.79922617248</v>
      </c>
      <c r="V85" s="14" t="n">
        <v>0.750319556751226</v>
      </c>
      <c r="W85" s="14" t="n">
        <v>53485.0958856024</v>
      </c>
      <c r="X85" s="14" t="n">
        <v>22170.8172811122</v>
      </c>
      <c r="Y85" s="14" t="n">
        <v>1.12270545918914</v>
      </c>
      <c r="Z85" s="14" t="n">
        <v>1.52391920815138</v>
      </c>
      <c r="AA85" s="14" t="n">
        <v>27.424347870838</v>
      </c>
      <c r="AB85" s="14" t="n">
        <v>25.224347870838</v>
      </c>
      <c r="AC85" s="14" t="n">
        <v>26.674347870838</v>
      </c>
      <c r="AD85" s="14" t="n">
        <v>21.0618991648036</v>
      </c>
      <c r="AE85" s="14" t="n">
        <v>674.686407680941</v>
      </c>
      <c r="AF85" s="14" t="n">
        <v>0.03</v>
      </c>
      <c r="AG85" s="14" t="n">
        <v>0.664073049535931</v>
      </c>
      <c r="AH85" s="14" t="n">
        <v>9779.77637634954</v>
      </c>
      <c r="AI85" s="14" t="n">
        <v>19717.2220167865</v>
      </c>
      <c r="AJ85" s="14" t="n">
        <v>16.69175</v>
      </c>
      <c r="AK85" s="14" t="n">
        <v>79.0109965753425</v>
      </c>
      <c r="AL85" s="14" t="n">
        <v>-37622.3659935052</v>
      </c>
      <c r="AM85" s="14" t="n">
        <v>812.6073</v>
      </c>
      <c r="AN85" s="14" t="n">
        <v>20079.98904</v>
      </c>
      <c r="AO85" s="14" t="n">
        <v>-5508.72242389994</v>
      </c>
      <c r="AP85" s="14" t="n">
        <v>0.61940195454308</v>
      </c>
      <c r="AQ85" s="14" t="n">
        <v>1.05615245450741</v>
      </c>
      <c r="AR85" s="14" t="n">
        <v>327.195752</v>
      </c>
      <c r="AS85" s="14" t="n">
        <v>314.925245</v>
      </c>
      <c r="AT85" s="14" t="n">
        <v>-5037.46930037705</v>
      </c>
      <c r="AU85" s="14" t="n">
        <v>12.270507</v>
      </c>
      <c r="AV85" s="14" t="n">
        <v>0</v>
      </c>
      <c r="AW85" s="14" t="n">
        <v>2254.3125</v>
      </c>
      <c r="AX85" s="14" t="n">
        <v>314.925245</v>
      </c>
      <c r="AY85" s="14" t="n">
        <v>314.925245</v>
      </c>
      <c r="AZ85" s="14" t="n">
        <v>5509.19830763754</v>
      </c>
      <c r="BA85" s="14" t="n">
        <v>16.3629422702492</v>
      </c>
      <c r="BB85" s="14" t="n">
        <v>25.0202348921856</v>
      </c>
      <c r="BC85" s="14" t="n">
        <v>39.248090100988</v>
      </c>
      <c r="BD85" s="14" t="n">
        <v>-5.08067650538881</v>
      </c>
      <c r="BE85" s="14" t="n">
        <v>-3.389032187156</v>
      </c>
      <c r="BF85" s="14" t="n">
        <v>5.28542761383372</v>
      </c>
      <c r="BG85" s="14" t="n">
        <v>6.97707193206652</v>
      </c>
      <c r="BH85" s="14" t="n">
        <v>10.9956654944829</v>
      </c>
      <c r="BI85" s="14" t="n">
        <v>14.5375344778911</v>
      </c>
      <c r="BJ85" s="14" t="n">
        <v>3.71992671744367</v>
      </c>
      <c r="BK85" s="14" t="n">
        <v>4.46573109600205</v>
      </c>
      <c r="BL85" s="14" t="n">
        <v>6.42123287671233</v>
      </c>
      <c r="BM85" s="14" t="n">
        <v>8712.70308277889</v>
      </c>
      <c r="BN85" s="14" t="n">
        <v>7384.15261453706</v>
      </c>
      <c r="BO85" s="14" t="n">
        <v>7384.15261453706</v>
      </c>
      <c r="BP85" s="14" t="n">
        <v>327.195752</v>
      </c>
      <c r="BQ85" s="14" t="n">
        <v>301.7195</v>
      </c>
      <c r="BR85" s="14" t="n">
        <v>1081.9108</v>
      </c>
      <c r="BS85" s="14" t="s">
        <v>2855</v>
      </c>
      <c r="BT85" s="14" t="n">
        <v>37.9555555555556</v>
      </c>
      <c r="BU85" s="14" t="n">
        <v>0.202495480090107</v>
      </c>
      <c r="BV85" s="14" t="n">
        <v>0.204285232461873</v>
      </c>
      <c r="BW85" s="14" t="n">
        <v>13510.8578038903</v>
      </c>
      <c r="BX85" s="14" t="n">
        <v>27107.0656988521</v>
      </c>
      <c r="BY85" s="14" t="n">
        <v>99.0639927545018</v>
      </c>
      <c r="BZ85" s="14" t="n">
        <v>0</v>
      </c>
      <c r="CA85" s="14" t="n">
        <v>950.69728</v>
      </c>
      <c r="CB85" s="14" t="n">
        <v>12000</v>
      </c>
    </row>
    <row r="86" customFormat="false" ht="15" hidden="false" customHeight="false" outlineLevel="0" collapsed="false">
      <c r="A86" s="0" t="s">
        <v>2922</v>
      </c>
      <c r="B86" s="14" t="n">
        <v>2465.07954157611</v>
      </c>
      <c r="C86" s="14" t="n">
        <v>7505.46533149617</v>
      </c>
      <c r="D86" s="14" t="n">
        <v>20180.6645744977</v>
      </c>
      <c r="E86" s="14" t="n">
        <v>3713.46369159839</v>
      </c>
      <c r="F86" s="14" t="n">
        <v>-1606.96308130411</v>
      </c>
      <c r="G86" s="14" t="n">
        <v>5020.20815964266</v>
      </c>
      <c r="H86" s="14" t="n">
        <v>5554.92599503873</v>
      </c>
      <c r="I86" s="15" t="n">
        <v>0.01</v>
      </c>
      <c r="J86" s="15" t="n">
        <v>0</v>
      </c>
      <c r="K86" s="14" t="s">
        <v>58</v>
      </c>
      <c r="L86" s="14" t="n">
        <v>-11471.1744217572</v>
      </c>
      <c r="M86" s="14" t="n">
        <v>33802.8714241299</v>
      </c>
      <c r="N86" s="14" t="n">
        <v>11755.2436196396</v>
      </c>
      <c r="O86" s="14" t="n">
        <v>-28388.5383819409</v>
      </c>
      <c r="P86" s="14" t="n">
        <v>951.290832135856</v>
      </c>
      <c r="Q86" s="14" t="n">
        <v>61.4155828462322</v>
      </c>
      <c r="R86" s="14" t="n">
        <v>17617.7170533315</v>
      </c>
      <c r="S86" s="14" t="n">
        <v>26970.82024149</v>
      </c>
      <c r="T86" s="14" t="n">
        <v>-955.692204749296</v>
      </c>
      <c r="U86" s="14" t="n">
        <v>-4864.85620921972</v>
      </c>
      <c r="V86" s="14" t="n">
        <v>0.750319556751226</v>
      </c>
      <c r="W86" s="14" t="n">
        <v>53464.5708424573</v>
      </c>
      <c r="X86" s="14" t="n">
        <v>22173.3734272866</v>
      </c>
      <c r="Y86" s="14" t="n">
        <v>0</v>
      </c>
      <c r="Z86" s="14" t="n">
        <v>0</v>
      </c>
      <c r="AA86" s="14" t="n">
        <v>27.424347870838</v>
      </c>
      <c r="AB86" s="14" t="n">
        <v>25.224347870838</v>
      </c>
      <c r="AC86" s="14" t="n">
        <v>26.674347870838</v>
      </c>
      <c r="AD86" s="14" t="n">
        <v>21.0618991648036</v>
      </c>
      <c r="AE86" s="14" t="n">
        <v>674.686407680941</v>
      </c>
      <c r="AF86" s="14" t="n">
        <v>0.03</v>
      </c>
      <c r="AG86" s="14" t="n">
        <v>0.664073049535931</v>
      </c>
      <c r="AH86" s="14" t="n">
        <v>7409.41719809611</v>
      </c>
      <c r="AI86" s="14" t="n">
        <v>20180.6645744977</v>
      </c>
      <c r="AJ86" s="14" t="n">
        <v>16.69175</v>
      </c>
      <c r="AK86" s="14" t="n">
        <v>0</v>
      </c>
      <c r="AL86" s="14" t="n">
        <v>-52257.5788482378</v>
      </c>
      <c r="AM86" s="14" t="n">
        <v>812.6073</v>
      </c>
      <c r="AN86" s="14" t="n">
        <v>0</v>
      </c>
      <c r="AO86" s="14" t="n">
        <v>-355.263647296984</v>
      </c>
      <c r="AP86" s="14" t="n">
        <v>0.516474502037109</v>
      </c>
      <c r="AQ86" s="14" t="n">
        <v>0</v>
      </c>
      <c r="AR86" s="14" t="n">
        <v>327.195752</v>
      </c>
      <c r="AS86" s="14" t="n">
        <v>314.925245</v>
      </c>
      <c r="AT86" s="14" t="n">
        <v>-11471.1744217572</v>
      </c>
      <c r="AU86" s="14" t="n">
        <v>12.270507</v>
      </c>
      <c r="AV86" s="14" t="n">
        <v>0</v>
      </c>
      <c r="AW86" s="14" t="n">
        <v>2254.3125</v>
      </c>
      <c r="AX86" s="14" t="n">
        <v>314.925245</v>
      </c>
      <c r="AY86" s="14" t="n">
        <v>314.925245</v>
      </c>
      <c r="AZ86" s="14" t="n">
        <v>5568.83612056339</v>
      </c>
      <c r="BA86" s="14" t="n">
        <v>12.7418855109724</v>
      </c>
      <c r="BB86" s="14" t="n">
        <v>21.3991781329088</v>
      </c>
      <c r="BC86" s="14" t="n">
        <v>35.6270333417112</v>
      </c>
      <c r="BD86" s="14" t="n">
        <v>-5.08067650538881</v>
      </c>
      <c r="BE86" s="14" t="n">
        <v>-3.389032187156</v>
      </c>
      <c r="BF86" s="14" t="n">
        <v>5.28542761383372</v>
      </c>
      <c r="BG86" s="14" t="n">
        <v>6.97707193206652</v>
      </c>
      <c r="BH86" s="14" t="n">
        <v>10.9956654944829</v>
      </c>
      <c r="BI86" s="14" t="n">
        <v>14.5375344778911</v>
      </c>
      <c r="BJ86" s="14" t="n">
        <v>3.71992671744367</v>
      </c>
      <c r="BK86" s="14" t="n">
        <v>4.46573109600205</v>
      </c>
      <c r="BL86" s="14" t="n">
        <v>6.42123287671233</v>
      </c>
      <c r="BM86" s="14" t="n">
        <v>8712.70308277889</v>
      </c>
      <c r="BN86" s="14" t="n">
        <v>7473.09859446594</v>
      </c>
      <c r="BO86" s="14" t="n">
        <v>7473.09859446594</v>
      </c>
      <c r="BP86" s="14" t="n">
        <v>327.195752</v>
      </c>
      <c r="BQ86" s="14" t="n">
        <v>301.7195</v>
      </c>
      <c r="BR86" s="14" t="n">
        <v>1081.9108</v>
      </c>
      <c r="BS86" s="14" t="s">
        <v>2856</v>
      </c>
      <c r="BT86" s="14" t="n">
        <v>37.9555555555556</v>
      </c>
      <c r="BU86" s="14" t="n">
        <v>0.202495480090107</v>
      </c>
      <c r="BV86" s="14" t="n">
        <v>0.204285232461873</v>
      </c>
      <c r="BW86" s="14" t="n">
        <v>13510.8578038903</v>
      </c>
      <c r="BX86" s="14" t="n">
        <v>27107.0656988521</v>
      </c>
      <c r="BY86" s="14" t="n">
        <v>131.493506088392</v>
      </c>
      <c r="BZ86" s="14" t="n">
        <v>0</v>
      </c>
      <c r="CA86" s="14" t="n">
        <v>950.69728</v>
      </c>
      <c r="CB86" s="14" t="n">
        <v>0</v>
      </c>
    </row>
    <row r="87" customFormat="false" ht="15" hidden="false" customHeight="false" outlineLevel="0" collapsed="false">
      <c r="A87" s="0" t="s">
        <v>2923</v>
      </c>
      <c r="B87" s="14" t="n">
        <v>2518.2803321339</v>
      </c>
      <c r="C87" s="14" t="n">
        <v>8414.95409642061</v>
      </c>
      <c r="D87" s="14" t="n">
        <v>22902.3350130622</v>
      </c>
      <c r="E87" s="14" t="n">
        <v>4157.66202055621</v>
      </c>
      <c r="F87" s="14" t="n">
        <v>-1618.03807525756</v>
      </c>
      <c r="G87" s="14" t="n">
        <v>5439.10193195694</v>
      </c>
      <c r="H87" s="14" t="n">
        <v>13460.2061538334</v>
      </c>
      <c r="I87" s="15" t="n">
        <v>13.9707214447804</v>
      </c>
      <c r="J87" s="15" t="n">
        <v>22.196571143536</v>
      </c>
      <c r="K87" s="14" t="s">
        <v>58</v>
      </c>
      <c r="L87" s="14" t="n">
        <v>-9949.16906035987</v>
      </c>
      <c r="M87" s="14" t="n">
        <v>38376.930778328</v>
      </c>
      <c r="N87" s="14" t="n">
        <v>13305.1983394276</v>
      </c>
      <c r="O87" s="14" t="n">
        <v>-22521.0117095269</v>
      </c>
      <c r="P87" s="14" t="n">
        <v>973.585306039507</v>
      </c>
      <c r="Q87" s="14" t="n">
        <v>461.725078197193</v>
      </c>
      <c r="R87" s="14" t="n">
        <v>18469.3129500415</v>
      </c>
      <c r="S87" s="14" t="n">
        <v>27025.2536502612</v>
      </c>
      <c r="T87" s="14" t="n">
        <v>-935.525762467956</v>
      </c>
      <c r="U87" s="14" t="n">
        <v>4399.73287382421</v>
      </c>
      <c r="V87" s="14" t="n">
        <v>0.750319556751226</v>
      </c>
      <c r="W87" s="14" t="n">
        <v>60313.7768185682</v>
      </c>
      <c r="X87" s="14" t="n">
        <v>23275.2707862795</v>
      </c>
      <c r="Y87" s="14" t="n">
        <v>20.8807776812854</v>
      </c>
      <c r="Z87" s="14" t="n">
        <v>28.3428016931811</v>
      </c>
      <c r="AA87" s="14" t="n">
        <v>27.424347870838</v>
      </c>
      <c r="AB87" s="14" t="n">
        <v>25.224347870838</v>
      </c>
      <c r="AC87" s="14" t="n">
        <v>26.674347870838</v>
      </c>
      <c r="AD87" s="14" t="n">
        <v>21.0618991648036</v>
      </c>
      <c r="AE87" s="14" t="n">
        <v>674.686407680941</v>
      </c>
      <c r="AF87" s="14" t="n">
        <v>0.03</v>
      </c>
      <c r="AG87" s="14" t="n">
        <v>0.663197669014632</v>
      </c>
      <c r="AH87" s="14" t="n">
        <v>8992.009728377</v>
      </c>
      <c r="AI87" s="14" t="n">
        <v>22902.3350130622</v>
      </c>
      <c r="AJ87" s="14" t="n">
        <v>16.69175</v>
      </c>
      <c r="AK87" s="14" t="n">
        <v>0</v>
      </c>
      <c r="AL87" s="14" t="n">
        <v>-39433.8128424982</v>
      </c>
      <c r="AM87" s="14" t="n">
        <v>960.6073</v>
      </c>
      <c r="AN87" s="14" t="n">
        <v>20079.98904</v>
      </c>
      <c r="AO87" s="14" t="n">
        <v>-5508.72242389994</v>
      </c>
      <c r="AP87" s="14" t="n">
        <v>0.374010035118441</v>
      </c>
      <c r="AQ87" s="14" t="n">
        <v>19.6429833128637</v>
      </c>
      <c r="AR87" s="14" t="n">
        <v>327.195752</v>
      </c>
      <c r="AS87" s="14" t="n">
        <v>314.925245</v>
      </c>
      <c r="AT87" s="14" t="n">
        <v>-9949.16906035987</v>
      </c>
      <c r="AU87" s="14" t="n">
        <v>12.270507</v>
      </c>
      <c r="AV87" s="14" t="n">
        <v>0</v>
      </c>
      <c r="AW87" s="14" t="n">
        <v>2254.3125</v>
      </c>
      <c r="AX87" s="14" t="n">
        <v>314.925245</v>
      </c>
      <c r="AY87" s="14" t="n">
        <v>314.925245</v>
      </c>
      <c r="AZ87" s="14" t="n">
        <v>5545.63241642957</v>
      </c>
      <c r="BA87" s="14" t="n">
        <v>16.9844962299558</v>
      </c>
      <c r="BB87" s="14" t="n">
        <v>25.6417888518922</v>
      </c>
      <c r="BC87" s="14" t="n">
        <v>39.8696440606946</v>
      </c>
      <c r="BD87" s="14" t="n">
        <v>-5.08067650538881</v>
      </c>
      <c r="BE87" s="14" t="n">
        <v>-3.389032187156</v>
      </c>
      <c r="BF87" s="14" t="n">
        <v>5.28542761383372</v>
      </c>
      <c r="BG87" s="14" t="n">
        <v>6.97707193206652</v>
      </c>
      <c r="BH87" s="14" t="n">
        <v>10.9956654944829</v>
      </c>
      <c r="BI87" s="14" t="n">
        <v>14.5375344778911</v>
      </c>
      <c r="BJ87" s="14" t="n">
        <v>3.71992671744367</v>
      </c>
      <c r="BK87" s="14" t="n">
        <v>4.46573109600205</v>
      </c>
      <c r="BL87" s="14" t="n">
        <v>6.42123287671233</v>
      </c>
      <c r="BM87" s="14" t="n">
        <v>8712.70308277889</v>
      </c>
      <c r="BN87" s="14" t="n">
        <v>8382.58735939038</v>
      </c>
      <c r="BO87" s="14" t="n">
        <v>8382.58735939038</v>
      </c>
      <c r="BP87" s="14" t="n">
        <v>327.195752</v>
      </c>
      <c r="BQ87" s="14" t="n">
        <v>301.7195</v>
      </c>
      <c r="BR87" s="14" t="n">
        <v>1081.9108</v>
      </c>
      <c r="BS87" s="14" t="s">
        <v>2855</v>
      </c>
      <c r="BT87" s="14" t="n">
        <v>37.9555555555556</v>
      </c>
      <c r="BU87" s="14" t="n">
        <v>0.202495480090107</v>
      </c>
      <c r="BV87" s="14" t="n">
        <v>0.204285232461873</v>
      </c>
      <c r="BW87" s="14" t="n">
        <v>13510.8578038903</v>
      </c>
      <c r="BX87" s="14" t="n">
        <v>27107.0656988521</v>
      </c>
      <c r="BY87" s="14" t="n">
        <v>103.582038944207</v>
      </c>
      <c r="BZ87" s="14" t="n">
        <v>0</v>
      </c>
      <c r="CA87" s="14" t="n">
        <v>950.69728</v>
      </c>
      <c r="CB87" s="14" t="n">
        <v>12000</v>
      </c>
    </row>
    <row r="88" customFormat="false" ht="15" hidden="false" customHeight="false" outlineLevel="0" collapsed="false">
      <c r="A88" s="0" t="s">
        <v>2924</v>
      </c>
      <c r="B88" s="14" t="n">
        <v>2518.2803321339</v>
      </c>
      <c r="C88" s="14" t="n">
        <v>8414.95409642061</v>
      </c>
      <c r="D88" s="14" t="n">
        <v>22902.3350130622</v>
      </c>
      <c r="E88" s="14" t="n">
        <v>4157.66202055621</v>
      </c>
      <c r="F88" s="14" t="n">
        <v>-1618.03807525756</v>
      </c>
      <c r="G88" s="14" t="n">
        <v>5439.10193195694</v>
      </c>
      <c r="H88" s="14" t="n">
        <v>11160.5420158505</v>
      </c>
      <c r="I88" s="15" t="n">
        <v>2.85803932879805</v>
      </c>
      <c r="J88" s="15" t="n">
        <v>10.1101658288343</v>
      </c>
      <c r="K88" s="14" t="s">
        <v>58</v>
      </c>
      <c r="L88" s="14" t="n">
        <v>-16461.8811142661</v>
      </c>
      <c r="M88" s="14" t="n">
        <v>38376.930778328</v>
      </c>
      <c r="N88" s="14" t="n">
        <v>13305.1983394276</v>
      </c>
      <c r="O88" s="14" t="n">
        <v>-31883.7237634331</v>
      </c>
      <c r="P88" s="14" t="n">
        <v>973.585306039507</v>
      </c>
      <c r="Q88" s="14" t="n">
        <v>461.725078197193</v>
      </c>
      <c r="R88" s="14" t="n">
        <v>18469.3129500415</v>
      </c>
      <c r="S88" s="14" t="n">
        <v>27025.2536502612</v>
      </c>
      <c r="T88" s="14" t="n">
        <v>-935.525762467956</v>
      </c>
      <c r="U88" s="14" t="n">
        <v>900.06873584136</v>
      </c>
      <c r="V88" s="14" t="n">
        <v>0.750319556751226</v>
      </c>
      <c r="W88" s="14" t="n">
        <v>60313.7768185682</v>
      </c>
      <c r="X88" s="14" t="n">
        <v>23275.2707862795</v>
      </c>
      <c r="Y88" s="14" t="n">
        <v>9.51084397800313</v>
      </c>
      <c r="Z88" s="14" t="n">
        <v>12.9096707468385</v>
      </c>
      <c r="AA88" s="14" t="n">
        <v>27.424347870838</v>
      </c>
      <c r="AB88" s="14" t="n">
        <v>25.224347870838</v>
      </c>
      <c r="AC88" s="14" t="n">
        <v>26.674347870838</v>
      </c>
      <c r="AD88" s="14" t="n">
        <v>21.0618991648036</v>
      </c>
      <c r="AE88" s="14" t="n">
        <v>674.686407680941</v>
      </c>
      <c r="AF88" s="14" t="n">
        <v>0.03</v>
      </c>
      <c r="AG88" s="14" t="n">
        <v>0.663197669014632</v>
      </c>
      <c r="AH88" s="14" t="n">
        <v>6581.509728377</v>
      </c>
      <c r="AI88" s="14" t="n">
        <v>22902.3350130622</v>
      </c>
      <c r="AJ88" s="14" t="n">
        <v>16.69175</v>
      </c>
      <c r="AK88" s="14" t="n">
        <v>0</v>
      </c>
      <c r="AL88" s="14" t="n">
        <v>-54470.8444171445</v>
      </c>
      <c r="AM88" s="14" t="n">
        <v>960.6073</v>
      </c>
      <c r="AN88" s="14" t="n">
        <v>0</v>
      </c>
      <c r="AO88" s="14" t="n">
        <v>-355.263647296984</v>
      </c>
      <c r="AP88" s="14" t="n">
        <v>0.374010035118441</v>
      </c>
      <c r="AQ88" s="14" t="n">
        <v>8.94704940604801</v>
      </c>
      <c r="AR88" s="14" t="n">
        <v>327.195752</v>
      </c>
      <c r="AS88" s="14" t="n">
        <v>314.925245</v>
      </c>
      <c r="AT88" s="14" t="n">
        <v>-16461.8811142661</v>
      </c>
      <c r="AU88" s="14" t="n">
        <v>12.270507</v>
      </c>
      <c r="AV88" s="14" t="n">
        <v>0</v>
      </c>
      <c r="AW88" s="14" t="n">
        <v>2254.3125</v>
      </c>
      <c r="AX88" s="14" t="n">
        <v>314.925245</v>
      </c>
      <c r="AY88" s="14" t="n">
        <v>314.925245</v>
      </c>
      <c r="AZ88" s="14" t="n">
        <v>5545.63241642957</v>
      </c>
      <c r="BA88" s="14" t="n">
        <v>13.1740681393148</v>
      </c>
      <c r="BB88" s="14" t="n">
        <v>21.8313607612512</v>
      </c>
      <c r="BC88" s="14" t="n">
        <v>36.0592159700536</v>
      </c>
      <c r="BD88" s="14" t="n">
        <v>-5.08067650538881</v>
      </c>
      <c r="BE88" s="14" t="n">
        <v>-3.389032187156</v>
      </c>
      <c r="BF88" s="14" t="n">
        <v>5.28542761383372</v>
      </c>
      <c r="BG88" s="14" t="n">
        <v>6.97707193206652</v>
      </c>
      <c r="BH88" s="14" t="n">
        <v>10.9956654944829</v>
      </c>
      <c r="BI88" s="14" t="n">
        <v>14.5375344778911</v>
      </c>
      <c r="BJ88" s="14" t="n">
        <v>3.71992671744367</v>
      </c>
      <c r="BK88" s="14" t="n">
        <v>4.46573109600205</v>
      </c>
      <c r="BL88" s="14" t="n">
        <v>6.42123287671233</v>
      </c>
      <c r="BM88" s="14" t="n">
        <v>8712.70308277889</v>
      </c>
      <c r="BN88" s="14" t="n">
        <v>8382.58735939038</v>
      </c>
      <c r="BO88" s="14" t="n">
        <v>8382.58735939038</v>
      </c>
      <c r="BP88" s="14" t="n">
        <v>327.195752</v>
      </c>
      <c r="BQ88" s="14" t="n">
        <v>301.7195</v>
      </c>
      <c r="BR88" s="14" t="n">
        <v>1081.9108</v>
      </c>
      <c r="BS88" s="14" t="s">
        <v>2855</v>
      </c>
      <c r="BT88" s="14" t="n">
        <v>37.9555555555556</v>
      </c>
      <c r="BU88" s="14" t="n">
        <v>0.202495480090107</v>
      </c>
      <c r="BV88" s="14" t="n">
        <v>0.204285232461873</v>
      </c>
      <c r="BW88" s="14" t="n">
        <v>13510.8578038903</v>
      </c>
      <c r="BX88" s="14" t="n">
        <v>27107.0656988521</v>
      </c>
      <c r="BY88" s="14" t="n">
        <v>136.914694028175</v>
      </c>
      <c r="BZ88" s="14" t="n">
        <v>0</v>
      </c>
      <c r="CA88" s="14" t="n">
        <v>950.69728</v>
      </c>
      <c r="CB88" s="14" t="n">
        <v>0</v>
      </c>
    </row>
    <row r="89" customFormat="false" ht="15" hidden="false" customHeight="false" outlineLevel="0" collapsed="false">
      <c r="A89" s="0" t="s">
        <v>2925</v>
      </c>
      <c r="B89" s="14" t="n">
        <v>2465.07954157611</v>
      </c>
      <c r="C89" s="14" t="n">
        <v>7986.00482975865</v>
      </c>
      <c r="D89" s="14" t="n">
        <v>21174.0586613519</v>
      </c>
      <c r="E89" s="14" t="n">
        <v>4054.64673536475</v>
      </c>
      <c r="F89" s="14" t="n">
        <v>-1285.47919294702</v>
      </c>
      <c r="G89" s="14" t="n">
        <v>5020.68573512143</v>
      </c>
      <c r="H89" s="14" t="n">
        <v>8680.60010465574</v>
      </c>
      <c r="I89" s="15" t="n">
        <v>0.01</v>
      </c>
      <c r="J89" s="15" t="n">
        <v>5.13958343554022</v>
      </c>
      <c r="K89" s="14" t="s">
        <v>60</v>
      </c>
      <c r="L89" s="14" t="n">
        <v>-4623.97126529753</v>
      </c>
      <c r="M89" s="14" t="n">
        <v>33812.4822140952</v>
      </c>
      <c r="N89" s="14" t="n">
        <v>12510.2231256488</v>
      </c>
      <c r="O89" s="14" t="n">
        <v>-17970.7905565808</v>
      </c>
      <c r="P89" s="14" t="n">
        <v>951.290832135856</v>
      </c>
      <c r="Q89" s="14" t="n">
        <v>773.472466620728</v>
      </c>
      <c r="R89" s="14" t="n">
        <v>17617.7170533315</v>
      </c>
      <c r="S89" s="14" t="n">
        <v>26990.688123227</v>
      </c>
      <c r="T89" s="14" t="n">
        <v>-955.692204749296</v>
      </c>
      <c r="U89" s="14" t="n">
        <v>-539.182099602713</v>
      </c>
      <c r="V89" s="14" t="n">
        <v>0.750319556751226</v>
      </c>
      <c r="W89" s="14" t="n">
        <v>52881.1117161461</v>
      </c>
      <c r="X89" s="14" t="n">
        <v>22185.721104615</v>
      </c>
      <c r="Y89" s="14" t="n">
        <v>4.83491339261135</v>
      </c>
      <c r="Z89" s="14" t="n">
        <v>6.56273408884131</v>
      </c>
      <c r="AA89" s="14" t="n">
        <v>27.424347870838</v>
      </c>
      <c r="AB89" s="14" t="n">
        <v>25.224347870838</v>
      </c>
      <c r="AC89" s="14" t="n">
        <v>26.674347870838</v>
      </c>
      <c r="AD89" s="14" t="n">
        <v>21.0618991648036</v>
      </c>
      <c r="AE89" s="14" t="n">
        <v>674.686407680941</v>
      </c>
      <c r="AF89" s="14" t="n">
        <v>0.03</v>
      </c>
      <c r="AG89" s="14" t="n">
        <v>0.665268156494407</v>
      </c>
      <c r="AH89" s="14" t="n">
        <v>9819.91719809611</v>
      </c>
      <c r="AI89" s="14" t="n">
        <v>21174.0586613519</v>
      </c>
      <c r="AJ89" s="14" t="n">
        <v>16.69175</v>
      </c>
      <c r="AK89" s="14" t="n">
        <v>0</v>
      </c>
      <c r="AL89" s="14" t="n">
        <v>-35637.3508088777</v>
      </c>
      <c r="AM89" s="14" t="n">
        <v>812.6073</v>
      </c>
      <c r="AN89" s="14" t="n">
        <v>20079.98904</v>
      </c>
      <c r="AO89" s="14" t="n">
        <v>-5508.72242389994</v>
      </c>
      <c r="AP89" s="14" t="n">
        <v>0.516474502037109</v>
      </c>
      <c r="AQ89" s="14" t="n">
        <v>4.54830392525683</v>
      </c>
      <c r="AR89" s="14" t="n">
        <v>327.195752</v>
      </c>
      <c r="AS89" s="14" t="n">
        <v>314.925245</v>
      </c>
      <c r="AT89" s="14" t="n">
        <v>-4623.97126529753</v>
      </c>
      <c r="AU89" s="14" t="n">
        <v>12.270507</v>
      </c>
      <c r="AV89" s="14" t="n">
        <v>0</v>
      </c>
      <c r="AW89" s="14" t="n">
        <v>2254.3125</v>
      </c>
      <c r="AX89" s="14" t="n">
        <v>314.925245</v>
      </c>
      <c r="AY89" s="14" t="n">
        <v>314.925245</v>
      </c>
      <c r="AZ89" s="14" t="n">
        <v>5736.41270459632</v>
      </c>
      <c r="BA89" s="14" t="n">
        <v>17.0844290375574</v>
      </c>
      <c r="BB89" s="14" t="n">
        <v>25.7417216594937</v>
      </c>
      <c r="BC89" s="14" t="n">
        <v>39.9695768682962</v>
      </c>
      <c r="BD89" s="14" t="n">
        <v>-5.08067650538881</v>
      </c>
      <c r="BE89" s="14" t="n">
        <v>-3.389032187156</v>
      </c>
      <c r="BF89" s="14" t="n">
        <v>5.28542761383372</v>
      </c>
      <c r="BG89" s="14" t="n">
        <v>6.97707193206652</v>
      </c>
      <c r="BH89" s="14" t="n">
        <v>10.9956654944829</v>
      </c>
      <c r="BI89" s="14" t="n">
        <v>14.5375344778911</v>
      </c>
      <c r="BJ89" s="14" t="n">
        <v>3.71992671744367</v>
      </c>
      <c r="BK89" s="14" t="n">
        <v>4.46573109600205</v>
      </c>
      <c r="BL89" s="14" t="n">
        <v>6.42123287671233</v>
      </c>
      <c r="BM89" s="14" t="n">
        <v>8712.70308277889</v>
      </c>
      <c r="BN89" s="14" t="n">
        <v>7953.63809272841</v>
      </c>
      <c r="BO89" s="14" t="n">
        <v>7953.63809272841</v>
      </c>
      <c r="BP89" s="14" t="n">
        <v>327.195752</v>
      </c>
      <c r="BQ89" s="14" t="n">
        <v>301.7195</v>
      </c>
      <c r="BR89" s="14" t="n">
        <v>1081.9108</v>
      </c>
      <c r="BS89" s="14" t="s">
        <v>2855</v>
      </c>
      <c r="BT89" s="14" t="n">
        <v>37.9555555555556</v>
      </c>
      <c r="BU89" s="14" t="n">
        <v>0.202495480090107</v>
      </c>
      <c r="BV89" s="14" t="n">
        <v>0.204285232461873</v>
      </c>
      <c r="BW89" s="14" t="n">
        <v>13510.8578038903</v>
      </c>
      <c r="BX89" s="14" t="n">
        <v>27107.0656988521</v>
      </c>
      <c r="BY89" s="14" t="n">
        <v>94.6878981378058</v>
      </c>
      <c r="BZ89" s="14" t="n">
        <v>0</v>
      </c>
      <c r="CA89" s="14" t="n">
        <v>950.69728</v>
      </c>
      <c r="CB89" s="14" t="n">
        <v>12000</v>
      </c>
    </row>
    <row r="90" customFormat="false" ht="15" hidden="false" customHeight="false" outlineLevel="0" collapsed="false">
      <c r="A90" s="0" t="s">
        <v>2926</v>
      </c>
      <c r="B90" s="14" t="n">
        <v>2465.07954157611</v>
      </c>
      <c r="C90" s="14" t="n">
        <v>7294.37327556975</v>
      </c>
      <c r="D90" s="14" t="n">
        <v>19708.2103102491</v>
      </c>
      <c r="E90" s="14" t="n">
        <v>3563.58833189063</v>
      </c>
      <c r="F90" s="14" t="n">
        <v>-1748.21700471693</v>
      </c>
      <c r="G90" s="14" t="n">
        <v>5020.03040558478</v>
      </c>
      <c r="H90" s="14" t="n">
        <v>4734.934241657</v>
      </c>
      <c r="I90" s="15" t="n">
        <v>0.01</v>
      </c>
      <c r="J90" s="15" t="n">
        <v>0</v>
      </c>
      <c r="K90" s="14" t="s">
        <v>60</v>
      </c>
      <c r="L90" s="14" t="n">
        <v>-5102.4989650393</v>
      </c>
      <c r="M90" s="14" t="n">
        <v>33798.6495830114</v>
      </c>
      <c r="N90" s="14" t="n">
        <v>11396.1783788106</v>
      </c>
      <c r="O90" s="14" t="n">
        <v>-19519.479080767</v>
      </c>
      <c r="P90" s="14" t="n">
        <v>951.290832135856</v>
      </c>
      <c r="Q90" s="14" t="n">
        <v>-277.207054171142</v>
      </c>
      <c r="R90" s="14" t="n">
        <v>17617.7170533315</v>
      </c>
      <c r="S90" s="14" t="n">
        <v>26961.371156205</v>
      </c>
      <c r="T90" s="14" t="n">
        <v>-955.692204749296</v>
      </c>
      <c r="U90" s="14" t="n">
        <v>-4484.84796260145</v>
      </c>
      <c r="V90" s="14" t="n">
        <v>0.750319556751226</v>
      </c>
      <c r="W90" s="14" t="n">
        <v>51123.2915309964</v>
      </c>
      <c r="X90" s="14" t="n">
        <v>22166.9572764651</v>
      </c>
      <c r="Y90" s="14" t="n">
        <v>0</v>
      </c>
      <c r="Z90" s="14" t="n">
        <v>0</v>
      </c>
      <c r="AA90" s="14" t="n">
        <v>27.424347870838</v>
      </c>
      <c r="AB90" s="14" t="n">
        <v>25.224347870838</v>
      </c>
      <c r="AC90" s="14" t="n">
        <v>26.674347870838</v>
      </c>
      <c r="AD90" s="14" t="n">
        <v>21.0618991648036</v>
      </c>
      <c r="AE90" s="14" t="n">
        <v>674.686407680941</v>
      </c>
      <c r="AF90" s="14" t="n">
        <v>0.03</v>
      </c>
      <c r="AG90" s="14" t="n">
        <v>0.662448255852357</v>
      </c>
      <c r="AH90" s="14" t="n">
        <v>9819.91719809611</v>
      </c>
      <c r="AI90" s="14" t="n">
        <v>19708.2103102491</v>
      </c>
      <c r="AJ90" s="14" t="n">
        <v>15.26675</v>
      </c>
      <c r="AK90" s="14" t="n">
        <v>0</v>
      </c>
      <c r="AL90" s="14" t="n">
        <v>-37956.0113670439</v>
      </c>
      <c r="AM90" s="14" t="n">
        <v>812.6073</v>
      </c>
      <c r="AN90" s="14" t="n">
        <v>20079.98904</v>
      </c>
      <c r="AO90" s="14" t="n">
        <v>-5508.72242389994</v>
      </c>
      <c r="AP90" s="14" t="n">
        <v>0.55611250554993</v>
      </c>
      <c r="AQ90" s="14" t="n">
        <v>0</v>
      </c>
      <c r="AR90" s="14" t="n">
        <v>327.195752</v>
      </c>
      <c r="AS90" s="14" t="n">
        <v>314.925245</v>
      </c>
      <c r="AT90" s="14" t="n">
        <v>-5102.4989650393</v>
      </c>
      <c r="AU90" s="14" t="n">
        <v>12.270507</v>
      </c>
      <c r="AV90" s="14" t="n">
        <v>0</v>
      </c>
      <c r="AW90" s="14" t="n">
        <v>2254.3125</v>
      </c>
      <c r="AX90" s="14" t="n">
        <v>314.925245</v>
      </c>
      <c r="AY90" s="14" t="n">
        <v>314.925245</v>
      </c>
      <c r="AZ90" s="14" t="n">
        <v>5479.35597568018</v>
      </c>
      <c r="BA90" s="14" t="n">
        <v>16.2681822202654</v>
      </c>
      <c r="BB90" s="14" t="n">
        <v>24.9254748422018</v>
      </c>
      <c r="BC90" s="14" t="n">
        <v>39.1533300510042</v>
      </c>
      <c r="BD90" s="14" t="n">
        <v>-5.08067650538881</v>
      </c>
      <c r="BE90" s="14" t="n">
        <v>-3.389032187156</v>
      </c>
      <c r="BF90" s="14" t="n">
        <v>5.28542761383372</v>
      </c>
      <c r="BG90" s="14" t="n">
        <v>6.97707193206652</v>
      </c>
      <c r="BH90" s="14" t="n">
        <v>10.9956654944829</v>
      </c>
      <c r="BI90" s="14" t="n">
        <v>14.5375344778911</v>
      </c>
      <c r="BJ90" s="14" t="n">
        <v>3.37118358768332</v>
      </c>
      <c r="BK90" s="14" t="n">
        <v>4.04706880575186</v>
      </c>
      <c r="BL90" s="14" t="n">
        <v>6.42123287671233</v>
      </c>
      <c r="BM90" s="14" t="n">
        <v>8712.70308277889</v>
      </c>
      <c r="BN90" s="14" t="n">
        <v>7262.00653853952</v>
      </c>
      <c r="BO90" s="14" t="n">
        <v>7262.00653853952</v>
      </c>
      <c r="BP90" s="14" t="n">
        <v>327.195752</v>
      </c>
      <c r="BQ90" s="14" t="n">
        <v>301.7195</v>
      </c>
      <c r="BR90" s="14" t="n">
        <v>1081.9108</v>
      </c>
      <c r="BS90" s="14" t="s">
        <v>2856</v>
      </c>
      <c r="BT90" s="14" t="n">
        <v>37.9555555555556</v>
      </c>
      <c r="BU90" s="14" t="n">
        <v>0.202495480090107</v>
      </c>
      <c r="BV90" s="14" t="n">
        <v>0.204285232461873</v>
      </c>
      <c r="BW90" s="14" t="n">
        <v>13510.8578038903</v>
      </c>
      <c r="BX90" s="14" t="n">
        <v>27107.0656988521</v>
      </c>
      <c r="BY90" s="14" t="n">
        <v>99.7820461037626</v>
      </c>
      <c r="BZ90" s="14" t="n">
        <v>0</v>
      </c>
      <c r="CA90" s="14" t="n">
        <v>950.69728</v>
      </c>
      <c r="CB90" s="14" t="n">
        <v>12000</v>
      </c>
    </row>
    <row r="91" customFormat="false" ht="15" hidden="false" customHeight="false" outlineLevel="0" collapsed="false">
      <c r="A91" s="0" t="s">
        <v>2927</v>
      </c>
      <c r="B91" s="14" t="n">
        <v>2465.07954157611</v>
      </c>
      <c r="C91" s="14" t="n">
        <v>7786.92140606474</v>
      </c>
      <c r="D91" s="14" t="n">
        <v>20810.6035934959</v>
      </c>
      <c r="E91" s="14" t="n">
        <v>3913.29750454207</v>
      </c>
      <c r="F91" s="14" t="n">
        <v>-1418.62451675369</v>
      </c>
      <c r="G91" s="14" t="n">
        <v>5020.44516505317</v>
      </c>
      <c r="H91" s="14" t="n">
        <v>12010.063370792</v>
      </c>
      <c r="I91" s="15" t="n">
        <v>8.86013811478825</v>
      </c>
      <c r="J91" s="15" t="n">
        <v>16.6381847093549</v>
      </c>
      <c r="K91" s="14" t="s">
        <v>60</v>
      </c>
      <c r="L91" s="14" t="n">
        <v>-4761.79559827576</v>
      </c>
      <c r="M91" s="14" t="n">
        <v>33808.5005456213</v>
      </c>
      <c r="N91" s="14" t="n">
        <v>12233.9972740782</v>
      </c>
      <c r="O91" s="14" t="n">
        <v>-18363.0046844008</v>
      </c>
      <c r="P91" s="14" t="n">
        <v>951.290832135856</v>
      </c>
      <c r="Q91" s="14" t="n">
        <v>512.912432202734</v>
      </c>
      <c r="R91" s="14" t="n">
        <v>17617.7170533315</v>
      </c>
      <c r="S91" s="14" t="n">
        <v>26983.4190218699</v>
      </c>
      <c r="T91" s="14" t="n">
        <v>-955.692204749296</v>
      </c>
      <c r="U91" s="14" t="n">
        <v>2790.28116653353</v>
      </c>
      <c r="V91" s="14" t="n">
        <v>0.750319556751226</v>
      </c>
      <c r="W91" s="14" t="n">
        <v>56586.2765910716</v>
      </c>
      <c r="X91" s="14" t="n">
        <v>22181.9282950486</v>
      </c>
      <c r="Y91" s="14" t="n">
        <v>15.651887568111</v>
      </c>
      <c r="Z91" s="14" t="n">
        <v>21.2452980553753</v>
      </c>
      <c r="AA91" s="14" t="n">
        <v>27.424347870838</v>
      </c>
      <c r="AB91" s="14" t="n">
        <v>25.224347870838</v>
      </c>
      <c r="AC91" s="14" t="n">
        <v>26.674347870838</v>
      </c>
      <c r="AD91" s="14" t="n">
        <v>21.0618991648036</v>
      </c>
      <c r="AE91" s="14" t="n">
        <v>674.686407680941</v>
      </c>
      <c r="AF91" s="14" t="n">
        <v>0.03</v>
      </c>
      <c r="AG91" s="14" t="n">
        <v>0.666184583419054</v>
      </c>
      <c r="AH91" s="14" t="n">
        <v>9819.91719809611</v>
      </c>
      <c r="AI91" s="14" t="n">
        <v>20810.6035934959</v>
      </c>
      <c r="AJ91" s="14" t="n">
        <v>18.59175</v>
      </c>
      <c r="AK91" s="14" t="n">
        <v>0</v>
      </c>
      <c r="AL91" s="14" t="n">
        <v>-36214.144848347</v>
      </c>
      <c r="AM91" s="14" t="n">
        <v>812.6073</v>
      </c>
      <c r="AN91" s="14" t="n">
        <v>20079.98904</v>
      </c>
      <c r="AO91" s="14" t="n">
        <v>-5508.72242389994</v>
      </c>
      <c r="AP91" s="14" t="n">
        <v>0.471650734027067</v>
      </c>
      <c r="AQ91" s="14" t="n">
        <v>14.7240572649158</v>
      </c>
      <c r="AR91" s="14" t="n">
        <v>327.195752</v>
      </c>
      <c r="AS91" s="14" t="n">
        <v>314.925245</v>
      </c>
      <c r="AT91" s="14" t="n">
        <v>-4761.79559827576</v>
      </c>
      <c r="AU91" s="14" t="n">
        <v>12.270507</v>
      </c>
      <c r="AV91" s="14" t="n">
        <v>0</v>
      </c>
      <c r="AW91" s="14" t="n">
        <v>2254.3125</v>
      </c>
      <c r="AX91" s="14" t="n">
        <v>314.925245</v>
      </c>
      <c r="AY91" s="14" t="n">
        <v>314.925245</v>
      </c>
      <c r="AZ91" s="14" t="n">
        <v>5682.05997740322</v>
      </c>
      <c r="BA91" s="14" t="n">
        <v>16.9118397388078</v>
      </c>
      <c r="BB91" s="14" t="n">
        <v>25.5691323607441</v>
      </c>
      <c r="BC91" s="14" t="n">
        <v>39.7969875695466</v>
      </c>
      <c r="BD91" s="14" t="n">
        <v>-5.08067650538881</v>
      </c>
      <c r="BE91" s="14" t="n">
        <v>-3.389032187156</v>
      </c>
      <c r="BF91" s="14" t="n">
        <v>5.28542761383372</v>
      </c>
      <c r="BG91" s="14" t="n">
        <v>6.97707193206652</v>
      </c>
      <c r="BH91" s="14" t="n">
        <v>10.9956654944829</v>
      </c>
      <c r="BI91" s="14" t="n">
        <v>14.5375344778911</v>
      </c>
      <c r="BJ91" s="14" t="n">
        <v>4.18491755712413</v>
      </c>
      <c r="BK91" s="14" t="n">
        <v>5.02394748300231</v>
      </c>
      <c r="BL91" s="14" t="n">
        <v>6.42123287671233</v>
      </c>
      <c r="BM91" s="14" t="n">
        <v>8712.70308277889</v>
      </c>
      <c r="BN91" s="14" t="n">
        <v>7754.5546690345</v>
      </c>
      <c r="BO91" s="14" t="n">
        <v>7754.5546690345</v>
      </c>
      <c r="BP91" s="14" t="n">
        <v>327.195752</v>
      </c>
      <c r="BQ91" s="14" t="n">
        <v>301.7195</v>
      </c>
      <c r="BR91" s="14" t="n">
        <v>1081.9108</v>
      </c>
      <c r="BS91" s="14" t="s">
        <v>2855</v>
      </c>
      <c r="BT91" s="14" t="n">
        <v>37.9555555555556</v>
      </c>
      <c r="BU91" s="14" t="n">
        <v>0.202495480090107</v>
      </c>
      <c r="BV91" s="14" t="n">
        <v>0.204285232461873</v>
      </c>
      <c r="BW91" s="14" t="n">
        <v>13510.8578038903</v>
      </c>
      <c r="BX91" s="14" t="n">
        <v>27107.0656988521</v>
      </c>
      <c r="BY91" s="14" t="n">
        <v>95.9543247337467</v>
      </c>
      <c r="BZ91" s="14" t="n">
        <v>0</v>
      </c>
      <c r="CA91" s="14" t="n">
        <v>950.69728</v>
      </c>
      <c r="CB91" s="14" t="n">
        <v>12000</v>
      </c>
    </row>
    <row r="92" customFormat="false" ht="15" hidden="false" customHeight="false" outlineLevel="0" collapsed="false">
      <c r="A92" s="0" t="s">
        <v>2928</v>
      </c>
      <c r="B92" s="14" t="n">
        <v>2465.07954157611</v>
      </c>
      <c r="C92" s="14" t="n">
        <v>8068.3774806333</v>
      </c>
      <c r="D92" s="14" t="n">
        <v>21440.5426124941</v>
      </c>
      <c r="E92" s="14" t="n">
        <v>4113.13131748575</v>
      </c>
      <c r="F92" s="14" t="n">
        <v>-1230.28595220326</v>
      </c>
      <c r="G92" s="14" t="n">
        <v>5020.68217046369</v>
      </c>
      <c r="H92" s="14" t="n">
        <v>16165.5366085625</v>
      </c>
      <c r="I92" s="15" t="n">
        <v>22.0552480773779</v>
      </c>
      <c r="J92" s="15" t="n">
        <v>30.9894858187919</v>
      </c>
      <c r="K92" s="14" t="s">
        <v>60</v>
      </c>
      <c r="L92" s="14" t="n">
        <v>-4567.10796012517</v>
      </c>
      <c r="M92" s="14" t="n">
        <v>33814.1296671127</v>
      </c>
      <c r="N92" s="14" t="n">
        <v>12712.7509285169</v>
      </c>
      <c r="O92" s="14" t="n">
        <v>-17721.7732559563</v>
      </c>
      <c r="P92" s="14" t="n">
        <v>951.290832135856</v>
      </c>
      <c r="Q92" s="14" t="n">
        <v>964.409281559236</v>
      </c>
      <c r="R92" s="14" t="n">
        <v>17617.7170533315</v>
      </c>
      <c r="S92" s="14" t="n">
        <v>26996.0178022499</v>
      </c>
      <c r="T92" s="14" t="n">
        <v>-955.692204749296</v>
      </c>
      <c r="U92" s="14" t="n">
        <v>6945.75440430402</v>
      </c>
      <c r="V92" s="14" t="n">
        <v>0.750319556751226</v>
      </c>
      <c r="W92" s="14" t="n">
        <v>59707.9823396861</v>
      </c>
      <c r="X92" s="14" t="n">
        <v>22190.4831628106</v>
      </c>
      <c r="Y92" s="14" t="n">
        <v>29.152456010215</v>
      </c>
      <c r="Z92" s="14" t="n">
        <v>39.5704744420153</v>
      </c>
      <c r="AA92" s="14" t="n">
        <v>27.424347870838</v>
      </c>
      <c r="AB92" s="14" t="n">
        <v>25.224347870838</v>
      </c>
      <c r="AC92" s="14" t="n">
        <v>26.674347870838</v>
      </c>
      <c r="AD92" s="14" t="n">
        <v>21.0618991648036</v>
      </c>
      <c r="AE92" s="14" t="n">
        <v>674.686407680941</v>
      </c>
      <c r="AF92" s="14" t="n">
        <v>0.03</v>
      </c>
      <c r="AG92" s="14" t="n">
        <v>0.668235881947037</v>
      </c>
      <c r="AH92" s="14" t="n">
        <v>9819.91719809611</v>
      </c>
      <c r="AI92" s="14" t="n">
        <v>21440.5426124941</v>
      </c>
      <c r="AJ92" s="14" t="n">
        <v>20.49175</v>
      </c>
      <c r="AK92" s="14" t="n">
        <v>0</v>
      </c>
      <c r="AL92" s="14" t="n">
        <v>-35277.2885486061</v>
      </c>
      <c r="AM92" s="14" t="n">
        <v>812.6073</v>
      </c>
      <c r="AN92" s="14" t="n">
        <v>20079.98904</v>
      </c>
      <c r="AO92" s="14" t="n">
        <v>-5508.72242389994</v>
      </c>
      <c r="AP92" s="14" t="n">
        <v>0.433985976781299</v>
      </c>
      <c r="AQ92" s="14" t="n">
        <v>27.4243237334441</v>
      </c>
      <c r="AR92" s="14" t="n">
        <v>327.195752</v>
      </c>
      <c r="AS92" s="14" t="n">
        <v>314.925245</v>
      </c>
      <c r="AT92" s="14" t="n">
        <v>-4567.10796012517</v>
      </c>
      <c r="AU92" s="14" t="n">
        <v>12.270507</v>
      </c>
      <c r="AV92" s="14" t="n">
        <v>0</v>
      </c>
      <c r="AW92" s="14" t="n">
        <v>2254.3125</v>
      </c>
      <c r="AX92" s="14" t="n">
        <v>314.925245</v>
      </c>
      <c r="AY92" s="14" t="n">
        <v>314.925245</v>
      </c>
      <c r="AZ92" s="14" t="n">
        <v>5788.92956187221</v>
      </c>
      <c r="BA92" s="14" t="n">
        <v>17.2511887943876</v>
      </c>
      <c r="BB92" s="14" t="n">
        <v>25.9084814163239</v>
      </c>
      <c r="BC92" s="14" t="n">
        <v>40.1363366251264</v>
      </c>
      <c r="BD92" s="14" t="n">
        <v>-5.08067650538881</v>
      </c>
      <c r="BE92" s="14" t="n">
        <v>-3.389032187156</v>
      </c>
      <c r="BF92" s="14" t="n">
        <v>5.28542761383372</v>
      </c>
      <c r="BG92" s="14" t="n">
        <v>6.97707193206652</v>
      </c>
      <c r="BH92" s="14" t="n">
        <v>10.9956654944829</v>
      </c>
      <c r="BI92" s="14" t="n">
        <v>14.5375344778911</v>
      </c>
      <c r="BJ92" s="14" t="n">
        <v>4.64990839680458</v>
      </c>
      <c r="BK92" s="14" t="n">
        <v>5.58216387000257</v>
      </c>
      <c r="BL92" s="14" t="n">
        <v>6.42123287671233</v>
      </c>
      <c r="BM92" s="14" t="n">
        <v>8712.70308277889</v>
      </c>
      <c r="BN92" s="14" t="n">
        <v>8036.01074360307</v>
      </c>
      <c r="BO92" s="14" t="n">
        <v>8036.01074360307</v>
      </c>
      <c r="BP92" s="14" t="n">
        <v>327.195752</v>
      </c>
      <c r="BQ92" s="14" t="n">
        <v>301.7195</v>
      </c>
      <c r="BR92" s="14" t="n">
        <v>1081.9108</v>
      </c>
      <c r="BS92" s="14" t="s">
        <v>2855</v>
      </c>
      <c r="BT92" s="14" t="n">
        <v>37.9555555555556</v>
      </c>
      <c r="BU92" s="14" t="n">
        <v>0.202495480090107</v>
      </c>
      <c r="BV92" s="14" t="n">
        <v>0.204285232461873</v>
      </c>
      <c r="BW92" s="14" t="n">
        <v>13510.8578038903</v>
      </c>
      <c r="BX92" s="14" t="n">
        <v>27107.0656988521</v>
      </c>
      <c r="BY92" s="14" t="n">
        <v>93.8934460289448</v>
      </c>
      <c r="BZ92" s="14" t="n">
        <v>0</v>
      </c>
      <c r="CA92" s="14" t="n">
        <v>950.69728</v>
      </c>
      <c r="CB92" s="14" t="n">
        <v>12000</v>
      </c>
    </row>
    <row r="93" customFormat="false" ht="15" hidden="false" customHeight="false" outlineLevel="0" collapsed="false">
      <c r="A93" s="0" t="s">
        <v>2929</v>
      </c>
      <c r="B93" s="14" t="n">
        <v>2465.07954157611</v>
      </c>
      <c r="C93" s="14" t="n">
        <v>8349.83355520186</v>
      </c>
      <c r="D93" s="14" t="n">
        <v>22070.4816314923</v>
      </c>
      <c r="E93" s="14" t="n">
        <v>4312.96513042944</v>
      </c>
      <c r="F93" s="14" t="n">
        <v>-1041.94738765284</v>
      </c>
      <c r="G93" s="14" t="n">
        <v>5020.9191758742</v>
      </c>
      <c r="H93" s="14" t="n">
        <v>19799.6025350614</v>
      </c>
      <c r="I93" s="15" t="n">
        <v>33.5947038186888</v>
      </c>
      <c r="J93" s="15" t="n">
        <v>43.5400598156812</v>
      </c>
      <c r="K93" s="14" t="s">
        <v>60</v>
      </c>
      <c r="L93" s="14" t="n">
        <v>-4372.42032197458</v>
      </c>
      <c r="M93" s="14" t="n">
        <v>33819.758788604</v>
      </c>
      <c r="N93" s="14" t="n">
        <v>13191.5045829555</v>
      </c>
      <c r="O93" s="14" t="n">
        <v>-17149.0001685077</v>
      </c>
      <c r="P93" s="14" t="n">
        <v>951.290832135856</v>
      </c>
      <c r="Q93" s="14" t="n">
        <v>1415.90613091574</v>
      </c>
      <c r="R93" s="14" t="n">
        <v>17617.7170533315</v>
      </c>
      <c r="S93" s="14" t="n">
        <v>27008.6165826298</v>
      </c>
      <c r="T93" s="14" t="n">
        <v>-955.692204749296</v>
      </c>
      <c r="U93" s="14" t="n">
        <v>10579.820330803</v>
      </c>
      <c r="V93" s="14" t="n">
        <v>0.750319556751226</v>
      </c>
      <c r="W93" s="14" t="n">
        <v>62332.0115387698</v>
      </c>
      <c r="X93" s="14" t="n">
        <v>22261.0176327188</v>
      </c>
      <c r="Y93" s="14" t="n">
        <v>40.9590428792813</v>
      </c>
      <c r="Z93" s="14" t="n">
        <v>55.5963023786433</v>
      </c>
      <c r="AA93" s="14" t="n">
        <v>27.424347870838</v>
      </c>
      <c r="AB93" s="14" t="n">
        <v>25.224347870838</v>
      </c>
      <c r="AC93" s="14" t="n">
        <v>26.674347870838</v>
      </c>
      <c r="AD93" s="14" t="n">
        <v>21.0618991648036</v>
      </c>
      <c r="AE93" s="14" t="n">
        <v>674.686407680941</v>
      </c>
      <c r="AF93" s="14" t="n">
        <v>0.03</v>
      </c>
      <c r="AG93" s="14" t="n">
        <v>0.670229486358198</v>
      </c>
      <c r="AH93" s="14" t="n">
        <v>9819.91719809611</v>
      </c>
      <c r="AI93" s="14" t="n">
        <v>22070.4816314923</v>
      </c>
      <c r="AJ93" s="14" t="n">
        <v>22.39175</v>
      </c>
      <c r="AK93" s="14" t="n">
        <v>0</v>
      </c>
      <c r="AL93" s="14" t="n">
        <v>-34412.1822832751</v>
      </c>
      <c r="AM93" s="14" t="n">
        <v>812.6073</v>
      </c>
      <c r="AN93" s="14" t="n">
        <v>20079.98904</v>
      </c>
      <c r="AO93" s="14" t="n">
        <v>-5508.72242389994</v>
      </c>
      <c r="AP93" s="14" t="n">
        <v>0.401891966794121</v>
      </c>
      <c r="AQ93" s="14" t="n">
        <v>38.5310263855586</v>
      </c>
      <c r="AR93" s="14" t="n">
        <v>327.195752</v>
      </c>
      <c r="AS93" s="14" t="n">
        <v>314.925245</v>
      </c>
      <c r="AT93" s="14" t="n">
        <v>-4372.42032197458</v>
      </c>
      <c r="AU93" s="14" t="n">
        <v>12.270507</v>
      </c>
      <c r="AV93" s="14" t="n">
        <v>0</v>
      </c>
      <c r="AW93" s="14" t="n">
        <v>2254.3125</v>
      </c>
      <c r="AX93" s="14" t="n">
        <v>314.925245</v>
      </c>
      <c r="AY93" s="14" t="n">
        <v>314.925245</v>
      </c>
      <c r="AZ93" s="14" t="n">
        <v>5890.01789678353</v>
      </c>
      <c r="BA93" s="14" t="n">
        <v>17.5721803202061</v>
      </c>
      <c r="BB93" s="14" t="n">
        <v>26.2294729421424</v>
      </c>
      <c r="BC93" s="14" t="n">
        <v>40.4573281509449</v>
      </c>
      <c r="BD93" s="14" t="n">
        <v>-5.08067650538881</v>
      </c>
      <c r="BE93" s="14" t="n">
        <v>-3.389032187156</v>
      </c>
      <c r="BF93" s="14" t="n">
        <v>5.28542761383372</v>
      </c>
      <c r="BG93" s="14" t="n">
        <v>6.97707193206652</v>
      </c>
      <c r="BH93" s="14" t="n">
        <v>10.9956654944829</v>
      </c>
      <c r="BI93" s="14" t="n">
        <v>14.5375344778911</v>
      </c>
      <c r="BJ93" s="14" t="n">
        <v>5.11489923648504</v>
      </c>
      <c r="BK93" s="14" t="n">
        <v>6.14038025700283</v>
      </c>
      <c r="BL93" s="14" t="n">
        <v>6.42123287671233</v>
      </c>
      <c r="BM93" s="14" t="n">
        <v>8712.70308277889</v>
      </c>
      <c r="BN93" s="14" t="n">
        <v>8317.46681817163</v>
      </c>
      <c r="BO93" s="14" t="n">
        <v>8317.46681817163</v>
      </c>
      <c r="BP93" s="14" t="n">
        <v>327.195752</v>
      </c>
      <c r="BQ93" s="14" t="n">
        <v>301.7195</v>
      </c>
      <c r="BR93" s="14" t="n">
        <v>1081.9108</v>
      </c>
      <c r="BS93" s="14" t="s">
        <v>2855</v>
      </c>
      <c r="BT93" s="14" t="n">
        <v>37.9555555555556</v>
      </c>
      <c r="BU93" s="14" t="n">
        <v>0.202495480090107</v>
      </c>
      <c r="BV93" s="14" t="n">
        <v>0.204285232461873</v>
      </c>
      <c r="BW93" s="14" t="n">
        <v>13510.8578038903</v>
      </c>
      <c r="BX93" s="14" t="n">
        <v>27107.0656988521</v>
      </c>
      <c r="BY93" s="14" t="n">
        <v>91.990500959905</v>
      </c>
      <c r="BZ93" s="14" t="n">
        <v>0</v>
      </c>
      <c r="CA93" s="14" t="n">
        <v>950.69728</v>
      </c>
      <c r="CB93" s="14" t="n">
        <v>12000</v>
      </c>
    </row>
    <row r="94" customFormat="false" ht="15" hidden="false" customHeight="false" outlineLevel="0" collapsed="false">
      <c r="A94" s="0" t="s">
        <v>2930</v>
      </c>
      <c r="B94" s="14" t="n">
        <v>2465.07954157611</v>
      </c>
      <c r="C94" s="14" t="n">
        <v>8970.55086390808</v>
      </c>
      <c r="D94" s="14" t="n">
        <v>23459.7358983294</v>
      </c>
      <c r="E94" s="14" t="n">
        <v>4753.67441961085</v>
      </c>
      <c r="F94" s="14" t="n">
        <v>-626.589477568527</v>
      </c>
      <c r="G94" s="14" t="n">
        <v>5021.44186262306</v>
      </c>
      <c r="H94" s="14" t="n">
        <v>27128.5627976689</v>
      </c>
      <c r="I94" s="15" t="n">
        <v>56.8305877397369</v>
      </c>
      <c r="J94" s="15" t="n">
        <v>68.7981436498263</v>
      </c>
      <c r="K94" s="14" t="s">
        <v>60</v>
      </c>
      <c r="L94" s="14" t="n">
        <v>-3943.06029847376</v>
      </c>
      <c r="M94" s="14" t="n">
        <v>33832.1731347782</v>
      </c>
      <c r="N94" s="14" t="n">
        <v>14247.3378257517</v>
      </c>
      <c r="O94" s="14" t="n">
        <v>-15910.8122161502</v>
      </c>
      <c r="P94" s="14" t="n">
        <v>951.290832135856</v>
      </c>
      <c r="Q94" s="14" t="n">
        <v>2411.62778890978</v>
      </c>
      <c r="R94" s="14" t="n">
        <v>17617.7170533315</v>
      </c>
      <c r="S94" s="14" t="n">
        <v>27036.4016679666</v>
      </c>
      <c r="T94" s="14" t="n">
        <v>-955.692204749296</v>
      </c>
      <c r="U94" s="14" t="n">
        <v>18090.6876291157</v>
      </c>
      <c r="V94" s="14" t="n">
        <v>0.750319556751226</v>
      </c>
      <c r="W94" s="14" t="n">
        <v>67433.4623257995</v>
      </c>
      <c r="X94" s="14" t="n">
        <v>22501.9471046928</v>
      </c>
      <c r="Y94" s="14" t="n">
        <v>64.7198494374441</v>
      </c>
      <c r="Z94" s="14" t="n">
        <v>87.8483496264633</v>
      </c>
      <c r="AA94" s="14" t="n">
        <v>27.424347870838</v>
      </c>
      <c r="AB94" s="14" t="n">
        <v>25.224347870838</v>
      </c>
      <c r="AC94" s="14" t="n">
        <v>26.674347870838</v>
      </c>
      <c r="AD94" s="14" t="n">
        <v>21.0618991648036</v>
      </c>
      <c r="AE94" s="14" t="n">
        <v>674.686407680941</v>
      </c>
      <c r="AF94" s="14" t="n">
        <v>0.03</v>
      </c>
      <c r="AG94" s="14" t="n">
        <v>0.674433914656246</v>
      </c>
      <c r="AH94" s="14" t="n">
        <v>9819.91719809611</v>
      </c>
      <c r="AI94" s="14" t="n">
        <v>23459.7358983294</v>
      </c>
      <c r="AJ94" s="14" t="n">
        <v>26.5819700488998</v>
      </c>
      <c r="AK94" s="14" t="n">
        <v>0</v>
      </c>
      <c r="AL94" s="14" t="n">
        <v>-32529.1144904161</v>
      </c>
      <c r="AM94" s="14" t="n">
        <v>812.6073</v>
      </c>
      <c r="AN94" s="14" t="n">
        <v>20079.98904</v>
      </c>
      <c r="AO94" s="14" t="n">
        <v>-5508.72242389994</v>
      </c>
      <c r="AP94" s="14" t="n">
        <v>0.345537683171629</v>
      </c>
      <c r="AQ94" s="14" t="n">
        <v>60.8833129644481</v>
      </c>
      <c r="AR94" s="14" t="n">
        <v>330.5971045</v>
      </c>
      <c r="AS94" s="14" t="n">
        <v>318.3265975</v>
      </c>
      <c r="AT94" s="14" t="n">
        <v>-3943.06029847376</v>
      </c>
      <c r="AU94" s="14" t="n">
        <v>12.270507</v>
      </c>
      <c r="AV94" s="14" t="n">
        <v>0</v>
      </c>
      <c r="AW94" s="14" t="n">
        <v>2254.3125</v>
      </c>
      <c r="AX94" s="14" t="n">
        <v>318.3265975</v>
      </c>
      <c r="AY94" s="14" t="n">
        <v>315.125732561945</v>
      </c>
      <c r="AZ94" s="14" t="n">
        <v>6094.91892288931</v>
      </c>
      <c r="BA94" s="14" t="n">
        <v>18.2228141749349</v>
      </c>
      <c r="BB94" s="14" t="n">
        <v>26.8801067968713</v>
      </c>
      <c r="BC94" s="14" t="n">
        <v>41.1079620056737</v>
      </c>
      <c r="BD94" s="14" t="n">
        <v>-5.08067650538881</v>
      </c>
      <c r="BE94" s="14" t="n">
        <v>-3.389032187156</v>
      </c>
      <c r="BF94" s="14" t="n">
        <v>5.28542761383372</v>
      </c>
      <c r="BG94" s="14" t="n">
        <v>6.97707193206652</v>
      </c>
      <c r="BH94" s="14" t="n">
        <v>10.9956654944829</v>
      </c>
      <c r="BI94" s="14" t="n">
        <v>14.5375344778911</v>
      </c>
      <c r="BJ94" s="14" t="n">
        <v>5.11489923648504</v>
      </c>
      <c r="BK94" s="14" t="n">
        <v>6.14038025700283</v>
      </c>
      <c r="BL94" s="14" t="n">
        <v>6.42123287671233</v>
      </c>
      <c r="BM94" s="14" t="n">
        <v>8712.70308277889</v>
      </c>
      <c r="BN94" s="14" t="n">
        <v>8938.18412687785</v>
      </c>
      <c r="BO94" s="14" t="n">
        <v>8938.18412687785</v>
      </c>
      <c r="BP94" s="14" t="n">
        <v>330.5971045</v>
      </c>
      <c r="BQ94" s="14" t="n">
        <v>301.7195</v>
      </c>
      <c r="BR94" s="14" t="n">
        <v>1081.9108</v>
      </c>
      <c r="BS94" s="14" t="s">
        <v>2855</v>
      </c>
      <c r="BT94" s="14" t="n">
        <v>37.9555555555556</v>
      </c>
      <c r="BU94" s="14" t="n">
        <v>0.202495480090107</v>
      </c>
      <c r="BV94" s="14" t="n">
        <v>0.204285232461873</v>
      </c>
      <c r="BW94" s="14" t="n">
        <v>13328.9507681851</v>
      </c>
      <c r="BX94" s="14" t="n">
        <v>26915.3671366004</v>
      </c>
      <c r="BY94" s="14" t="n">
        <v>87.8491638029989</v>
      </c>
      <c r="BZ94" s="14" t="n">
        <v>0</v>
      </c>
      <c r="CA94" s="14" t="n">
        <v>950.69728</v>
      </c>
      <c r="CB94" s="14" t="n">
        <v>12000</v>
      </c>
    </row>
    <row r="95" customFormat="false" ht="15" hidden="false" customHeight="false" outlineLevel="0" collapsed="false">
      <c r="A95" s="0" t="s">
        <v>2931</v>
      </c>
      <c r="B95" s="14" t="n">
        <v>2465.07954157611</v>
      </c>
      <c r="C95" s="14" t="n">
        <v>7505.46533149617</v>
      </c>
      <c r="D95" s="14" t="n">
        <v>20180.6645744977</v>
      </c>
      <c r="E95" s="14" t="n">
        <v>3713.46369159839</v>
      </c>
      <c r="F95" s="14" t="n">
        <v>-1606.96308130411</v>
      </c>
      <c r="G95" s="14" t="n">
        <v>5020.20815964266</v>
      </c>
      <c r="H95" s="14" t="n">
        <v>7250.58083484541</v>
      </c>
      <c r="I95" s="15" t="n">
        <v>0.01</v>
      </c>
      <c r="J95" s="15" t="n">
        <v>3.82715265897661</v>
      </c>
      <c r="K95" s="14" t="s">
        <v>50</v>
      </c>
      <c r="L95" s="14" t="n">
        <v>-3253.12059697067</v>
      </c>
      <c r="M95" s="14" t="n">
        <v>33802.8714241299</v>
      </c>
      <c r="N95" s="14" t="n">
        <v>11755.2436196396</v>
      </c>
      <c r="O95" s="14" t="n">
        <v>-17845.4845571543</v>
      </c>
      <c r="P95" s="14" t="n">
        <v>951.290832135856</v>
      </c>
      <c r="Q95" s="14" t="n">
        <v>61.4155828462322</v>
      </c>
      <c r="R95" s="14" t="n">
        <v>17617.7170533315</v>
      </c>
      <c r="S95" s="14" t="n">
        <v>26970.82024149</v>
      </c>
      <c r="T95" s="14" t="n">
        <v>-955.692204749296</v>
      </c>
      <c r="U95" s="14" t="n">
        <v>-919.201369413044</v>
      </c>
      <c r="V95" s="14" t="n">
        <v>0.750319556751226</v>
      </c>
      <c r="W95" s="14" t="n">
        <v>53464.5708424573</v>
      </c>
      <c r="X95" s="14" t="n">
        <v>22173.3734272866</v>
      </c>
      <c r="Y95" s="14" t="n">
        <v>3.60028237278907</v>
      </c>
      <c r="Z95" s="14" t="n">
        <v>4.88689123024724</v>
      </c>
      <c r="AA95" s="14" t="n">
        <v>27.424347870838</v>
      </c>
      <c r="AB95" s="14" t="n">
        <v>25.224347870838</v>
      </c>
      <c r="AC95" s="14" t="n">
        <v>26.674347870838</v>
      </c>
      <c r="AD95" s="14" t="n">
        <v>21.0618991648036</v>
      </c>
      <c r="AE95" s="14" t="n">
        <v>674.686407680941</v>
      </c>
      <c r="AF95" s="14" t="n">
        <v>0.03</v>
      </c>
      <c r="AG95" s="14" t="n">
        <v>0.664073049535931</v>
      </c>
      <c r="AH95" s="14" t="n">
        <v>11929.1046980961</v>
      </c>
      <c r="AI95" s="14" t="n">
        <v>20180.6645744977</v>
      </c>
      <c r="AJ95" s="14" t="n">
        <v>16.69175</v>
      </c>
      <c r="AK95" s="14" t="n">
        <v>0</v>
      </c>
      <c r="AL95" s="14" t="n">
        <v>-36420.2971904962</v>
      </c>
      <c r="AM95" s="14" t="n">
        <v>812.6073</v>
      </c>
      <c r="AN95" s="14" t="n">
        <v>22179.98904</v>
      </c>
      <c r="AO95" s="14" t="n">
        <v>-5546.27546044307</v>
      </c>
      <c r="AP95" s="14" t="n">
        <v>0.516474502037109</v>
      </c>
      <c r="AQ95" s="14" t="n">
        <v>3.38686076015629</v>
      </c>
      <c r="AR95" s="14" t="n">
        <v>327.195752</v>
      </c>
      <c r="AS95" s="14" t="n">
        <v>314.925245</v>
      </c>
      <c r="AT95" s="14" t="n">
        <v>-3253.12059697067</v>
      </c>
      <c r="AU95" s="14" t="n">
        <v>12.270507</v>
      </c>
      <c r="AV95" s="14" t="n">
        <v>0</v>
      </c>
      <c r="AW95" s="14" t="n">
        <v>2254.3125</v>
      </c>
      <c r="AX95" s="14" t="n">
        <v>314.925245</v>
      </c>
      <c r="AY95" s="14" t="n">
        <v>314.925245</v>
      </c>
      <c r="AZ95" s="14" t="n">
        <v>5568.83612056339</v>
      </c>
      <c r="BA95" s="14" t="n">
        <v>19.8864381809243</v>
      </c>
      <c r="BB95" s="14" t="n">
        <v>28.5437308028607</v>
      </c>
      <c r="BC95" s="14" t="n">
        <v>42.7715860116631</v>
      </c>
      <c r="BD95" s="14" t="n">
        <v>-5.08067650538881</v>
      </c>
      <c r="BE95" s="14" t="n">
        <v>-3.389032187156</v>
      </c>
      <c r="BF95" s="14" t="n">
        <v>5.28542761383372</v>
      </c>
      <c r="BG95" s="14" t="n">
        <v>6.97707193206652</v>
      </c>
      <c r="BH95" s="14" t="n">
        <v>10.9956654944829</v>
      </c>
      <c r="BI95" s="14" t="n">
        <v>14.5375344778911</v>
      </c>
      <c r="BJ95" s="14" t="n">
        <v>3.71992671744367</v>
      </c>
      <c r="BK95" s="14" t="n">
        <v>4.46573109600205</v>
      </c>
      <c r="BL95" s="14" t="n">
        <v>6.42123287671233</v>
      </c>
      <c r="BM95" s="14" t="n">
        <v>8712.70308277889</v>
      </c>
      <c r="BN95" s="14" t="n">
        <v>7473.09859446594</v>
      </c>
      <c r="BO95" s="14" t="n">
        <v>7473.09859446594</v>
      </c>
      <c r="BP95" s="14" t="n">
        <v>327.195752</v>
      </c>
      <c r="BQ95" s="14" t="n">
        <v>301.7195</v>
      </c>
      <c r="BR95" s="14" t="n">
        <v>1081.9108</v>
      </c>
      <c r="BS95" s="14" t="s">
        <v>2855</v>
      </c>
      <c r="BT95" s="14" t="n">
        <v>37.9555555555556</v>
      </c>
      <c r="BU95" s="14" t="n">
        <v>0.202495480090107</v>
      </c>
      <c r="BV95" s="14" t="n">
        <v>0.204285232461873</v>
      </c>
      <c r="BW95" s="14" t="n">
        <v>13510.8578038903</v>
      </c>
      <c r="BX95" s="14" t="n">
        <v>27107.0656988521</v>
      </c>
      <c r="BY95" s="14" t="n">
        <v>96.254585774553</v>
      </c>
      <c r="BZ95" s="14" t="n">
        <v>0</v>
      </c>
      <c r="CA95" s="14" t="n">
        <v>950.69728</v>
      </c>
      <c r="CB95" s="14" t="n">
        <v>14100</v>
      </c>
    </row>
    <row r="96" customFormat="false" ht="15" hidden="false" customHeight="false" outlineLevel="0" collapsed="false">
      <c r="A96" s="0" t="s">
        <v>2932</v>
      </c>
      <c r="B96" s="14" t="n">
        <v>2465.07954157611</v>
      </c>
      <c r="C96" s="14" t="n">
        <v>7505.46533149617</v>
      </c>
      <c r="D96" s="14" t="n">
        <v>20180.6645744977</v>
      </c>
      <c r="E96" s="14" t="n">
        <v>3713.46369159839</v>
      </c>
      <c r="F96" s="14" t="n">
        <v>-1606.96308130411</v>
      </c>
      <c r="G96" s="14" t="n">
        <v>5020.20815964266</v>
      </c>
      <c r="H96" s="14" t="n">
        <v>9057.7281902452</v>
      </c>
      <c r="I96" s="15" t="n">
        <v>0.01</v>
      </c>
      <c r="J96" s="15" t="n">
        <v>6.511648599118</v>
      </c>
      <c r="K96" s="14" t="s">
        <v>83</v>
      </c>
      <c r="L96" s="14" t="n">
        <v>111.269596161281</v>
      </c>
      <c r="M96" s="14" t="n">
        <v>33802.8714241299</v>
      </c>
      <c r="N96" s="14" t="n">
        <v>11755.2436196396</v>
      </c>
      <c r="O96" s="14" t="n">
        <v>-14053.7666899708</v>
      </c>
      <c r="P96" s="14" t="n">
        <v>951.290832135856</v>
      </c>
      <c r="Q96" s="14" t="n">
        <v>61.4155828462322</v>
      </c>
      <c r="R96" s="14" t="n">
        <v>17617.7170533315</v>
      </c>
      <c r="S96" s="14" t="n">
        <v>26970.82024149</v>
      </c>
      <c r="T96" s="14" t="n">
        <v>-955.692204749296</v>
      </c>
      <c r="U96" s="14" t="n">
        <v>-141.895468638255</v>
      </c>
      <c r="V96" s="14" t="n">
        <v>0.750319556751226</v>
      </c>
      <c r="W96" s="14" t="n">
        <v>53464.5708424573</v>
      </c>
      <c r="X96" s="14" t="n">
        <v>22173.3734272866</v>
      </c>
      <c r="Y96" s="14" t="n">
        <v>6.12564372477112</v>
      </c>
      <c r="Z96" s="14" t="n">
        <v>8.31472409621378</v>
      </c>
      <c r="AA96" s="14" t="n">
        <v>27.424347870838</v>
      </c>
      <c r="AB96" s="14" t="n">
        <v>25.224347870838</v>
      </c>
      <c r="AC96" s="14" t="n">
        <v>26.674347870838</v>
      </c>
      <c r="AD96" s="14" t="n">
        <v>21.0618991648036</v>
      </c>
      <c r="AE96" s="14" t="n">
        <v>674.686407680941</v>
      </c>
      <c r="AF96" s="14" t="n">
        <v>0.03</v>
      </c>
      <c r="AG96" s="14" t="n">
        <v>0.664073049535931</v>
      </c>
      <c r="AH96" s="14" t="n">
        <v>10094.6096680652</v>
      </c>
      <c r="AI96" s="14" t="n">
        <v>20180.6645744977</v>
      </c>
      <c r="AJ96" s="14" t="n">
        <v>16.69175</v>
      </c>
      <c r="AK96" s="14" t="n">
        <v>0</v>
      </c>
      <c r="AL96" s="14" t="n">
        <v>-33441.442494152</v>
      </c>
      <c r="AM96" s="14" t="n">
        <v>812.6073</v>
      </c>
      <c r="AN96" s="14" t="n">
        <v>26321.0217026062</v>
      </c>
      <c r="AO96" s="14" t="n">
        <v>-6546.04445387379</v>
      </c>
      <c r="AP96" s="14" t="n">
        <v>0.516474502037109</v>
      </c>
      <c r="AQ96" s="14" t="n">
        <v>5.76252088417522</v>
      </c>
      <c r="AR96" s="14" t="n">
        <v>327.195752</v>
      </c>
      <c r="AS96" s="14" t="n">
        <v>314.925245</v>
      </c>
      <c r="AT96" s="14" t="n">
        <v>111.269596161281</v>
      </c>
      <c r="AU96" s="14" t="n">
        <v>12.270507</v>
      </c>
      <c r="AV96" s="14" t="n">
        <v>0</v>
      </c>
      <c r="AW96" s="14" t="n">
        <v>2254.3125</v>
      </c>
      <c r="AX96" s="14" t="n">
        <v>314.925245</v>
      </c>
      <c r="AY96" s="14" t="n">
        <v>314.925245</v>
      </c>
      <c r="AZ96" s="14" t="n">
        <v>5568.83612056339</v>
      </c>
      <c r="BA96" s="14" t="n">
        <v>16.6163241745829</v>
      </c>
      <c r="BB96" s="14" t="n">
        <v>25.2736167965192</v>
      </c>
      <c r="BC96" s="14" t="n">
        <v>39.5014720053217</v>
      </c>
      <c r="BD96" s="14" t="n">
        <v>-5.08067650538881</v>
      </c>
      <c r="BE96" s="14" t="n">
        <v>-3.389032187156</v>
      </c>
      <c r="BF96" s="14" t="n">
        <v>5.28542761383372</v>
      </c>
      <c r="BG96" s="14" t="n">
        <v>6.97707193206652</v>
      </c>
      <c r="BH96" s="14" t="n">
        <v>10.9956654944829</v>
      </c>
      <c r="BI96" s="14" t="n">
        <v>14.5375344778911</v>
      </c>
      <c r="BJ96" s="14" t="n">
        <v>3.71992671744367</v>
      </c>
      <c r="BK96" s="14" t="n">
        <v>4.46573109600205</v>
      </c>
      <c r="BL96" s="14" t="n">
        <v>6.42123287671233</v>
      </c>
      <c r="BM96" s="14" t="n">
        <v>8712.70308277889</v>
      </c>
      <c r="BN96" s="14" t="n">
        <v>7473.09859446594</v>
      </c>
      <c r="BO96" s="14" t="n">
        <v>7473.09859446594</v>
      </c>
      <c r="BP96" s="14" t="n">
        <v>327.195752</v>
      </c>
      <c r="BQ96" s="14" t="n">
        <v>301.7195</v>
      </c>
      <c r="BR96" s="14" t="n">
        <v>1081.9108</v>
      </c>
      <c r="BS96" s="14" t="s">
        <v>2855</v>
      </c>
      <c r="BT96" s="14" t="n">
        <v>37.9555555555556</v>
      </c>
      <c r="BU96" s="14" t="n">
        <v>0.202495480090107</v>
      </c>
      <c r="BV96" s="14" t="n">
        <v>0.204285232461873</v>
      </c>
      <c r="BW96" s="14" t="n">
        <v>13510.8578038903</v>
      </c>
      <c r="BX96" s="14" t="n">
        <v>27107.0656988521</v>
      </c>
      <c r="BY96" s="14" t="n">
        <v>89.4338461244326</v>
      </c>
      <c r="BZ96" s="14" t="n">
        <v>0</v>
      </c>
      <c r="CA96" s="14" t="n">
        <v>950.69728</v>
      </c>
      <c r="CB96" s="14" t="n">
        <v>18241.0326626062</v>
      </c>
    </row>
    <row r="97" customFormat="false" ht="15" hidden="false" customHeight="false" outlineLevel="0" collapsed="false">
      <c r="A97" s="0" t="s">
        <v>2933</v>
      </c>
      <c r="B97" s="14" t="n">
        <v>2465.07954157611</v>
      </c>
      <c r="C97" s="14" t="n">
        <v>7505.46533149617</v>
      </c>
      <c r="D97" s="14" t="n">
        <v>20180.6645744977</v>
      </c>
      <c r="E97" s="14" t="n">
        <v>3713.46369159839</v>
      </c>
      <c r="F97" s="14" t="n">
        <v>-1596.17827993432</v>
      </c>
      <c r="G97" s="14" t="n">
        <v>5009.42335827286</v>
      </c>
      <c r="H97" s="14" t="n">
        <v>7854.59013302158</v>
      </c>
      <c r="I97" s="15" t="n">
        <v>0.01</v>
      </c>
      <c r="J97" s="15" t="n">
        <v>0.0113</v>
      </c>
      <c r="K97" s="14" t="s">
        <v>58</v>
      </c>
      <c r="L97" s="14" t="n">
        <v>-20474.8534544129</v>
      </c>
      <c r="M97" s="14" t="n">
        <v>33802.8714241299</v>
      </c>
      <c r="N97" s="14" t="n">
        <v>11755.2436196396</v>
      </c>
      <c r="O97" s="14" t="n">
        <v>-34273.4174145966</v>
      </c>
      <c r="P97" s="14" t="n">
        <v>951.290832135856</v>
      </c>
      <c r="Q97" s="14" t="n">
        <v>116.865747362236</v>
      </c>
      <c r="R97" s="14" t="n">
        <v>17617.7170533315</v>
      </c>
      <c r="S97" s="14" t="n">
        <v>26970.82024149</v>
      </c>
      <c r="T97" s="14" t="n">
        <v>-955.692204749296</v>
      </c>
      <c r="U97" s="14" t="n">
        <v>-1365.19207123687</v>
      </c>
      <c r="V97" s="14" t="n">
        <v>0.750319556751226</v>
      </c>
      <c r="W97" s="14" t="n">
        <v>53464.5708424573</v>
      </c>
      <c r="X97" s="14" t="n">
        <v>22173.3734272866</v>
      </c>
      <c r="Y97" s="14" t="n">
        <v>0.0106301458127347</v>
      </c>
      <c r="Z97" s="14" t="n">
        <v>0.01442897</v>
      </c>
      <c r="AA97" s="14" t="n">
        <v>27.424347870838</v>
      </c>
      <c r="AB97" s="14" t="n">
        <v>25.224347870838</v>
      </c>
      <c r="AC97" s="14" t="n">
        <v>26.674347870838</v>
      </c>
      <c r="AD97" s="14" t="n">
        <v>21.0618991648036</v>
      </c>
      <c r="AE97" s="14" t="n">
        <v>674.686407680941</v>
      </c>
      <c r="AF97" s="14" t="n">
        <v>0.03</v>
      </c>
      <c r="AG97" s="14" t="n">
        <v>0.664073049535931</v>
      </c>
      <c r="AH97" s="14" t="n">
        <v>6840.51539342611</v>
      </c>
      <c r="AI97" s="14" t="n">
        <v>20180.6645744977</v>
      </c>
      <c r="AJ97" s="14" t="n">
        <v>16.69175</v>
      </c>
      <c r="AK97" s="14" t="n">
        <v>0</v>
      </c>
      <c r="AL97" s="14" t="n">
        <v>-52241.8987823319</v>
      </c>
      <c r="AM97" s="14" t="n">
        <v>812.6073</v>
      </c>
      <c r="AN97" s="14" t="n">
        <v>20079.98904</v>
      </c>
      <c r="AO97" s="14" t="n">
        <v>-5508.72242389994</v>
      </c>
      <c r="AP97" s="14" t="n">
        <v>0.516474502037109</v>
      </c>
      <c r="AQ97" s="14" t="n">
        <v>0</v>
      </c>
      <c r="AR97" s="14" t="n">
        <v>314.925245</v>
      </c>
      <c r="AS97" s="14" t="n">
        <v>314.925245</v>
      </c>
      <c r="AT97" s="14" t="n">
        <v>-20474.8534544129</v>
      </c>
      <c r="AU97" s="14" t="n">
        <v>0</v>
      </c>
      <c r="AV97" s="14" t="n">
        <v>0</v>
      </c>
      <c r="AW97" s="14" t="n">
        <v>2254.3125</v>
      </c>
      <c r="AX97" s="14" t="n">
        <v>314.925245</v>
      </c>
      <c r="AY97" s="14" t="n">
        <v>314.925245</v>
      </c>
      <c r="AZ97" s="14" t="n">
        <v>5568.83612056339</v>
      </c>
      <c r="BA97" s="14" t="n">
        <v>16.5523136016134</v>
      </c>
      <c r="BB97" s="14" t="n">
        <v>25.2096062235498</v>
      </c>
      <c r="BC97" s="14" t="n">
        <v>39.4374614323522</v>
      </c>
      <c r="BD97" s="14" t="n">
        <v>-5.08067650538881</v>
      </c>
      <c r="BE97" s="14" t="n">
        <v>-3.389032187156</v>
      </c>
      <c r="BF97" s="14" t="n">
        <v>5.28542761383372</v>
      </c>
      <c r="BG97" s="14" t="n">
        <v>6.97707193206652</v>
      </c>
      <c r="BH97" s="14" t="n">
        <v>10.9956654944829</v>
      </c>
      <c r="BI97" s="14" t="n">
        <v>14.5375344778911</v>
      </c>
      <c r="BJ97" s="14" t="n">
        <v>3.71992671744367</v>
      </c>
      <c r="BK97" s="14" t="n">
        <v>4.46573109600205</v>
      </c>
      <c r="BL97" s="14" t="n">
        <v>6.42123287671233</v>
      </c>
      <c r="BM97" s="14" t="n">
        <v>8712.70308277889</v>
      </c>
      <c r="BN97" s="14" t="n">
        <v>7473.09859446594</v>
      </c>
      <c r="BO97" s="14" t="n">
        <v>7473.09859446594</v>
      </c>
      <c r="BP97" s="14" t="n">
        <v>314.925245</v>
      </c>
      <c r="BQ97" s="14" t="n">
        <v>301.7195</v>
      </c>
      <c r="BR97" s="14" t="n">
        <v>1081.9108</v>
      </c>
      <c r="BS97" s="14" t="s">
        <v>2855</v>
      </c>
      <c r="BT97" s="14" t="n">
        <v>37.9555555555556</v>
      </c>
      <c r="BU97" s="14" t="n">
        <v>0.202495480090107</v>
      </c>
      <c r="BV97" s="14" t="n">
        <v>0.204285232461873</v>
      </c>
      <c r="BW97" s="14" t="n">
        <v>13510.8578038903</v>
      </c>
      <c r="BX97" s="14" t="n">
        <v>14061.88573854</v>
      </c>
      <c r="BY97" s="14" t="n">
        <v>120.347240288696</v>
      </c>
      <c r="BZ97" s="14" t="n">
        <v>0</v>
      </c>
      <c r="CA97" s="14" t="n">
        <v>950.69728</v>
      </c>
      <c r="CB97" s="14" t="n">
        <v>12000</v>
      </c>
    </row>
    <row r="98" customFormat="false" ht="15" hidden="false" customHeight="false" outlineLevel="0" collapsed="false">
      <c r="A98" s="0" t="s">
        <v>2934</v>
      </c>
      <c r="B98" s="14" t="n">
        <v>2465.07954157611</v>
      </c>
      <c r="C98" s="14" t="n">
        <v>7505.46533149617</v>
      </c>
      <c r="D98" s="14" t="n">
        <v>20180.6645744977</v>
      </c>
      <c r="E98" s="14" t="n">
        <v>3713.46369159839</v>
      </c>
      <c r="F98" s="14" t="n">
        <v>-1596.17827993432</v>
      </c>
      <c r="G98" s="14" t="n">
        <v>5009.42335827286</v>
      </c>
      <c r="H98" s="14" t="n">
        <v>7250.58083484541</v>
      </c>
      <c r="I98" s="15" t="n">
        <v>0.01</v>
      </c>
      <c r="J98" s="15" t="n">
        <v>0.0113</v>
      </c>
      <c r="K98" s="14" t="s">
        <v>58</v>
      </c>
      <c r="L98" s="14" t="n">
        <v>-18801.5194412985</v>
      </c>
      <c r="M98" s="14" t="n">
        <v>33802.8714241299</v>
      </c>
      <c r="N98" s="14" t="n">
        <v>11755.2436196396</v>
      </c>
      <c r="O98" s="14" t="n">
        <v>-33125.0834014821</v>
      </c>
      <c r="P98" s="14" t="n">
        <v>951.290832135856</v>
      </c>
      <c r="Q98" s="14" t="n">
        <v>116.865747362236</v>
      </c>
      <c r="R98" s="14" t="n">
        <v>17617.7170533315</v>
      </c>
      <c r="S98" s="14" t="n">
        <v>26970.82024149</v>
      </c>
      <c r="T98" s="14" t="n">
        <v>-955.692204749296</v>
      </c>
      <c r="U98" s="14" t="n">
        <v>-919.201369413044</v>
      </c>
      <c r="V98" s="14" t="n">
        <v>0.750319556751226</v>
      </c>
      <c r="W98" s="14" t="n">
        <v>53464.5708424573</v>
      </c>
      <c r="X98" s="14" t="n">
        <v>22173.3734272866</v>
      </c>
      <c r="Y98" s="14" t="n">
        <v>0.0106301458127347</v>
      </c>
      <c r="Z98" s="14" t="n">
        <v>0.01442897</v>
      </c>
      <c r="AA98" s="14" t="n">
        <v>27.424347870838</v>
      </c>
      <c r="AB98" s="14" t="n">
        <v>25.224347870838</v>
      </c>
      <c r="AC98" s="14" t="n">
        <v>26.674347870838</v>
      </c>
      <c r="AD98" s="14" t="n">
        <v>21.0618991648036</v>
      </c>
      <c r="AE98" s="14" t="n">
        <v>674.686407680941</v>
      </c>
      <c r="AF98" s="14" t="n">
        <v>0.03</v>
      </c>
      <c r="AG98" s="14" t="n">
        <v>0.664073049535931</v>
      </c>
      <c r="AH98" s="14" t="n">
        <v>8949.70289342611</v>
      </c>
      <c r="AI98" s="14" t="n">
        <v>20180.6645744977</v>
      </c>
      <c r="AJ98" s="14" t="n">
        <v>16.69175</v>
      </c>
      <c r="AK98" s="14" t="n">
        <v>0</v>
      </c>
      <c r="AL98" s="14" t="n">
        <v>-51492.1285259626</v>
      </c>
      <c r="AM98" s="14" t="n">
        <v>812.6073</v>
      </c>
      <c r="AN98" s="14" t="n">
        <v>22179.98904</v>
      </c>
      <c r="AO98" s="14" t="n">
        <v>-5546.27546044307</v>
      </c>
      <c r="AP98" s="14" t="n">
        <v>0.516474502037109</v>
      </c>
      <c r="AQ98" s="14" t="n">
        <v>0</v>
      </c>
      <c r="AR98" s="14" t="n">
        <v>314.925245</v>
      </c>
      <c r="AS98" s="14" t="n">
        <v>314.925245</v>
      </c>
      <c r="AT98" s="14" t="n">
        <v>-18801.5194412985</v>
      </c>
      <c r="AU98" s="14" t="n">
        <v>0</v>
      </c>
      <c r="AV98" s="14" t="n">
        <v>0</v>
      </c>
      <c r="AW98" s="14" t="n">
        <v>2254.3125</v>
      </c>
      <c r="AX98" s="14" t="n">
        <v>314.925245</v>
      </c>
      <c r="AY98" s="14" t="n">
        <v>314.925245</v>
      </c>
      <c r="AZ98" s="14" t="n">
        <v>5568.83612056339</v>
      </c>
      <c r="BA98" s="14" t="n">
        <v>19.8864381809243</v>
      </c>
      <c r="BB98" s="14" t="n">
        <v>28.5437308028607</v>
      </c>
      <c r="BC98" s="14" t="n">
        <v>42.7715860116631</v>
      </c>
      <c r="BD98" s="14" t="n">
        <v>-5.08067650538881</v>
      </c>
      <c r="BE98" s="14" t="n">
        <v>-3.389032187156</v>
      </c>
      <c r="BF98" s="14" t="n">
        <v>5.28542761383372</v>
      </c>
      <c r="BG98" s="14" t="n">
        <v>6.97707193206652</v>
      </c>
      <c r="BH98" s="14" t="n">
        <v>10.9956654944829</v>
      </c>
      <c r="BI98" s="14" t="n">
        <v>14.5375344778911</v>
      </c>
      <c r="BJ98" s="14" t="n">
        <v>3.71992671744367</v>
      </c>
      <c r="BK98" s="14" t="n">
        <v>4.46573109600205</v>
      </c>
      <c r="BL98" s="14" t="n">
        <v>6.42123287671233</v>
      </c>
      <c r="BM98" s="14" t="n">
        <v>8712.70308277889</v>
      </c>
      <c r="BN98" s="14" t="n">
        <v>7473.09859446594</v>
      </c>
      <c r="BO98" s="14" t="n">
        <v>7473.09859446594</v>
      </c>
      <c r="BP98" s="14" t="n">
        <v>314.925245</v>
      </c>
      <c r="BQ98" s="14" t="n">
        <v>301.7195</v>
      </c>
      <c r="BR98" s="14" t="n">
        <v>1081.9108</v>
      </c>
      <c r="BS98" s="14" t="s">
        <v>2855</v>
      </c>
      <c r="BT98" s="14" t="n">
        <v>37.9555555555556</v>
      </c>
      <c r="BU98" s="14" t="n">
        <v>0.202495480090107</v>
      </c>
      <c r="BV98" s="14" t="n">
        <v>0.204285232461873</v>
      </c>
      <c r="BW98" s="14" t="n">
        <v>13510.8578038903</v>
      </c>
      <c r="BX98" s="14" t="n">
        <v>14061.88573854</v>
      </c>
      <c r="BY98" s="14" t="n">
        <v>118.480189609424</v>
      </c>
      <c r="BZ98" s="14" t="n">
        <v>0</v>
      </c>
      <c r="CA98" s="14" t="n">
        <v>950.69728</v>
      </c>
      <c r="CB98" s="14" t="n">
        <v>14100</v>
      </c>
    </row>
    <row r="99" customFormat="false" ht="15" hidden="false" customHeight="false" outlineLevel="0" collapsed="false">
      <c r="A99" s="0" t="s">
        <v>2935</v>
      </c>
      <c r="B99" s="14" t="n">
        <v>2465.07954157611</v>
      </c>
      <c r="C99" s="14" t="n">
        <v>7505.46533149617</v>
      </c>
      <c r="D99" s="14" t="n">
        <v>20180.6645744977</v>
      </c>
      <c r="E99" s="14" t="n">
        <v>3713.46369159839</v>
      </c>
      <c r="F99" s="14" t="n">
        <v>-1596.17827993432</v>
      </c>
      <c r="G99" s="14" t="n">
        <v>5009.42335827286</v>
      </c>
      <c r="H99" s="14" t="n">
        <v>5554.92599503873</v>
      </c>
      <c r="I99" s="15" t="n">
        <v>0.01</v>
      </c>
      <c r="J99" s="15" t="n">
        <v>0.0113</v>
      </c>
      <c r="K99" s="14" t="s">
        <v>689</v>
      </c>
      <c r="L99" s="14" t="n">
        <v>-26956.4453294129</v>
      </c>
      <c r="M99" s="14" t="n">
        <v>33802.8714241299</v>
      </c>
      <c r="N99" s="14" t="n">
        <v>11755.2436196396</v>
      </c>
      <c r="O99" s="14" t="n">
        <v>-43605.0092895966</v>
      </c>
      <c r="P99" s="14" t="n">
        <v>951.290832135856</v>
      </c>
      <c r="Q99" s="14" t="n">
        <v>116.865747362236</v>
      </c>
      <c r="R99" s="14" t="n">
        <v>17617.7170533315</v>
      </c>
      <c r="S99" s="14" t="n">
        <v>26970.82024149</v>
      </c>
      <c r="T99" s="14" t="n">
        <v>-955.692204749296</v>
      </c>
      <c r="U99" s="14" t="n">
        <v>-4864.85620921972</v>
      </c>
      <c r="V99" s="14" t="n">
        <v>0.750319556751226</v>
      </c>
      <c r="W99" s="14" t="n">
        <v>53464.5708424573</v>
      </c>
      <c r="X99" s="14" t="n">
        <v>22173.3734272866</v>
      </c>
      <c r="Y99" s="14" t="n">
        <v>0.0106301458127347</v>
      </c>
      <c r="Z99" s="14" t="n">
        <v>0.01442897</v>
      </c>
      <c r="AA99" s="14" t="n">
        <v>27.424347870838</v>
      </c>
      <c r="AB99" s="14" t="n">
        <v>25.224347870838</v>
      </c>
      <c r="AC99" s="14" t="n">
        <v>26.674347870838</v>
      </c>
      <c r="AD99" s="14" t="n">
        <v>21.0618991648036</v>
      </c>
      <c r="AE99" s="14" t="n">
        <v>674.686407680941</v>
      </c>
      <c r="AF99" s="14" t="n">
        <v>0.03</v>
      </c>
      <c r="AG99" s="14" t="n">
        <v>0.664073049535931</v>
      </c>
      <c r="AH99" s="14" t="n">
        <v>4430.01539342611</v>
      </c>
      <c r="AI99" s="14" t="n">
        <v>20180.6645744977</v>
      </c>
      <c r="AJ99" s="14" t="n">
        <v>16.69175</v>
      </c>
      <c r="AK99" s="14" t="n">
        <v>0</v>
      </c>
      <c r="AL99" s="14" t="n">
        <v>-67269.0480508118</v>
      </c>
      <c r="AM99" s="14" t="n">
        <v>812.6073</v>
      </c>
      <c r="AN99" s="14" t="n">
        <v>0</v>
      </c>
      <c r="AO99" s="14" t="n">
        <v>-355.263647296984</v>
      </c>
      <c r="AP99" s="14" t="n">
        <v>0.516474502037109</v>
      </c>
      <c r="AQ99" s="14" t="n">
        <v>0</v>
      </c>
      <c r="AR99" s="14" t="n">
        <v>314.925245</v>
      </c>
      <c r="AS99" s="14" t="n">
        <v>314.925245</v>
      </c>
      <c r="AT99" s="14" t="n">
        <v>-26956.4453294129</v>
      </c>
      <c r="AU99" s="14" t="n">
        <v>0</v>
      </c>
      <c r="AV99" s="14" t="n">
        <v>0</v>
      </c>
      <c r="AW99" s="14" t="n">
        <v>2254.3125</v>
      </c>
      <c r="AX99" s="14" t="n">
        <v>314.925245</v>
      </c>
      <c r="AY99" s="14" t="n">
        <v>314.925245</v>
      </c>
      <c r="AZ99" s="14" t="n">
        <v>5568.83612056339</v>
      </c>
      <c r="BA99" s="14" t="n">
        <v>12.7418855109724</v>
      </c>
      <c r="BB99" s="14" t="n">
        <v>21.3991781329088</v>
      </c>
      <c r="BC99" s="14" t="n">
        <v>35.6270333417112</v>
      </c>
      <c r="BD99" s="14" t="n">
        <v>-5.08067650538881</v>
      </c>
      <c r="BE99" s="14" t="n">
        <v>-3.389032187156</v>
      </c>
      <c r="BF99" s="14" t="n">
        <v>5.28542761383372</v>
      </c>
      <c r="BG99" s="14" t="n">
        <v>6.97707193206652</v>
      </c>
      <c r="BH99" s="14" t="n">
        <v>10.9956654944829</v>
      </c>
      <c r="BI99" s="14" t="n">
        <v>14.5375344778911</v>
      </c>
      <c r="BJ99" s="14" t="n">
        <v>3.71992671744367</v>
      </c>
      <c r="BK99" s="14" t="n">
        <v>4.46573109600205</v>
      </c>
      <c r="BL99" s="14" t="n">
        <v>6.42123287671233</v>
      </c>
      <c r="BM99" s="14" t="n">
        <v>8712.70308277889</v>
      </c>
      <c r="BN99" s="14" t="n">
        <v>7473.09859446594</v>
      </c>
      <c r="BO99" s="14" t="n">
        <v>7473.09859446594</v>
      </c>
      <c r="BP99" s="14" t="n">
        <v>314.925245</v>
      </c>
      <c r="BQ99" s="14" t="n">
        <v>301.7195</v>
      </c>
      <c r="BR99" s="14" t="n">
        <v>1081.9108</v>
      </c>
      <c r="BS99" s="14" t="s">
        <v>2856</v>
      </c>
      <c r="BT99" s="14" t="n">
        <v>37.9555555555556</v>
      </c>
      <c r="BU99" s="14" t="n">
        <v>0.202495480090107</v>
      </c>
      <c r="BV99" s="14" t="n">
        <v>0.204285232461873</v>
      </c>
      <c r="BW99" s="14" t="n">
        <v>13510.8578038903</v>
      </c>
      <c r="BX99" s="14" t="n">
        <v>14061.88573854</v>
      </c>
      <c r="BY99" s="14" t="n">
        <v>153.724981477365</v>
      </c>
      <c r="BZ99" s="14" t="n">
        <v>0</v>
      </c>
      <c r="CA99" s="14" t="n">
        <v>950.69728</v>
      </c>
      <c r="CB99" s="14" t="n">
        <v>0</v>
      </c>
    </row>
    <row r="100" customFormat="false" ht="15" hidden="false" customHeight="false" outlineLevel="0" collapsed="false">
      <c r="A100" s="0" t="s">
        <v>2936</v>
      </c>
      <c r="B100" s="14" t="n">
        <v>2465.07954157611</v>
      </c>
      <c r="C100" s="14" t="n">
        <v>7505.46533149617</v>
      </c>
      <c r="D100" s="14" t="n">
        <v>20180.6645744977</v>
      </c>
      <c r="E100" s="14" t="n">
        <v>3713.46369159839</v>
      </c>
      <c r="F100" s="14" t="n">
        <v>-1552.31062530411</v>
      </c>
      <c r="G100" s="14" t="n">
        <v>4965.55570364266</v>
      </c>
      <c r="H100" s="14" t="n">
        <v>9268.5964709627</v>
      </c>
      <c r="I100" s="15" t="n">
        <v>0.880579347344001</v>
      </c>
      <c r="J100" s="15" t="n">
        <v>7.95943546689198</v>
      </c>
      <c r="K100" s="14" t="s">
        <v>60</v>
      </c>
      <c r="L100" s="14" t="n">
        <v>-4080.32570507522</v>
      </c>
      <c r="M100" s="14" t="n">
        <v>33416.5482241299</v>
      </c>
      <c r="N100" s="14" t="n">
        <v>11755.2436196396</v>
      </c>
      <c r="O100" s="14" t="n">
        <v>-18053.8464652589</v>
      </c>
      <c r="P100" s="14" t="n">
        <v>951.290832135856</v>
      </c>
      <c r="Q100" s="14" t="n">
        <v>149.947070846232</v>
      </c>
      <c r="R100" s="14" t="n">
        <v>17147.1861733315</v>
      </c>
      <c r="S100" s="14" t="n">
        <v>26876.97704149</v>
      </c>
      <c r="T100" s="14" t="n">
        <v>-955.692204749296</v>
      </c>
      <c r="U100" s="14" t="n">
        <v>277.31666670425</v>
      </c>
      <c r="V100" s="14" t="n">
        <v>0.750319556751226</v>
      </c>
      <c r="W100" s="14" t="n">
        <v>54250.8520016483</v>
      </c>
      <c r="X100" s="14" t="n">
        <v>22075.4516074466</v>
      </c>
      <c r="Y100" s="14" t="n">
        <v>7.48760704425783</v>
      </c>
      <c r="Z100" s="14" t="n">
        <v>10.1634031476744</v>
      </c>
      <c r="AA100" s="14" t="n">
        <v>27.424347870838</v>
      </c>
      <c r="AB100" s="14" t="n">
        <v>25.224347870838</v>
      </c>
      <c r="AC100" s="14" t="n">
        <v>26.674347870838</v>
      </c>
      <c r="AD100" s="14" t="n">
        <v>21.0618991648036</v>
      </c>
      <c r="AE100" s="14" t="n">
        <v>674.686407680941</v>
      </c>
      <c r="AF100" s="14" t="n">
        <v>0.03</v>
      </c>
      <c r="AG100" s="14" t="n">
        <v>0.664073049535931</v>
      </c>
      <c r="AH100" s="14" t="n">
        <v>10292.4474740961</v>
      </c>
      <c r="AI100" s="14" t="n">
        <v>20180.6645744977</v>
      </c>
      <c r="AJ100" s="14" t="n">
        <v>16.69175</v>
      </c>
      <c r="AK100" s="14" t="n">
        <v>0</v>
      </c>
      <c r="AL100" s="14" t="n">
        <v>-36246.9643017943</v>
      </c>
      <c r="AM100" s="14" t="n">
        <v>812.6073</v>
      </c>
      <c r="AN100" s="14" t="n">
        <v>20079.98904</v>
      </c>
      <c r="AO100" s="14" t="n">
        <v>-5508.72242389994</v>
      </c>
      <c r="AP100" s="14" t="n">
        <v>0.516474502037109</v>
      </c>
      <c r="AQ100" s="14" t="n">
        <v>7.04374820078937</v>
      </c>
      <c r="AR100" s="14" t="n">
        <v>327.195752</v>
      </c>
      <c r="AS100" s="14" t="n">
        <v>314.925245</v>
      </c>
      <c r="AT100" s="14" t="n">
        <v>-4080.32570507522</v>
      </c>
      <c r="AU100" s="14" t="n">
        <v>12.270507</v>
      </c>
      <c r="AV100" s="14" t="n">
        <v>0</v>
      </c>
      <c r="AW100" s="14" t="n">
        <v>2254.3125</v>
      </c>
      <c r="AX100" s="14" t="n">
        <v>314.925245</v>
      </c>
      <c r="AY100" s="14" t="n">
        <v>314.925245</v>
      </c>
      <c r="AZ100" s="14" t="n">
        <v>5568.83612056339</v>
      </c>
      <c r="BA100" s="14" t="n">
        <v>17.2778902380625</v>
      </c>
      <c r="BB100" s="14" t="n">
        <v>25.9351828599989</v>
      </c>
      <c r="BC100" s="14" t="n">
        <v>40.1630380688013</v>
      </c>
      <c r="BD100" s="14" t="n">
        <v>-3.89149157566662</v>
      </c>
      <c r="BE100" s="14" t="n">
        <v>-3.389032187156</v>
      </c>
      <c r="BF100" s="14" t="n">
        <v>6.47461254355591</v>
      </c>
      <c r="BG100" s="14" t="n">
        <v>6.97707193206652</v>
      </c>
      <c r="BH100" s="14" t="n">
        <v>12.4532371757488</v>
      </c>
      <c r="BI100" s="14" t="n">
        <v>14.5375344778911</v>
      </c>
      <c r="BJ100" s="14" t="n">
        <v>3.71992671744367</v>
      </c>
      <c r="BK100" s="14" t="n">
        <v>4.46573109600205</v>
      </c>
      <c r="BL100" s="14" t="n">
        <v>6.42123287671233</v>
      </c>
      <c r="BM100" s="14" t="n">
        <v>8712.70308277889</v>
      </c>
      <c r="BN100" s="14" t="n">
        <v>7473.09859446594</v>
      </c>
      <c r="BO100" s="14" t="n">
        <v>7473.09859446594</v>
      </c>
      <c r="BP100" s="14" t="n">
        <v>327.195752</v>
      </c>
      <c r="BQ100" s="14" t="n">
        <v>301.7195</v>
      </c>
      <c r="BR100" s="14" t="n">
        <v>1081.9108</v>
      </c>
      <c r="BS100" s="14" t="s">
        <v>2855</v>
      </c>
      <c r="BT100" s="14" t="n">
        <v>36.5333333333333</v>
      </c>
      <c r="BU100" s="14" t="n">
        <v>0.218268790793018</v>
      </c>
      <c r="BV100" s="14" t="n">
        <v>0.204285232461873</v>
      </c>
      <c r="BW100" s="14" t="n">
        <v>13510.8578038903</v>
      </c>
      <c r="BX100" s="14" t="n">
        <v>27107.0656988521</v>
      </c>
      <c r="BY100" s="14" t="n">
        <v>95.9548635546948</v>
      </c>
      <c r="BZ100" s="14" t="n">
        <v>0</v>
      </c>
      <c r="CA100" s="14" t="n">
        <v>0</v>
      </c>
      <c r="CB100" s="14" t="n">
        <v>12000</v>
      </c>
    </row>
    <row r="101" customFormat="false" ht="15" hidden="false" customHeight="false" outlineLevel="0" collapsed="false">
      <c r="A101" s="0" t="s">
        <v>2937</v>
      </c>
      <c r="B101" s="14" t="n">
        <v>2465.07954157611</v>
      </c>
      <c r="C101" s="14" t="n">
        <v>7505.46533149617</v>
      </c>
      <c r="D101" s="14" t="n">
        <v>20180.6645744977</v>
      </c>
      <c r="E101" s="14" t="n">
        <v>3713.46369159839</v>
      </c>
      <c r="F101" s="14" t="n">
        <v>-1606.96308130411</v>
      </c>
      <c r="G101" s="14" t="n">
        <v>5020.20815964266</v>
      </c>
      <c r="H101" s="14" t="n">
        <v>7854.59013302158</v>
      </c>
      <c r="I101" s="15" t="n">
        <v>0.01</v>
      </c>
      <c r="J101" s="15" t="n">
        <v>0</v>
      </c>
      <c r="K101" s="14" t="s">
        <v>60</v>
      </c>
      <c r="L101" s="14" t="n">
        <v>-4956.48323642636</v>
      </c>
      <c r="M101" s="14" t="n">
        <v>33802.8714241299</v>
      </c>
      <c r="N101" s="14" t="n">
        <v>11755.2436196396</v>
      </c>
      <c r="O101" s="14" t="n">
        <v>-19023.84719661</v>
      </c>
      <c r="P101" s="14" t="n">
        <v>951.290832135856</v>
      </c>
      <c r="Q101" s="14" t="n">
        <v>61.4155828462322</v>
      </c>
      <c r="R101" s="14" t="n">
        <v>17617.7170533315</v>
      </c>
      <c r="S101" s="14" t="n">
        <v>26970.82024149</v>
      </c>
      <c r="T101" s="14" t="n">
        <v>-955.692204749296</v>
      </c>
      <c r="U101" s="14" t="n">
        <v>-3097.72957123687</v>
      </c>
      <c r="V101" s="14" t="n">
        <v>0.750319556751226</v>
      </c>
      <c r="W101" s="14" t="n">
        <v>53464.5708424573</v>
      </c>
      <c r="X101" s="14" t="n">
        <v>22173.3734272866</v>
      </c>
      <c r="Y101" s="14" t="n">
        <v>0</v>
      </c>
      <c r="Z101" s="14" t="n">
        <v>0</v>
      </c>
      <c r="AA101" s="14" t="n">
        <v>27.424347870838</v>
      </c>
      <c r="AB101" s="14" t="n">
        <v>25.224347870838</v>
      </c>
      <c r="AC101" s="14" t="n">
        <v>26.674347870838</v>
      </c>
      <c r="AD101" s="14" t="n">
        <v>21.0618991648036</v>
      </c>
      <c r="AE101" s="14" t="n">
        <v>674.686407680941</v>
      </c>
      <c r="AF101" s="14" t="n">
        <v>0.03</v>
      </c>
      <c r="AG101" s="14" t="n">
        <v>0.664073049535931</v>
      </c>
      <c r="AH101" s="14" t="n">
        <v>9819.91719809611</v>
      </c>
      <c r="AI101" s="14" t="n">
        <v>20180.6645744977</v>
      </c>
      <c r="AJ101" s="14" t="n">
        <v>16.69175</v>
      </c>
      <c r="AK101" s="14" t="n">
        <v>0</v>
      </c>
      <c r="AL101" s="14" t="n">
        <v>-37200.0960732068</v>
      </c>
      <c r="AM101" s="14" t="n">
        <v>812.6073</v>
      </c>
      <c r="AN101" s="14" t="n">
        <v>20079.98904</v>
      </c>
      <c r="AO101" s="14" t="n">
        <v>-5508.72242389994</v>
      </c>
      <c r="AP101" s="14" t="n">
        <v>0.516474502037109</v>
      </c>
      <c r="AQ101" s="14" t="n">
        <v>0</v>
      </c>
      <c r="AR101" s="14" t="n">
        <v>327.195752</v>
      </c>
      <c r="AS101" s="14" t="n">
        <v>314.925245</v>
      </c>
      <c r="AT101" s="14" t="n">
        <v>-4956.48323642636</v>
      </c>
      <c r="AU101" s="14" t="n">
        <v>12.270507</v>
      </c>
      <c r="AV101" s="14" t="n">
        <v>0</v>
      </c>
      <c r="AW101" s="14" t="n">
        <v>2254.3125</v>
      </c>
      <c r="AX101" s="14" t="n">
        <v>314.925245</v>
      </c>
      <c r="AY101" s="14" t="n">
        <v>314.925245</v>
      </c>
      <c r="AZ101" s="14" t="n">
        <v>5568.83612056339</v>
      </c>
      <c r="BA101" s="14" t="n">
        <v>11.0508889698726</v>
      </c>
      <c r="BB101" s="14" t="n">
        <v>19.708181591809</v>
      </c>
      <c r="BC101" s="14" t="n">
        <v>33.9360368006114</v>
      </c>
      <c r="BD101" s="14" t="n">
        <v>-5.08067650538881</v>
      </c>
      <c r="BE101" s="14" t="n">
        <v>-3.389032187156</v>
      </c>
      <c r="BF101" s="14" t="n">
        <v>5.28542761383372</v>
      </c>
      <c r="BG101" s="14" t="n">
        <v>6.97707193206652</v>
      </c>
      <c r="BH101" s="14" t="n">
        <v>10.9956654944829</v>
      </c>
      <c r="BI101" s="14" t="n">
        <v>14.5375344778911</v>
      </c>
      <c r="BJ101" s="14" t="n">
        <v>3.71992671744367</v>
      </c>
      <c r="BK101" s="14" t="n">
        <v>4.46573109600205</v>
      </c>
      <c r="BL101" s="14" t="n">
        <v>6.42123287671233</v>
      </c>
      <c r="BM101" s="14" t="n">
        <v>8712.70308277889</v>
      </c>
      <c r="BN101" s="14" t="n">
        <v>7473.09859446594</v>
      </c>
      <c r="BO101" s="14" t="n">
        <v>7473.09859446594</v>
      </c>
      <c r="BP101" s="14" t="n">
        <v>327.195752</v>
      </c>
      <c r="BQ101" s="14" t="n">
        <v>301.7195</v>
      </c>
      <c r="BR101" s="14" t="n">
        <v>1081.9108</v>
      </c>
      <c r="BS101" s="14" t="s">
        <v>2855</v>
      </c>
      <c r="BT101" s="14" t="n">
        <v>37.9555555555556</v>
      </c>
      <c r="BU101" s="14" t="n">
        <v>0.202495480090107</v>
      </c>
      <c r="BV101" s="14" t="n">
        <v>0.204285232461873</v>
      </c>
      <c r="BW101" s="14" t="n">
        <v>13510.8578038903</v>
      </c>
      <c r="BX101" s="14" t="n">
        <v>27107.0656988521</v>
      </c>
      <c r="BY101" s="14" t="n">
        <v>98.1216364538248</v>
      </c>
      <c r="BZ101" s="14" t="n">
        <v>1732.5375</v>
      </c>
      <c r="CA101" s="14" t="n">
        <v>950.69728</v>
      </c>
      <c r="CB101" s="14" t="n">
        <v>12000</v>
      </c>
    </row>
    <row r="102" customFormat="false" ht="15" hidden="false" customHeight="false" outlineLevel="0" collapsed="false">
      <c r="A102" s="0" t="s">
        <v>2938</v>
      </c>
      <c r="B102" s="14" t="n">
        <v>2161.09062763565</v>
      </c>
      <c r="C102" s="14" t="n">
        <v>3835.54290963949</v>
      </c>
      <c r="D102" s="14" t="n">
        <v>10622.2691329812</v>
      </c>
      <c r="E102" s="14" t="n">
        <v>1529.29936141168</v>
      </c>
      <c r="F102" s="14" t="n">
        <v>-4222.71417078393</v>
      </c>
      <c r="G102" s="14" t="n">
        <v>5598.59181581002</v>
      </c>
      <c r="H102" s="14" t="n">
        <v>-32518.9990253506</v>
      </c>
      <c r="I102" s="15" t="n">
        <v>0.01</v>
      </c>
      <c r="J102" s="15" t="n">
        <v>0</v>
      </c>
      <c r="K102" s="14" t="s">
        <v>83</v>
      </c>
      <c r="L102" s="14" t="n">
        <v>3855.65032121054</v>
      </c>
      <c r="M102" s="14" t="n">
        <v>23405.4934154428</v>
      </c>
      <c r="N102" s="14" t="n">
        <v>5030.15603731872</v>
      </c>
      <c r="O102" s="14" t="n">
        <v>-17275.1980821531</v>
      </c>
      <c r="P102" s="14" t="n">
        <v>747.002337313713</v>
      </c>
      <c r="Q102" s="14" t="n">
        <v>-6486.76771030941</v>
      </c>
      <c r="R102" s="14" t="n">
        <v>10749.8273603027</v>
      </c>
      <c r="S102" s="14" t="n">
        <v>27577.7924226596</v>
      </c>
      <c r="T102" s="14" t="n">
        <v>-1436.17830391911</v>
      </c>
      <c r="U102" s="14" t="n">
        <v>-40008.8079360394</v>
      </c>
      <c r="V102" s="14" t="n">
        <v>0.750319556751226</v>
      </c>
      <c r="W102" s="14" t="n">
        <v>18300.1176338496</v>
      </c>
      <c r="X102" s="14" t="n">
        <v>14267.1592229818</v>
      </c>
      <c r="Y102" s="14" t="n">
        <v>0</v>
      </c>
      <c r="Z102" s="14" t="n">
        <v>0</v>
      </c>
      <c r="AA102" s="14" t="n">
        <v>22.27279275</v>
      </c>
      <c r="AB102" s="14" t="n">
        <v>20.07279275</v>
      </c>
      <c r="AC102" s="14" t="n">
        <v>21.52279275</v>
      </c>
      <c r="AD102" s="14" t="n">
        <v>17.105504832</v>
      </c>
      <c r="AE102" s="14" t="n">
        <v>594.149368983825</v>
      </c>
      <c r="AF102" s="14" t="n">
        <v>0.02</v>
      </c>
      <c r="AG102" s="14" t="n">
        <v>0.584283932229117</v>
      </c>
      <c r="AH102" s="14" t="n">
        <v>22530.2399423265</v>
      </c>
      <c r="AI102" s="14" t="n">
        <v>10622.2691329812</v>
      </c>
      <c r="AJ102" s="14" t="n">
        <v>14.7365561910928</v>
      </c>
      <c r="AK102" s="14" t="n">
        <v>0</v>
      </c>
      <c r="AL102" s="14" t="n">
        <v>-43935.5282045242</v>
      </c>
      <c r="AM102" s="14" t="n">
        <v>470.44678</v>
      </c>
      <c r="AN102" s="14" t="n">
        <v>12000</v>
      </c>
      <c r="AO102" s="14" t="n">
        <v>-2079.00657489433</v>
      </c>
      <c r="AP102" s="14" t="n">
        <v>1</v>
      </c>
      <c r="AQ102" s="14" t="n">
        <v>0</v>
      </c>
      <c r="AR102" s="14" t="n">
        <v>376.701942829579</v>
      </c>
      <c r="AS102" s="14" t="n">
        <v>314.925245</v>
      </c>
      <c r="AT102" s="14" t="n">
        <v>3855.65032121054</v>
      </c>
      <c r="AU102" s="14" t="n">
        <v>61.7766978295787</v>
      </c>
      <c r="AV102" s="14" t="n">
        <v>0</v>
      </c>
      <c r="AW102" s="14" t="n">
        <v>998.76</v>
      </c>
      <c r="AX102" s="14" t="n">
        <v>314.925245</v>
      </c>
      <c r="AY102" s="14" t="n">
        <v>314.925245</v>
      </c>
      <c r="AZ102" s="14" t="n">
        <v>1499.88285266973</v>
      </c>
      <c r="BA102" s="14" t="n">
        <v>13.112044866333</v>
      </c>
      <c r="BB102" s="14" t="n">
        <v>21.7693374882694</v>
      </c>
      <c r="BC102" s="14" t="n">
        <v>34.6440545355054</v>
      </c>
      <c r="BD102" s="14" t="n">
        <v>-10.5228208376523</v>
      </c>
      <c r="BE102" s="14" t="n">
        <v>-16.0462338006397</v>
      </c>
      <c r="BF102" s="14" t="n">
        <v>0.281691530055532</v>
      </c>
      <c r="BG102" s="14" t="n">
        <v>-5.24172143293188</v>
      </c>
      <c r="BH102" s="14" t="n">
        <v>4.7826220308265</v>
      </c>
      <c r="BI102" s="14" t="n">
        <v>-0.403691541818507</v>
      </c>
      <c r="BJ102" s="14" t="n">
        <v>3.37118358768332</v>
      </c>
      <c r="BK102" s="14" t="n">
        <v>4.04706880575186</v>
      </c>
      <c r="BL102" s="14" t="n">
        <v>5.70776255707763</v>
      </c>
      <c r="BM102" s="14" t="n">
        <v>5354.49215439957</v>
      </c>
      <c r="BN102" s="14" t="n">
        <v>3805.94290963949</v>
      </c>
      <c r="BO102" s="14" t="n">
        <v>3805.94290963949</v>
      </c>
      <c r="BP102" s="14" t="n">
        <v>376.701942829579</v>
      </c>
      <c r="BQ102" s="14" t="n">
        <v>189.4897</v>
      </c>
      <c r="BR102" s="14" t="n">
        <v>794.6073</v>
      </c>
      <c r="BS102" s="14" t="s">
        <v>2856</v>
      </c>
      <c r="BT102" s="14" t="n">
        <v>37.9555555555556</v>
      </c>
      <c r="BU102" s="14" t="n">
        <v>0.174994125827535</v>
      </c>
      <c r="BV102" s="14" t="n">
        <v>0.127439810912424</v>
      </c>
      <c r="BW102" s="14" t="n">
        <v>13510.8578038903</v>
      </c>
      <c r="BX102" s="14" t="n">
        <v>14061.88573854</v>
      </c>
      <c r="BY102" s="14" t="n">
        <v>202.2031775566</v>
      </c>
      <c r="BZ102" s="14" t="n">
        <v>0</v>
      </c>
      <c r="CA102" s="14" t="n">
        <v>1028.66496</v>
      </c>
      <c r="CB102" s="14" t="n">
        <v>12000</v>
      </c>
    </row>
    <row r="103" customFormat="false" ht="15" hidden="false" customHeight="false" outlineLevel="0" collapsed="false">
      <c r="A103" s="0" t="s">
        <v>2939</v>
      </c>
      <c r="B103" s="14" t="n">
        <v>2465.07954157611</v>
      </c>
      <c r="C103" s="14" t="n">
        <v>7194.11867097113</v>
      </c>
      <c r="D103" s="14" t="n">
        <v>18907.4813404464</v>
      </c>
      <c r="E103" s="14" t="n">
        <v>3492.40756262561</v>
      </c>
      <c r="F103" s="14" t="n">
        <v>-1815.23830800585</v>
      </c>
      <c r="G103" s="14" t="n">
        <v>5019.88112379261</v>
      </c>
      <c r="H103" s="14" t="n">
        <v>-5159.80798334515</v>
      </c>
      <c r="I103" s="15" t="n">
        <v>0.01</v>
      </c>
      <c r="J103" s="15" t="n">
        <v>0</v>
      </c>
      <c r="K103" s="14" t="s">
        <v>60</v>
      </c>
      <c r="L103" s="14" t="n">
        <v>-5172.14756501904</v>
      </c>
      <c r="M103" s="14" t="n">
        <v>33796.6444909194</v>
      </c>
      <c r="N103" s="14" t="n">
        <v>10787.6243617607</v>
      </c>
      <c r="O103" s="14" t="n">
        <v>-20181.6671184006</v>
      </c>
      <c r="P103" s="14" t="n">
        <v>951.290832135856</v>
      </c>
      <c r="Q103" s="14" t="n">
        <v>-852.283953785194</v>
      </c>
      <c r="R103" s="14" t="n">
        <v>17617.7170533315</v>
      </c>
      <c r="S103" s="14" t="n">
        <v>26945.3565768089</v>
      </c>
      <c r="T103" s="14" t="n">
        <v>-955.692204749296</v>
      </c>
      <c r="U103" s="14" t="n">
        <v>-14379.5901876036</v>
      </c>
      <c r="V103" s="14" t="n">
        <v>0.750319556751226</v>
      </c>
      <c r="W103" s="14" t="n">
        <v>42923.8024217441</v>
      </c>
      <c r="X103" s="14" t="n">
        <v>22153.0261387004</v>
      </c>
      <c r="Y103" s="14" t="n">
        <v>0</v>
      </c>
      <c r="Z103" s="14" t="n">
        <v>0</v>
      </c>
      <c r="AA103" s="14" t="n">
        <v>27.424347870838</v>
      </c>
      <c r="AB103" s="14" t="n">
        <v>25.224347870838</v>
      </c>
      <c r="AC103" s="14" t="n">
        <v>26.674347870838</v>
      </c>
      <c r="AD103" s="14" t="n">
        <v>21.0618991648036</v>
      </c>
      <c r="AE103" s="14" t="n">
        <v>674.686407680941</v>
      </c>
      <c r="AF103" s="14" t="n">
        <v>0.03</v>
      </c>
      <c r="AG103" s="14" t="n">
        <v>0.656540873618241</v>
      </c>
      <c r="AH103" s="14" t="n">
        <v>9819.91719809611</v>
      </c>
      <c r="AI103" s="14" t="n">
        <v>18907.4813404464</v>
      </c>
      <c r="AJ103" s="14" t="n">
        <v>16</v>
      </c>
      <c r="AK103" s="14" t="n">
        <v>0</v>
      </c>
      <c r="AL103" s="14" t="n">
        <v>-39263.1139848136</v>
      </c>
      <c r="AM103" s="14" t="n">
        <v>812.6073</v>
      </c>
      <c r="AN103" s="14" t="n">
        <v>20079.98904</v>
      </c>
      <c r="AO103" s="14" t="n">
        <v>-5508.72242389994</v>
      </c>
      <c r="AP103" s="14" t="n">
        <v>0.516474502037109</v>
      </c>
      <c r="AQ103" s="14" t="n">
        <v>0</v>
      </c>
      <c r="AR103" s="14" t="n">
        <v>327.195752</v>
      </c>
      <c r="AS103" s="14" t="n">
        <v>314.925245</v>
      </c>
      <c r="AT103" s="14" t="n">
        <v>-5172.14756501904</v>
      </c>
      <c r="AU103" s="14" t="n">
        <v>12.270507</v>
      </c>
      <c r="AV103" s="14" t="n">
        <v>0</v>
      </c>
      <c r="AW103" s="14" t="n">
        <v>2254.3125</v>
      </c>
      <c r="AX103" s="14" t="n">
        <v>314.925245</v>
      </c>
      <c r="AY103" s="14" t="n">
        <v>314.925245</v>
      </c>
      <c r="AZ103" s="14" t="n">
        <v>5324.30066098225</v>
      </c>
      <c r="BA103" s="14" t="n">
        <v>15.7758262813253</v>
      </c>
      <c r="BB103" s="14" t="n">
        <v>24.4331189032616</v>
      </c>
      <c r="BC103" s="14" t="n">
        <v>38.6609741120641</v>
      </c>
      <c r="BD103" s="14" t="n">
        <v>-5.08067650538881</v>
      </c>
      <c r="BE103" s="14" t="n">
        <v>-3.389032187156</v>
      </c>
      <c r="BF103" s="14" t="n">
        <v>5.28542761383372</v>
      </c>
      <c r="BG103" s="14" t="n">
        <v>6.97707193206652</v>
      </c>
      <c r="BH103" s="14" t="n">
        <v>10.9956654944829</v>
      </c>
      <c r="BI103" s="14" t="n">
        <v>14.5375344778911</v>
      </c>
      <c r="BJ103" s="14" t="n">
        <v>3.71992671744367</v>
      </c>
      <c r="BK103" s="14" t="n">
        <v>4.46573109600205</v>
      </c>
      <c r="BL103" s="14" t="n">
        <v>6.42123287671233</v>
      </c>
      <c r="BM103" s="14" t="n">
        <v>8712.70308277889</v>
      </c>
      <c r="BN103" s="14" t="n">
        <v>7161.75193394089</v>
      </c>
      <c r="BO103" s="14" t="n">
        <v>7161.75193394089</v>
      </c>
      <c r="BP103" s="14" t="n">
        <v>327.195752</v>
      </c>
      <c r="BQ103" s="14" t="n">
        <v>301.7195</v>
      </c>
      <c r="BR103" s="14" t="n">
        <v>1081.9108</v>
      </c>
      <c r="BS103" s="14" t="s">
        <v>2856</v>
      </c>
      <c r="BT103" s="14" t="n">
        <v>37.9555555555556</v>
      </c>
      <c r="BU103" s="14" t="n">
        <v>0.202495480090107</v>
      </c>
      <c r="BV103" s="14" t="n">
        <v>0.204285232461873</v>
      </c>
      <c r="BW103" s="14" t="n">
        <v>13510.8578038903</v>
      </c>
      <c r="BX103" s="14" t="n">
        <v>27107.0656988521</v>
      </c>
      <c r="BY103" s="14" t="n">
        <v>102.626594998646</v>
      </c>
      <c r="BZ103" s="14" t="n">
        <v>0</v>
      </c>
      <c r="CA103" s="14" t="n">
        <v>950.69728</v>
      </c>
      <c r="CB103" s="14" t="n">
        <v>12000</v>
      </c>
    </row>
    <row r="104" customFormat="false" ht="15" hidden="false" customHeight="false" outlineLevel="0" collapsed="false">
      <c r="A104" s="0" t="s">
        <v>2940</v>
      </c>
      <c r="B104" s="14" t="n">
        <v>2465.07954157611</v>
      </c>
      <c r="C104" s="14" t="n">
        <v>7318.65733518114</v>
      </c>
      <c r="D104" s="14" t="n">
        <v>19416.7546340669</v>
      </c>
      <c r="E104" s="14" t="n">
        <v>3580.83001421472</v>
      </c>
      <c r="F104" s="14" t="n">
        <v>-1731.92821732515</v>
      </c>
      <c r="G104" s="14" t="n">
        <v>5020.01193813263</v>
      </c>
      <c r="H104" s="14" t="n">
        <v>60.6522670037548</v>
      </c>
      <c r="I104" s="15" t="n">
        <v>0.01</v>
      </c>
      <c r="J104" s="15" t="n">
        <v>0</v>
      </c>
      <c r="K104" s="14" t="s">
        <v>60</v>
      </c>
      <c r="L104" s="14" t="n">
        <v>-5085.88183358197</v>
      </c>
      <c r="M104" s="14" t="n">
        <v>33799.1352642036</v>
      </c>
      <c r="N104" s="14" t="n">
        <v>11174.6720649122</v>
      </c>
      <c r="O104" s="14" t="n">
        <v>-19718.5391496844</v>
      </c>
      <c r="P104" s="14" t="n">
        <v>951.290832135856</v>
      </c>
      <c r="Q104" s="14" t="n">
        <v>-486.804139132624</v>
      </c>
      <c r="R104" s="14" t="n">
        <v>17617.7170533315</v>
      </c>
      <c r="S104" s="14" t="n">
        <v>26955.5420426813</v>
      </c>
      <c r="T104" s="14" t="n">
        <v>-955.692204749296</v>
      </c>
      <c r="U104" s="14" t="n">
        <v>-9159.1299372547</v>
      </c>
      <c r="V104" s="14" t="n">
        <v>0.750319556751226</v>
      </c>
      <c r="W104" s="14" t="n">
        <v>47140.1097900293</v>
      </c>
      <c r="X104" s="14" t="n">
        <v>22161.1650541349</v>
      </c>
      <c r="Y104" s="14" t="n">
        <v>0</v>
      </c>
      <c r="Z104" s="14" t="n">
        <v>0</v>
      </c>
      <c r="AA104" s="14" t="n">
        <v>27.424347870838</v>
      </c>
      <c r="AB104" s="14" t="n">
        <v>25.224347870838</v>
      </c>
      <c r="AC104" s="14" t="n">
        <v>26.674347870838</v>
      </c>
      <c r="AD104" s="14" t="n">
        <v>21.0618991648036</v>
      </c>
      <c r="AE104" s="14" t="n">
        <v>674.686407680941</v>
      </c>
      <c r="AF104" s="14" t="n">
        <v>0.03</v>
      </c>
      <c r="AG104" s="14" t="n">
        <v>0.659645164007828</v>
      </c>
      <c r="AH104" s="14" t="n">
        <v>9819.91719809611</v>
      </c>
      <c r="AI104" s="14" t="n">
        <v>19416.7546340669</v>
      </c>
      <c r="AJ104" s="14" t="n">
        <v>16.2767</v>
      </c>
      <c r="AK104" s="14" t="n">
        <v>0</v>
      </c>
      <c r="AL104" s="14" t="n">
        <v>-38415.1670266208</v>
      </c>
      <c r="AM104" s="14" t="n">
        <v>812.6073</v>
      </c>
      <c r="AN104" s="14" t="n">
        <v>20079.98904</v>
      </c>
      <c r="AO104" s="14" t="n">
        <v>-5508.72242389994</v>
      </c>
      <c r="AP104" s="14" t="n">
        <v>0.516474502037109</v>
      </c>
      <c r="AQ104" s="14" t="n">
        <v>0</v>
      </c>
      <c r="AR104" s="14" t="n">
        <v>327.195752</v>
      </c>
      <c r="AS104" s="14" t="n">
        <v>314.925245</v>
      </c>
      <c r="AT104" s="14" t="n">
        <v>-5085.88183358197</v>
      </c>
      <c r="AU104" s="14" t="n">
        <v>12.270507</v>
      </c>
      <c r="AV104" s="14" t="n">
        <v>0</v>
      </c>
      <c r="AW104" s="14" t="n">
        <v>2254.3125</v>
      </c>
      <c r="AX104" s="14" t="n">
        <v>314.925245</v>
      </c>
      <c r="AY104" s="14" t="n">
        <v>314.925245</v>
      </c>
      <c r="AZ104" s="14" t="n">
        <v>5425.33194186228</v>
      </c>
      <c r="BA104" s="14" t="n">
        <v>16.0966366402409</v>
      </c>
      <c r="BB104" s="14" t="n">
        <v>24.7539292621772</v>
      </c>
      <c r="BC104" s="14" t="n">
        <v>38.9817844709797</v>
      </c>
      <c r="BD104" s="14" t="n">
        <v>-5.08067650538881</v>
      </c>
      <c r="BE104" s="14" t="n">
        <v>-3.389032187156</v>
      </c>
      <c r="BF104" s="14" t="n">
        <v>5.28542761383372</v>
      </c>
      <c r="BG104" s="14" t="n">
        <v>6.97707193206652</v>
      </c>
      <c r="BH104" s="14" t="n">
        <v>10.9956654944829</v>
      </c>
      <c r="BI104" s="14" t="n">
        <v>14.5375344778911</v>
      </c>
      <c r="BJ104" s="14" t="n">
        <v>3.71992671744367</v>
      </c>
      <c r="BK104" s="14" t="n">
        <v>4.46573109600205</v>
      </c>
      <c r="BL104" s="14" t="n">
        <v>6.42123287671233</v>
      </c>
      <c r="BM104" s="14" t="n">
        <v>8712.70308277889</v>
      </c>
      <c r="BN104" s="14" t="n">
        <v>7286.29059815091</v>
      </c>
      <c r="BO104" s="14" t="n">
        <v>7286.29059815091</v>
      </c>
      <c r="BP104" s="14" t="n">
        <v>327.195752</v>
      </c>
      <c r="BQ104" s="14" t="n">
        <v>301.7195</v>
      </c>
      <c r="BR104" s="14" t="n">
        <v>1081.9108</v>
      </c>
      <c r="BS104" s="14" t="s">
        <v>2856</v>
      </c>
      <c r="BT104" s="14" t="n">
        <v>37.9555555555556</v>
      </c>
      <c r="BU104" s="14" t="n">
        <v>0.202495480090107</v>
      </c>
      <c r="BV104" s="14" t="n">
        <v>0.204285232461873</v>
      </c>
      <c r="BW104" s="14" t="n">
        <v>13510.8578038903</v>
      </c>
      <c r="BX104" s="14" t="n">
        <v>27107.0656988521</v>
      </c>
      <c r="BY104" s="14" t="n">
        <v>100.7759874772</v>
      </c>
      <c r="BZ104" s="14" t="n">
        <v>0</v>
      </c>
      <c r="CA104" s="14" t="n">
        <v>950.69728</v>
      </c>
      <c r="CB104" s="14" t="n">
        <v>12000</v>
      </c>
    </row>
    <row r="105" customFormat="false" ht="15" hidden="false" customHeight="false" outlineLevel="0" collapsed="false">
      <c r="A105" s="0" t="s">
        <v>2941</v>
      </c>
      <c r="B105" s="14" t="n">
        <v>2465.07954157611</v>
      </c>
      <c r="C105" s="14" t="n">
        <v>7816.81199202122</v>
      </c>
      <c r="D105" s="14" t="n">
        <v>21453.847808549</v>
      </c>
      <c r="E105" s="14" t="n">
        <v>3934.51982057118</v>
      </c>
      <c r="F105" s="14" t="n">
        <v>-1398.68785460238</v>
      </c>
      <c r="G105" s="14" t="n">
        <v>5020.53519549271</v>
      </c>
      <c r="H105" s="14" t="n">
        <v>19955.7439417561</v>
      </c>
      <c r="I105" s="15" t="n">
        <v>34.0905084871735</v>
      </c>
      <c r="J105" s="15" t="n">
        <v>44.0793082273323</v>
      </c>
      <c r="K105" s="14" t="s">
        <v>60</v>
      </c>
      <c r="L105" s="14" t="n">
        <v>-4740.81890783368</v>
      </c>
      <c r="M105" s="14" t="n">
        <v>33809.0983573404</v>
      </c>
      <c r="N105" s="14" t="n">
        <v>12722.8628775186</v>
      </c>
      <c r="O105" s="14" t="n">
        <v>-17896.2495791836</v>
      </c>
      <c r="P105" s="14" t="n">
        <v>951.290832135856</v>
      </c>
      <c r="Q105" s="14" t="n">
        <v>975.115119477659</v>
      </c>
      <c r="R105" s="14" t="n">
        <v>17617.7170533315</v>
      </c>
      <c r="S105" s="14" t="n">
        <v>26996.283906171</v>
      </c>
      <c r="T105" s="14" t="n">
        <v>-955.692204749296</v>
      </c>
      <c r="U105" s="14" t="n">
        <v>10735.9617374977</v>
      </c>
      <c r="V105" s="14" t="n">
        <v>0.750319556751226</v>
      </c>
      <c r="W105" s="14" t="n">
        <v>63154.4210256552</v>
      </c>
      <c r="X105" s="14" t="n">
        <v>22299.6923029807</v>
      </c>
      <c r="Y105" s="14" t="n">
        <v>41.4663251133643</v>
      </c>
      <c r="Z105" s="14" t="n">
        <v>56.2848686754806</v>
      </c>
      <c r="AA105" s="14" t="n">
        <v>27.424347870838</v>
      </c>
      <c r="AB105" s="14" t="n">
        <v>25.224347870838</v>
      </c>
      <c r="AC105" s="14" t="n">
        <v>26.674347870838</v>
      </c>
      <c r="AD105" s="14" t="n">
        <v>21.0618991648036</v>
      </c>
      <c r="AE105" s="14" t="n">
        <v>674.686407680941</v>
      </c>
      <c r="AF105" s="14" t="n">
        <v>0.03</v>
      </c>
      <c r="AG105" s="14" t="n">
        <v>0.670900421240664</v>
      </c>
      <c r="AH105" s="14" t="n">
        <v>9819.91719809611</v>
      </c>
      <c r="AI105" s="14" t="n">
        <v>21453.847808549</v>
      </c>
      <c r="AJ105" s="14" t="n">
        <v>17.3835</v>
      </c>
      <c r="AK105" s="14" t="n">
        <v>0</v>
      </c>
      <c r="AL105" s="14" t="n">
        <v>-35317.4789651959</v>
      </c>
      <c r="AM105" s="14" t="n">
        <v>812.6073</v>
      </c>
      <c r="AN105" s="14" t="n">
        <v>20079.98904</v>
      </c>
      <c r="AO105" s="14" t="n">
        <v>-5508.72242389994</v>
      </c>
      <c r="AP105" s="14" t="n">
        <v>0.516474502037109</v>
      </c>
      <c r="AQ105" s="14" t="n">
        <v>39.0082373693206</v>
      </c>
      <c r="AR105" s="14" t="n">
        <v>327.195752</v>
      </c>
      <c r="AS105" s="14" t="n">
        <v>314.925245</v>
      </c>
      <c r="AT105" s="14" t="n">
        <v>-4740.81890783368</v>
      </c>
      <c r="AU105" s="14" t="n">
        <v>12.270507</v>
      </c>
      <c r="AV105" s="14" t="n">
        <v>0</v>
      </c>
      <c r="AW105" s="14" t="n">
        <v>2254.3125</v>
      </c>
      <c r="AX105" s="14" t="n">
        <v>314.925245</v>
      </c>
      <c r="AY105" s="14" t="n">
        <v>314.925245</v>
      </c>
      <c r="AZ105" s="14" t="n">
        <v>5788.77571094839</v>
      </c>
      <c r="BA105" s="14" t="n">
        <v>17.2507002628193</v>
      </c>
      <c r="BB105" s="14" t="n">
        <v>25.9079928847557</v>
      </c>
      <c r="BC105" s="14" t="n">
        <v>40.1358480935581</v>
      </c>
      <c r="BD105" s="14" t="n">
        <v>-5.08067650538881</v>
      </c>
      <c r="BE105" s="14" t="n">
        <v>-3.389032187156</v>
      </c>
      <c r="BF105" s="14" t="n">
        <v>5.28542761383372</v>
      </c>
      <c r="BG105" s="14" t="n">
        <v>6.97707193206652</v>
      </c>
      <c r="BH105" s="14" t="n">
        <v>10.9956654944829</v>
      </c>
      <c r="BI105" s="14" t="n">
        <v>14.5375344778911</v>
      </c>
      <c r="BJ105" s="14" t="n">
        <v>3.71992671744367</v>
      </c>
      <c r="BK105" s="14" t="n">
        <v>4.46573109600205</v>
      </c>
      <c r="BL105" s="14" t="n">
        <v>6.42123287671233</v>
      </c>
      <c r="BM105" s="14" t="n">
        <v>8712.70308277889</v>
      </c>
      <c r="BN105" s="14" t="n">
        <v>7784.44525499099</v>
      </c>
      <c r="BO105" s="14" t="n">
        <v>7784.44525499099</v>
      </c>
      <c r="BP105" s="14" t="n">
        <v>327.195752</v>
      </c>
      <c r="BQ105" s="14" t="n">
        <v>301.7195</v>
      </c>
      <c r="BR105" s="14" t="n">
        <v>1081.9108</v>
      </c>
      <c r="BS105" s="14" t="s">
        <v>2855</v>
      </c>
      <c r="BT105" s="14" t="n">
        <v>37.9555555555556</v>
      </c>
      <c r="BU105" s="14" t="n">
        <v>0.202495480090107</v>
      </c>
      <c r="BV105" s="14" t="n">
        <v>0.204285232461873</v>
      </c>
      <c r="BW105" s="14" t="n">
        <v>13510.8578038903</v>
      </c>
      <c r="BX105" s="14" t="n">
        <v>27107.0656988521</v>
      </c>
      <c r="BY105" s="14" t="n">
        <v>94.0034622270159</v>
      </c>
      <c r="BZ105" s="14" t="n">
        <v>0</v>
      </c>
      <c r="CA105" s="14" t="n">
        <v>950.69728</v>
      </c>
      <c r="CB105" s="14" t="n">
        <v>12000</v>
      </c>
    </row>
    <row r="106" customFormat="false" ht="15" hidden="false" customHeight="false" outlineLevel="0" collapsed="false">
      <c r="A106" s="0" t="s">
        <v>2942</v>
      </c>
      <c r="B106" s="14" t="n">
        <v>2465.07954157611</v>
      </c>
      <c r="C106" s="14" t="n">
        <v>7505.46533149617</v>
      </c>
      <c r="D106" s="14" t="n">
        <v>20912.2043877751</v>
      </c>
      <c r="E106" s="14" t="n">
        <v>3713.46369159839</v>
      </c>
      <c r="F106" s="14" t="n">
        <v>-1606.96308130411</v>
      </c>
      <c r="G106" s="14" t="n">
        <v>5020.20815964266</v>
      </c>
      <c r="H106" s="14" t="n">
        <v>25700.4257667108</v>
      </c>
      <c r="I106" s="15" t="n">
        <v>52.3441984710609</v>
      </c>
      <c r="J106" s="15" t="n">
        <v>63.916688782206</v>
      </c>
      <c r="K106" s="14" t="s">
        <v>60</v>
      </c>
      <c r="L106" s="14" t="n">
        <v>-4956.48323642636</v>
      </c>
      <c r="M106" s="14" t="n">
        <v>33802.8714241299</v>
      </c>
      <c r="N106" s="14" t="n">
        <v>12311.2138777304</v>
      </c>
      <c r="O106" s="14" t="n">
        <v>-18493.6599034385</v>
      </c>
      <c r="P106" s="14" t="n">
        <v>951.290832135856</v>
      </c>
      <c r="Q106" s="14" t="n">
        <v>587.382372493686</v>
      </c>
      <c r="R106" s="14" t="n">
        <v>17617.7170533315</v>
      </c>
      <c r="S106" s="14" t="n">
        <v>26985.4510377555</v>
      </c>
      <c r="T106" s="14" t="n">
        <v>-955.692204749296</v>
      </c>
      <c r="U106" s="14" t="n">
        <v>16662.5505981575</v>
      </c>
      <c r="V106" s="14" t="n">
        <v>0.750319556751226</v>
      </c>
      <c r="W106" s="14" t="n">
        <v>68701.985523635</v>
      </c>
      <c r="X106" s="14" t="n">
        <v>22558.4633764108</v>
      </c>
      <c r="Y106" s="14" t="n">
        <v>60.1277629754009</v>
      </c>
      <c r="Z106" s="14" t="n">
        <v>81.6152199059988</v>
      </c>
      <c r="AA106" s="14" t="n">
        <v>27.424347870838</v>
      </c>
      <c r="AB106" s="14" t="n">
        <v>25.224347870838</v>
      </c>
      <c r="AC106" s="14" t="n">
        <v>26.674347870838</v>
      </c>
      <c r="AD106" s="14" t="n">
        <v>21.0618991648036</v>
      </c>
      <c r="AE106" s="14" t="n">
        <v>674.686407680941</v>
      </c>
      <c r="AF106" s="14" t="n">
        <v>0.03</v>
      </c>
      <c r="AG106" s="14" t="n">
        <v>0.674971198952337</v>
      </c>
      <c r="AH106" s="14" t="n">
        <v>9819.91719809611</v>
      </c>
      <c r="AI106" s="14" t="n">
        <v>20912.2043877751</v>
      </c>
      <c r="AJ106" s="14" t="n">
        <v>16.69175</v>
      </c>
      <c r="AK106" s="14" t="n">
        <v>0</v>
      </c>
      <c r="AL106" s="14" t="n">
        <v>-35831.7863590157</v>
      </c>
      <c r="AM106" s="14" t="n">
        <v>812.6073</v>
      </c>
      <c r="AN106" s="14" t="n">
        <v>20079.98904</v>
      </c>
      <c r="AO106" s="14" t="n">
        <v>-5508.72242389994</v>
      </c>
      <c r="AP106" s="14" t="n">
        <v>0.516474502037109</v>
      </c>
      <c r="AQ106" s="14" t="n">
        <v>56.5634414001823</v>
      </c>
      <c r="AR106" s="14" t="n">
        <v>330.5971045</v>
      </c>
      <c r="AS106" s="14" t="n">
        <v>318.3265975</v>
      </c>
      <c r="AT106" s="14" t="n">
        <v>-4956.48323642636</v>
      </c>
      <c r="AU106" s="14" t="n">
        <v>12.270507</v>
      </c>
      <c r="AV106" s="14" t="n">
        <v>0</v>
      </c>
      <c r="AW106" s="14" t="n">
        <v>2254.3125</v>
      </c>
      <c r="AX106" s="14" t="n">
        <v>318.3265975</v>
      </c>
      <c r="AY106" s="14" t="n">
        <v>314.925245</v>
      </c>
      <c r="AZ106" s="14" t="n">
        <v>5746.46890876261</v>
      </c>
      <c r="BA106" s="14" t="n">
        <v>17.1163610732577</v>
      </c>
      <c r="BB106" s="14" t="n">
        <v>25.7736536951941</v>
      </c>
      <c r="BC106" s="14" t="n">
        <v>40.0015089039965</v>
      </c>
      <c r="BD106" s="14" t="n">
        <v>-5.08067650538881</v>
      </c>
      <c r="BE106" s="14" t="n">
        <v>-3.389032187156</v>
      </c>
      <c r="BF106" s="14" t="n">
        <v>5.28542761383372</v>
      </c>
      <c r="BG106" s="14" t="n">
        <v>6.97707193206652</v>
      </c>
      <c r="BH106" s="14" t="n">
        <v>10.9956654944829</v>
      </c>
      <c r="BI106" s="14" t="n">
        <v>14.5375344778911</v>
      </c>
      <c r="BJ106" s="14" t="n">
        <v>3.71992671744367</v>
      </c>
      <c r="BK106" s="14" t="n">
        <v>4.46573109600205</v>
      </c>
      <c r="BL106" s="14" t="n">
        <v>6.42123287671233</v>
      </c>
      <c r="BM106" s="14" t="n">
        <v>8712.70308277889</v>
      </c>
      <c r="BN106" s="14" t="n">
        <v>7473.09859446594</v>
      </c>
      <c r="BO106" s="14" t="n">
        <v>7473.09859446594</v>
      </c>
      <c r="BP106" s="14" t="n">
        <v>330.5971045</v>
      </c>
      <c r="BQ106" s="14" t="n">
        <v>301.7195</v>
      </c>
      <c r="BR106" s="14" t="n">
        <v>1081.9108</v>
      </c>
      <c r="BS106" s="14" t="s">
        <v>2855</v>
      </c>
      <c r="BT106" s="14" t="n">
        <v>37.9555555555556</v>
      </c>
      <c r="BU106" s="14" t="n">
        <v>0.202495480090107</v>
      </c>
      <c r="BV106" s="14" t="n">
        <v>0.204285232461873</v>
      </c>
      <c r="BW106" s="14" t="n">
        <v>13328.9507681851</v>
      </c>
      <c r="BX106" s="14" t="n">
        <v>26915.3671366004</v>
      </c>
      <c r="BY106" s="14" t="n">
        <v>95.1621909268025</v>
      </c>
      <c r="BZ106" s="14" t="n">
        <v>0</v>
      </c>
      <c r="CA106" s="14" t="n">
        <v>950.69728</v>
      </c>
      <c r="CB106" s="14" t="n">
        <v>12000</v>
      </c>
    </row>
    <row r="107" customFormat="false" ht="15" hidden="false" customHeight="false" outlineLevel="0" collapsed="false">
      <c r="A107" s="0" t="s">
        <v>2943</v>
      </c>
      <c r="B107" s="14" t="n">
        <v>2465.07954157611</v>
      </c>
      <c r="C107" s="14" t="n">
        <v>7505.46533149617</v>
      </c>
      <c r="D107" s="14" t="n">
        <v>22375.2840143298</v>
      </c>
      <c r="E107" s="14" t="n">
        <v>3713.46369159839</v>
      </c>
      <c r="F107" s="14" t="n">
        <v>-1606.96308130411</v>
      </c>
      <c r="G107" s="14" t="n">
        <v>5020.20815964266</v>
      </c>
      <c r="H107" s="14" t="n">
        <v>57536.3289800125</v>
      </c>
      <c r="I107" s="15" t="n">
        <v>150.298553218156</v>
      </c>
      <c r="J107" s="15" t="n">
        <v>170.811208898504</v>
      </c>
      <c r="K107" s="14" t="s">
        <v>60</v>
      </c>
      <c r="L107" s="14" t="n">
        <v>-4956.48323642636</v>
      </c>
      <c r="M107" s="14" t="n">
        <v>33802.8714241299</v>
      </c>
      <c r="N107" s="14" t="n">
        <v>13423.154393912</v>
      </c>
      <c r="O107" s="14" t="n">
        <v>-17606.6186056225</v>
      </c>
      <c r="P107" s="14" t="n">
        <v>951.290832135856</v>
      </c>
      <c r="Q107" s="14" t="n">
        <v>1639.3159517886</v>
      </c>
      <c r="R107" s="14" t="n">
        <v>17617.7170533315</v>
      </c>
      <c r="S107" s="14" t="n">
        <v>27014.7126302866</v>
      </c>
      <c r="T107" s="14" t="n">
        <v>-955.692204749296</v>
      </c>
      <c r="U107" s="14" t="n">
        <v>51685.2956477647</v>
      </c>
      <c r="V107" s="14" t="n">
        <v>0.750319556751226</v>
      </c>
      <c r="W107" s="14" t="n">
        <v>95321.046831914</v>
      </c>
      <c r="X107" s="14" t="n">
        <v>23808.8326068373</v>
      </c>
      <c r="Y107" s="14" t="n">
        <v>160.685668764653</v>
      </c>
      <c r="Z107" s="14" t="n">
        <v>218.1088326425</v>
      </c>
      <c r="AA107" s="14" t="n">
        <v>27.424347870838</v>
      </c>
      <c r="AB107" s="14" t="n">
        <v>25.224347870838</v>
      </c>
      <c r="AC107" s="14" t="n">
        <v>26.674347870838</v>
      </c>
      <c r="AD107" s="14" t="n">
        <v>21.0618991648036</v>
      </c>
      <c r="AE107" s="14" t="n">
        <v>674.686407680941</v>
      </c>
      <c r="AF107" s="14" t="n">
        <v>0.03</v>
      </c>
      <c r="AG107" s="14" t="n">
        <v>0.692518725076528</v>
      </c>
      <c r="AH107" s="14" t="n">
        <v>9819.91719809611</v>
      </c>
      <c r="AI107" s="14" t="n">
        <v>22375.2840143298</v>
      </c>
      <c r="AJ107" s="14" t="n">
        <v>16.69175</v>
      </c>
      <c r="AK107" s="14" t="n">
        <v>0</v>
      </c>
      <c r="AL107" s="14" t="n">
        <v>-33341.6007025185</v>
      </c>
      <c r="AM107" s="14" t="n">
        <v>812.6073</v>
      </c>
      <c r="AN107" s="14" t="n">
        <v>20079.98904</v>
      </c>
      <c r="AO107" s="14" t="n">
        <v>-5508.72242389994</v>
      </c>
      <c r="AP107" s="14" t="n">
        <v>0.516474502037109</v>
      </c>
      <c r="AQ107" s="14" t="n">
        <v>151.160361857083</v>
      </c>
      <c r="AR107" s="14" t="n">
        <v>356.177360187102</v>
      </c>
      <c r="AS107" s="14" t="n">
        <v>343.884186115513</v>
      </c>
      <c r="AT107" s="14" t="n">
        <v>-4956.48323642636</v>
      </c>
      <c r="AU107" s="14" t="n">
        <v>12.270507</v>
      </c>
      <c r="AV107" s="14" t="n">
        <v>0</v>
      </c>
      <c r="AW107" s="14" t="n">
        <v>2254.3125</v>
      </c>
      <c r="AX107" s="14" t="n">
        <v>343.884186115513</v>
      </c>
      <c r="AY107" s="14" t="n">
        <v>321.470471546213</v>
      </c>
      <c r="AZ107" s="14" t="n">
        <v>6042.74578396124</v>
      </c>
      <c r="BA107" s="14" t="n">
        <v>18.0571458464779</v>
      </c>
      <c r="BB107" s="14" t="n">
        <v>26.7144384684143</v>
      </c>
      <c r="BC107" s="14" t="n">
        <v>40.9422936772167</v>
      </c>
      <c r="BD107" s="14" t="n">
        <v>-5.08067650538881</v>
      </c>
      <c r="BE107" s="14" t="n">
        <v>-3.389032187156</v>
      </c>
      <c r="BF107" s="14" t="n">
        <v>5.28542761383372</v>
      </c>
      <c r="BG107" s="14" t="n">
        <v>6.97707193206652</v>
      </c>
      <c r="BH107" s="14" t="n">
        <v>10.9956654944829</v>
      </c>
      <c r="BI107" s="14" t="n">
        <v>14.5375344778911</v>
      </c>
      <c r="BJ107" s="14" t="n">
        <v>3.71992671744367</v>
      </c>
      <c r="BK107" s="14" t="n">
        <v>4.46573109600205</v>
      </c>
      <c r="BL107" s="14" t="n">
        <v>6.42123287671233</v>
      </c>
      <c r="BM107" s="14" t="n">
        <v>8712.70308277889</v>
      </c>
      <c r="BN107" s="14" t="n">
        <v>7473.09859446594</v>
      </c>
      <c r="BO107" s="14" t="n">
        <v>7473.09859446594</v>
      </c>
      <c r="BP107" s="14" t="n">
        <v>356.177360187102</v>
      </c>
      <c r="BQ107" s="14" t="n">
        <v>301.7195</v>
      </c>
      <c r="BR107" s="14" t="n">
        <v>1081.9108</v>
      </c>
      <c r="BS107" s="14" t="s">
        <v>2855</v>
      </c>
      <c r="BT107" s="14" t="n">
        <v>37.9555555555556</v>
      </c>
      <c r="BU107" s="14" t="n">
        <v>0.202495480090107</v>
      </c>
      <c r="BV107" s="14" t="n">
        <v>0.204285232461873</v>
      </c>
      <c r="BW107" s="14" t="n">
        <v>10142.1089318797</v>
      </c>
      <c r="BX107" s="14" t="n">
        <v>23611.0816461747</v>
      </c>
      <c r="BY107" s="14" t="n">
        <v>89.8038158217002</v>
      </c>
      <c r="BZ107" s="14" t="n">
        <v>0</v>
      </c>
      <c r="CA107" s="14" t="n">
        <v>950.69728</v>
      </c>
      <c r="CB107" s="14" t="n">
        <v>12000</v>
      </c>
    </row>
    <row r="108" customFormat="false" ht="15" hidden="false" customHeight="false" outlineLevel="0" collapsed="false">
      <c r="A108" s="0" t="s">
        <v>2944</v>
      </c>
      <c r="B108" s="14" t="n">
        <v>2465.07954157611</v>
      </c>
      <c r="C108" s="14" t="n">
        <v>7505.46533149617</v>
      </c>
      <c r="D108" s="14" t="n">
        <v>23472.5937342458</v>
      </c>
      <c r="E108" s="14" t="n">
        <v>3713.46369159839</v>
      </c>
      <c r="F108" s="14" t="n">
        <v>-1606.96308130411</v>
      </c>
      <c r="G108" s="14" t="n">
        <v>5020.20815964266</v>
      </c>
      <c r="H108" s="14" t="n">
        <v>81413.2563899888</v>
      </c>
      <c r="I108" s="15" t="n">
        <v>216.671246923438</v>
      </c>
      <c r="J108" s="15" t="n">
        <v>243.954122039026</v>
      </c>
      <c r="K108" s="14" t="s">
        <v>60</v>
      </c>
      <c r="L108" s="14" t="n">
        <v>-4956.48323642636</v>
      </c>
      <c r="M108" s="14" t="n">
        <v>33802.8714241299</v>
      </c>
      <c r="N108" s="14" t="n">
        <v>14257.1097810482</v>
      </c>
      <c r="O108" s="14" t="n">
        <v>-16981.3705020545</v>
      </c>
      <c r="P108" s="14" t="n">
        <v>951.290832135856</v>
      </c>
      <c r="Q108" s="14" t="n">
        <v>2428.26613625978</v>
      </c>
      <c r="R108" s="14" t="n">
        <v>17617.7170533315</v>
      </c>
      <c r="S108" s="14" t="n">
        <v>27036.6588246849</v>
      </c>
      <c r="T108" s="14" t="n">
        <v>-955.692204749296</v>
      </c>
      <c r="U108" s="14" t="n">
        <v>79936.5013813217</v>
      </c>
      <c r="V108" s="14" t="n">
        <v>0.750319556751226</v>
      </c>
      <c r="W108" s="14" t="n">
        <v>115285.342813123</v>
      </c>
      <c r="X108" s="14" t="n">
        <v>24746.6095296572</v>
      </c>
      <c r="Y108" s="14" t="n">
        <v>229.492733530311</v>
      </c>
      <c r="Z108" s="14" t="n">
        <v>311.505018431632</v>
      </c>
      <c r="AA108" s="14" t="n">
        <v>27.424347870838</v>
      </c>
      <c r="AB108" s="14" t="n">
        <v>25.224347870838</v>
      </c>
      <c r="AC108" s="14" t="n">
        <v>26.674347870838</v>
      </c>
      <c r="AD108" s="14" t="n">
        <v>21.0618991648036</v>
      </c>
      <c r="AE108" s="14" t="n">
        <v>674.686407680941</v>
      </c>
      <c r="AF108" s="14" t="n">
        <v>0.03</v>
      </c>
      <c r="AG108" s="14" t="n">
        <v>0.702952189476987</v>
      </c>
      <c r="AH108" s="14" t="n">
        <v>9819.91719809611</v>
      </c>
      <c r="AI108" s="14" t="n">
        <v>23472.5937342458</v>
      </c>
      <c r="AJ108" s="14" t="n">
        <v>16.69175</v>
      </c>
      <c r="AK108" s="14" t="n">
        <v>0</v>
      </c>
      <c r="AL108" s="14" t="n">
        <v>-31513.0477260803</v>
      </c>
      <c r="AM108" s="14" t="n">
        <v>812.6073</v>
      </c>
      <c r="AN108" s="14" t="n">
        <v>20079.98904</v>
      </c>
      <c r="AO108" s="14" t="n">
        <v>-5508.72242389994</v>
      </c>
      <c r="AP108" s="14" t="n">
        <v>0.516474502037109</v>
      </c>
      <c r="AQ108" s="14" t="n">
        <v>215.888603574359</v>
      </c>
      <c r="AR108" s="14" t="n">
        <v>381.190408702932</v>
      </c>
      <c r="AS108" s="14" t="n">
        <v>368.929899635311</v>
      </c>
      <c r="AT108" s="14" t="n">
        <v>-4956.48323642636</v>
      </c>
      <c r="AU108" s="14" t="n">
        <v>12.270507</v>
      </c>
      <c r="AV108" s="14" t="n">
        <v>0</v>
      </c>
      <c r="AW108" s="14" t="n">
        <v>2254.3125</v>
      </c>
      <c r="AX108" s="14" t="n">
        <v>368.929899635311</v>
      </c>
      <c r="AY108" s="14" t="n">
        <v>333.193606492883</v>
      </c>
      <c r="AZ108" s="14" t="n">
        <v>6225.72868358722</v>
      </c>
      <c r="BA108" s="14" t="n">
        <v>18.6381818305127</v>
      </c>
      <c r="BB108" s="14" t="n">
        <v>27.2954744524491</v>
      </c>
      <c r="BC108" s="14" t="n">
        <v>41.5233296612515</v>
      </c>
      <c r="BD108" s="14" t="n">
        <v>-5.08067650538881</v>
      </c>
      <c r="BE108" s="14" t="n">
        <v>-3.389032187156</v>
      </c>
      <c r="BF108" s="14" t="n">
        <v>5.28542761383372</v>
      </c>
      <c r="BG108" s="14" t="n">
        <v>6.97707193206652</v>
      </c>
      <c r="BH108" s="14" t="n">
        <v>10.9956654944829</v>
      </c>
      <c r="BI108" s="14" t="n">
        <v>14.5375344778911</v>
      </c>
      <c r="BJ108" s="14" t="n">
        <v>3.71992671744367</v>
      </c>
      <c r="BK108" s="14" t="n">
        <v>4.46573109600205</v>
      </c>
      <c r="BL108" s="14" t="n">
        <v>6.42123287671233</v>
      </c>
      <c r="BM108" s="14" t="n">
        <v>8712.70308277889</v>
      </c>
      <c r="BN108" s="14" t="n">
        <v>7473.09859446594</v>
      </c>
      <c r="BO108" s="14" t="n">
        <v>7473.09859446594</v>
      </c>
      <c r="BP108" s="14" t="n">
        <v>381.190408702932</v>
      </c>
      <c r="BQ108" s="14" t="n">
        <v>301.7195</v>
      </c>
      <c r="BR108" s="14" t="n">
        <v>1081.9108</v>
      </c>
      <c r="BS108" s="14" t="s">
        <v>2855</v>
      </c>
      <c r="BT108" s="14" t="n">
        <v>37.9555555555556</v>
      </c>
      <c r="BU108" s="14" t="n">
        <v>0.202495480090107</v>
      </c>
      <c r="BV108" s="14" t="n">
        <v>0.204285232461873</v>
      </c>
      <c r="BW108" s="14" t="n">
        <v>5767.83060829888</v>
      </c>
      <c r="BX108" s="14" t="n">
        <v>19033.2426765187</v>
      </c>
      <c r="BY108" s="14" t="n">
        <v>85.8232854841597</v>
      </c>
      <c r="BZ108" s="14" t="n">
        <v>0</v>
      </c>
      <c r="CA108" s="14" t="n">
        <v>950.69728</v>
      </c>
      <c r="CB108" s="14" t="n">
        <v>12000</v>
      </c>
    </row>
    <row r="109" customFormat="false" ht="15" hidden="false" customHeight="false" outlineLevel="0" collapsed="false">
      <c r="A109" s="0" t="s">
        <v>2945</v>
      </c>
      <c r="B109" s="14" t="n">
        <v>2465.07954157611</v>
      </c>
      <c r="C109" s="14" t="n">
        <v>8750.85197359636</v>
      </c>
      <c r="D109" s="14" t="n">
        <v>25273.3975107028</v>
      </c>
      <c r="E109" s="14" t="n">
        <v>4597.68820748953</v>
      </c>
      <c r="F109" s="14" t="n">
        <v>-773.862174497176</v>
      </c>
      <c r="G109" s="14" t="n">
        <v>5021.51630304285</v>
      </c>
      <c r="H109" s="14" t="n">
        <v>43030.3965700992</v>
      </c>
      <c r="I109" s="15" t="n">
        <v>106.409000531485</v>
      </c>
      <c r="J109" s="15" t="n">
        <v>122.692408619132</v>
      </c>
      <c r="K109" s="14" t="s">
        <v>60</v>
      </c>
      <c r="L109" s="14" t="n">
        <v>-4093.82592205564</v>
      </c>
      <c r="M109" s="14" t="n">
        <v>33827.7791569719</v>
      </c>
      <c r="N109" s="14" t="n">
        <v>15625.7206511555</v>
      </c>
      <c r="O109" s="14" t="n">
        <v>-15057.3471594957</v>
      </c>
      <c r="P109" s="14" t="n">
        <v>951.290832135856</v>
      </c>
      <c r="Q109" s="14" t="n">
        <v>3716.21372937194</v>
      </c>
      <c r="R109" s="14" t="n">
        <v>17617.7170533315</v>
      </c>
      <c r="S109" s="14" t="n">
        <v>27072.6749002141</v>
      </c>
      <c r="T109" s="14" t="n">
        <v>-955.692204749296</v>
      </c>
      <c r="U109" s="14" t="n">
        <v>33992.521401546</v>
      </c>
      <c r="V109" s="14" t="n">
        <v>0.750319556751226</v>
      </c>
      <c r="W109" s="14" t="n">
        <v>79740.7590943382</v>
      </c>
      <c r="X109" s="14" t="n">
        <v>23087.9626764448</v>
      </c>
      <c r="Y109" s="14" t="n">
        <v>115.419309180265</v>
      </c>
      <c r="Z109" s="14" t="n">
        <v>156.665936565769</v>
      </c>
      <c r="AA109" s="14" t="n">
        <v>27.424347870838</v>
      </c>
      <c r="AB109" s="14" t="n">
        <v>25.224347870838</v>
      </c>
      <c r="AC109" s="14" t="n">
        <v>26.674347870838</v>
      </c>
      <c r="AD109" s="14" t="n">
        <v>21.0618991648036</v>
      </c>
      <c r="AE109" s="14" t="n">
        <v>674.686407680941</v>
      </c>
      <c r="AF109" s="14" t="n">
        <v>0.03</v>
      </c>
      <c r="AG109" s="14" t="n">
        <v>0.68418380353578</v>
      </c>
      <c r="AH109" s="14" t="n">
        <v>9819.91719809611</v>
      </c>
      <c r="AI109" s="14" t="n">
        <v>25273.3975107028</v>
      </c>
      <c r="AJ109" s="14" t="n">
        <v>19.45875</v>
      </c>
      <c r="AK109" s="14" t="n">
        <v>0</v>
      </c>
      <c r="AL109" s="14" t="n">
        <v>-30319.4861923464</v>
      </c>
      <c r="AM109" s="14" t="n">
        <v>812.6073</v>
      </c>
      <c r="AN109" s="14" t="n">
        <v>20079.98904</v>
      </c>
      <c r="AO109" s="14" t="n">
        <v>-5508.72242389994</v>
      </c>
      <c r="AP109" s="14" t="n">
        <v>0.516474502037109</v>
      </c>
      <c r="AQ109" s="14" t="n">
        <v>108.577352760294</v>
      </c>
      <c r="AR109" s="14" t="n">
        <v>331.834216205169</v>
      </c>
      <c r="AS109" s="14" t="n">
        <v>319.451561726566</v>
      </c>
      <c r="AT109" s="14" t="n">
        <v>-4093.82592205564</v>
      </c>
      <c r="AU109" s="14" t="n">
        <v>12.270507</v>
      </c>
      <c r="AV109" s="14" t="n">
        <v>0</v>
      </c>
      <c r="AW109" s="14" t="n">
        <v>2254.3125</v>
      </c>
      <c r="AX109" s="14" t="n">
        <v>319.451561726566</v>
      </c>
      <c r="AY109" s="14" t="n">
        <v>317.74205374513</v>
      </c>
      <c r="AZ109" s="14" t="n">
        <v>6304.1451692259</v>
      </c>
      <c r="BA109" s="14" t="n">
        <v>18.8871821468852</v>
      </c>
      <c r="BB109" s="14" t="n">
        <v>27.5444747688216</v>
      </c>
      <c r="BC109" s="14" t="n">
        <v>41.772329977624</v>
      </c>
      <c r="BD109" s="14" t="n">
        <v>-5.08067650538881</v>
      </c>
      <c r="BE109" s="14" t="n">
        <v>-3.389032187156</v>
      </c>
      <c r="BF109" s="14" t="n">
        <v>5.28542761383372</v>
      </c>
      <c r="BG109" s="14" t="n">
        <v>6.97707193206652</v>
      </c>
      <c r="BH109" s="14" t="n">
        <v>10.9956654944829</v>
      </c>
      <c r="BI109" s="14" t="n">
        <v>14.5375344778911</v>
      </c>
      <c r="BJ109" s="14" t="n">
        <v>3.71992671744367</v>
      </c>
      <c r="BK109" s="14" t="n">
        <v>4.46573109600205</v>
      </c>
      <c r="BL109" s="14" t="n">
        <v>6.42123287671233</v>
      </c>
      <c r="BM109" s="14" t="n">
        <v>8712.70308277889</v>
      </c>
      <c r="BN109" s="14" t="n">
        <v>8718.48523656613</v>
      </c>
      <c r="BO109" s="14" t="n">
        <v>8718.48523656613</v>
      </c>
      <c r="BP109" s="14" t="n">
        <v>331.834216205169</v>
      </c>
      <c r="BQ109" s="14" t="n">
        <v>301.7195</v>
      </c>
      <c r="BR109" s="14" t="n">
        <v>1081.9108</v>
      </c>
      <c r="BS109" s="14" t="s">
        <v>2855</v>
      </c>
      <c r="BT109" s="14" t="n">
        <v>37.9555555555556</v>
      </c>
      <c r="BU109" s="14" t="n">
        <v>0.202495480090107</v>
      </c>
      <c r="BV109" s="14" t="n">
        <v>0.204285232461873</v>
      </c>
      <c r="BW109" s="14" t="n">
        <v>13328.9507681851</v>
      </c>
      <c r="BX109" s="14" t="n">
        <v>26915.3671366004</v>
      </c>
      <c r="BY109" s="14" t="n">
        <v>83.1928910519129</v>
      </c>
      <c r="BZ109" s="14" t="n">
        <v>0</v>
      </c>
      <c r="CA109" s="14" t="n">
        <v>950.69728</v>
      </c>
      <c r="CB109" s="14" t="n">
        <v>12000</v>
      </c>
    </row>
    <row r="110" customFormat="false" ht="15" hidden="false" customHeight="false" outlineLevel="0" collapsed="false">
      <c r="A110" s="0" t="s">
        <v>2946</v>
      </c>
      <c r="B110" s="14" t="n">
        <v>2465.07954157611</v>
      </c>
      <c r="C110" s="14" t="n">
        <v>7956.89610146433</v>
      </c>
      <c r="D110" s="14" t="n">
        <v>21191.0313140156</v>
      </c>
      <c r="E110" s="14" t="n">
        <v>4033.97953827579</v>
      </c>
      <c r="F110" s="14" t="n">
        <v>-1304.8846012428</v>
      </c>
      <c r="G110" s="14" t="n">
        <v>5020.58829546001</v>
      </c>
      <c r="H110" s="14" t="n">
        <v>14519.6034434797</v>
      </c>
      <c r="I110" s="15" t="n">
        <v>16.8288231044204</v>
      </c>
      <c r="J110" s="15" t="n">
        <v>25.3051073842469</v>
      </c>
      <c r="K110" s="14" t="s">
        <v>60</v>
      </c>
      <c r="L110" s="14" t="n">
        <v>-4644.22140115303</v>
      </c>
      <c r="M110" s="14" t="n">
        <v>33811.9000395293</v>
      </c>
      <c r="N110" s="14" t="n">
        <v>12523.1223416732</v>
      </c>
      <c r="O110" s="14" t="n">
        <v>-17971.472780481</v>
      </c>
      <c r="P110" s="14" t="n">
        <v>951.290832135856</v>
      </c>
      <c r="Q110" s="14" t="n">
        <v>785.576788660082</v>
      </c>
      <c r="R110" s="14" t="n">
        <v>17617.7170533315</v>
      </c>
      <c r="S110" s="14" t="n">
        <v>26991.0275762803</v>
      </c>
      <c r="T110" s="14" t="n">
        <v>-955.692204749296</v>
      </c>
      <c r="U110" s="14" t="n">
        <v>5299.82123922126</v>
      </c>
      <c r="V110" s="14" t="n">
        <v>0.750319556751226</v>
      </c>
      <c r="W110" s="14" t="n">
        <v>58471.5120920686</v>
      </c>
      <c r="X110" s="14" t="n">
        <v>22187.0946821811</v>
      </c>
      <c r="Y110" s="14" t="n">
        <v>23.8050425930489</v>
      </c>
      <c r="Z110" s="14" t="n">
        <v>32.3120916189449</v>
      </c>
      <c r="AA110" s="14" t="n">
        <v>27.424347870838</v>
      </c>
      <c r="AB110" s="14" t="n">
        <v>25.224347870838</v>
      </c>
      <c r="AC110" s="14" t="n">
        <v>26.674347870838</v>
      </c>
      <c r="AD110" s="14" t="n">
        <v>21.0618991648036</v>
      </c>
      <c r="AE110" s="14" t="n">
        <v>674.686407680941</v>
      </c>
      <c r="AF110" s="14" t="n">
        <v>0.03</v>
      </c>
      <c r="AG110" s="14" t="n">
        <v>0.667430425644163</v>
      </c>
      <c r="AH110" s="14" t="n">
        <v>9819.91719809611</v>
      </c>
      <c r="AI110" s="14" t="n">
        <v>21191.0313140156</v>
      </c>
      <c r="AJ110" s="14" t="n">
        <v>19.7391827628362</v>
      </c>
      <c r="AK110" s="14" t="n">
        <v>0</v>
      </c>
      <c r="AL110" s="14" t="n">
        <v>-35642.6200890909</v>
      </c>
      <c r="AM110" s="14" t="n">
        <v>812.6073</v>
      </c>
      <c r="AN110" s="14" t="n">
        <v>20079.98904</v>
      </c>
      <c r="AO110" s="14" t="n">
        <v>-5508.72242389994</v>
      </c>
      <c r="AP110" s="14" t="n">
        <v>0.448161561074905</v>
      </c>
      <c r="AQ110" s="14" t="n">
        <v>22.3939003400415</v>
      </c>
      <c r="AR110" s="14" t="n">
        <v>327.195752</v>
      </c>
      <c r="AS110" s="14" t="n">
        <v>314.925245</v>
      </c>
      <c r="AT110" s="14" t="n">
        <v>-4644.22140115303</v>
      </c>
      <c r="AU110" s="14" t="n">
        <v>12.270507</v>
      </c>
      <c r="AV110" s="14" t="n">
        <v>0</v>
      </c>
      <c r="AW110" s="14" t="n">
        <v>2254.3125</v>
      </c>
      <c r="AX110" s="14" t="n">
        <v>314.925245</v>
      </c>
      <c r="AY110" s="14" t="n">
        <v>314.925245</v>
      </c>
      <c r="AZ110" s="14" t="n">
        <v>5747.32141250041</v>
      </c>
      <c r="BA110" s="14" t="n">
        <v>17.1190680767493</v>
      </c>
      <c r="BB110" s="14" t="n">
        <v>25.7763606986857</v>
      </c>
      <c r="BC110" s="14" t="n">
        <v>40.0042159074881</v>
      </c>
      <c r="BD110" s="14" t="n">
        <v>-5.08067650538881</v>
      </c>
      <c r="BE110" s="14" t="n">
        <v>-3.389032187156</v>
      </c>
      <c r="BF110" s="14" t="n">
        <v>5.28542761383372</v>
      </c>
      <c r="BG110" s="14" t="n">
        <v>6.97707193206652</v>
      </c>
      <c r="BH110" s="14" t="n">
        <v>10.9956654944829</v>
      </c>
      <c r="BI110" s="14" t="n">
        <v>14.5375344778911</v>
      </c>
      <c r="BJ110" s="14" t="n">
        <v>3.71992671744367</v>
      </c>
      <c r="BK110" s="14" t="n">
        <v>4.46573109600205</v>
      </c>
      <c r="BL110" s="14" t="n">
        <v>6.42123287671233</v>
      </c>
      <c r="BM110" s="14" t="n">
        <v>8712.70308277889</v>
      </c>
      <c r="BN110" s="14" t="n">
        <v>7924.5293644341</v>
      </c>
      <c r="BO110" s="14" t="n">
        <v>7924.5293644341</v>
      </c>
      <c r="BP110" s="14" t="n">
        <v>327.195752</v>
      </c>
      <c r="BQ110" s="14" t="n">
        <v>301.7195</v>
      </c>
      <c r="BR110" s="14" t="n">
        <v>1081.9108</v>
      </c>
      <c r="BS110" s="14" t="s">
        <v>2855</v>
      </c>
      <c r="BT110" s="14" t="n">
        <v>37.9555555555556</v>
      </c>
      <c r="BU110" s="14" t="n">
        <v>0.202495480090107</v>
      </c>
      <c r="BV110" s="14" t="n">
        <v>0.204285232461873</v>
      </c>
      <c r="BW110" s="14" t="n">
        <v>13510.8578038903</v>
      </c>
      <c r="BX110" s="14" t="n">
        <v>27107.0656988521</v>
      </c>
      <c r="BY110" s="14" t="n">
        <v>94.6972409870161</v>
      </c>
      <c r="BZ110" s="14" t="n">
        <v>0</v>
      </c>
      <c r="CA110" s="14" t="n">
        <v>950.69728</v>
      </c>
      <c r="CB110" s="14" t="n">
        <v>12000</v>
      </c>
    </row>
    <row r="111" customFormat="false" ht="15" hidden="false" customHeight="false" outlineLevel="0" collapsed="false">
      <c r="A111" s="0" t="s">
        <v>2947</v>
      </c>
      <c r="B111" s="14" t="n">
        <v>2465.07954157611</v>
      </c>
      <c r="C111" s="14" t="n">
        <v>7505.46533149617</v>
      </c>
      <c r="D111" s="14" t="n">
        <v>20180.6645744977</v>
      </c>
      <c r="E111" s="14" t="n">
        <v>3713.46369159839</v>
      </c>
      <c r="F111" s="14" t="n">
        <v>-1606.96308130411</v>
      </c>
      <c r="G111" s="14" t="n">
        <v>5020.20815964266</v>
      </c>
      <c r="H111" s="14" t="n">
        <v>8684.68193378082</v>
      </c>
      <c r="I111" s="15" t="n">
        <v>0.01</v>
      </c>
      <c r="J111" s="15" t="n">
        <v>5.15368040007337</v>
      </c>
      <c r="K111" s="14" t="s">
        <v>60</v>
      </c>
      <c r="L111" s="14" t="n">
        <v>-4956.48323642636</v>
      </c>
      <c r="M111" s="14" t="n">
        <v>33802.8714241299</v>
      </c>
      <c r="N111" s="14" t="n">
        <v>11755.2436196396</v>
      </c>
      <c r="O111" s="14" t="n">
        <v>-19023.84719661</v>
      </c>
      <c r="P111" s="14" t="n">
        <v>951.290832135856</v>
      </c>
      <c r="Q111" s="14" t="n">
        <v>61.4155828462322</v>
      </c>
      <c r="R111" s="14" t="n">
        <v>17617.7170533315</v>
      </c>
      <c r="S111" s="14" t="n">
        <v>26970.82024149</v>
      </c>
      <c r="T111" s="14" t="n">
        <v>-955.692204749296</v>
      </c>
      <c r="U111" s="14" t="n">
        <v>-535.100270477633</v>
      </c>
      <c r="V111" s="14" t="n">
        <v>0.750319556751226</v>
      </c>
      <c r="W111" s="14" t="n">
        <v>53464.5708424573</v>
      </c>
      <c r="X111" s="14" t="n">
        <v>22173.3734272866</v>
      </c>
      <c r="Y111" s="14" t="n">
        <v>4.84817470132854</v>
      </c>
      <c r="Z111" s="14" t="n">
        <v>6.58073450285368</v>
      </c>
      <c r="AA111" s="14" t="n">
        <v>27.424347870838</v>
      </c>
      <c r="AB111" s="14" t="n">
        <v>25.224347870838</v>
      </c>
      <c r="AC111" s="14" t="n">
        <v>26.674347870838</v>
      </c>
      <c r="AD111" s="14" t="n">
        <v>21.0618991648036</v>
      </c>
      <c r="AE111" s="14" t="n">
        <v>674.686407680941</v>
      </c>
      <c r="AF111" s="14" t="n">
        <v>0.03</v>
      </c>
      <c r="AG111" s="14" t="n">
        <v>0.664073049535931</v>
      </c>
      <c r="AH111" s="14" t="n">
        <v>9819.91719809611</v>
      </c>
      <c r="AI111" s="14" t="n">
        <v>20180.6645744977</v>
      </c>
      <c r="AJ111" s="14" t="n">
        <v>16.69175</v>
      </c>
      <c r="AK111" s="14" t="n">
        <v>0</v>
      </c>
      <c r="AL111" s="14" t="n">
        <v>-31590.1275643903</v>
      </c>
      <c r="AM111" s="14" t="n">
        <v>812.6073</v>
      </c>
      <c r="AN111" s="14" t="n">
        <v>25825.759024</v>
      </c>
      <c r="AO111" s="14" t="n">
        <v>-7800.03602701777</v>
      </c>
      <c r="AP111" s="14" t="n">
        <v>0.516474502037109</v>
      </c>
      <c r="AQ111" s="14" t="n">
        <v>4.56077911510918</v>
      </c>
      <c r="AR111" s="14" t="n">
        <v>327.195752</v>
      </c>
      <c r="AS111" s="14" t="n">
        <v>314.925245</v>
      </c>
      <c r="AT111" s="14" t="n">
        <v>-4956.48323642636</v>
      </c>
      <c r="AU111" s="14" t="n">
        <v>12.270507</v>
      </c>
      <c r="AV111" s="14" t="n">
        <v>0</v>
      </c>
      <c r="AW111" s="14" t="n">
        <v>2254.3125</v>
      </c>
      <c r="AX111" s="14" t="n">
        <v>314.925245</v>
      </c>
      <c r="AY111" s="14" t="n">
        <v>314.925245</v>
      </c>
      <c r="AZ111" s="14" t="n">
        <v>5568.83612056339</v>
      </c>
      <c r="BA111" s="14" t="n">
        <v>16.5523136016134</v>
      </c>
      <c r="BB111" s="14" t="n">
        <v>25.2096062235498</v>
      </c>
      <c r="BC111" s="14" t="n">
        <v>39.4374614323522</v>
      </c>
      <c r="BD111" s="14" t="n">
        <v>-5.08067650538881</v>
      </c>
      <c r="BE111" s="14" t="n">
        <v>-3.389032187156</v>
      </c>
      <c r="BF111" s="14" t="n">
        <v>5.28542761383372</v>
      </c>
      <c r="BG111" s="14" t="n">
        <v>6.97707193206652</v>
      </c>
      <c r="BH111" s="14" t="n">
        <v>10.9956654944829</v>
      </c>
      <c r="BI111" s="14" t="n">
        <v>14.5375344778911</v>
      </c>
      <c r="BJ111" s="14" t="n">
        <v>3.71992671744367</v>
      </c>
      <c r="BK111" s="14" t="n">
        <v>4.46573109600205</v>
      </c>
      <c r="BL111" s="14" t="n">
        <v>6.42123287671233</v>
      </c>
      <c r="BM111" s="14" t="n">
        <v>8712.70308277889</v>
      </c>
      <c r="BN111" s="14" t="n">
        <v>7473.09859446594</v>
      </c>
      <c r="BO111" s="14" t="n">
        <v>7473.09859446594</v>
      </c>
      <c r="BP111" s="14" t="n">
        <v>327.195752</v>
      </c>
      <c r="BQ111" s="14" t="n">
        <v>301.7195</v>
      </c>
      <c r="BR111" s="14" t="n">
        <v>1081.9108</v>
      </c>
      <c r="BS111" s="14" t="s">
        <v>2855</v>
      </c>
      <c r="BT111" s="14" t="n">
        <v>37.9555555555556</v>
      </c>
      <c r="BU111" s="14" t="n">
        <v>0.202495480090107</v>
      </c>
      <c r="BV111" s="14" t="n">
        <v>0.204285232461873</v>
      </c>
      <c r="BW111" s="14" t="n">
        <v>13510.8578038903</v>
      </c>
      <c r="BX111" s="14" t="n">
        <v>27107.0656988521</v>
      </c>
      <c r="BY111" s="14" t="n">
        <v>86.1212289697118</v>
      </c>
      <c r="BZ111" s="14" t="n">
        <v>0</v>
      </c>
      <c r="CA111" s="14" t="n">
        <v>950.69728</v>
      </c>
      <c r="CB111" s="14" t="n">
        <v>12000</v>
      </c>
    </row>
    <row r="112" customFormat="false" ht="15" hidden="false" customHeight="false" outlineLevel="0" collapsed="false">
      <c r="A112" s="0" t="s">
        <v>2948</v>
      </c>
      <c r="B112" s="14" t="n">
        <v>2465.07954157611</v>
      </c>
      <c r="C112" s="14" t="n">
        <v>7505.46533149617</v>
      </c>
      <c r="D112" s="14" t="n">
        <v>20180.6645744977</v>
      </c>
      <c r="E112" s="14" t="n">
        <v>3713.46369159839</v>
      </c>
      <c r="F112" s="14" t="n">
        <v>-1606.96308130411</v>
      </c>
      <c r="G112" s="14" t="n">
        <v>5020.20815964266</v>
      </c>
      <c r="H112" s="14" t="n">
        <v>7854.59013302158</v>
      </c>
      <c r="I112" s="15" t="n">
        <v>0.01</v>
      </c>
      <c r="J112" s="15" t="n">
        <v>2.28688359991828</v>
      </c>
      <c r="K112" s="14" t="s">
        <v>60</v>
      </c>
      <c r="L112" s="14" t="n">
        <v>-4956.48323642636</v>
      </c>
      <c r="M112" s="14" t="n">
        <v>33802.8714241299</v>
      </c>
      <c r="N112" s="14" t="n">
        <v>11755.2436196396</v>
      </c>
      <c r="O112" s="14" t="n">
        <v>-19023.84719661</v>
      </c>
      <c r="P112" s="14" t="n">
        <v>951.290832135856</v>
      </c>
      <c r="Q112" s="14" t="n">
        <v>61.4155828462322</v>
      </c>
      <c r="R112" s="14" t="n">
        <v>17617.7170533315</v>
      </c>
      <c r="S112" s="14" t="n">
        <v>26970.82024149</v>
      </c>
      <c r="T112" s="14" t="n">
        <v>-955.692204749296</v>
      </c>
      <c r="U112" s="14" t="n">
        <v>-1365.19207123687</v>
      </c>
      <c r="V112" s="14" t="n">
        <v>0.750319556751226</v>
      </c>
      <c r="W112" s="14" t="n">
        <v>53464.5708424573</v>
      </c>
      <c r="X112" s="14" t="n">
        <v>22173.3734272866</v>
      </c>
      <c r="Y112" s="14" t="n">
        <v>2.15131912600733</v>
      </c>
      <c r="Z112" s="14" t="n">
        <v>2.92012166873565</v>
      </c>
      <c r="AA112" s="14" t="n">
        <v>27.424347870838</v>
      </c>
      <c r="AB112" s="14" t="n">
        <v>25.224347870838</v>
      </c>
      <c r="AC112" s="14" t="n">
        <v>26.674347870838</v>
      </c>
      <c r="AD112" s="14" t="n">
        <v>21.0618991648036</v>
      </c>
      <c r="AE112" s="14" t="n">
        <v>674.686407680941</v>
      </c>
      <c r="AF112" s="14" t="n">
        <v>0.03</v>
      </c>
      <c r="AG112" s="14" t="n">
        <v>0.664073049535931</v>
      </c>
      <c r="AH112" s="14" t="n">
        <v>9819.91719809611</v>
      </c>
      <c r="AI112" s="14" t="n">
        <v>20180.6645744977</v>
      </c>
      <c r="AJ112" s="14" t="n">
        <v>16.69175</v>
      </c>
      <c r="AK112" s="14" t="n">
        <v>0</v>
      </c>
      <c r="AL112" s="14" t="n">
        <v>-37200.0960732068</v>
      </c>
      <c r="AM112" s="14" t="n">
        <v>812.6073</v>
      </c>
      <c r="AN112" s="14" t="n">
        <v>20079.98904</v>
      </c>
      <c r="AO112" s="14" t="n">
        <v>-5508.72242389994</v>
      </c>
      <c r="AP112" s="14" t="n">
        <v>0.516474502037109</v>
      </c>
      <c r="AQ112" s="14" t="n">
        <v>2.02379079638786</v>
      </c>
      <c r="AR112" s="14" t="n">
        <v>327.195752</v>
      </c>
      <c r="AS112" s="14" t="n">
        <v>314.925245</v>
      </c>
      <c r="AT112" s="14" t="n">
        <v>-4956.48323642636</v>
      </c>
      <c r="AU112" s="14" t="n">
        <v>12.270507</v>
      </c>
      <c r="AV112" s="14" t="n">
        <v>0</v>
      </c>
      <c r="AW112" s="14" t="n">
        <v>2254.3125</v>
      </c>
      <c r="AX112" s="14" t="n">
        <v>314.925245</v>
      </c>
      <c r="AY112" s="14" t="n">
        <v>314.925245</v>
      </c>
      <c r="AZ112" s="14" t="n">
        <v>5568.83612056339</v>
      </c>
      <c r="BA112" s="14" t="n">
        <v>16.5523136016134</v>
      </c>
      <c r="BB112" s="14" t="n">
        <v>25.2096062235498</v>
      </c>
      <c r="BC112" s="14" t="n">
        <v>39.4374614323522</v>
      </c>
      <c r="BD112" s="14" t="n">
        <v>-5.08067650538881</v>
      </c>
      <c r="BE112" s="14" t="n">
        <v>-3.389032187156</v>
      </c>
      <c r="BF112" s="14" t="n">
        <v>5.28542761383372</v>
      </c>
      <c r="BG112" s="14" t="n">
        <v>6.97707193206652</v>
      </c>
      <c r="BH112" s="14" t="n">
        <v>10.9956654944829</v>
      </c>
      <c r="BI112" s="14" t="n">
        <v>14.5375344778911</v>
      </c>
      <c r="BJ112" s="14" t="n">
        <v>3.71992671744367</v>
      </c>
      <c r="BK112" s="14" t="n">
        <v>4.46573109600205</v>
      </c>
      <c r="BL112" s="14" t="n">
        <v>6.42123287671233</v>
      </c>
      <c r="BM112" s="14" t="n">
        <v>8712.70308277889</v>
      </c>
      <c r="BN112" s="14" t="n">
        <v>7473.09859446594</v>
      </c>
      <c r="BO112" s="14" t="n">
        <v>7473.09859446594</v>
      </c>
      <c r="BP112" s="14" t="n">
        <v>327.195752</v>
      </c>
      <c r="BQ112" s="14" t="n">
        <v>301.7195</v>
      </c>
      <c r="BR112" s="14" t="n">
        <v>1081.9108</v>
      </c>
      <c r="BS112" s="14" t="s">
        <v>2855</v>
      </c>
      <c r="BT112" s="14" t="n">
        <v>37.9555555555556</v>
      </c>
      <c r="BU112" s="14" t="n">
        <v>0.202495480090107</v>
      </c>
      <c r="BV112" s="14" t="n">
        <v>0.204285232461873</v>
      </c>
      <c r="BW112" s="14" t="n">
        <v>13510.8578038903</v>
      </c>
      <c r="BX112" s="14" t="n">
        <v>27107.0656988521</v>
      </c>
      <c r="BY112" s="14" t="n">
        <v>98.1216364538248</v>
      </c>
      <c r="BZ112" s="14" t="n">
        <v>0</v>
      </c>
      <c r="CA112" s="14" t="n">
        <v>950.69728</v>
      </c>
      <c r="CB112" s="14" t="n">
        <v>12000</v>
      </c>
    </row>
    <row r="113" customFormat="false" ht="15" hidden="false" customHeight="false" outlineLevel="0" collapsed="false">
      <c r="A113" s="0" t="s">
        <v>2949</v>
      </c>
      <c r="B113" s="14" t="n">
        <v>2465.07954157611</v>
      </c>
      <c r="C113" s="14" t="n">
        <v>7505.46533149617</v>
      </c>
      <c r="D113" s="14" t="n">
        <v>20180.6645744977</v>
      </c>
      <c r="E113" s="14" t="n">
        <v>3713.46369159839</v>
      </c>
      <c r="F113" s="14" t="n">
        <v>-1606.96308130411</v>
      </c>
      <c r="G113" s="14" t="n">
        <v>5020.20815964266</v>
      </c>
      <c r="H113" s="14" t="n">
        <v>7854.59013302158</v>
      </c>
      <c r="I113" s="15" t="n">
        <v>0.01</v>
      </c>
      <c r="J113" s="15" t="n">
        <v>2.28688359991828</v>
      </c>
      <c r="K113" s="14" t="s">
        <v>60</v>
      </c>
      <c r="L113" s="14" t="n">
        <v>-4956.48323642636</v>
      </c>
      <c r="M113" s="14" t="n">
        <v>33802.8714241299</v>
      </c>
      <c r="N113" s="14" t="n">
        <v>11755.2436196396</v>
      </c>
      <c r="O113" s="14" t="n">
        <v>-19023.84719661</v>
      </c>
      <c r="P113" s="14" t="n">
        <v>951.290832135856</v>
      </c>
      <c r="Q113" s="14" t="n">
        <v>61.4155828462322</v>
      </c>
      <c r="R113" s="14" t="n">
        <v>17617.7170533315</v>
      </c>
      <c r="S113" s="14" t="n">
        <v>26970.82024149</v>
      </c>
      <c r="T113" s="14" t="n">
        <v>-955.692204749296</v>
      </c>
      <c r="U113" s="14" t="n">
        <v>-1365.19207123687</v>
      </c>
      <c r="V113" s="14" t="n">
        <v>0.750319556751226</v>
      </c>
      <c r="W113" s="14" t="n">
        <v>53464.5708424573</v>
      </c>
      <c r="X113" s="14" t="n">
        <v>22173.3734272866</v>
      </c>
      <c r="Y113" s="14" t="n">
        <v>2.15131912600733</v>
      </c>
      <c r="Z113" s="14" t="n">
        <v>2.92012166873565</v>
      </c>
      <c r="AA113" s="14" t="n">
        <v>27.424347870838</v>
      </c>
      <c r="AB113" s="14" t="n">
        <v>25.224347870838</v>
      </c>
      <c r="AC113" s="14" t="n">
        <v>26.674347870838</v>
      </c>
      <c r="AD113" s="14" t="n">
        <v>21.0618991648036</v>
      </c>
      <c r="AE113" s="14" t="n">
        <v>674.686407680941</v>
      </c>
      <c r="AF113" s="14" t="n">
        <v>0.03</v>
      </c>
      <c r="AG113" s="14" t="n">
        <v>0.664073049535931</v>
      </c>
      <c r="AH113" s="14" t="n">
        <v>9819.91719809611</v>
      </c>
      <c r="AI113" s="14" t="n">
        <v>20180.6645744977</v>
      </c>
      <c r="AJ113" s="14" t="n">
        <v>16.69175</v>
      </c>
      <c r="AK113" s="14" t="n">
        <v>0</v>
      </c>
      <c r="AL113" s="14" t="n">
        <v>-37200.0960732068</v>
      </c>
      <c r="AM113" s="14" t="n">
        <v>812.6073</v>
      </c>
      <c r="AN113" s="14" t="n">
        <v>20079.98904</v>
      </c>
      <c r="AO113" s="14" t="n">
        <v>-5508.72242389994</v>
      </c>
      <c r="AP113" s="14" t="n">
        <v>0.516474502037109</v>
      </c>
      <c r="AQ113" s="14" t="n">
        <v>2.02379079638786</v>
      </c>
      <c r="AR113" s="14" t="n">
        <v>327.195752</v>
      </c>
      <c r="AS113" s="14" t="n">
        <v>314.925245</v>
      </c>
      <c r="AT113" s="14" t="n">
        <v>-4956.48323642636</v>
      </c>
      <c r="AU113" s="14" t="n">
        <v>12.270507</v>
      </c>
      <c r="AV113" s="14" t="n">
        <v>0</v>
      </c>
      <c r="AW113" s="14" t="n">
        <v>2254.3125</v>
      </c>
      <c r="AX113" s="14" t="n">
        <v>314.925245</v>
      </c>
      <c r="AY113" s="14" t="n">
        <v>314.925245</v>
      </c>
      <c r="AZ113" s="14" t="n">
        <v>5568.83612056339</v>
      </c>
      <c r="BA113" s="14" t="n">
        <v>16.5523136016134</v>
      </c>
      <c r="BB113" s="14" t="n">
        <v>25.2096062235498</v>
      </c>
      <c r="BC113" s="14" t="n">
        <v>39.4374614323522</v>
      </c>
      <c r="BD113" s="14" t="n">
        <v>-5.08067650538881</v>
      </c>
      <c r="BE113" s="14" t="n">
        <v>-3.389032187156</v>
      </c>
      <c r="BF113" s="14" t="n">
        <v>5.28542761383372</v>
      </c>
      <c r="BG113" s="14" t="n">
        <v>6.97707193206652</v>
      </c>
      <c r="BH113" s="14" t="n">
        <v>10.9956654944829</v>
      </c>
      <c r="BI113" s="14" t="n">
        <v>14.5375344778911</v>
      </c>
      <c r="BJ113" s="14" t="n">
        <v>3.71992671744367</v>
      </c>
      <c r="BK113" s="14" t="n">
        <v>4.46573109600205</v>
      </c>
      <c r="BL113" s="14" t="n">
        <v>6.42123287671233</v>
      </c>
      <c r="BM113" s="14" t="n">
        <v>8712.70308277889</v>
      </c>
      <c r="BN113" s="14" t="n">
        <v>7473.09859446594</v>
      </c>
      <c r="BO113" s="14" t="n">
        <v>7473.09859446594</v>
      </c>
      <c r="BP113" s="14" t="n">
        <v>327.195752</v>
      </c>
      <c r="BQ113" s="14" t="n">
        <v>301.7195</v>
      </c>
      <c r="BR113" s="14" t="n">
        <v>1081.9108</v>
      </c>
      <c r="BS113" s="14" t="s">
        <v>2855</v>
      </c>
      <c r="BT113" s="14" t="n">
        <v>37.9555555555556</v>
      </c>
      <c r="BU113" s="14" t="n">
        <v>0.202495480090107</v>
      </c>
      <c r="BV113" s="14" t="n">
        <v>0.204285232461873</v>
      </c>
      <c r="BW113" s="14" t="n">
        <v>13510.8578038903</v>
      </c>
      <c r="BX113" s="14" t="n">
        <v>27107.0656988521</v>
      </c>
      <c r="BY113" s="14" t="n">
        <v>98.1216364538248</v>
      </c>
      <c r="BZ113" s="14" t="n">
        <v>0</v>
      </c>
      <c r="CA113" s="14" t="n">
        <v>950.69728</v>
      </c>
      <c r="CB113" s="14" t="n">
        <v>12000</v>
      </c>
    </row>
    <row r="114" customFormat="false" ht="15" hidden="false" customHeight="false" outlineLevel="0" collapsed="false">
      <c r="A114" s="0" t="s">
        <v>2950</v>
      </c>
      <c r="B114" s="14" t="n">
        <v>2465.07954157611</v>
      </c>
      <c r="C114" s="14" t="n">
        <v>7505.46533149617</v>
      </c>
      <c r="D114" s="14" t="n">
        <v>20180.6645744977</v>
      </c>
      <c r="E114" s="14" t="n">
        <v>3713.46369159839</v>
      </c>
      <c r="F114" s="14" t="n">
        <v>-1606.96308130411</v>
      </c>
      <c r="G114" s="14" t="n">
        <v>5020.20815964266</v>
      </c>
      <c r="H114" s="14" t="n">
        <v>13363.3125569215</v>
      </c>
      <c r="I114" s="15" t="n">
        <v>13.1571870418425</v>
      </c>
      <c r="J114" s="15" t="n">
        <v>21.3117526605867</v>
      </c>
      <c r="K114" s="14" t="s">
        <v>60</v>
      </c>
      <c r="L114" s="14" t="n">
        <v>-4956.48323642636</v>
      </c>
      <c r="M114" s="14" t="n">
        <v>33802.8714241299</v>
      </c>
      <c r="N114" s="14" t="n">
        <v>11755.2436196396</v>
      </c>
      <c r="O114" s="14" t="n">
        <v>-19023.84719661</v>
      </c>
      <c r="P114" s="14" t="n">
        <v>951.290832135856</v>
      </c>
      <c r="Q114" s="14" t="n">
        <v>61.4155828462322</v>
      </c>
      <c r="R114" s="14" t="n">
        <v>17617.7170533315</v>
      </c>
      <c r="S114" s="14" t="n">
        <v>26970.82024149</v>
      </c>
      <c r="T114" s="14" t="n">
        <v>-955.692204749296</v>
      </c>
      <c r="U114" s="14" t="n">
        <v>4143.53035266307</v>
      </c>
      <c r="V114" s="14" t="n">
        <v>0.750319556751226</v>
      </c>
      <c r="W114" s="14" t="n">
        <v>53464.5708424573</v>
      </c>
      <c r="X114" s="14" t="n">
        <v>22173.3734272866</v>
      </c>
      <c r="Y114" s="14" t="n">
        <v>20.0484104696435</v>
      </c>
      <c r="Z114" s="14" t="n">
        <v>27.2129769723031</v>
      </c>
      <c r="AA114" s="14" t="n">
        <v>27.424347870838</v>
      </c>
      <c r="AB114" s="14" t="n">
        <v>25.224347870838</v>
      </c>
      <c r="AC114" s="14" t="n">
        <v>26.674347870838</v>
      </c>
      <c r="AD114" s="14" t="n">
        <v>21.0618991648036</v>
      </c>
      <c r="AE114" s="14" t="n">
        <v>674.686407680941</v>
      </c>
      <c r="AF114" s="14" t="n">
        <v>0.03</v>
      </c>
      <c r="AG114" s="14" t="n">
        <v>0.664073049535931</v>
      </c>
      <c r="AH114" s="14" t="n">
        <v>9819.91719809611</v>
      </c>
      <c r="AI114" s="14" t="n">
        <v>20180.6645744977</v>
      </c>
      <c r="AJ114" s="14" t="n">
        <v>16.69175</v>
      </c>
      <c r="AK114" s="14" t="n">
        <v>0</v>
      </c>
      <c r="AL114" s="14" t="n">
        <v>-37200.0960732068</v>
      </c>
      <c r="AM114" s="14" t="n">
        <v>812.6073</v>
      </c>
      <c r="AN114" s="14" t="n">
        <v>20079.98904</v>
      </c>
      <c r="AO114" s="14" t="n">
        <v>0</v>
      </c>
      <c r="AP114" s="14" t="n">
        <v>0.516474502037109</v>
      </c>
      <c r="AQ114" s="14" t="n">
        <v>18.8599581067139</v>
      </c>
      <c r="AR114" s="14" t="n">
        <v>327.195752</v>
      </c>
      <c r="AS114" s="14" t="n">
        <v>314.925245</v>
      </c>
      <c r="AT114" s="14" t="n">
        <v>-4956.48323642636</v>
      </c>
      <c r="AU114" s="14" t="n">
        <v>12.270507</v>
      </c>
      <c r="AV114" s="14" t="n">
        <v>0</v>
      </c>
      <c r="AW114" s="14" t="n">
        <v>2254.3125</v>
      </c>
      <c r="AX114" s="14" t="n">
        <v>314.925245</v>
      </c>
      <c r="AY114" s="14" t="n">
        <v>314.925245</v>
      </c>
      <c r="AZ114" s="14" t="n">
        <v>5568.83612056339</v>
      </c>
      <c r="BA114" s="14" t="n">
        <v>16.5523136016134</v>
      </c>
      <c r="BB114" s="14" t="n">
        <v>25.2096062235498</v>
      </c>
      <c r="BC114" s="14" t="n">
        <v>39.4374614323522</v>
      </c>
      <c r="BD114" s="14" t="n">
        <v>-5.08067650538881</v>
      </c>
      <c r="BE114" s="14" t="n">
        <v>-3.389032187156</v>
      </c>
      <c r="BF114" s="14" t="n">
        <v>5.28542761383372</v>
      </c>
      <c r="BG114" s="14" t="n">
        <v>6.97707193206652</v>
      </c>
      <c r="BH114" s="14" t="n">
        <v>10.9956654944829</v>
      </c>
      <c r="BI114" s="14" t="n">
        <v>14.5375344778911</v>
      </c>
      <c r="BJ114" s="14" t="n">
        <v>3.71992671744367</v>
      </c>
      <c r="BK114" s="14" t="n">
        <v>4.46573109600205</v>
      </c>
      <c r="BL114" s="14" t="n">
        <v>6.42123287671233</v>
      </c>
      <c r="BM114" s="14" t="n">
        <v>8712.70308277889</v>
      </c>
      <c r="BN114" s="14" t="n">
        <v>7473.09859446594</v>
      </c>
      <c r="BO114" s="14" t="n">
        <v>7473.09859446594</v>
      </c>
      <c r="BP114" s="14" t="n">
        <v>327.195752</v>
      </c>
      <c r="BQ114" s="14" t="n">
        <v>301.7195</v>
      </c>
      <c r="BR114" s="14" t="n">
        <v>1081.9108</v>
      </c>
      <c r="BS114" s="14" t="s">
        <v>2855</v>
      </c>
      <c r="BT114" s="14" t="n">
        <v>37.9555555555556</v>
      </c>
      <c r="BU114" s="14" t="n">
        <v>0.202495480090107</v>
      </c>
      <c r="BV114" s="14" t="n">
        <v>0.204285232461873</v>
      </c>
      <c r="BW114" s="14" t="n">
        <v>13510.8578038903</v>
      </c>
      <c r="BX114" s="14" t="n">
        <v>27107.0656988521</v>
      </c>
      <c r="BY114" s="14" t="n">
        <v>98.1216364538248</v>
      </c>
      <c r="BZ114" s="14" t="n">
        <v>0</v>
      </c>
      <c r="CA114" s="14" t="n">
        <v>950.69728</v>
      </c>
      <c r="CB114" s="14" t="n">
        <v>12000</v>
      </c>
    </row>
    <row r="115" customFormat="false" ht="15" hidden="false" customHeight="false" outlineLevel="0" collapsed="false">
      <c r="A115" s="0" t="s">
        <v>2951</v>
      </c>
      <c r="B115" s="14" t="n">
        <v>2467.28351220931</v>
      </c>
      <c r="C115" s="14" t="n">
        <v>7502.90260469574</v>
      </c>
      <c r="D115" s="14" t="n">
        <v>20176.1774630422</v>
      </c>
      <c r="E115" s="14" t="n">
        <v>3711.64415557009</v>
      </c>
      <c r="F115" s="14" t="n">
        <v>-1608.68600841358</v>
      </c>
      <c r="G115" s="14" t="n">
        <v>5020.21405979584</v>
      </c>
      <c r="H115" s="14" t="n">
        <v>7809.57977262759</v>
      </c>
      <c r="I115" s="15" t="n">
        <v>0.01</v>
      </c>
      <c r="J115" s="15" t="n">
        <v>2.1329632891037</v>
      </c>
      <c r="K115" s="14" t="s">
        <v>60</v>
      </c>
      <c r="L115" s="14" t="n">
        <v>-4956.92124202716</v>
      </c>
      <c r="M115" s="14" t="n">
        <v>33802.8201695939</v>
      </c>
      <c r="N115" s="14" t="n">
        <v>11751.8334149335</v>
      </c>
      <c r="O115" s="14" t="n">
        <v>-19027.6056646879</v>
      </c>
      <c r="P115" s="14" t="n">
        <v>952.635254222107</v>
      </c>
      <c r="Q115" s="14" t="n">
        <v>58.19282321336</v>
      </c>
      <c r="R115" s="14" t="n">
        <v>17617.7611327442</v>
      </c>
      <c r="S115" s="14" t="n">
        <v>26970.7304992608</v>
      </c>
      <c r="T115" s="14" t="n">
        <v>-954.436690904002</v>
      </c>
      <c r="U115" s="14" t="n">
        <v>-1409.76027640948</v>
      </c>
      <c r="V115" s="14" t="n">
        <v>0.78095863925672</v>
      </c>
      <c r="W115" s="14" t="n">
        <v>53427.7363700594</v>
      </c>
      <c r="X115" s="14" t="n">
        <v>22173.3087989722</v>
      </c>
      <c r="Y115" s="14" t="n">
        <v>2.00652307755597</v>
      </c>
      <c r="Z115" s="14" t="n">
        <v>2.72358082385651</v>
      </c>
      <c r="AA115" s="14" t="n">
        <v>28.5442131995683</v>
      </c>
      <c r="AB115" s="14" t="n">
        <v>26.3442131995683</v>
      </c>
      <c r="AC115" s="14" t="n">
        <v>27.7942131995683</v>
      </c>
      <c r="AD115" s="14" t="n">
        <v>21.9219557372685</v>
      </c>
      <c r="AE115" s="14" t="n">
        <v>675.435823310406</v>
      </c>
      <c r="AF115" s="14" t="n">
        <v>0.03</v>
      </c>
      <c r="AG115" s="14" t="n">
        <v>0.664047969545822</v>
      </c>
      <c r="AH115" s="14" t="n">
        <v>9821.22140962788</v>
      </c>
      <c r="AI115" s="14" t="n">
        <v>20176.1774630422</v>
      </c>
      <c r="AJ115" s="14" t="n">
        <v>16.69175</v>
      </c>
      <c r="AK115" s="14" t="n">
        <v>0</v>
      </c>
      <c r="AL115" s="14" t="n">
        <v>-37206.2157338638</v>
      </c>
      <c r="AM115" s="14" t="n">
        <v>812.6073</v>
      </c>
      <c r="AN115" s="14" t="n">
        <v>20079.98904</v>
      </c>
      <c r="AO115" s="14" t="n">
        <v>-5508.72242389994</v>
      </c>
      <c r="AP115" s="14" t="n">
        <v>0.515339277534976</v>
      </c>
      <c r="AQ115" s="14" t="n">
        <v>1.88757813195018</v>
      </c>
      <c r="AR115" s="14" t="n">
        <v>327.195752</v>
      </c>
      <c r="AS115" s="14" t="n">
        <v>314.925245</v>
      </c>
      <c r="AT115" s="14" t="n">
        <v>-4956.92124202716</v>
      </c>
      <c r="AU115" s="14" t="n">
        <v>12.270507</v>
      </c>
      <c r="AV115" s="14" t="n">
        <v>0</v>
      </c>
      <c r="AW115" s="14" t="n">
        <v>2254.3125</v>
      </c>
      <c r="AX115" s="14" t="n">
        <v>314.925245</v>
      </c>
      <c r="AY115" s="14" t="n">
        <v>314.925245</v>
      </c>
      <c r="AZ115" s="14" t="n">
        <v>5568.80190159768</v>
      </c>
      <c r="BA115" s="14" t="n">
        <v>16.5536089447533</v>
      </c>
      <c r="BB115" s="14" t="n">
        <v>25.2109015666896</v>
      </c>
      <c r="BC115" s="14" t="n">
        <v>39.4387567754921</v>
      </c>
      <c r="BD115" s="14" t="n">
        <v>-5.08067650538881</v>
      </c>
      <c r="BE115" s="14" t="n">
        <v>-3.389032187156</v>
      </c>
      <c r="BF115" s="14" t="n">
        <v>5.28542761383372</v>
      </c>
      <c r="BG115" s="14" t="n">
        <v>6.97707193206652</v>
      </c>
      <c r="BH115" s="14" t="n">
        <v>10.9956654944829</v>
      </c>
      <c r="BI115" s="14" t="n">
        <v>14.5375344778911</v>
      </c>
      <c r="BJ115" s="14" t="n">
        <v>3.71992671744367</v>
      </c>
      <c r="BK115" s="14" t="n">
        <v>4.46573109600205</v>
      </c>
      <c r="BL115" s="14" t="n">
        <v>6.42123287671233</v>
      </c>
      <c r="BM115" s="14" t="n">
        <v>8712.70308277889</v>
      </c>
      <c r="BN115" s="14" t="n">
        <v>7470.53586766551</v>
      </c>
      <c r="BO115" s="14" t="n">
        <v>7470.53586766551</v>
      </c>
      <c r="BP115" s="14" t="n">
        <v>327.195752</v>
      </c>
      <c r="BQ115" s="14" t="n">
        <v>301.7195</v>
      </c>
      <c r="BR115" s="14" t="n">
        <v>1081.9108</v>
      </c>
      <c r="BS115" s="14" t="s">
        <v>2855</v>
      </c>
      <c r="BT115" s="14" t="n">
        <v>37.9555555555556</v>
      </c>
      <c r="BU115" s="14" t="n">
        <v>0.202495480090107</v>
      </c>
      <c r="BV115" s="14" t="n">
        <v>0.204285232461873</v>
      </c>
      <c r="BW115" s="14" t="n">
        <v>13510.8578038903</v>
      </c>
      <c r="BX115" s="14" t="n">
        <v>27107.0656988521</v>
      </c>
      <c r="BY115" s="14" t="n">
        <v>98.1350073121182</v>
      </c>
      <c r="BZ115" s="14" t="n">
        <v>0</v>
      </c>
      <c r="CA115" s="14" t="n">
        <v>950.69728</v>
      </c>
      <c r="CB115" s="14" t="n">
        <v>12000</v>
      </c>
    </row>
    <row r="116" customFormat="false" ht="15" hidden="false" customHeight="false" outlineLevel="0" collapsed="false">
      <c r="A116" s="0" t="s">
        <v>2952</v>
      </c>
      <c r="B116" s="14" t="n">
        <v>2465.07954157611</v>
      </c>
      <c r="C116" s="14" t="n">
        <v>7505.46533149617</v>
      </c>
      <c r="D116" s="14" t="n">
        <v>20180.6645744977</v>
      </c>
      <c r="E116" s="14" t="n">
        <v>3713.46369159839</v>
      </c>
      <c r="F116" s="14" t="n">
        <v>-1606.96308130411</v>
      </c>
      <c r="G116" s="14" t="n">
        <v>5020.20815964266</v>
      </c>
      <c r="H116" s="14" t="n">
        <v>7854.59013302158</v>
      </c>
      <c r="I116" s="15" t="n">
        <v>0.01</v>
      </c>
      <c r="J116" s="15" t="n">
        <v>2.28688359991828</v>
      </c>
      <c r="K116" s="14" t="s">
        <v>60</v>
      </c>
      <c r="L116" s="14" t="n">
        <v>-5210.65624805933</v>
      </c>
      <c r="M116" s="14" t="n">
        <v>33802.8714241299</v>
      </c>
      <c r="N116" s="14" t="n">
        <v>11755.2436196396</v>
      </c>
      <c r="O116" s="14" t="n">
        <v>-19278.020208243</v>
      </c>
      <c r="P116" s="14" t="n">
        <v>951.290832135856</v>
      </c>
      <c r="Q116" s="14" t="n">
        <v>61.4155828462322</v>
      </c>
      <c r="R116" s="14" t="n">
        <v>17617.7170533315</v>
      </c>
      <c r="S116" s="14" t="n">
        <v>26970.82024149</v>
      </c>
      <c r="T116" s="14" t="n">
        <v>-955.692204749296</v>
      </c>
      <c r="U116" s="14" t="n">
        <v>-1365.19207123687</v>
      </c>
      <c r="V116" s="14" t="n">
        <v>0.750319556751226</v>
      </c>
      <c r="W116" s="14" t="n">
        <v>53464.5708424573</v>
      </c>
      <c r="X116" s="14" t="n">
        <v>22173.3734272866</v>
      </c>
      <c r="Y116" s="14" t="n">
        <v>2.15131912600733</v>
      </c>
      <c r="Z116" s="14" t="n">
        <v>2.92012166873565</v>
      </c>
      <c r="AA116" s="14" t="n">
        <v>27.424347870838</v>
      </c>
      <c r="AB116" s="14" t="n">
        <v>25.224347870838</v>
      </c>
      <c r="AC116" s="14" t="n">
        <v>26.674347870838</v>
      </c>
      <c r="AD116" s="14" t="n">
        <v>21.0618991648036</v>
      </c>
      <c r="AE116" s="14" t="n">
        <v>674.686407680941</v>
      </c>
      <c r="AF116" s="14" t="n">
        <v>0.03</v>
      </c>
      <c r="AG116" s="14" t="n">
        <v>0.664073049535931</v>
      </c>
      <c r="AH116" s="14" t="n">
        <v>9736.58386476278</v>
      </c>
      <c r="AI116" s="14" t="n">
        <v>20180.6645744977</v>
      </c>
      <c r="AJ116" s="14" t="n">
        <v>16.69175</v>
      </c>
      <c r="AK116" s="14" t="n">
        <v>0</v>
      </c>
      <c r="AL116" s="14" t="n">
        <v>-37453.0549003592</v>
      </c>
      <c r="AM116" s="14" t="n">
        <v>812.6073</v>
      </c>
      <c r="AN116" s="14" t="n">
        <v>20079.98904</v>
      </c>
      <c r="AO116" s="14" t="n">
        <v>-5508.72242389994</v>
      </c>
      <c r="AP116" s="14" t="n">
        <v>0.516474502037109</v>
      </c>
      <c r="AQ116" s="14" t="n">
        <v>2.02379079638786</v>
      </c>
      <c r="AR116" s="14" t="n">
        <v>327.195752</v>
      </c>
      <c r="AS116" s="14" t="n">
        <v>314.925245</v>
      </c>
      <c r="AT116" s="14" t="n">
        <v>-5210.65624805933</v>
      </c>
      <c r="AU116" s="14" t="n">
        <v>12.270507</v>
      </c>
      <c r="AV116" s="14" t="n">
        <v>0</v>
      </c>
      <c r="AW116" s="14" t="n">
        <v>2254.3125</v>
      </c>
      <c r="AX116" s="14" t="n">
        <v>314.925245</v>
      </c>
      <c r="AY116" s="14" t="n">
        <v>314.925245</v>
      </c>
      <c r="AZ116" s="14" t="n">
        <v>5568.83612056339</v>
      </c>
      <c r="BA116" s="14" t="n">
        <v>16.5523136016134</v>
      </c>
      <c r="BB116" s="14" t="n">
        <v>25.2096062235498</v>
      </c>
      <c r="BC116" s="14" t="n">
        <v>39.4374614323522</v>
      </c>
      <c r="BD116" s="14" t="n">
        <v>-5.08067650538881</v>
      </c>
      <c r="BE116" s="14" t="n">
        <v>-3.389032187156</v>
      </c>
      <c r="BF116" s="14" t="n">
        <v>5.28542761383372</v>
      </c>
      <c r="BG116" s="14" t="n">
        <v>6.97707193206652</v>
      </c>
      <c r="BH116" s="14" t="n">
        <v>10.9956654944829</v>
      </c>
      <c r="BI116" s="14" t="n">
        <v>14.5375344778911</v>
      </c>
      <c r="BJ116" s="14" t="n">
        <v>3.71992671744367</v>
      </c>
      <c r="BK116" s="14" t="n">
        <v>4.46573109600205</v>
      </c>
      <c r="BL116" s="14" t="n">
        <v>6.42123287671233</v>
      </c>
      <c r="BM116" s="14" t="n">
        <v>8712.70308277889</v>
      </c>
      <c r="BN116" s="14" t="n">
        <v>7473.09859446594</v>
      </c>
      <c r="BO116" s="14" t="n">
        <v>7473.09859446594</v>
      </c>
      <c r="BP116" s="14" t="n">
        <v>327.195752</v>
      </c>
      <c r="BQ116" s="14" t="n">
        <v>301.7195</v>
      </c>
      <c r="BR116" s="14" t="n">
        <v>1081.9108</v>
      </c>
      <c r="BS116" s="14" t="s">
        <v>2855</v>
      </c>
      <c r="BT116" s="14" t="n">
        <v>37.9555555555556</v>
      </c>
      <c r="BU116" s="14" t="n">
        <v>0.202495480090107</v>
      </c>
      <c r="BV116" s="14" t="n">
        <v>0.204285232461873</v>
      </c>
      <c r="BW116" s="14" t="n">
        <v>13510.8578038903</v>
      </c>
      <c r="BX116" s="14" t="n">
        <v>27107.0656988521</v>
      </c>
      <c r="BY116" s="14" t="n">
        <v>98.698100419395</v>
      </c>
      <c r="BZ116" s="14" t="n">
        <v>0</v>
      </c>
      <c r="CA116" s="14" t="n">
        <v>950.69728</v>
      </c>
      <c r="CB116" s="14" t="n">
        <v>12000</v>
      </c>
    </row>
    <row r="117" customFormat="false" ht="15" hidden="false" customHeight="false" outlineLevel="0" collapsed="false">
      <c r="A117" s="0" t="s">
        <v>2953</v>
      </c>
      <c r="B117" s="14" t="n">
        <v>2465.07954157611</v>
      </c>
      <c r="C117" s="14" t="n">
        <v>7505.46533149617</v>
      </c>
      <c r="D117" s="14" t="n">
        <v>20180.6645744977</v>
      </c>
      <c r="E117" s="14" t="n">
        <v>3713.46369159839</v>
      </c>
      <c r="F117" s="14" t="n">
        <v>-1606.96308130411</v>
      </c>
      <c r="G117" s="14" t="n">
        <v>5020.20815964266</v>
      </c>
      <c r="H117" s="14" t="n">
        <v>7854.59013302158</v>
      </c>
      <c r="I117" s="15" t="n">
        <v>0.01</v>
      </c>
      <c r="J117" s="15" t="n">
        <v>2.28688359991828</v>
      </c>
      <c r="K117" s="14" t="s">
        <v>60</v>
      </c>
      <c r="L117" s="14" t="n">
        <v>-5462.85012826766</v>
      </c>
      <c r="M117" s="14" t="n">
        <v>33802.8714241299</v>
      </c>
      <c r="N117" s="14" t="n">
        <v>11755.2436196396</v>
      </c>
      <c r="O117" s="14" t="n">
        <v>-19530.2140884513</v>
      </c>
      <c r="P117" s="14" t="n">
        <v>951.290832135856</v>
      </c>
      <c r="Q117" s="14" t="n">
        <v>61.4155828462322</v>
      </c>
      <c r="R117" s="14" t="n">
        <v>17617.7170533315</v>
      </c>
      <c r="S117" s="14" t="n">
        <v>26970.82024149</v>
      </c>
      <c r="T117" s="14" t="n">
        <v>-955.692204749296</v>
      </c>
      <c r="U117" s="14" t="n">
        <v>-1365.19207123687</v>
      </c>
      <c r="V117" s="14" t="n">
        <v>0.750319556751226</v>
      </c>
      <c r="W117" s="14" t="n">
        <v>53464.5708424573</v>
      </c>
      <c r="X117" s="14" t="n">
        <v>22173.3734272866</v>
      </c>
      <c r="Y117" s="14" t="n">
        <v>2.15131912600733</v>
      </c>
      <c r="Z117" s="14" t="n">
        <v>2.92012166873565</v>
      </c>
      <c r="AA117" s="14" t="n">
        <v>27.424347870838</v>
      </c>
      <c r="AB117" s="14" t="n">
        <v>25.224347870838</v>
      </c>
      <c r="AC117" s="14" t="n">
        <v>26.674347870838</v>
      </c>
      <c r="AD117" s="14" t="n">
        <v>21.0618991648036</v>
      </c>
      <c r="AE117" s="14" t="n">
        <v>674.686407680941</v>
      </c>
      <c r="AF117" s="14" t="n">
        <v>0.03</v>
      </c>
      <c r="AG117" s="14" t="n">
        <v>0.664073049535931</v>
      </c>
      <c r="AH117" s="14" t="n">
        <v>9653.25053142945</v>
      </c>
      <c r="AI117" s="14" t="n">
        <v>20180.6645744977</v>
      </c>
      <c r="AJ117" s="14" t="n">
        <v>16.69175</v>
      </c>
      <c r="AK117" s="14" t="n">
        <v>0</v>
      </c>
      <c r="AL117" s="14" t="n">
        <v>-37704.034596087</v>
      </c>
      <c r="AM117" s="14" t="n">
        <v>812.6073</v>
      </c>
      <c r="AN117" s="14" t="n">
        <v>20079.98904</v>
      </c>
      <c r="AO117" s="14" t="n">
        <v>-5508.72242389994</v>
      </c>
      <c r="AP117" s="14" t="n">
        <v>0.516474502037109</v>
      </c>
      <c r="AQ117" s="14" t="n">
        <v>2.02379079638786</v>
      </c>
      <c r="AR117" s="14" t="n">
        <v>327.195752</v>
      </c>
      <c r="AS117" s="14" t="n">
        <v>314.925245</v>
      </c>
      <c r="AT117" s="14" t="n">
        <v>-5462.85012826766</v>
      </c>
      <c r="AU117" s="14" t="n">
        <v>12.270507</v>
      </c>
      <c r="AV117" s="14" t="n">
        <v>0</v>
      </c>
      <c r="AW117" s="14" t="n">
        <v>2254.3125</v>
      </c>
      <c r="AX117" s="14" t="n">
        <v>314.925245</v>
      </c>
      <c r="AY117" s="14" t="n">
        <v>314.925245</v>
      </c>
      <c r="AZ117" s="14" t="n">
        <v>5568.83612056339</v>
      </c>
      <c r="BA117" s="14" t="n">
        <v>16.5523136016134</v>
      </c>
      <c r="BB117" s="14" t="n">
        <v>25.2096062235498</v>
      </c>
      <c r="BC117" s="14" t="n">
        <v>39.4374614323522</v>
      </c>
      <c r="BD117" s="14" t="n">
        <v>-5.08067650538881</v>
      </c>
      <c r="BE117" s="14" t="n">
        <v>-3.389032187156</v>
      </c>
      <c r="BF117" s="14" t="n">
        <v>5.28542761383372</v>
      </c>
      <c r="BG117" s="14" t="n">
        <v>6.97707193206652</v>
      </c>
      <c r="BH117" s="14" t="n">
        <v>10.9956654944829</v>
      </c>
      <c r="BI117" s="14" t="n">
        <v>14.5375344778911</v>
      </c>
      <c r="BJ117" s="14" t="n">
        <v>3.71992671744367</v>
      </c>
      <c r="BK117" s="14" t="n">
        <v>4.46573109600205</v>
      </c>
      <c r="BL117" s="14" t="n">
        <v>6.42123287671233</v>
      </c>
      <c r="BM117" s="14" t="n">
        <v>8712.70308277889</v>
      </c>
      <c r="BN117" s="14" t="n">
        <v>7473.09859446594</v>
      </c>
      <c r="BO117" s="14" t="n">
        <v>7473.09859446594</v>
      </c>
      <c r="BP117" s="14" t="n">
        <v>327.195752</v>
      </c>
      <c r="BQ117" s="14" t="n">
        <v>301.7195</v>
      </c>
      <c r="BR117" s="14" t="n">
        <v>1081.9108</v>
      </c>
      <c r="BS117" s="14" t="s">
        <v>2855</v>
      </c>
      <c r="BT117" s="14" t="n">
        <v>37.9555555555556</v>
      </c>
      <c r="BU117" s="14" t="n">
        <v>0.202495480090107</v>
      </c>
      <c r="BV117" s="14" t="n">
        <v>0.204285232461873</v>
      </c>
      <c r="BW117" s="14" t="n">
        <v>13510.8578038903</v>
      </c>
      <c r="BX117" s="14" t="n">
        <v>27107.0656988521</v>
      </c>
      <c r="BY117" s="14" t="n">
        <v>99.2745643849652</v>
      </c>
      <c r="BZ117" s="14" t="n">
        <v>0</v>
      </c>
      <c r="CA117" s="14" t="n">
        <v>950.69728</v>
      </c>
      <c r="CB117" s="14" t="n">
        <v>12000</v>
      </c>
    </row>
    <row r="118" customFormat="false" ht="15" hidden="false" customHeight="false" outlineLevel="0" collapsed="false">
      <c r="A118" s="0" t="s">
        <v>2954</v>
      </c>
      <c r="B118" s="14" t="n">
        <v>2465.07954157611</v>
      </c>
      <c r="C118" s="14" t="n">
        <v>7505.46533149617</v>
      </c>
      <c r="D118" s="14" t="n">
        <v>20180.6645744977</v>
      </c>
      <c r="E118" s="14" t="n">
        <v>3713.46369159839</v>
      </c>
      <c r="F118" s="14" t="n">
        <v>-1606.96308130411</v>
      </c>
      <c r="G118" s="14" t="n">
        <v>5020.20815964266</v>
      </c>
      <c r="H118" s="14" t="n">
        <v>7854.59013302158</v>
      </c>
      <c r="I118" s="15" t="n">
        <v>0.01</v>
      </c>
      <c r="J118" s="15" t="n">
        <v>2.28688359991828</v>
      </c>
      <c r="K118" s="14" t="s">
        <v>60</v>
      </c>
      <c r="L118" s="14" t="n">
        <v>-5089.9256828912</v>
      </c>
      <c r="M118" s="14" t="n">
        <v>33802.8714241299</v>
      </c>
      <c r="N118" s="14" t="n">
        <v>11755.2436196396</v>
      </c>
      <c r="O118" s="14" t="n">
        <v>-19157.2896430749</v>
      </c>
      <c r="P118" s="14" t="n">
        <v>951.290832135856</v>
      </c>
      <c r="Q118" s="14" t="n">
        <v>61.4155828462322</v>
      </c>
      <c r="R118" s="14" t="n">
        <v>17617.7170533315</v>
      </c>
      <c r="S118" s="14" t="n">
        <v>26970.82024149</v>
      </c>
      <c r="T118" s="14" t="n">
        <v>-955.692204749296</v>
      </c>
      <c r="U118" s="14" t="n">
        <v>-1365.19207123687</v>
      </c>
      <c r="V118" s="14" t="n">
        <v>0.750319556751226</v>
      </c>
      <c r="W118" s="14" t="n">
        <v>53464.5708424573</v>
      </c>
      <c r="X118" s="14" t="n">
        <v>22173.3734272866</v>
      </c>
      <c r="Y118" s="14" t="n">
        <v>2.15131912600733</v>
      </c>
      <c r="Z118" s="14" t="n">
        <v>2.92012166873565</v>
      </c>
      <c r="AA118" s="14" t="n">
        <v>27.424347870838</v>
      </c>
      <c r="AB118" s="14" t="n">
        <v>25.224347870838</v>
      </c>
      <c r="AC118" s="14" t="n">
        <v>26.674347870838</v>
      </c>
      <c r="AD118" s="14" t="n">
        <v>21.0618991648036</v>
      </c>
      <c r="AE118" s="14" t="n">
        <v>674.686407680941</v>
      </c>
      <c r="AF118" s="14" t="n">
        <v>0.03</v>
      </c>
      <c r="AG118" s="14" t="n">
        <v>0.664073049535931</v>
      </c>
      <c r="AH118" s="14" t="n">
        <v>9689.91719809611</v>
      </c>
      <c r="AI118" s="14" t="n">
        <v>20180.6645744977</v>
      </c>
      <c r="AJ118" s="14" t="n">
        <v>16.69175</v>
      </c>
      <c r="AK118" s="14" t="n">
        <v>0</v>
      </c>
      <c r="AL118" s="14" t="n">
        <v>-37332.9016353152</v>
      </c>
      <c r="AM118" s="14" t="n">
        <v>812.6073</v>
      </c>
      <c r="AN118" s="14" t="n">
        <v>20079.98904</v>
      </c>
      <c r="AO118" s="14" t="n">
        <v>-5508.72242389994</v>
      </c>
      <c r="AP118" s="14" t="n">
        <v>0.516474502037109</v>
      </c>
      <c r="AQ118" s="14" t="n">
        <v>2.02379079638786</v>
      </c>
      <c r="AR118" s="14" t="n">
        <v>327.195752</v>
      </c>
      <c r="AS118" s="14" t="n">
        <v>314.925245</v>
      </c>
      <c r="AT118" s="14" t="n">
        <v>-5089.9256828912</v>
      </c>
      <c r="AU118" s="14" t="n">
        <v>12.270507</v>
      </c>
      <c r="AV118" s="14" t="n">
        <v>0</v>
      </c>
      <c r="AW118" s="14" t="n">
        <v>2254.3125</v>
      </c>
      <c r="AX118" s="14" t="n">
        <v>314.925245</v>
      </c>
      <c r="AY118" s="14" t="n">
        <v>314.925245</v>
      </c>
      <c r="AZ118" s="14" t="n">
        <v>5568.83612056339</v>
      </c>
      <c r="BA118" s="14" t="n">
        <v>16.5523136016134</v>
      </c>
      <c r="BB118" s="14" t="n">
        <v>25.2096062235498</v>
      </c>
      <c r="BC118" s="14" t="n">
        <v>39.4374614323522</v>
      </c>
      <c r="BD118" s="14" t="n">
        <v>-5.08067650538881</v>
      </c>
      <c r="BE118" s="14" t="n">
        <v>-3.389032187156</v>
      </c>
      <c r="BF118" s="14" t="n">
        <v>5.28542761383372</v>
      </c>
      <c r="BG118" s="14" t="n">
        <v>6.97707193206652</v>
      </c>
      <c r="BH118" s="14" t="n">
        <v>10.9956654944829</v>
      </c>
      <c r="BI118" s="14" t="n">
        <v>14.5375344778911</v>
      </c>
      <c r="BJ118" s="14" t="n">
        <v>3.71992671744367</v>
      </c>
      <c r="BK118" s="14" t="n">
        <v>4.46573109600205</v>
      </c>
      <c r="BL118" s="14" t="n">
        <v>6.42123287671233</v>
      </c>
      <c r="BM118" s="14" t="n">
        <v>8712.70308277889</v>
      </c>
      <c r="BN118" s="14" t="n">
        <v>7473.09859446594</v>
      </c>
      <c r="BO118" s="14" t="n">
        <v>7473.09859446594</v>
      </c>
      <c r="BP118" s="14" t="n">
        <v>327.195752</v>
      </c>
      <c r="BQ118" s="14" t="n">
        <v>301.7195</v>
      </c>
      <c r="BR118" s="14" t="n">
        <v>1081.9108</v>
      </c>
      <c r="BS118" s="14" t="s">
        <v>2855</v>
      </c>
      <c r="BT118" s="14" t="n">
        <v>37.9555555555556</v>
      </c>
      <c r="BU118" s="14" t="n">
        <v>0.202495480090107</v>
      </c>
      <c r="BV118" s="14" t="n">
        <v>0.204285232461873</v>
      </c>
      <c r="BW118" s="14" t="n">
        <v>13510.8578038903</v>
      </c>
      <c r="BX118" s="14" t="n">
        <v>27107.0656988521</v>
      </c>
      <c r="BY118" s="14" t="n">
        <v>98.424012977001</v>
      </c>
      <c r="BZ118" s="14" t="n">
        <v>0</v>
      </c>
      <c r="CA118" s="14" t="n">
        <v>950.69728</v>
      </c>
      <c r="CB118" s="14" t="n">
        <v>12000</v>
      </c>
    </row>
    <row r="119" customFormat="false" ht="15" hidden="false" customHeight="false" outlineLevel="0" collapsed="false">
      <c r="A119" s="0" t="s">
        <v>2955</v>
      </c>
      <c r="B119" s="14" t="n">
        <v>2161.09062763565</v>
      </c>
      <c r="C119" s="14" t="n">
        <v>3835.54290963949</v>
      </c>
      <c r="D119" s="14" t="n">
        <v>10619.4214142073</v>
      </c>
      <c r="E119" s="14" t="n">
        <v>1529.29936141168</v>
      </c>
      <c r="F119" s="14" t="n">
        <v>-4222.71417078393</v>
      </c>
      <c r="G119" s="14" t="n">
        <v>5598.59181581002</v>
      </c>
      <c r="H119" s="14" t="n">
        <v>-32544.325779478</v>
      </c>
      <c r="I119" s="15" t="n">
        <v>0.01</v>
      </c>
      <c r="J119" s="15" t="n">
        <v>0</v>
      </c>
      <c r="K119" s="14" t="s">
        <v>83</v>
      </c>
      <c r="L119" s="14" t="n">
        <v>3855.65032121054</v>
      </c>
      <c r="M119" s="14" t="n">
        <v>23405.4934154428</v>
      </c>
      <c r="N119" s="14" t="n">
        <v>5028.04872542604</v>
      </c>
      <c r="O119" s="14" t="n">
        <v>-17277.2484396703</v>
      </c>
      <c r="P119" s="14" t="n">
        <v>747.002337313713</v>
      </c>
      <c r="Q119" s="14" t="n">
        <v>-6488.75629700217</v>
      </c>
      <c r="R119" s="14" t="n">
        <v>10749.8273603027</v>
      </c>
      <c r="S119" s="14" t="n">
        <v>27577.7354682841</v>
      </c>
      <c r="T119" s="14" t="n">
        <v>-1436.17830391911</v>
      </c>
      <c r="U119" s="14" t="n">
        <v>-41766.6721901668</v>
      </c>
      <c r="V119" s="14" t="n">
        <v>0.750319556751226</v>
      </c>
      <c r="W119" s="14" t="n">
        <v>18287.1544366187</v>
      </c>
      <c r="X119" s="14" t="n">
        <v>14265.3047444492</v>
      </c>
      <c r="Y119" s="14" t="n">
        <v>0</v>
      </c>
      <c r="Z119" s="14" t="n">
        <v>0</v>
      </c>
      <c r="AA119" s="14" t="n">
        <v>22.27279275</v>
      </c>
      <c r="AB119" s="14" t="n">
        <v>20.07279275</v>
      </c>
      <c r="AC119" s="14" t="n">
        <v>21.52279275</v>
      </c>
      <c r="AD119" s="14" t="n">
        <v>17.105504832</v>
      </c>
      <c r="AE119" s="14" t="n">
        <v>594.149368983825</v>
      </c>
      <c r="AF119" s="14" t="n">
        <v>0.02</v>
      </c>
      <c r="AG119" s="14" t="n">
        <v>0.584180714762362</v>
      </c>
      <c r="AH119" s="14" t="n">
        <v>22530.2399423265</v>
      </c>
      <c r="AI119" s="14" t="n">
        <v>10619.4214142073</v>
      </c>
      <c r="AJ119" s="14" t="n">
        <v>14.7365561910928</v>
      </c>
      <c r="AK119" s="14" t="n">
        <v>0</v>
      </c>
      <c r="AL119" s="14" t="n">
        <v>-43948.8994324984</v>
      </c>
      <c r="AM119" s="14" t="n">
        <v>470.44678</v>
      </c>
      <c r="AN119" s="14" t="n">
        <v>12000</v>
      </c>
      <c r="AO119" s="14" t="n">
        <v>-2079.00657489433</v>
      </c>
      <c r="AP119" s="14" t="n">
        <v>1</v>
      </c>
      <c r="AQ119" s="14" t="n">
        <v>0</v>
      </c>
      <c r="AR119" s="14" t="n">
        <v>376.701942829579</v>
      </c>
      <c r="AS119" s="14" t="n">
        <v>314.925245</v>
      </c>
      <c r="AT119" s="14" t="n">
        <v>3855.65032121054</v>
      </c>
      <c r="AU119" s="14" t="n">
        <v>61.7766978295787</v>
      </c>
      <c r="AV119" s="14" t="n">
        <v>0</v>
      </c>
      <c r="AW119" s="14" t="n">
        <v>998.76</v>
      </c>
      <c r="AX119" s="14" t="n">
        <v>314.925245</v>
      </c>
      <c r="AY119" s="14" t="n">
        <v>314.925245</v>
      </c>
      <c r="AZ119" s="14" t="n">
        <v>1498.15124874402</v>
      </c>
      <c r="BA119" s="14" t="n">
        <v>7.60512177439194</v>
      </c>
      <c r="BB119" s="14" t="n">
        <v>16.2624143963283</v>
      </c>
      <c r="BC119" s="14" t="n">
        <v>29.1371314435642</v>
      </c>
      <c r="BD119" s="14" t="n">
        <v>-10.5228208376523</v>
      </c>
      <c r="BE119" s="14" t="n">
        <v>-16.0462338006397</v>
      </c>
      <c r="BF119" s="14" t="n">
        <v>0.281691530055532</v>
      </c>
      <c r="BG119" s="14" t="n">
        <v>-5.24172143293188</v>
      </c>
      <c r="BH119" s="14" t="n">
        <v>4.7826220308265</v>
      </c>
      <c r="BI119" s="14" t="n">
        <v>-0.403691541818507</v>
      </c>
      <c r="BJ119" s="14" t="n">
        <v>3.37118358768332</v>
      </c>
      <c r="BK119" s="14" t="n">
        <v>4.04706880575186</v>
      </c>
      <c r="BL119" s="14" t="n">
        <v>5.70776255707763</v>
      </c>
      <c r="BM119" s="14" t="n">
        <v>5354.49215439957</v>
      </c>
      <c r="BN119" s="14" t="n">
        <v>3805.94290963949</v>
      </c>
      <c r="BO119" s="14" t="n">
        <v>3805.94290963949</v>
      </c>
      <c r="BP119" s="14" t="n">
        <v>376.701942829579</v>
      </c>
      <c r="BQ119" s="14" t="n">
        <v>189.4897</v>
      </c>
      <c r="BR119" s="14" t="n">
        <v>794.6073</v>
      </c>
      <c r="BS119" s="14" t="s">
        <v>2856</v>
      </c>
      <c r="BT119" s="14" t="n">
        <v>37.9555555555556</v>
      </c>
      <c r="BU119" s="14" t="n">
        <v>0.174994125827535</v>
      </c>
      <c r="BV119" s="14" t="n">
        <v>0.127439810912424</v>
      </c>
      <c r="BW119" s="14" t="n">
        <v>13510.8578038903</v>
      </c>
      <c r="BX119" s="14" t="n">
        <v>14061.88573854</v>
      </c>
      <c r="BY119" s="14" t="n">
        <v>202.243495068168</v>
      </c>
      <c r="BZ119" s="14" t="n">
        <v>1732.5375</v>
      </c>
      <c r="CA119" s="14" t="n">
        <v>1028.66496</v>
      </c>
      <c r="CB119" s="14" t="n">
        <v>12000</v>
      </c>
    </row>
    <row r="120" customFormat="false" ht="15" hidden="false" customHeight="false" outlineLevel="0" collapsed="false">
      <c r="A120" s="0" t="s">
        <v>406</v>
      </c>
      <c r="B120" s="14" t="n">
        <v>2538.63311576242</v>
      </c>
      <c r="C120" s="14" t="n">
        <v>14376.3903039499</v>
      </c>
      <c r="D120" s="14" t="n">
        <v>37234.0577876758</v>
      </c>
      <c r="E120" s="14" t="n">
        <v>8852.26722942071</v>
      </c>
      <c r="F120" s="14" t="n">
        <v>4463.21576229665</v>
      </c>
      <c r="G120" s="14" t="n">
        <v>3813.99585496607</v>
      </c>
      <c r="H120" s="14" t="n">
        <v>363040.04636384</v>
      </c>
      <c r="I120" s="15" t="n">
        <v>943.044237279562</v>
      </c>
      <c r="J120" s="15" t="n">
        <v>1056.20954575311</v>
      </c>
      <c r="K120" s="14" t="s">
        <v>58</v>
      </c>
      <c r="L120" s="14" t="n">
        <v>-8609.69394065997</v>
      </c>
      <c r="M120" s="14" t="n">
        <v>33328.3611394123</v>
      </c>
      <c r="N120" s="14" t="n">
        <v>25791.7096396382</v>
      </c>
      <c r="O120" s="14" t="n">
        <v>-10141.4169193479</v>
      </c>
      <c r="P120" s="14" t="n">
        <v>1077.29088688143</v>
      </c>
      <c r="Q120" s="14" t="n">
        <v>15502.5390753829</v>
      </c>
      <c r="R120" s="14" t="n">
        <v>20981.3466623153</v>
      </c>
      <c r="S120" s="14" t="n">
        <v>29696.7644890868</v>
      </c>
      <c r="T120" s="14" t="n">
        <v>-657.105997100427</v>
      </c>
      <c r="U120" s="14" t="n">
        <v>366980.751573791</v>
      </c>
      <c r="V120" s="14" t="n">
        <v>0.953955874711187</v>
      </c>
      <c r="W120" s="14" t="n">
        <v>346239.098263524</v>
      </c>
      <c r="X120" s="14" t="n">
        <v>22283.3325281654</v>
      </c>
      <c r="Y120" s="14" t="n">
        <v>998.024210869723</v>
      </c>
      <c r="Z120" s="14" t="n">
        <v>1324.9092541927</v>
      </c>
      <c r="AA120" s="14" t="n">
        <v>43.041696075</v>
      </c>
      <c r="AB120" s="14" t="n">
        <v>40.641696075</v>
      </c>
      <c r="AC120" s="14" t="n">
        <v>42.291696075</v>
      </c>
      <c r="AD120" s="14" t="n">
        <v>33.8688756</v>
      </c>
      <c r="AE120" s="14" t="n">
        <v>669.55407859628</v>
      </c>
      <c r="AF120" s="14" t="n">
        <v>0.035</v>
      </c>
      <c r="AG120" s="14" t="n">
        <v>0.762365543905052</v>
      </c>
      <c r="AH120" s="14" t="n">
        <v>7002.76007485839</v>
      </c>
      <c r="AI120" s="14" t="n">
        <v>37234.0577876758</v>
      </c>
      <c r="AJ120" s="14" t="n">
        <v>24.178125</v>
      </c>
      <c r="AK120" s="14" t="n">
        <v>0</v>
      </c>
      <c r="AL120" s="14" t="n">
        <v>-12270.1829714523</v>
      </c>
      <c r="AM120" s="14" t="n">
        <v>909.833333333333</v>
      </c>
      <c r="AN120" s="14" t="n">
        <v>48826.7378892783</v>
      </c>
      <c r="AO120" s="14" t="n">
        <v>0</v>
      </c>
      <c r="AP120" s="14" t="n">
        <v>0.0704725196182903</v>
      </c>
      <c r="AQ120" s="14" t="n">
        <v>943.044237279562</v>
      </c>
      <c r="AR120" s="14" t="n">
        <v>389.1447898907</v>
      </c>
      <c r="AS120" s="14" t="n">
        <v>389.1447898907</v>
      </c>
      <c r="AT120" s="14" t="n">
        <v>-8609.69394065997</v>
      </c>
      <c r="AU120" s="14" t="n">
        <v>0</v>
      </c>
      <c r="AV120" s="14" t="n">
        <v>0</v>
      </c>
      <c r="AW120" s="14" t="n">
        <v>3717.9</v>
      </c>
      <c r="AX120" s="14" t="n">
        <v>389.1447898907</v>
      </c>
      <c r="AY120" s="14" t="n">
        <v>374.703704479811</v>
      </c>
      <c r="AZ120" s="14" t="n">
        <v>9187.64314535029</v>
      </c>
      <c r="BA120" s="14" t="n">
        <v>21.941289522536</v>
      </c>
      <c r="BB120" s="14" t="n">
        <v>30.4067905972434</v>
      </c>
      <c r="BC120" s="14" t="n">
        <v>30.9624780271285</v>
      </c>
      <c r="BD120" s="14" t="n">
        <v>-5.21428960018874</v>
      </c>
      <c r="BE120" s="14" t="n">
        <v>5.772082009214</v>
      </c>
      <c r="BF120" s="14" t="n">
        <v>4.91166001825511</v>
      </c>
      <c r="BG120" s="14" t="n">
        <v>15.8980316276579</v>
      </c>
      <c r="BH120" s="14" t="n">
        <v>10.0756213870141</v>
      </c>
      <c r="BI120" s="14" t="n">
        <v>25.3639224951103</v>
      </c>
      <c r="BJ120" s="14" t="n">
        <v>5.11489923648504</v>
      </c>
      <c r="BK120" s="14" t="n">
        <v>6.14038025700283</v>
      </c>
      <c r="BL120" s="14" t="n">
        <v>7.13470319634703</v>
      </c>
      <c r="BM120" s="14" t="n">
        <v>10591.5088812079</v>
      </c>
      <c r="BN120" s="14" t="n">
        <v>14342.5607438118</v>
      </c>
      <c r="BO120" s="14" t="n">
        <v>14342.5607438118</v>
      </c>
      <c r="BP120" s="14" t="n">
        <v>389.1447898907</v>
      </c>
      <c r="BQ120" s="14" t="n">
        <v>403.833333333333</v>
      </c>
      <c r="BR120" s="14" t="n">
        <v>1231.5</v>
      </c>
      <c r="BS120" s="14" t="s">
        <v>2855</v>
      </c>
      <c r="BT120" s="14" t="n">
        <v>36.5333333333333</v>
      </c>
      <c r="BU120" s="14" t="n">
        <v>0.191939308592271</v>
      </c>
      <c r="BV120" s="14" t="n">
        <v>0.298504470289396</v>
      </c>
      <c r="BW120" s="14" t="n">
        <v>0</v>
      </c>
      <c r="BX120" s="14" t="n">
        <v>0</v>
      </c>
      <c r="BY120" s="14" t="n">
        <v>25.8046286926698</v>
      </c>
      <c r="BZ120" s="14" t="n">
        <v>0</v>
      </c>
      <c r="CA120" s="14" t="n">
        <v>0</v>
      </c>
      <c r="CB120" s="14" t="n">
        <v>34144.2775308665</v>
      </c>
    </row>
    <row r="121" customFormat="false" ht="15" hidden="false" customHeight="false" outlineLevel="0" collapsed="false">
      <c r="A121" s="0" t="s">
        <v>407</v>
      </c>
      <c r="B121" s="14" t="n">
        <v>2027.3954725164</v>
      </c>
      <c r="C121" s="14" t="n">
        <v>3424.4744413531</v>
      </c>
      <c r="D121" s="14" t="n">
        <v>8488.65871901012</v>
      </c>
      <c r="E121" s="14" t="n">
        <v>1375.17060364541</v>
      </c>
      <c r="F121" s="14" t="n">
        <v>-3850.31850020945</v>
      </c>
      <c r="G121" s="14" t="n">
        <v>5088.51012620074</v>
      </c>
      <c r="H121" s="14" t="n">
        <v>-21541.1860088107</v>
      </c>
      <c r="I121" s="15" t="n">
        <v>0.01</v>
      </c>
      <c r="J121" s="15" t="n">
        <v>0.0115</v>
      </c>
      <c r="K121" s="14" t="s">
        <v>60</v>
      </c>
      <c r="L121" s="14" t="n">
        <v>-3758.99698091081</v>
      </c>
      <c r="M121" s="14" t="n">
        <v>15940.918617716</v>
      </c>
      <c r="N121" s="14" t="n">
        <v>3986.53119203715</v>
      </c>
      <c r="O121" s="14" t="n">
        <v>-18553.8994543544</v>
      </c>
      <c r="P121" s="14" t="n">
        <v>706.029009110945</v>
      </c>
      <c r="Q121" s="14" t="n">
        <v>-5338.19879276646</v>
      </c>
      <c r="R121" s="14" t="n">
        <v>14202.2145020429</v>
      </c>
      <c r="S121" s="14" t="n">
        <v>20734.3222188246</v>
      </c>
      <c r="T121" s="14" t="n">
        <v>-1455.0465314221</v>
      </c>
      <c r="U121" s="14" t="n">
        <v>-33504.3578287244</v>
      </c>
      <c r="V121" s="14" t="n">
        <v>0.953955874711187</v>
      </c>
      <c r="W121" s="14" t="n">
        <v>10265.1505361503</v>
      </c>
      <c r="X121" s="14" t="n">
        <v>6658.88972559974</v>
      </c>
      <c r="Y121" s="14" t="n">
        <v>0.0107238052947636</v>
      </c>
      <c r="Z121" s="14" t="n">
        <v>0.01520875</v>
      </c>
      <c r="AA121" s="14" t="n">
        <v>22.27279275</v>
      </c>
      <c r="AB121" s="14" t="n">
        <v>18.89779275</v>
      </c>
      <c r="AC121" s="14" t="n">
        <v>21.52279275</v>
      </c>
      <c r="AD121" s="14" t="n">
        <v>17.526132</v>
      </c>
      <c r="AE121" s="14" t="n">
        <v>516.01034159234</v>
      </c>
      <c r="AF121" s="14" t="n">
        <v>0.02</v>
      </c>
      <c r="AG121" s="14" t="n">
        <v>0.535074431986399</v>
      </c>
      <c r="AH121" s="14" t="n">
        <v>9373.59494576528</v>
      </c>
      <c r="AI121" s="14" t="n">
        <v>8488.65871901012</v>
      </c>
      <c r="AJ121" s="14" t="n">
        <v>19.7579630539294</v>
      </c>
      <c r="AK121" s="14" t="n">
        <v>0</v>
      </c>
      <c r="AL121" s="14" t="n">
        <v>-31262.3400586268</v>
      </c>
      <c r="AM121" s="14" t="n">
        <v>396.288888888889</v>
      </c>
      <c r="AN121" s="14" t="n">
        <v>15971.1630776632</v>
      </c>
      <c r="AO121" s="14" t="n">
        <v>0</v>
      </c>
      <c r="AP121" s="14" t="n">
        <v>1</v>
      </c>
      <c r="AQ121" s="14" t="n">
        <v>0</v>
      </c>
      <c r="AR121" s="14" t="n">
        <v>314.925245</v>
      </c>
      <c r="AS121" s="14" t="n">
        <v>314.925245</v>
      </c>
      <c r="AT121" s="14" t="n">
        <v>-3758.99698091081</v>
      </c>
      <c r="AU121" s="14" t="n">
        <v>0</v>
      </c>
      <c r="AV121" s="14" t="n">
        <v>0</v>
      </c>
      <c r="AW121" s="14" t="n">
        <v>1016.4</v>
      </c>
      <c r="AX121" s="14" t="n">
        <v>314.925245</v>
      </c>
      <c r="AY121" s="14" t="n">
        <v>314.925245</v>
      </c>
      <c r="AZ121" s="14" t="n">
        <v>2059.934721839</v>
      </c>
      <c r="BA121" s="14" t="n">
        <v>0.629872978030829</v>
      </c>
      <c r="BB121" s="14" t="n">
        <v>9.09537405273826</v>
      </c>
      <c r="BC121" s="14" t="n">
        <v>9.65106148262341</v>
      </c>
      <c r="BD121" s="14" t="n">
        <v>-9.21320345060523</v>
      </c>
      <c r="BE121" s="14" t="n">
        <v>-0.211508729229019</v>
      </c>
      <c r="BF121" s="14" t="n">
        <v>1.59130891710257</v>
      </c>
      <c r="BG121" s="14" t="n">
        <v>10.5930036384788</v>
      </c>
      <c r="BH121" s="14" t="n">
        <v>6.3826220308265</v>
      </c>
      <c r="BI121" s="14" t="n">
        <v>19.0873398048789</v>
      </c>
      <c r="BJ121" s="14" t="n">
        <v>5.11489923648504</v>
      </c>
      <c r="BK121" s="14" t="n">
        <v>6.14038025700283</v>
      </c>
      <c r="BL121" s="14" t="n">
        <v>5.70776255707763</v>
      </c>
      <c r="BM121" s="14" t="n">
        <v>4841.40348396118</v>
      </c>
      <c r="BN121" s="14" t="n">
        <v>3394.8744413531</v>
      </c>
      <c r="BO121" s="14" t="n">
        <v>3394.8744413531</v>
      </c>
      <c r="BP121" s="14" t="n">
        <v>314.925245</v>
      </c>
      <c r="BQ121" s="14" t="n">
        <v>185</v>
      </c>
      <c r="BR121" s="14" t="n">
        <v>677.148148148148</v>
      </c>
      <c r="BS121" s="14" t="s">
        <v>2856</v>
      </c>
      <c r="BT121" s="14" t="n">
        <v>36.5333333333333</v>
      </c>
      <c r="BU121" s="14" t="n">
        <v>0.191939308592271</v>
      </c>
      <c r="BV121" s="14" t="n">
        <v>0.289907986180328</v>
      </c>
      <c r="BW121" s="14" t="n">
        <v>13618.5823768008</v>
      </c>
      <c r="BX121" s="14" t="n">
        <v>14142.0331459002</v>
      </c>
      <c r="BY121" s="14" t="n">
        <v>102.396359619445</v>
      </c>
      <c r="BZ121" s="14" t="n">
        <v>1513.59142496403</v>
      </c>
      <c r="CA121" s="14" t="n">
        <v>0</v>
      </c>
      <c r="CB121" s="14" t="n">
        <v>10686.7888346459</v>
      </c>
    </row>
    <row r="122" customFormat="false" ht="15" hidden="false" customHeight="false" outlineLevel="0" collapsed="false">
      <c r="A122" s="0" t="s">
        <v>2956</v>
      </c>
      <c r="B122" s="14" t="n">
        <v>2400.63703930642</v>
      </c>
      <c r="C122" s="14" t="n">
        <v>8242.01885850092</v>
      </c>
      <c r="D122" s="14" t="n">
        <v>22266.6123981889</v>
      </c>
      <c r="E122" s="14" t="n">
        <v>4575.85815565856</v>
      </c>
      <c r="F122" s="14" t="n">
        <v>-667.464083403093</v>
      </c>
      <c r="G122" s="14" t="n">
        <v>4913.64148472162</v>
      </c>
      <c r="H122" s="14" t="n">
        <v>41053.5476373834</v>
      </c>
      <c r="I122" s="15" t="n">
        <v>103.536398225274</v>
      </c>
      <c r="J122" s="15" t="n">
        <v>116.99612999456</v>
      </c>
      <c r="K122" s="14" t="s">
        <v>50</v>
      </c>
      <c r="L122" s="14" t="n">
        <v>-4456.76170039065</v>
      </c>
      <c r="M122" s="14" t="n">
        <v>27831.14037717</v>
      </c>
      <c r="N122" s="14" t="n">
        <v>14579.6260754622</v>
      </c>
      <c r="O122" s="14" t="n">
        <v>-11256.4223461636</v>
      </c>
      <c r="P122" s="14" t="n">
        <v>957.718280630184</v>
      </c>
      <c r="Q122" s="14" t="n">
        <v>4017.92473913141</v>
      </c>
      <c r="R122" s="14" t="n">
        <v>12977.3867407861</v>
      </c>
      <c r="S122" s="14" t="n">
        <v>24643.7322479638</v>
      </c>
      <c r="T122" s="14" t="n">
        <v>-1013.49841499739</v>
      </c>
      <c r="U122" s="14" t="n">
        <v>33058.7326203338</v>
      </c>
      <c r="V122" s="14" t="n">
        <v>0.919988787970092</v>
      </c>
      <c r="W122" s="14" t="n">
        <v>62513.5133271874</v>
      </c>
      <c r="X122" s="14" t="n">
        <v>26412.723695079</v>
      </c>
      <c r="Y122" s="14" t="n">
        <v>110.060701006002</v>
      </c>
      <c r="Z122" s="14" t="n">
        <v>149.392358390053</v>
      </c>
      <c r="AA122" s="14" t="n">
        <v>33.6257962777954</v>
      </c>
      <c r="AB122" s="14" t="n">
        <v>30.8132962777954</v>
      </c>
      <c r="AC122" s="14" t="n">
        <v>33.6257962777954</v>
      </c>
      <c r="AD122" s="14" t="n">
        <v>26.4596429726914</v>
      </c>
      <c r="AE122" s="14" t="n">
        <v>650.542115888531</v>
      </c>
      <c r="AF122" s="14" t="n">
        <v>0.03</v>
      </c>
      <c r="AG122" s="14" t="n">
        <v>0.740304014796917</v>
      </c>
      <c r="AH122" s="14" t="n">
        <v>11212.0647125227</v>
      </c>
      <c r="AI122" s="14" t="n">
        <v>22266.6123981889</v>
      </c>
      <c r="AJ122" s="14" t="n">
        <v>22.7952741792209</v>
      </c>
      <c r="AK122" s="14" t="n">
        <v>0</v>
      </c>
      <c r="AL122" s="14" t="n">
        <v>-17346.0587377659</v>
      </c>
      <c r="AM122" s="14" t="n">
        <v>684.5</v>
      </c>
      <c r="AN122" s="14" t="n">
        <v>47143.3709088675</v>
      </c>
      <c r="AO122" s="14" t="n">
        <v>0</v>
      </c>
      <c r="AP122" s="14" t="n">
        <v>0.534618187325917</v>
      </c>
      <c r="AQ122" s="14" t="n">
        <v>101.953544152293</v>
      </c>
      <c r="AR122" s="14" t="n">
        <v>319.206153678832</v>
      </c>
      <c r="AS122" s="14" t="n">
        <v>319.295756728998</v>
      </c>
      <c r="AT122" s="14" t="n">
        <v>-4456.76170039065</v>
      </c>
      <c r="AU122" s="14" t="n">
        <v>0</v>
      </c>
      <c r="AV122" s="14" t="n">
        <v>0</v>
      </c>
      <c r="AW122" s="14" t="n">
        <v>2275.5</v>
      </c>
      <c r="AX122" s="14" t="n">
        <v>319.295756728998</v>
      </c>
      <c r="AY122" s="14" t="n">
        <v>317.514695900489</v>
      </c>
      <c r="AZ122" s="14" t="n">
        <v>7640.96082641284</v>
      </c>
      <c r="BA122" s="14" t="n">
        <v>26.3689282393324</v>
      </c>
      <c r="BB122" s="14" t="n">
        <v>34.8344293140399</v>
      </c>
      <c r="BC122" s="14" t="n">
        <v>35.390116743925</v>
      </c>
      <c r="BD122" s="14" t="n">
        <v>-6.60619313427753</v>
      </c>
      <c r="BE122" s="14" t="n">
        <v>5.71900938114209</v>
      </c>
      <c r="BF122" s="14" t="n">
        <v>3.759910984945</v>
      </c>
      <c r="BG122" s="14" t="n">
        <v>16.0851135003646</v>
      </c>
      <c r="BH122" s="14" t="n">
        <v>8.79460973826781</v>
      </c>
      <c r="BI122" s="14" t="n">
        <v>25.9197340175705</v>
      </c>
      <c r="BJ122" s="14" t="n">
        <v>5.11489923648504</v>
      </c>
      <c r="BK122" s="14" t="n">
        <v>6.14038025700283</v>
      </c>
      <c r="BL122" s="14" t="n">
        <v>6.42123287671233</v>
      </c>
      <c r="BM122" s="14" t="n">
        <v>7672.79585778466</v>
      </c>
      <c r="BN122" s="14" t="n">
        <v>8209.65212147069</v>
      </c>
      <c r="BO122" s="14" t="n">
        <v>8209.65212147069</v>
      </c>
      <c r="BP122" s="14" t="n">
        <v>319.206153678832</v>
      </c>
      <c r="BQ122" s="14" t="n">
        <v>292.4</v>
      </c>
      <c r="BR122" s="14" t="n">
        <v>950</v>
      </c>
      <c r="BS122" s="14" t="s">
        <v>2855</v>
      </c>
      <c r="BT122" s="14" t="n">
        <v>36.5333333333333</v>
      </c>
      <c r="BU122" s="14" t="n">
        <v>0.191939308592271</v>
      </c>
      <c r="BV122" s="14" t="n">
        <v>0.316434991025855</v>
      </c>
      <c r="BW122" s="14" t="n">
        <v>13434.1777535968</v>
      </c>
      <c r="BX122" s="14" t="n">
        <v>13948.7116911521</v>
      </c>
      <c r="BY122" s="14" t="n">
        <v>42.8758946122429</v>
      </c>
      <c r="BZ122" s="14" t="n">
        <v>0</v>
      </c>
      <c r="CA122" s="14" t="n">
        <v>0</v>
      </c>
      <c r="CB122" s="14" t="n">
        <v>22068.9543558792</v>
      </c>
    </row>
    <row r="123" customFormat="false" ht="15" hidden="false" customHeight="false" outlineLevel="0" collapsed="false">
      <c r="A123" s="0" t="s">
        <v>2957</v>
      </c>
      <c r="B123" s="14" t="n">
        <v>2400.63703930642</v>
      </c>
      <c r="C123" s="14" t="n">
        <v>8242.01885850092</v>
      </c>
      <c r="D123" s="14" t="n">
        <v>22266.6123981889</v>
      </c>
      <c r="E123" s="14" t="n">
        <v>4606.04613482523</v>
      </c>
      <c r="F123" s="14" t="n">
        <v>-637.276104236427</v>
      </c>
      <c r="G123" s="14" t="n">
        <v>4913.64148472162</v>
      </c>
      <c r="H123" s="14" t="n">
        <v>46917.5718445378</v>
      </c>
      <c r="I123" s="15" t="n">
        <v>121.610574677117</v>
      </c>
      <c r="J123" s="15" t="n">
        <v>137.419949385142</v>
      </c>
      <c r="K123" s="14" t="s">
        <v>50</v>
      </c>
      <c r="L123" s="14" t="n">
        <v>-4408.08477405391</v>
      </c>
      <c r="M123" s="14" t="n">
        <v>27831.14037717</v>
      </c>
      <c r="N123" s="14" t="n">
        <v>14579.6260754622</v>
      </c>
      <c r="O123" s="14" t="n">
        <v>-11208.1898352444</v>
      </c>
      <c r="P123" s="14" t="n">
        <v>975.503588963517</v>
      </c>
      <c r="Q123" s="14" t="n">
        <v>4017.92473913141</v>
      </c>
      <c r="R123" s="14" t="n">
        <v>12977.3867407861</v>
      </c>
      <c r="S123" s="14" t="n">
        <v>24643.7322479638</v>
      </c>
      <c r="T123" s="14" t="n">
        <v>-995.713106664055</v>
      </c>
      <c r="U123" s="14" t="n">
        <v>38934.0545066548</v>
      </c>
      <c r="V123" s="14" t="n">
        <v>0.919988787970092</v>
      </c>
      <c r="W123" s="14" t="n">
        <v>66300.7424800139</v>
      </c>
      <c r="X123" s="14" t="n">
        <v>25831.053695079</v>
      </c>
      <c r="Y123" s="14" t="n">
        <v>129.273814118821</v>
      </c>
      <c r="Z123" s="14" t="n">
        <v>175.471533369888</v>
      </c>
      <c r="AA123" s="14" t="n">
        <v>33.6257962777954</v>
      </c>
      <c r="AB123" s="14" t="n">
        <v>30.8132962777954</v>
      </c>
      <c r="AC123" s="14" t="n">
        <v>33.6257962777954</v>
      </c>
      <c r="AD123" s="14" t="n">
        <v>26.4596429726914</v>
      </c>
      <c r="AE123" s="14" t="n">
        <v>650.542115888531</v>
      </c>
      <c r="AF123" s="14" t="n">
        <v>0.03</v>
      </c>
      <c r="AG123" s="14" t="n">
        <v>0.740304014796917</v>
      </c>
      <c r="AH123" s="14" t="n">
        <v>11229.9488755487</v>
      </c>
      <c r="AI123" s="14" t="n">
        <v>22266.6123981889</v>
      </c>
      <c r="AJ123" s="14" t="n">
        <v>22.7952741792209</v>
      </c>
      <c r="AK123" s="14" t="n">
        <v>0</v>
      </c>
      <c r="AL123" s="14" t="n">
        <v>-17298.2794371459</v>
      </c>
      <c r="AM123" s="14" t="n">
        <v>684.5</v>
      </c>
      <c r="AN123" s="14" t="n">
        <v>45150.9959088675</v>
      </c>
      <c r="AO123" s="14" t="n">
        <v>0</v>
      </c>
      <c r="AP123" s="14" t="n">
        <v>0.534618187325917</v>
      </c>
      <c r="AQ123" s="14" t="n">
        <v>120.027720604136</v>
      </c>
      <c r="AR123" s="14" t="n">
        <v>320.088729301218</v>
      </c>
      <c r="AS123" s="14" t="n">
        <v>320.15352784926</v>
      </c>
      <c r="AT123" s="14" t="n">
        <v>-4408.08477405391</v>
      </c>
      <c r="AU123" s="14" t="n">
        <v>0</v>
      </c>
      <c r="AV123" s="14" t="n">
        <v>0</v>
      </c>
      <c r="AW123" s="14" t="n">
        <v>2275.5</v>
      </c>
      <c r="AX123" s="14" t="n">
        <v>320.15352784926</v>
      </c>
      <c r="AY123" s="14" t="n">
        <v>318.637174327425</v>
      </c>
      <c r="AZ123" s="14" t="n">
        <v>7708.1472039597</v>
      </c>
      <c r="BA123" s="14" t="n">
        <v>26.618143117973</v>
      </c>
      <c r="BB123" s="14" t="n">
        <v>35.0836441926804</v>
      </c>
      <c r="BC123" s="14" t="n">
        <v>35.6393316225656</v>
      </c>
      <c r="BD123" s="14" t="n">
        <v>-6.60619313427753</v>
      </c>
      <c r="BE123" s="14" t="n">
        <v>5.71900938114209</v>
      </c>
      <c r="BF123" s="14" t="n">
        <v>3.759910984945</v>
      </c>
      <c r="BG123" s="14" t="n">
        <v>16.0851135003646</v>
      </c>
      <c r="BH123" s="14" t="n">
        <v>8.79460973826781</v>
      </c>
      <c r="BI123" s="14" t="n">
        <v>25.9197340175705</v>
      </c>
      <c r="BJ123" s="14" t="n">
        <v>5.11489923648504</v>
      </c>
      <c r="BK123" s="14" t="n">
        <v>6.14038025700283</v>
      </c>
      <c r="BL123" s="14" t="n">
        <v>6.42123287671233</v>
      </c>
      <c r="BM123" s="14" t="n">
        <v>7672.79585778466</v>
      </c>
      <c r="BN123" s="14" t="n">
        <v>8209.65212147069</v>
      </c>
      <c r="BO123" s="14" t="n">
        <v>8209.65212147069</v>
      </c>
      <c r="BP123" s="14" t="n">
        <v>320.088729301218</v>
      </c>
      <c r="BQ123" s="14" t="n">
        <v>292.4</v>
      </c>
      <c r="BR123" s="14" t="n">
        <v>950</v>
      </c>
      <c r="BS123" s="14" t="s">
        <v>2855</v>
      </c>
      <c r="BT123" s="14" t="n">
        <v>36.5333333333333</v>
      </c>
      <c r="BU123" s="14" t="n">
        <v>0.191939308592271</v>
      </c>
      <c r="BV123" s="14" t="n">
        <v>0.316434991025855</v>
      </c>
      <c r="BW123" s="14" t="n">
        <v>13434.1777535968</v>
      </c>
      <c r="BX123" s="14" t="n">
        <v>13948.7116911521</v>
      </c>
      <c r="BY123" s="14" t="n">
        <v>42.7910412142294</v>
      </c>
      <c r="BZ123" s="14" t="n">
        <v>0</v>
      </c>
      <c r="CA123" s="14" t="n">
        <v>0</v>
      </c>
      <c r="CB123" s="14" t="n">
        <v>22068.9543558792</v>
      </c>
    </row>
    <row r="124" customFormat="false" ht="15" hidden="false" customHeight="false" outlineLevel="0" collapsed="false">
      <c r="A124" s="0" t="s">
        <v>2958</v>
      </c>
      <c r="B124" s="14" t="n">
        <v>2400.63703930642</v>
      </c>
      <c r="C124" s="14" t="n">
        <v>8242.01885850092</v>
      </c>
      <c r="D124" s="14" t="n">
        <v>22266.6123981889</v>
      </c>
      <c r="E124" s="14" t="n">
        <v>4606.04613482523</v>
      </c>
      <c r="F124" s="14" t="n">
        <v>-637.276104236427</v>
      </c>
      <c r="G124" s="14" t="n">
        <v>4913.64148472162</v>
      </c>
      <c r="H124" s="14" t="n">
        <v>100185.806451507</v>
      </c>
      <c r="I124" s="15" t="n">
        <v>270.297262490866</v>
      </c>
      <c r="J124" s="15" t="n">
        <v>305.435906614678</v>
      </c>
      <c r="K124" s="14" t="s">
        <v>50</v>
      </c>
      <c r="L124" s="14" t="n">
        <v>-4408.08477405391</v>
      </c>
      <c r="M124" s="14" t="n">
        <v>27831.14037717</v>
      </c>
      <c r="N124" s="14" t="n">
        <v>14579.6260754622</v>
      </c>
      <c r="O124" s="14" t="n">
        <v>-11208.1898352444</v>
      </c>
      <c r="P124" s="14" t="n">
        <v>975.503588963517</v>
      </c>
      <c r="Q124" s="14" t="n">
        <v>4017.92473913141</v>
      </c>
      <c r="R124" s="14" t="n">
        <v>12977.3867407861</v>
      </c>
      <c r="S124" s="14" t="n">
        <v>24643.7322479638</v>
      </c>
      <c r="T124" s="14" t="n">
        <v>-995.713106664055</v>
      </c>
      <c r="U124" s="14" t="n">
        <v>99868.6362589219</v>
      </c>
      <c r="V124" s="14" t="n">
        <v>0.919988787970092</v>
      </c>
      <c r="W124" s="14" t="n">
        <v>119568.977086983</v>
      </c>
      <c r="X124" s="14" t="n">
        <v>25831.053695079</v>
      </c>
      <c r="Y124" s="14" t="n">
        <v>287.329931306091</v>
      </c>
      <c r="Z124" s="14" t="n">
        <v>390.011109156283</v>
      </c>
      <c r="AA124" s="14" t="n">
        <v>33.6257962777954</v>
      </c>
      <c r="AB124" s="14" t="n">
        <v>30.8132962777954</v>
      </c>
      <c r="AC124" s="14" t="n">
        <v>33.6257962777954</v>
      </c>
      <c r="AD124" s="14" t="n">
        <v>26.4596429726914</v>
      </c>
      <c r="AE124" s="14" t="n">
        <v>650.542115888531</v>
      </c>
      <c r="AF124" s="14" t="n">
        <v>0.03</v>
      </c>
      <c r="AG124" s="14" t="n">
        <v>0.740304014796917</v>
      </c>
      <c r="AH124" s="14" t="n">
        <v>11229.9488755487</v>
      </c>
      <c r="AI124" s="14" t="n">
        <v>22266.6123981889</v>
      </c>
      <c r="AJ124" s="14" t="n">
        <v>22.7952741792209</v>
      </c>
      <c r="AK124" s="14" t="n">
        <v>0</v>
      </c>
      <c r="AL124" s="14" t="n">
        <v>-17298.2794371459</v>
      </c>
      <c r="AM124" s="14" t="n">
        <v>684.5</v>
      </c>
      <c r="AN124" s="14" t="n">
        <v>45150.9959088675</v>
      </c>
      <c r="AO124" s="14" t="n">
        <v>0</v>
      </c>
      <c r="AP124" s="14" t="n">
        <v>0.534618187325917</v>
      </c>
      <c r="AQ124" s="14" t="n">
        <v>269.704743399477</v>
      </c>
      <c r="AR124" s="14" t="n">
        <v>369.472197244297</v>
      </c>
      <c r="AS124" s="14" t="n">
        <v>369.477054035265</v>
      </c>
      <c r="AT124" s="14" t="n">
        <v>-4408.08477405391</v>
      </c>
      <c r="AU124" s="14" t="n">
        <v>0</v>
      </c>
      <c r="AV124" s="14" t="n">
        <v>0</v>
      </c>
      <c r="AW124" s="14" t="n">
        <v>2275.5</v>
      </c>
      <c r="AX124" s="14" t="n">
        <v>369.477054035265</v>
      </c>
      <c r="AY124" s="14" t="n">
        <v>340.432173239378</v>
      </c>
      <c r="AZ124" s="14" t="n">
        <v>7708.1472039597</v>
      </c>
      <c r="BA124" s="14" t="n">
        <v>26.618143117973</v>
      </c>
      <c r="BB124" s="14" t="n">
        <v>35.0836441926804</v>
      </c>
      <c r="BC124" s="14" t="n">
        <v>35.6393316225656</v>
      </c>
      <c r="BD124" s="14" t="n">
        <v>-6.60619313427753</v>
      </c>
      <c r="BE124" s="14" t="n">
        <v>5.71900938114209</v>
      </c>
      <c r="BF124" s="14" t="n">
        <v>3.759910984945</v>
      </c>
      <c r="BG124" s="14" t="n">
        <v>16.0851135003646</v>
      </c>
      <c r="BH124" s="14" t="n">
        <v>8.79460973826781</v>
      </c>
      <c r="BI124" s="14" t="n">
        <v>25.9197340175705</v>
      </c>
      <c r="BJ124" s="14" t="n">
        <v>5.11489923648504</v>
      </c>
      <c r="BK124" s="14" t="n">
        <v>6.14038025700283</v>
      </c>
      <c r="BL124" s="14" t="n">
        <v>6.42123287671233</v>
      </c>
      <c r="BM124" s="14" t="n">
        <v>7672.79585778466</v>
      </c>
      <c r="BN124" s="14" t="n">
        <v>8209.65212147069</v>
      </c>
      <c r="BO124" s="14" t="n">
        <v>8209.65212147069</v>
      </c>
      <c r="BP124" s="14" t="n">
        <v>369.472197244297</v>
      </c>
      <c r="BQ124" s="14" t="n">
        <v>292.4</v>
      </c>
      <c r="BR124" s="14" t="n">
        <v>950</v>
      </c>
      <c r="BS124" s="14" t="s">
        <v>2855</v>
      </c>
      <c r="BT124" s="14" t="n">
        <v>36.5333333333333</v>
      </c>
      <c r="BU124" s="14" t="n">
        <v>0.191939308592271</v>
      </c>
      <c r="BV124" s="14" t="n">
        <v>0.316434991025855</v>
      </c>
      <c r="BW124" s="14" t="n">
        <v>5767.83060829888</v>
      </c>
      <c r="BX124" s="14" t="n">
        <v>5988.06271620667</v>
      </c>
      <c r="BY124" s="14" t="n">
        <v>42.8509829713031</v>
      </c>
      <c r="BZ124" s="14" t="n">
        <v>0</v>
      </c>
      <c r="CA124" s="14" t="n">
        <v>0</v>
      </c>
      <c r="CB124" s="14" t="n">
        <v>22068.9543558792</v>
      </c>
    </row>
    <row r="125" customFormat="false" ht="15" hidden="false" customHeight="false" outlineLevel="0" collapsed="false">
      <c r="A125" s="0" t="s">
        <v>2959</v>
      </c>
      <c r="B125" s="14" t="n">
        <v>2400.63703930642</v>
      </c>
      <c r="C125" s="14" t="n">
        <v>8242.01885850092</v>
      </c>
      <c r="D125" s="14" t="n">
        <v>22266.6123981889</v>
      </c>
      <c r="E125" s="14" t="n">
        <v>4606.04613482523</v>
      </c>
      <c r="F125" s="14" t="n">
        <v>-637.276104236427</v>
      </c>
      <c r="G125" s="14" t="n">
        <v>4913.64148472162</v>
      </c>
      <c r="H125" s="14" t="n">
        <v>100185.806451507</v>
      </c>
      <c r="I125" s="15" t="n">
        <v>270.297262490866</v>
      </c>
      <c r="J125" s="15" t="n">
        <v>305.435906614678</v>
      </c>
      <c r="K125" s="14" t="s">
        <v>50</v>
      </c>
      <c r="L125" s="14" t="n">
        <v>-4408.08477405391</v>
      </c>
      <c r="M125" s="14" t="n">
        <v>27831.14037717</v>
      </c>
      <c r="N125" s="14" t="n">
        <v>14579.6260754622</v>
      </c>
      <c r="O125" s="14" t="n">
        <v>-11208.1898352444</v>
      </c>
      <c r="P125" s="14" t="n">
        <v>975.503588963517</v>
      </c>
      <c r="Q125" s="14" t="n">
        <v>4017.92473913141</v>
      </c>
      <c r="R125" s="14" t="n">
        <v>12977.3867407861</v>
      </c>
      <c r="S125" s="14" t="n">
        <v>24643.7322479638</v>
      </c>
      <c r="T125" s="14" t="n">
        <v>-995.713106664055</v>
      </c>
      <c r="U125" s="14" t="n">
        <v>99868.6362589219</v>
      </c>
      <c r="V125" s="14" t="n">
        <v>0.919988787970092</v>
      </c>
      <c r="W125" s="14" t="n">
        <v>119568.977086983</v>
      </c>
      <c r="X125" s="14" t="n">
        <v>25831.053695079</v>
      </c>
      <c r="Y125" s="14" t="n">
        <v>287.329931306091</v>
      </c>
      <c r="Z125" s="14" t="n">
        <v>390.011109156283</v>
      </c>
      <c r="AA125" s="14" t="n">
        <v>33.6257962777954</v>
      </c>
      <c r="AB125" s="14" t="n">
        <v>30.8132962777954</v>
      </c>
      <c r="AC125" s="14" t="n">
        <v>33.6257962777954</v>
      </c>
      <c r="AD125" s="14" t="n">
        <v>26.4596429726914</v>
      </c>
      <c r="AE125" s="14" t="n">
        <v>650.542115888531</v>
      </c>
      <c r="AF125" s="14" t="n">
        <v>0.03</v>
      </c>
      <c r="AG125" s="14" t="n">
        <v>0.740304014796917</v>
      </c>
      <c r="AH125" s="14" t="n">
        <v>11229.9488755487</v>
      </c>
      <c r="AI125" s="14" t="n">
        <v>22266.6123981889</v>
      </c>
      <c r="AJ125" s="14" t="n">
        <v>22.7952741792209</v>
      </c>
      <c r="AK125" s="14" t="n">
        <v>0</v>
      </c>
      <c r="AL125" s="14" t="n">
        <v>-17298.2794371459</v>
      </c>
      <c r="AM125" s="14" t="n">
        <v>684.5</v>
      </c>
      <c r="AN125" s="14" t="n">
        <v>45150.9959088675</v>
      </c>
      <c r="AO125" s="14" t="n">
        <v>0</v>
      </c>
      <c r="AP125" s="14" t="n">
        <v>0.534618187325917</v>
      </c>
      <c r="AQ125" s="14" t="n">
        <v>269.704743399477</v>
      </c>
      <c r="AR125" s="14" t="n">
        <v>369.472197244297</v>
      </c>
      <c r="AS125" s="14" t="n">
        <v>369.477054035265</v>
      </c>
      <c r="AT125" s="14" t="n">
        <v>-4408.08477405391</v>
      </c>
      <c r="AU125" s="14" t="n">
        <v>0</v>
      </c>
      <c r="AV125" s="14" t="n">
        <v>0</v>
      </c>
      <c r="AW125" s="14" t="n">
        <v>2275.5</v>
      </c>
      <c r="AX125" s="14" t="n">
        <v>369.477054035265</v>
      </c>
      <c r="AY125" s="14" t="n">
        <v>340.432173239378</v>
      </c>
      <c r="AZ125" s="14" t="n">
        <v>7708.1472039597</v>
      </c>
      <c r="BA125" s="14" t="n">
        <v>26.618143117973</v>
      </c>
      <c r="BB125" s="14" t="n">
        <v>35.0836441926804</v>
      </c>
      <c r="BC125" s="14" t="n">
        <v>35.6393316225656</v>
      </c>
      <c r="BD125" s="14" t="n">
        <v>-6.60619313427753</v>
      </c>
      <c r="BE125" s="14" t="n">
        <v>5.71900938114209</v>
      </c>
      <c r="BF125" s="14" t="n">
        <v>3.759910984945</v>
      </c>
      <c r="BG125" s="14" t="n">
        <v>16.0851135003646</v>
      </c>
      <c r="BH125" s="14" t="n">
        <v>8.79460973826781</v>
      </c>
      <c r="BI125" s="14" t="n">
        <v>25.9197340175705</v>
      </c>
      <c r="BJ125" s="14" t="n">
        <v>5.11489923648504</v>
      </c>
      <c r="BK125" s="14" t="n">
        <v>6.14038025700283</v>
      </c>
      <c r="BL125" s="14" t="n">
        <v>6.42123287671233</v>
      </c>
      <c r="BM125" s="14" t="n">
        <v>7672.79585778466</v>
      </c>
      <c r="BN125" s="14" t="n">
        <v>8209.65212147069</v>
      </c>
      <c r="BO125" s="14" t="n">
        <v>8209.65212147069</v>
      </c>
      <c r="BP125" s="14" t="n">
        <v>369.472197244297</v>
      </c>
      <c r="BQ125" s="14" t="n">
        <v>292.4</v>
      </c>
      <c r="BR125" s="14" t="n">
        <v>950</v>
      </c>
      <c r="BS125" s="14" t="s">
        <v>2855</v>
      </c>
      <c r="BT125" s="14" t="n">
        <v>36.5333333333333</v>
      </c>
      <c r="BU125" s="14" t="n">
        <v>0.191939308592271</v>
      </c>
      <c r="BV125" s="14" t="n">
        <v>0.316434991025855</v>
      </c>
      <c r="BW125" s="14" t="n">
        <v>5767.83060829888</v>
      </c>
      <c r="BX125" s="14" t="n">
        <v>5988.06271620667</v>
      </c>
      <c r="BY125" s="14" t="n">
        <v>42.8509829713031</v>
      </c>
      <c r="BZ125" s="14" t="n">
        <v>0</v>
      </c>
      <c r="CA125" s="14" t="n">
        <v>0</v>
      </c>
      <c r="CB125" s="14" t="n">
        <v>22068.9543558792</v>
      </c>
    </row>
    <row r="126" customFormat="false" ht="15" hidden="false" customHeight="false" outlineLevel="0" collapsed="false">
      <c r="A126" s="0" t="s">
        <v>2960</v>
      </c>
      <c r="B126" s="14" t="n">
        <v>2400.63703930642</v>
      </c>
      <c r="C126" s="14" t="n">
        <v>8242.01885850092</v>
      </c>
      <c r="D126" s="14" t="n">
        <v>22266.6123981889</v>
      </c>
      <c r="E126" s="14" t="n">
        <v>4517.47256608134</v>
      </c>
      <c r="F126" s="14" t="n">
        <v>-725.849672980312</v>
      </c>
      <c r="G126" s="14" t="n">
        <v>4913.64148472162</v>
      </c>
      <c r="H126" s="14" t="n">
        <v>89065.1861996132</v>
      </c>
      <c r="I126" s="15" t="n">
        <v>240.346467398359</v>
      </c>
      <c r="J126" s="15" t="n">
        <v>271.591508160146</v>
      </c>
      <c r="K126" s="14" t="s">
        <v>50</v>
      </c>
      <c r="L126" s="14" t="n">
        <v>-4518.47497945888</v>
      </c>
      <c r="M126" s="14" t="n">
        <v>27831.14037717</v>
      </c>
      <c r="N126" s="14" t="n">
        <v>14200.6767563719</v>
      </c>
      <c r="O126" s="14" t="n">
        <v>-11598.1298302062</v>
      </c>
      <c r="P126" s="14" t="n">
        <v>954.629428633757</v>
      </c>
      <c r="Q126" s="14" t="n">
        <v>3638.9754200411</v>
      </c>
      <c r="R126" s="14" t="n">
        <v>12977.3867407861</v>
      </c>
      <c r="S126" s="14" t="n">
        <v>24643.7322479638</v>
      </c>
      <c r="T126" s="14" t="n">
        <v>-1016.58726699381</v>
      </c>
      <c r="U126" s="14" t="n">
        <v>88736.2916094378</v>
      </c>
      <c r="V126" s="14" t="n">
        <v>0.919988787970092</v>
      </c>
      <c r="W126" s="14" t="n">
        <v>109797.712332911</v>
      </c>
      <c r="X126" s="14" t="n">
        <v>25831.053695079</v>
      </c>
      <c r="Y126" s="14" t="n">
        <v>255.491799402023</v>
      </c>
      <c r="Z126" s="14" t="n">
        <v>346.79519676969</v>
      </c>
      <c r="AA126" s="14" t="n">
        <v>33.6257962777954</v>
      </c>
      <c r="AB126" s="14" t="n">
        <v>30.8132962777954</v>
      </c>
      <c r="AC126" s="14" t="n">
        <v>32.8757962777954</v>
      </c>
      <c r="AD126" s="14" t="n">
        <v>26.4596429726914</v>
      </c>
      <c r="AE126" s="14" t="n">
        <v>650.542115888531</v>
      </c>
      <c r="AF126" s="14" t="n">
        <v>0.03</v>
      </c>
      <c r="AG126" s="14" t="n">
        <v>0.71535211160041</v>
      </c>
      <c r="AH126" s="14" t="n">
        <v>11208.9721267401</v>
      </c>
      <c r="AI126" s="14" t="n">
        <v>22266.6123981889</v>
      </c>
      <c r="AJ126" s="14" t="n">
        <v>22.7952741792209</v>
      </c>
      <c r="AK126" s="14" t="n">
        <v>0</v>
      </c>
      <c r="AL126" s="14" t="n">
        <v>-18264.9705905594</v>
      </c>
      <c r="AM126" s="14" t="n">
        <v>684.5</v>
      </c>
      <c r="AN126" s="14" t="n">
        <v>45150.9959088675</v>
      </c>
      <c r="AO126" s="14" t="n">
        <v>0</v>
      </c>
      <c r="AP126" s="14" t="n">
        <v>0.534618187325917</v>
      </c>
      <c r="AQ126" s="14" t="n">
        <v>239.753948306971</v>
      </c>
      <c r="AR126" s="14" t="n">
        <v>369.195419414732</v>
      </c>
      <c r="AS126" s="14" t="n">
        <v>369.201563767371</v>
      </c>
      <c r="AT126" s="14" t="n">
        <v>-4518.47497945888</v>
      </c>
      <c r="AU126" s="14" t="n">
        <v>0</v>
      </c>
      <c r="AV126" s="14" t="n">
        <v>0</v>
      </c>
      <c r="AW126" s="14" t="n">
        <v>2275.5</v>
      </c>
      <c r="AX126" s="14" t="n">
        <v>369.201563767371</v>
      </c>
      <c r="AY126" s="14" t="n">
        <v>336.537252727219</v>
      </c>
      <c r="AZ126" s="14" t="n">
        <v>7170.06066284218</v>
      </c>
      <c r="BA126" s="14" t="n">
        <v>24.8722972468112</v>
      </c>
      <c r="BB126" s="14" t="n">
        <v>33.3377983215186</v>
      </c>
      <c r="BC126" s="14" t="n">
        <v>33.8934857514037</v>
      </c>
      <c r="BD126" s="14" t="n">
        <v>-6.60619313427753</v>
      </c>
      <c r="BE126" s="14" t="n">
        <v>3.66224269082016</v>
      </c>
      <c r="BF126" s="14" t="n">
        <v>3.759910984945</v>
      </c>
      <c r="BG126" s="14" t="n">
        <v>14.0283468100427</v>
      </c>
      <c r="BH126" s="14" t="n">
        <v>8.79460973826781</v>
      </c>
      <c r="BI126" s="14" t="n">
        <v>23.1478112543334</v>
      </c>
      <c r="BJ126" s="14" t="n">
        <v>5.11489923648504</v>
      </c>
      <c r="BK126" s="14" t="n">
        <v>6.14038025700283</v>
      </c>
      <c r="BL126" s="14" t="n">
        <v>6.42123287671233</v>
      </c>
      <c r="BM126" s="14" t="n">
        <v>7672.79585778466</v>
      </c>
      <c r="BN126" s="14" t="n">
        <v>8209.65212147069</v>
      </c>
      <c r="BO126" s="14" t="n">
        <v>8209.65212147069</v>
      </c>
      <c r="BP126" s="14" t="n">
        <v>369.195419414732</v>
      </c>
      <c r="BQ126" s="14" t="n">
        <v>292.4</v>
      </c>
      <c r="BR126" s="14" t="n">
        <v>950</v>
      </c>
      <c r="BS126" s="14" t="s">
        <v>2855</v>
      </c>
      <c r="BT126" s="14" t="n">
        <v>36.5333333333333</v>
      </c>
      <c r="BU126" s="14" t="n">
        <v>0.191939308592271</v>
      </c>
      <c r="BV126" s="14" t="n">
        <v>0.295395823150495</v>
      </c>
      <c r="BW126" s="14" t="n">
        <v>5767.83060829888</v>
      </c>
      <c r="BX126" s="14" t="n">
        <v>5988.06271620667</v>
      </c>
      <c r="BY126" s="14" t="n">
        <v>44.9563893577812</v>
      </c>
      <c r="BZ126" s="14" t="n">
        <v>0</v>
      </c>
      <c r="CA126" s="14" t="n">
        <v>0</v>
      </c>
      <c r="CB126" s="14" t="n">
        <v>22068.9543558792</v>
      </c>
    </row>
    <row r="127" customFormat="false" ht="15" hidden="false" customHeight="false" outlineLevel="0" collapsed="false">
      <c r="A127" s="0" t="s">
        <v>2961</v>
      </c>
      <c r="B127" s="14" t="n">
        <v>2425.32952419152</v>
      </c>
      <c r="C127" s="14" t="n">
        <v>8517.51527302704</v>
      </c>
      <c r="D127" s="14" t="n">
        <v>22648.7362066291</v>
      </c>
      <c r="E127" s="14" t="n">
        <v>4713.07502039488</v>
      </c>
      <c r="F127" s="14" t="n">
        <v>-541.902341550866</v>
      </c>
      <c r="G127" s="14" t="n">
        <v>4914.27675102467</v>
      </c>
      <c r="H127" s="14" t="n">
        <v>99881.9427544151</v>
      </c>
      <c r="I127" s="15" t="n">
        <v>269.452580481655</v>
      </c>
      <c r="J127" s="15" t="n">
        <v>304.48141594427</v>
      </c>
      <c r="K127" s="14" t="s">
        <v>50</v>
      </c>
      <c r="L127" s="14" t="n">
        <v>-4310.06657295393</v>
      </c>
      <c r="M127" s="14" t="n">
        <v>27836.6503054605</v>
      </c>
      <c r="N127" s="14" t="n">
        <v>14491.0908507865</v>
      </c>
      <c r="O127" s="14" t="n">
        <v>-11177.5059124078</v>
      </c>
      <c r="P127" s="14" t="n">
        <v>969.691844413664</v>
      </c>
      <c r="Q127" s="14" t="n">
        <v>3912.61567367593</v>
      </c>
      <c r="R127" s="14" t="n">
        <v>12977.8805904838</v>
      </c>
      <c r="S127" s="14" t="n">
        <v>24651.3747241326</v>
      </c>
      <c r="T127" s="14" t="n">
        <v>-1002.51527791516</v>
      </c>
      <c r="U127" s="14" t="n">
        <v>99554.6782749448</v>
      </c>
      <c r="V127" s="14" t="n">
        <v>0.953955874711187</v>
      </c>
      <c r="W127" s="14" t="n">
        <v>119151.379098214</v>
      </c>
      <c r="X127" s="14" t="n">
        <v>25865.2636130284</v>
      </c>
      <c r="Y127" s="14" t="n">
        <v>286.432022013761</v>
      </c>
      <c r="Z127" s="14" t="n">
        <v>388.792320019238</v>
      </c>
      <c r="AA127" s="14" t="n">
        <v>34.8673009068098</v>
      </c>
      <c r="AB127" s="14" t="n">
        <v>32.0548009068098</v>
      </c>
      <c r="AC127" s="14" t="n">
        <v>34.1173009068098</v>
      </c>
      <c r="AD127" s="14" t="n">
        <v>27.4365646479815</v>
      </c>
      <c r="AE127" s="14" t="n">
        <v>653.269421736173</v>
      </c>
      <c r="AF127" s="14" t="n">
        <v>0.03</v>
      </c>
      <c r="AG127" s="14" t="n">
        <v>0.718286314065127</v>
      </c>
      <c r="AH127" s="14" t="n">
        <v>11223.7433384033</v>
      </c>
      <c r="AI127" s="14" t="n">
        <v>22648.7362066291</v>
      </c>
      <c r="AJ127" s="14" t="n">
        <v>22.7952741792209</v>
      </c>
      <c r="AK127" s="14" t="n">
        <v>0</v>
      </c>
      <c r="AL127" s="14" t="n">
        <v>-17221.869887984</v>
      </c>
      <c r="AM127" s="14" t="n">
        <v>684.5</v>
      </c>
      <c r="AN127" s="14" t="n">
        <v>45176.7227372766</v>
      </c>
      <c r="AO127" s="14" t="n">
        <v>0</v>
      </c>
      <c r="AP127" s="14" t="n">
        <v>0.522282702148695</v>
      </c>
      <c r="AQ127" s="14" t="n">
        <v>268.860061390266</v>
      </c>
      <c r="AR127" s="14" t="n">
        <v>369.465236500289</v>
      </c>
      <c r="AS127" s="14" t="n">
        <v>369.470123822855</v>
      </c>
      <c r="AT127" s="14" t="n">
        <v>-4310.06657295393</v>
      </c>
      <c r="AU127" s="14" t="n">
        <v>0</v>
      </c>
      <c r="AV127" s="14" t="n">
        <v>0</v>
      </c>
      <c r="AW127" s="14" t="n">
        <v>2275.5</v>
      </c>
      <c r="AX127" s="14" t="n">
        <v>369.470123822855</v>
      </c>
      <c r="AY127" s="14" t="n">
        <v>340.334192912606</v>
      </c>
      <c r="AZ127" s="14" t="n">
        <v>7278.59283796918</v>
      </c>
      <c r="BA127" s="14" t="n">
        <v>25.2221018038645</v>
      </c>
      <c r="BB127" s="14" t="n">
        <v>33.6876028785719</v>
      </c>
      <c r="BC127" s="14" t="n">
        <v>34.2432903084571</v>
      </c>
      <c r="BD127" s="14" t="n">
        <v>-6.60619313427753</v>
      </c>
      <c r="BE127" s="14" t="n">
        <v>3.66224269082016</v>
      </c>
      <c r="BF127" s="14" t="n">
        <v>3.759910984945</v>
      </c>
      <c r="BG127" s="14" t="n">
        <v>14.0283468100427</v>
      </c>
      <c r="BH127" s="14" t="n">
        <v>8.79460973826781</v>
      </c>
      <c r="BI127" s="14" t="n">
        <v>23.1478112543334</v>
      </c>
      <c r="BJ127" s="14" t="n">
        <v>5.11489923648504</v>
      </c>
      <c r="BK127" s="14" t="n">
        <v>6.14038025700283</v>
      </c>
      <c r="BL127" s="14" t="n">
        <v>6.42123287671233</v>
      </c>
      <c r="BM127" s="14" t="n">
        <v>7672.79585778466</v>
      </c>
      <c r="BN127" s="14" t="n">
        <v>8485.14853599681</v>
      </c>
      <c r="BO127" s="14" t="n">
        <v>8485.14853599681</v>
      </c>
      <c r="BP127" s="14" t="n">
        <v>369.465236500289</v>
      </c>
      <c r="BQ127" s="14" t="n">
        <v>292.4</v>
      </c>
      <c r="BR127" s="14" t="n">
        <v>950</v>
      </c>
      <c r="BS127" s="14" t="s">
        <v>2855</v>
      </c>
      <c r="BT127" s="14" t="n">
        <v>36.5333333333333</v>
      </c>
      <c r="BU127" s="14" t="n">
        <v>0.191939308592271</v>
      </c>
      <c r="BV127" s="14" t="n">
        <v>0.295395823150495</v>
      </c>
      <c r="BW127" s="14" t="n">
        <v>5767.83060829888</v>
      </c>
      <c r="BX127" s="14" t="n">
        <v>5988.06271620667</v>
      </c>
      <c r="BY127" s="14" t="n">
        <v>42.6781283374341</v>
      </c>
      <c r="BZ127" s="14" t="n">
        <v>0</v>
      </c>
      <c r="CA127" s="14" t="n">
        <v>0</v>
      </c>
      <c r="CB127" s="14" t="n">
        <v>22074.2081637296</v>
      </c>
    </row>
    <row r="128" customFormat="false" ht="15" hidden="false" customHeight="false" outlineLevel="0" collapsed="false">
      <c r="A128" s="0" t="s">
        <v>2962</v>
      </c>
      <c r="B128" s="14" t="n">
        <v>2425.32952419152</v>
      </c>
      <c r="C128" s="14" t="n">
        <v>8517.51527302704</v>
      </c>
      <c r="D128" s="14" t="n">
        <v>22648.7362066291</v>
      </c>
      <c r="E128" s="14" t="n">
        <v>4713.07502039488</v>
      </c>
      <c r="F128" s="14" t="n">
        <v>-541.902341550866</v>
      </c>
      <c r="G128" s="14" t="n">
        <v>4914.27675102467</v>
      </c>
      <c r="H128" s="14" t="n">
        <v>86363.7411419844</v>
      </c>
      <c r="I128" s="15" t="n">
        <v>233.082804009466</v>
      </c>
      <c r="J128" s="15" t="n">
        <v>263.383568530697</v>
      </c>
      <c r="K128" s="14" t="s">
        <v>50</v>
      </c>
      <c r="L128" s="14" t="n">
        <v>-4310.06657295393</v>
      </c>
      <c r="M128" s="14" t="n">
        <v>27836.6503054605</v>
      </c>
      <c r="N128" s="14" t="n">
        <v>14491.0908507865</v>
      </c>
      <c r="O128" s="14" t="n">
        <v>-11177.5059124078</v>
      </c>
      <c r="P128" s="14" t="n">
        <v>969.691844413664</v>
      </c>
      <c r="Q128" s="14" t="n">
        <v>3912.61567367593</v>
      </c>
      <c r="R128" s="14" t="n">
        <v>12977.8805904838</v>
      </c>
      <c r="S128" s="14" t="n">
        <v>24651.3747241326</v>
      </c>
      <c r="T128" s="14" t="n">
        <v>-1002.51527791516</v>
      </c>
      <c r="U128" s="14" t="n">
        <v>86036.4766625141</v>
      </c>
      <c r="V128" s="14" t="n">
        <v>0.953955874711187</v>
      </c>
      <c r="W128" s="14" t="n">
        <v>97674.9283579183</v>
      </c>
      <c r="X128" s="14" t="n">
        <v>21839.9186130284</v>
      </c>
      <c r="Y128" s="14" t="n">
        <v>247.770419306168</v>
      </c>
      <c r="Z128" s="14" t="n">
        <v>336.314478656847</v>
      </c>
      <c r="AA128" s="14" t="n">
        <v>34.8673009068098</v>
      </c>
      <c r="AB128" s="14" t="n">
        <v>32.0548009068098</v>
      </c>
      <c r="AC128" s="14" t="n">
        <v>34.1173009068098</v>
      </c>
      <c r="AD128" s="14" t="n">
        <v>27.4365646479815</v>
      </c>
      <c r="AE128" s="14" t="n">
        <v>653.269421736173</v>
      </c>
      <c r="AF128" s="14" t="n">
        <v>0.03</v>
      </c>
      <c r="AG128" s="14" t="n">
        <v>0.718286314065127</v>
      </c>
      <c r="AH128" s="14" t="n">
        <v>11223.7433384033</v>
      </c>
      <c r="AI128" s="14" t="n">
        <v>22648.7362066291</v>
      </c>
      <c r="AJ128" s="14" t="n">
        <v>22.7952741792209</v>
      </c>
      <c r="AK128" s="14" t="n">
        <v>0</v>
      </c>
      <c r="AL128" s="14" t="n">
        <v>-17221.869887984</v>
      </c>
      <c r="AM128" s="14" t="n">
        <v>684.5</v>
      </c>
      <c r="AN128" s="14" t="n">
        <v>37561.4227372766</v>
      </c>
      <c r="AO128" s="14" t="n">
        <v>0</v>
      </c>
      <c r="AP128" s="14" t="n">
        <v>0.522282702148695</v>
      </c>
      <c r="AQ128" s="14" t="n">
        <v>232.490284918078</v>
      </c>
      <c r="AR128" s="14" t="n">
        <v>369.117550803662</v>
      </c>
      <c r="AS128" s="14" t="n">
        <v>369.124084585064</v>
      </c>
      <c r="AT128" s="14" t="n">
        <v>-4310.06657295393</v>
      </c>
      <c r="AU128" s="14" t="n">
        <v>0</v>
      </c>
      <c r="AV128" s="14" t="n">
        <v>0</v>
      </c>
      <c r="AW128" s="14" t="n">
        <v>2275.5</v>
      </c>
      <c r="AX128" s="14" t="n">
        <v>369.124084585064</v>
      </c>
      <c r="AY128" s="14" t="n">
        <v>335.441841049917</v>
      </c>
      <c r="AZ128" s="14" t="n">
        <v>7278.59283796918</v>
      </c>
      <c r="BA128" s="14" t="n">
        <v>25.2221018038645</v>
      </c>
      <c r="BB128" s="14" t="n">
        <v>33.6876028785719</v>
      </c>
      <c r="BC128" s="14" t="n">
        <v>34.2432903084571</v>
      </c>
      <c r="BD128" s="14" t="n">
        <v>-6.60619313427753</v>
      </c>
      <c r="BE128" s="14" t="n">
        <v>3.66224269082016</v>
      </c>
      <c r="BF128" s="14" t="n">
        <v>3.759910984945</v>
      </c>
      <c r="BG128" s="14" t="n">
        <v>14.0283468100427</v>
      </c>
      <c r="BH128" s="14" t="n">
        <v>8.79460973826781</v>
      </c>
      <c r="BI128" s="14" t="n">
        <v>23.1478112543334</v>
      </c>
      <c r="BJ128" s="14" t="n">
        <v>5.11489923648504</v>
      </c>
      <c r="BK128" s="14" t="n">
        <v>6.14038025700283</v>
      </c>
      <c r="BL128" s="14" t="n">
        <v>6.42123287671233</v>
      </c>
      <c r="BM128" s="14" t="n">
        <v>7672.79585778466</v>
      </c>
      <c r="BN128" s="14" t="n">
        <v>8485.14853599681</v>
      </c>
      <c r="BO128" s="14" t="n">
        <v>8485.14853599681</v>
      </c>
      <c r="BP128" s="14" t="n">
        <v>369.117550803662</v>
      </c>
      <c r="BQ128" s="14" t="n">
        <v>292.4</v>
      </c>
      <c r="BR128" s="14" t="n">
        <v>950</v>
      </c>
      <c r="BS128" s="14" t="s">
        <v>2855</v>
      </c>
      <c r="BT128" s="14" t="n">
        <v>36.5333333333333</v>
      </c>
      <c r="BU128" s="14" t="n">
        <v>0.191939308592271</v>
      </c>
      <c r="BV128" s="14" t="n">
        <v>0.295395823150495</v>
      </c>
      <c r="BW128" s="14" t="n">
        <v>5767.83060829888</v>
      </c>
      <c r="BX128" s="14" t="n">
        <v>5988.06271620667</v>
      </c>
      <c r="BY128" s="14" t="n">
        <v>42.6764818785975</v>
      </c>
      <c r="BZ128" s="14" t="n">
        <v>0</v>
      </c>
      <c r="CA128" s="14" t="n">
        <v>0</v>
      </c>
      <c r="CB128" s="14" t="n">
        <v>22074.2081637296</v>
      </c>
    </row>
    <row r="129" customFormat="false" ht="15" hidden="false" customHeight="false" outlineLevel="0" collapsed="false">
      <c r="A129" s="0" t="s">
        <v>405</v>
      </c>
      <c r="B129" s="14" t="n">
        <v>2425.32952419152</v>
      </c>
      <c r="C129" s="14" t="n">
        <v>8517.51527302704</v>
      </c>
      <c r="D129" s="14" t="n">
        <v>22648.7362066291</v>
      </c>
      <c r="E129" s="14" t="n">
        <v>4713.07502039488</v>
      </c>
      <c r="F129" s="14" t="n">
        <v>399.337658449134</v>
      </c>
      <c r="G129" s="14" t="n">
        <v>3973.03675102467</v>
      </c>
      <c r="H129" s="14" t="n">
        <v>94115.788273607</v>
      </c>
      <c r="I129" s="15" t="n">
        <v>248.193496039636</v>
      </c>
      <c r="J129" s="15" t="n">
        <v>280.458650524788</v>
      </c>
      <c r="K129" s="14" t="s">
        <v>58</v>
      </c>
      <c r="L129" s="14" t="n">
        <v>-7264.97163686794</v>
      </c>
      <c r="M129" s="14" t="n">
        <v>25870.4503054605</v>
      </c>
      <c r="N129" s="14" t="n">
        <v>14491.0908507865</v>
      </c>
      <c r="O129" s="14" t="n">
        <v>-16282.1725059394</v>
      </c>
      <c r="P129" s="14" t="n">
        <v>969.691844413664</v>
      </c>
      <c r="Q129" s="14" t="n">
        <v>4853.85567367593</v>
      </c>
      <c r="R129" s="14" t="n">
        <v>18130.8805904838</v>
      </c>
      <c r="S129" s="14" t="n">
        <v>27426.3747241326</v>
      </c>
      <c r="T129" s="14" t="n">
        <v>-935.915277915159</v>
      </c>
      <c r="U129" s="14" t="n">
        <v>91652.9362941366</v>
      </c>
      <c r="V129" s="14" t="n">
        <v>0.953955874711187</v>
      </c>
      <c r="W129" s="14" t="n">
        <v>103661.789904876</v>
      </c>
      <c r="X129" s="14" t="n">
        <v>20844.2022130284</v>
      </c>
      <c r="Y129" s="14" t="n">
        <v>263.833305267371</v>
      </c>
      <c r="Z129" s="14" t="n">
        <v>358.117650855102</v>
      </c>
      <c r="AA129" s="14" t="n">
        <v>34.8673009068098</v>
      </c>
      <c r="AB129" s="14" t="n">
        <v>32.0548009068098</v>
      </c>
      <c r="AC129" s="14" t="n">
        <v>34.1173009068098</v>
      </c>
      <c r="AD129" s="14" t="n">
        <v>27.4365646479815</v>
      </c>
      <c r="AE129" s="14" t="n">
        <v>653.269421736173</v>
      </c>
      <c r="AF129" s="14" t="n">
        <v>0.03</v>
      </c>
      <c r="AG129" s="14" t="n">
        <v>0.718286314065127</v>
      </c>
      <c r="AH129" s="14" t="n">
        <v>7924.5525727783</v>
      </c>
      <c r="AI129" s="14" t="n">
        <v>22648.7362066291</v>
      </c>
      <c r="AJ129" s="14" t="n">
        <v>22.7952741792209</v>
      </c>
      <c r="AK129" s="14" t="n">
        <v>0</v>
      </c>
      <c r="AL129" s="14" t="n">
        <v>-21400.1851003242</v>
      </c>
      <c r="AM129" s="14" t="n">
        <v>684.5</v>
      </c>
      <c r="AN129" s="14" t="n">
        <v>35749.5357372766</v>
      </c>
      <c r="AO129" s="14" t="n">
        <v>0</v>
      </c>
      <c r="AP129" s="14" t="n">
        <v>0.522282702148695</v>
      </c>
      <c r="AQ129" s="14" t="n">
        <v>247.600976948247</v>
      </c>
      <c r="AR129" s="14" t="n">
        <v>369.274408013906</v>
      </c>
      <c r="AS129" s="14" t="n">
        <v>369.280169531517</v>
      </c>
      <c r="AT129" s="14" t="n">
        <v>-7264.97163686794</v>
      </c>
      <c r="AU129" s="14" t="n">
        <v>0</v>
      </c>
      <c r="AV129" s="14" t="n">
        <v>0</v>
      </c>
      <c r="AW129" s="14" t="n">
        <v>2275.5</v>
      </c>
      <c r="AX129" s="14" t="n">
        <v>369.280169531517</v>
      </c>
      <c r="AY129" s="14" t="n">
        <v>337.648592178466</v>
      </c>
      <c r="AZ129" s="14" t="n">
        <v>7278.59283796918</v>
      </c>
      <c r="BA129" s="14" t="n">
        <v>18.4408496371797</v>
      </c>
      <c r="BB129" s="14" t="n">
        <v>26.9063507118871</v>
      </c>
      <c r="BC129" s="14" t="n">
        <v>27.4620381417722</v>
      </c>
      <c r="BD129" s="14" t="n">
        <v>-6.60619313427753</v>
      </c>
      <c r="BE129" s="14" t="n">
        <v>3.66224269082016</v>
      </c>
      <c r="BF129" s="14" t="n">
        <v>3.759910984945</v>
      </c>
      <c r="BG129" s="14" t="n">
        <v>14.0283468100427</v>
      </c>
      <c r="BH129" s="14" t="n">
        <v>8.79460973826781</v>
      </c>
      <c r="BI129" s="14" t="n">
        <v>23.1478112543334</v>
      </c>
      <c r="BJ129" s="14" t="n">
        <v>5.11489923648504</v>
      </c>
      <c r="BK129" s="14" t="n">
        <v>6.14038025700283</v>
      </c>
      <c r="BL129" s="14" t="n">
        <v>6.42123287671233</v>
      </c>
      <c r="BM129" s="14" t="n">
        <v>7672.79585778466</v>
      </c>
      <c r="BN129" s="14" t="n">
        <v>8485.14853599681</v>
      </c>
      <c r="BO129" s="14" t="n">
        <v>8485.14853599681</v>
      </c>
      <c r="BP129" s="14" t="n">
        <v>369.274408013906</v>
      </c>
      <c r="BQ129" s="14" t="n">
        <v>292.4</v>
      </c>
      <c r="BR129" s="14" t="n">
        <v>950</v>
      </c>
      <c r="BS129" s="14" t="s">
        <v>2855</v>
      </c>
      <c r="BT129" s="14" t="n">
        <v>36.5333333333333</v>
      </c>
      <c r="BU129" s="14" t="n">
        <v>0.191939308592271</v>
      </c>
      <c r="BV129" s="14" t="n">
        <v>0.295395823150495</v>
      </c>
      <c r="BW129" s="14" t="n">
        <v>5767.83060829888</v>
      </c>
      <c r="BX129" s="14" t="n">
        <v>5988.06271620667</v>
      </c>
      <c r="BY129" s="14" t="n">
        <v>51.5950196161136</v>
      </c>
      <c r="BZ129" s="14" t="n">
        <v>0</v>
      </c>
      <c r="CA129" s="14" t="n">
        <v>0</v>
      </c>
      <c r="CB129" s="14" t="n">
        <v>24369.5011637296</v>
      </c>
    </row>
    <row r="130" customFormat="false" ht="15" hidden="false" customHeight="false" outlineLevel="0" collapsed="false">
      <c r="A130" s="0" t="s">
        <v>2963</v>
      </c>
      <c r="B130" s="14" t="n">
        <v>2425.32952419152</v>
      </c>
      <c r="C130" s="14" t="n">
        <v>8517.51527302704</v>
      </c>
      <c r="D130" s="14" t="n">
        <v>22648.7362066291</v>
      </c>
      <c r="E130" s="14" t="n">
        <v>4713.07502039488</v>
      </c>
      <c r="F130" s="14" t="n">
        <v>-275.502341550866</v>
      </c>
      <c r="G130" s="14" t="n">
        <v>4647.87675102467</v>
      </c>
      <c r="H130" s="14" t="n">
        <v>87921.3915118694</v>
      </c>
      <c r="I130" s="15" t="n">
        <v>233.708355561199</v>
      </c>
      <c r="J130" s="15" t="n">
        <v>264.090441784155</v>
      </c>
      <c r="K130" s="14" t="s">
        <v>60</v>
      </c>
      <c r="L130" s="14" t="n">
        <v>-7160.9335370009</v>
      </c>
      <c r="M130" s="14" t="n">
        <v>27457.1503054605</v>
      </c>
      <c r="N130" s="14" t="n">
        <v>14491.0908507865</v>
      </c>
      <c r="O130" s="14" t="n">
        <v>-13845.525087697</v>
      </c>
      <c r="P130" s="14" t="n">
        <v>969.691844413664</v>
      </c>
      <c r="Q130" s="14" t="n">
        <v>4179.01567367593</v>
      </c>
      <c r="R130" s="14" t="n">
        <v>16720.3805904838</v>
      </c>
      <c r="S130" s="14" t="n">
        <v>23736.3747241326</v>
      </c>
      <c r="T130" s="14" t="n">
        <v>-935.915277915159</v>
      </c>
      <c r="U130" s="14" t="n">
        <v>86268.9865323991</v>
      </c>
      <c r="V130" s="14" t="n">
        <v>0.953955874711187</v>
      </c>
      <c r="W130" s="14" t="n">
        <v>99357.8925872735</v>
      </c>
      <c r="X130" s="14" t="n">
        <v>21559.5326130284</v>
      </c>
      <c r="Y130" s="14" t="n">
        <v>248.435389726998</v>
      </c>
      <c r="Z130" s="14" t="n">
        <v>337.217085114187</v>
      </c>
      <c r="AA130" s="14" t="n">
        <v>34.8673009068098</v>
      </c>
      <c r="AB130" s="14" t="n">
        <v>32.0548009068098</v>
      </c>
      <c r="AC130" s="14" t="n">
        <v>34.1173009068098</v>
      </c>
      <c r="AD130" s="14" t="n">
        <v>27.4365646479815</v>
      </c>
      <c r="AE130" s="14" t="n">
        <v>653.269421736173</v>
      </c>
      <c r="AF130" s="14" t="n">
        <v>0.03</v>
      </c>
      <c r="AG130" s="14" t="n">
        <v>0.718286314065127</v>
      </c>
      <c r="AH130" s="14" t="n">
        <v>8841.38090069497</v>
      </c>
      <c r="AI130" s="14" t="n">
        <v>22648.7362066291</v>
      </c>
      <c r="AJ130" s="14" t="n">
        <v>22.7952741792209</v>
      </c>
      <c r="AK130" s="14" t="n">
        <v>0</v>
      </c>
      <c r="AL130" s="14" t="n">
        <v>-22309.3440606419</v>
      </c>
      <c r="AM130" s="14" t="n">
        <v>684.5</v>
      </c>
      <c r="AN130" s="14" t="n">
        <v>37048.6027372766</v>
      </c>
      <c r="AO130" s="14" t="n">
        <v>0</v>
      </c>
      <c r="AP130" s="14" t="n">
        <v>0.522282702148695</v>
      </c>
      <c r="AQ130" s="14" t="n">
        <v>233.11583646981</v>
      </c>
      <c r="AR130" s="14" t="n">
        <v>369.124447860645</v>
      </c>
      <c r="AS130" s="14" t="n">
        <v>369.130946667453</v>
      </c>
      <c r="AT130" s="14" t="n">
        <v>-7160.9335370009</v>
      </c>
      <c r="AU130" s="14" t="n">
        <v>0</v>
      </c>
      <c r="AV130" s="14" t="n">
        <v>0</v>
      </c>
      <c r="AW130" s="14" t="n">
        <v>2275.5</v>
      </c>
      <c r="AX130" s="14" t="n">
        <v>369.130946667453</v>
      </c>
      <c r="AY130" s="14" t="n">
        <v>335.538858144772</v>
      </c>
      <c r="AZ130" s="14" t="n">
        <v>7278.59283796918</v>
      </c>
      <c r="BA130" s="14" t="n">
        <v>21.0143079828261</v>
      </c>
      <c r="BB130" s="14" t="n">
        <v>29.4798090575335</v>
      </c>
      <c r="BC130" s="14" t="n">
        <v>30.0354964874187</v>
      </c>
      <c r="BD130" s="14" t="n">
        <v>-6.60619313427753</v>
      </c>
      <c r="BE130" s="14" t="n">
        <v>3.66224269082016</v>
      </c>
      <c r="BF130" s="14" t="n">
        <v>3.759910984945</v>
      </c>
      <c r="BG130" s="14" t="n">
        <v>14.0283468100427</v>
      </c>
      <c r="BH130" s="14" t="n">
        <v>8.79460973826781</v>
      </c>
      <c r="BI130" s="14" t="n">
        <v>23.1478112543334</v>
      </c>
      <c r="BJ130" s="14" t="n">
        <v>5.11489923648504</v>
      </c>
      <c r="BK130" s="14" t="n">
        <v>6.14038025700283</v>
      </c>
      <c r="BL130" s="14" t="n">
        <v>6.42123287671233</v>
      </c>
      <c r="BM130" s="14" t="n">
        <v>7672.79585778466</v>
      </c>
      <c r="BN130" s="14" t="n">
        <v>8485.14853599681</v>
      </c>
      <c r="BO130" s="14" t="n">
        <v>8485.14853599681</v>
      </c>
      <c r="BP130" s="14" t="n">
        <v>369.124447860645</v>
      </c>
      <c r="BQ130" s="14" t="n">
        <v>292.4</v>
      </c>
      <c r="BR130" s="14" t="n">
        <v>950</v>
      </c>
      <c r="BS130" s="14" t="s">
        <v>2855</v>
      </c>
      <c r="BT130" s="14" t="n">
        <v>36.5333333333333</v>
      </c>
      <c r="BU130" s="14" t="n">
        <v>0.191939308592271</v>
      </c>
      <c r="BV130" s="14" t="n">
        <v>0.295395823150495</v>
      </c>
      <c r="BW130" s="14" t="n">
        <v>5767.83060829888</v>
      </c>
      <c r="BX130" s="14" t="n">
        <v>5988.06271620667</v>
      </c>
      <c r="BY130" s="14" t="n">
        <v>53.8427559935051</v>
      </c>
      <c r="BZ130" s="14" t="n">
        <v>0</v>
      </c>
      <c r="CA130" s="14" t="n">
        <v>0</v>
      </c>
      <c r="CB130" s="14" t="n">
        <v>23016.6881637296</v>
      </c>
    </row>
    <row r="131" customFormat="false" ht="15" hidden="false" customHeight="false" outlineLevel="0" collapsed="false">
      <c r="A131" s="0" t="s">
        <v>2964</v>
      </c>
      <c r="B131" s="14" t="n">
        <v>2425.32952419152</v>
      </c>
      <c r="C131" s="14" t="n">
        <v>8102.58408534655</v>
      </c>
      <c r="D131" s="14" t="n">
        <v>22384.5389654596</v>
      </c>
      <c r="E131" s="14" t="n">
        <v>4418.47387714174</v>
      </c>
      <c r="F131" s="14" t="n">
        <v>-553.226756068871</v>
      </c>
      <c r="G131" s="14" t="n">
        <v>4647.59726979675</v>
      </c>
      <c r="H131" s="14" t="n">
        <v>94973.0871301411</v>
      </c>
      <c r="I131" s="15" t="n">
        <v>252.680449685806</v>
      </c>
      <c r="J131" s="15" t="n">
        <v>285.528908144961</v>
      </c>
      <c r="K131" s="14" t="s">
        <v>60</v>
      </c>
      <c r="L131" s="14" t="n">
        <v>-7450.325523597</v>
      </c>
      <c r="M131" s="14" t="n">
        <v>27448.8516817069</v>
      </c>
      <c r="N131" s="14" t="n">
        <v>14290.3009474976</v>
      </c>
      <c r="O131" s="14" t="n">
        <v>-14279.1495958874</v>
      </c>
      <c r="P131" s="14" t="n">
        <v>969.691844413664</v>
      </c>
      <c r="Q131" s="14" t="n">
        <v>3991.14592857324</v>
      </c>
      <c r="R131" s="14" t="n">
        <v>16720.3805904838</v>
      </c>
      <c r="S131" s="14" t="n">
        <v>23731.0907793092</v>
      </c>
      <c r="T131" s="14" t="n">
        <v>-935.915277915159</v>
      </c>
      <c r="U131" s="14" t="n">
        <v>93320.6821506707</v>
      </c>
      <c r="V131" s="14" t="n">
        <v>0.953955874711187</v>
      </c>
      <c r="W131" s="14" t="n">
        <v>105966.649685657</v>
      </c>
      <c r="X131" s="14" t="n">
        <v>21588.1963360117</v>
      </c>
      <c r="Y131" s="14" t="n">
        <v>268.603002418748</v>
      </c>
      <c r="Z131" s="14" t="n">
        <v>364.591862810301</v>
      </c>
      <c r="AA131" s="14" t="n">
        <v>34.8673009068098</v>
      </c>
      <c r="AB131" s="14" t="n">
        <v>32.0548009068098</v>
      </c>
      <c r="AC131" s="14" t="n">
        <v>34.1173009068098</v>
      </c>
      <c r="AD131" s="14" t="n">
        <v>27.4365646479815</v>
      </c>
      <c r="AE131" s="14" t="n">
        <v>653.269421736173</v>
      </c>
      <c r="AF131" s="14" t="n">
        <v>0.03</v>
      </c>
      <c r="AG131" s="14" t="n">
        <v>0.720643228644756</v>
      </c>
      <c r="AH131" s="14" t="n">
        <v>8841.38090069497</v>
      </c>
      <c r="AI131" s="14" t="n">
        <v>22384.5389654596</v>
      </c>
      <c r="AJ131" s="14" t="n">
        <v>22.221</v>
      </c>
      <c r="AK131" s="14" t="n">
        <v>0</v>
      </c>
      <c r="AL131" s="14" t="n">
        <v>-22517.0171292255</v>
      </c>
      <c r="AM131" s="14" t="n">
        <v>684.5</v>
      </c>
      <c r="AN131" s="14" t="n">
        <v>37058.5514176057</v>
      </c>
      <c r="AO131" s="14" t="n">
        <v>0</v>
      </c>
      <c r="AP131" s="14" t="n">
        <v>0.584492204233371</v>
      </c>
      <c r="AQ131" s="14" t="n">
        <v>252.087930594418</v>
      </c>
      <c r="AR131" s="14" t="n">
        <v>369.317364077027</v>
      </c>
      <c r="AS131" s="14" t="n">
        <v>369.32292255578</v>
      </c>
      <c r="AT131" s="14" t="n">
        <v>-7450.325523597</v>
      </c>
      <c r="AU131" s="14" t="n">
        <v>0</v>
      </c>
      <c r="AV131" s="14" t="n">
        <v>0</v>
      </c>
      <c r="AW131" s="14" t="n">
        <v>2275.5</v>
      </c>
      <c r="AX131" s="14" t="n">
        <v>369.32292255578</v>
      </c>
      <c r="AY131" s="14" t="n">
        <v>338.253040504106</v>
      </c>
      <c r="AZ131" s="14" t="n">
        <v>7255.12404870227</v>
      </c>
      <c r="BA131" s="14" t="n">
        <v>20.9397862045961</v>
      </c>
      <c r="BB131" s="14" t="n">
        <v>29.4052872793036</v>
      </c>
      <c r="BC131" s="14" t="n">
        <v>29.9609747091887</v>
      </c>
      <c r="BD131" s="14" t="n">
        <v>-6.60619313427753</v>
      </c>
      <c r="BE131" s="14" t="n">
        <v>3.66224269082016</v>
      </c>
      <c r="BF131" s="14" t="n">
        <v>3.759910984945</v>
      </c>
      <c r="BG131" s="14" t="n">
        <v>14.0283468100427</v>
      </c>
      <c r="BH131" s="14" t="n">
        <v>8.79460973826781</v>
      </c>
      <c r="BI131" s="14" t="n">
        <v>23.1478112543334</v>
      </c>
      <c r="BJ131" s="14" t="n">
        <v>5.11489923648504</v>
      </c>
      <c r="BK131" s="14" t="n">
        <v>6.14038025700283</v>
      </c>
      <c r="BL131" s="14" t="n">
        <v>6.42123287671233</v>
      </c>
      <c r="BM131" s="14" t="n">
        <v>7672.79585778466</v>
      </c>
      <c r="BN131" s="14" t="n">
        <v>8070.21734831632</v>
      </c>
      <c r="BO131" s="14" t="n">
        <v>8070.21734831632</v>
      </c>
      <c r="BP131" s="14" t="n">
        <v>369.317364077027</v>
      </c>
      <c r="BQ131" s="14" t="n">
        <v>292.4</v>
      </c>
      <c r="BR131" s="14" t="n">
        <v>950</v>
      </c>
      <c r="BS131" s="14" t="s">
        <v>2855</v>
      </c>
      <c r="BT131" s="14" t="n">
        <v>36.5333333333333</v>
      </c>
      <c r="BU131" s="14" t="n">
        <v>0.191939308592271</v>
      </c>
      <c r="BV131" s="14" t="n">
        <v>0.295395823150495</v>
      </c>
      <c r="BW131" s="14" t="n">
        <v>5767.83060829888</v>
      </c>
      <c r="BX131" s="14" t="n">
        <v>5988.06271620667</v>
      </c>
      <c r="BY131" s="14" t="n">
        <v>54.3404373549053</v>
      </c>
      <c r="BZ131" s="14" t="n">
        <v>0</v>
      </c>
      <c r="CA131" s="14" t="n">
        <v>0</v>
      </c>
      <c r="CB131" s="14" t="n">
        <v>23011.4588748275</v>
      </c>
    </row>
    <row r="132" customFormat="false" ht="15" hidden="false" customHeight="false" outlineLevel="0" collapsed="false">
      <c r="A132" s="0" t="s">
        <v>2965</v>
      </c>
      <c r="B132" s="14" t="n">
        <v>2425.32952419152</v>
      </c>
      <c r="C132" s="14" t="n">
        <v>8140.65856246629</v>
      </c>
      <c r="D132" s="14" t="n">
        <v>24633.6289824031</v>
      </c>
      <c r="E132" s="14" t="n">
        <v>4445.50675589675</v>
      </c>
      <c r="F132" s="14" t="n">
        <v>-527.747013625091</v>
      </c>
      <c r="G132" s="14" t="n">
        <v>4647.62742702319</v>
      </c>
      <c r="H132" s="14" t="n">
        <v>153790.482948217</v>
      </c>
      <c r="I132" s="15" t="n">
        <v>406.650160815998</v>
      </c>
      <c r="J132" s="15" t="n">
        <v>459.514681722077</v>
      </c>
      <c r="K132" s="14" t="s">
        <v>60</v>
      </c>
      <c r="L132" s="14" t="n">
        <v>-7423.77977623466</v>
      </c>
      <c r="M132" s="14" t="n">
        <v>27449.6131712493</v>
      </c>
      <c r="N132" s="14" t="n">
        <v>15999.6093603747</v>
      </c>
      <c r="O132" s="14" t="n">
        <v>-12992.7392390237</v>
      </c>
      <c r="P132" s="14" t="n">
        <v>969.691844413664</v>
      </c>
      <c r="Q132" s="14" t="n">
        <v>5608.06663457559</v>
      </c>
      <c r="R132" s="14" t="n">
        <v>16720.3805904838</v>
      </c>
      <c r="S132" s="14" t="n">
        <v>23776.0725796481</v>
      </c>
      <c r="T132" s="14" t="n">
        <v>-935.915277915159</v>
      </c>
      <c r="U132" s="14" t="n">
        <v>157905.908577045</v>
      </c>
      <c r="V132" s="14" t="n">
        <v>0.953955874711187</v>
      </c>
      <c r="W132" s="14" t="n">
        <v>157013.820806255</v>
      </c>
      <c r="X132" s="14" t="n">
        <v>21809.2435106719</v>
      </c>
      <c r="Y132" s="14" t="n">
        <v>432.275050424605</v>
      </c>
      <c r="Z132" s="14" t="n">
        <v>586.75429709092</v>
      </c>
      <c r="AA132" s="14" t="n">
        <v>34.8673009068098</v>
      </c>
      <c r="AB132" s="14" t="n">
        <v>32.0548009068098</v>
      </c>
      <c r="AC132" s="14" t="n">
        <v>34.1173009068098</v>
      </c>
      <c r="AD132" s="14" t="n">
        <v>34.8673009068098</v>
      </c>
      <c r="AE132" s="14" t="n">
        <v>653.269421736173</v>
      </c>
      <c r="AF132" s="14" t="n">
        <v>0.03</v>
      </c>
      <c r="AG132" s="14" t="n">
        <v>0.735279083404202</v>
      </c>
      <c r="AH132" s="14" t="n">
        <v>8841.38090069497</v>
      </c>
      <c r="AI132" s="14" t="n">
        <v>24633.6289824031</v>
      </c>
      <c r="AJ132" s="14" t="n">
        <v>22.221</v>
      </c>
      <c r="AK132" s="14" t="n">
        <v>0</v>
      </c>
      <c r="AL132" s="14" t="n">
        <v>-18824.8852759793</v>
      </c>
      <c r="AM132" s="14" t="n">
        <v>684.5</v>
      </c>
      <c r="AN132" s="14" t="n">
        <v>37202.1645544491</v>
      </c>
      <c r="AO132" s="14" t="n">
        <v>0</v>
      </c>
      <c r="AP132" s="14" t="n">
        <v>0.584492204233371</v>
      </c>
      <c r="AQ132" s="14" t="n">
        <v>406.650160815998</v>
      </c>
      <c r="AR132" s="14" t="n">
        <v>388.308978558341</v>
      </c>
      <c r="AS132" s="14" t="n">
        <v>388.308978558341</v>
      </c>
      <c r="AT132" s="14" t="n">
        <v>-7423.77977623466</v>
      </c>
      <c r="AU132" s="14" t="n">
        <v>0</v>
      </c>
      <c r="AV132" s="14" t="n">
        <v>0</v>
      </c>
      <c r="AW132" s="14" t="n">
        <v>2275.5</v>
      </c>
      <c r="AX132" s="14" t="n">
        <v>388.308978558341</v>
      </c>
      <c r="AY132" s="14" t="n">
        <v>354.819301954075</v>
      </c>
      <c r="AZ132" s="14" t="n">
        <v>7518.39721148737</v>
      </c>
      <c r="BA132" s="14" t="n">
        <v>21.7757724170863</v>
      </c>
      <c r="BB132" s="14" t="n">
        <v>30.2412734917937</v>
      </c>
      <c r="BC132" s="14" t="n">
        <v>30.7969609216789</v>
      </c>
      <c r="BD132" s="14" t="n">
        <v>-6.60619313427753</v>
      </c>
      <c r="BE132" s="14" t="n">
        <v>3.66224269082016</v>
      </c>
      <c r="BF132" s="14" t="n">
        <v>3.759910984945</v>
      </c>
      <c r="BG132" s="14" t="n">
        <v>14.0283468100427</v>
      </c>
      <c r="BH132" s="14" t="n">
        <v>8.79460973826781</v>
      </c>
      <c r="BI132" s="14" t="n">
        <v>23.1478112543334</v>
      </c>
      <c r="BJ132" s="14" t="n">
        <v>5.11489923648504</v>
      </c>
      <c r="BK132" s="14" t="n">
        <v>6.14038025700283</v>
      </c>
      <c r="BL132" s="14" t="n">
        <v>6.42123287671233</v>
      </c>
      <c r="BM132" s="14" t="n">
        <v>7672.79585778466</v>
      </c>
      <c r="BN132" s="14" t="n">
        <v>8108.29182543605</v>
      </c>
      <c r="BO132" s="14" t="n">
        <v>8108.29182543605</v>
      </c>
      <c r="BP132" s="14" t="n">
        <v>388.308978558341</v>
      </c>
      <c r="BQ132" s="14" t="n">
        <v>292.4</v>
      </c>
      <c r="BR132" s="14" t="n">
        <v>950</v>
      </c>
      <c r="BS132" s="14" t="s">
        <v>2855</v>
      </c>
      <c r="BT132" s="14" t="n">
        <v>36.5333333333333</v>
      </c>
      <c r="BU132" s="14" t="n">
        <v>0.191939308592271</v>
      </c>
      <c r="BV132" s="14" t="n">
        <v>0.295395823150495</v>
      </c>
      <c r="BW132" s="14" t="n">
        <v>0</v>
      </c>
      <c r="BX132" s="14" t="n">
        <v>0</v>
      </c>
      <c r="BY132" s="14" t="n">
        <v>46.3900997720914</v>
      </c>
      <c r="BZ132" s="14" t="n">
        <v>0</v>
      </c>
      <c r="CA132" s="14" t="n">
        <v>0</v>
      </c>
      <c r="CB132" s="14" t="n">
        <v>23029.0700414318</v>
      </c>
    </row>
    <row r="133" customFormat="false" ht="15" hidden="false" customHeight="false" outlineLevel="0" collapsed="false">
      <c r="A133" s="0" t="s">
        <v>2966</v>
      </c>
      <c r="B133" s="14" t="n">
        <v>2425.32952419152</v>
      </c>
      <c r="C133" s="14" t="n">
        <v>8140.65856246629</v>
      </c>
      <c r="D133" s="14" t="n">
        <v>24633.6289824031</v>
      </c>
      <c r="E133" s="14" t="n">
        <v>4447.42081839675</v>
      </c>
      <c r="F133" s="14" t="n">
        <v>-525.832951125091</v>
      </c>
      <c r="G133" s="14" t="n">
        <v>4647.62742702319</v>
      </c>
      <c r="H133" s="14" t="n">
        <v>154026.094527843</v>
      </c>
      <c r="I133" s="15" t="n">
        <v>407.254636485315</v>
      </c>
      <c r="J133" s="15" t="n">
        <v>460.197739228406</v>
      </c>
      <c r="K133" s="14" t="s">
        <v>60</v>
      </c>
      <c r="L133" s="14" t="n">
        <v>-7421.86571373466</v>
      </c>
      <c r="M133" s="14" t="n">
        <v>27449.6131712493</v>
      </c>
      <c r="N133" s="14" t="n">
        <v>16022.5781103747</v>
      </c>
      <c r="O133" s="14" t="n">
        <v>-12973.8480973641</v>
      </c>
      <c r="P133" s="14" t="n">
        <v>969.691844413664</v>
      </c>
      <c r="Q133" s="14" t="n">
        <v>5631.03538457559</v>
      </c>
      <c r="R133" s="14" t="n">
        <v>16720.3805904838</v>
      </c>
      <c r="S133" s="14" t="n">
        <v>23776.0725796481</v>
      </c>
      <c r="T133" s="14" t="n">
        <v>-935.915277915159</v>
      </c>
      <c r="U133" s="14" t="n">
        <v>158141.520156672</v>
      </c>
      <c r="V133" s="14" t="n">
        <v>0.953955874711187</v>
      </c>
      <c r="W133" s="14" t="n">
        <v>157201.759247513</v>
      </c>
      <c r="X133" s="14" t="n">
        <v>21809.2435106719</v>
      </c>
      <c r="Y133" s="14" t="n">
        <v>432.917616875115</v>
      </c>
      <c r="Z133" s="14" t="n">
        <v>587.626493220752</v>
      </c>
      <c r="AA133" s="14" t="n">
        <v>34.8673009068098</v>
      </c>
      <c r="AB133" s="14" t="n">
        <v>32.6673009068098</v>
      </c>
      <c r="AC133" s="14" t="n">
        <v>34.1173009068098</v>
      </c>
      <c r="AD133" s="14" t="n">
        <v>34.8673009068098</v>
      </c>
      <c r="AE133" s="14" t="n">
        <v>653.269421736173</v>
      </c>
      <c r="AF133" s="14" t="n">
        <v>0.03</v>
      </c>
      <c r="AG133" s="14" t="n">
        <v>0.73576675769493</v>
      </c>
      <c r="AH133" s="14" t="n">
        <v>8841.38090069497</v>
      </c>
      <c r="AI133" s="14" t="n">
        <v>24633.6289824031</v>
      </c>
      <c r="AJ133" s="14" t="n">
        <v>22.221</v>
      </c>
      <c r="AK133" s="14" t="n">
        <v>0</v>
      </c>
      <c r="AL133" s="14" t="n">
        <v>-18789.018794798</v>
      </c>
      <c r="AM133" s="14" t="n">
        <v>684.5</v>
      </c>
      <c r="AN133" s="14" t="n">
        <v>37202.1645544491</v>
      </c>
      <c r="AO133" s="14" t="n">
        <v>0</v>
      </c>
      <c r="AP133" s="14" t="n">
        <v>0.584492204233371</v>
      </c>
      <c r="AQ133" s="14" t="n">
        <v>407.254636485315</v>
      </c>
      <c r="AR133" s="14" t="n">
        <v>388.311159625985</v>
      </c>
      <c r="AS133" s="14" t="n">
        <v>388.311159625985</v>
      </c>
      <c r="AT133" s="14" t="n">
        <v>-7421.86571373466</v>
      </c>
      <c r="AU133" s="14" t="n">
        <v>0</v>
      </c>
      <c r="AV133" s="14" t="n">
        <v>0</v>
      </c>
      <c r="AW133" s="14" t="n">
        <v>2275.5</v>
      </c>
      <c r="AX133" s="14" t="n">
        <v>388.311159625985</v>
      </c>
      <c r="AY133" s="14" t="n">
        <v>354.871190730034</v>
      </c>
      <c r="AZ133" s="14" t="n">
        <v>7533.08365926308</v>
      </c>
      <c r="BA133" s="14" t="n">
        <v>21.8224071280499</v>
      </c>
      <c r="BB133" s="14" t="n">
        <v>30.2879082027573</v>
      </c>
      <c r="BC133" s="14" t="n">
        <v>30.8435956326425</v>
      </c>
      <c r="BD133" s="14" t="n">
        <v>-6.60619313427753</v>
      </c>
      <c r="BE133" s="14" t="n">
        <v>3.66224269082016</v>
      </c>
      <c r="BF133" s="14" t="n">
        <v>3.759910984945</v>
      </c>
      <c r="BG133" s="14" t="n">
        <v>14.0283468100427</v>
      </c>
      <c r="BH133" s="14" t="n">
        <v>8.79460973826781</v>
      </c>
      <c r="BI133" s="14" t="n">
        <v>23.1478112543334</v>
      </c>
      <c r="BJ133" s="14" t="n">
        <v>5.11489923648504</v>
      </c>
      <c r="BK133" s="14" t="n">
        <v>6.14038025700283</v>
      </c>
      <c r="BL133" s="14" t="n">
        <v>6.42123287671233</v>
      </c>
      <c r="BM133" s="14" t="n">
        <v>7672.79585778466</v>
      </c>
      <c r="BN133" s="14" t="n">
        <v>8108.29182543605</v>
      </c>
      <c r="BO133" s="14" t="n">
        <v>8108.29182543605</v>
      </c>
      <c r="BP133" s="14" t="n">
        <v>388.311159625985</v>
      </c>
      <c r="BQ133" s="14" t="n">
        <v>292.4</v>
      </c>
      <c r="BR133" s="14" t="n">
        <v>950</v>
      </c>
      <c r="BS133" s="14" t="s">
        <v>2855</v>
      </c>
      <c r="BT133" s="14" t="n">
        <v>36.5333333333333</v>
      </c>
      <c r="BU133" s="14" t="n">
        <v>0.191939308592271</v>
      </c>
      <c r="BV133" s="14" t="n">
        <v>0.295395823150495</v>
      </c>
      <c r="BW133" s="14" t="n">
        <v>0</v>
      </c>
      <c r="BX133" s="14" t="n">
        <v>0</v>
      </c>
      <c r="BY133" s="14" t="n">
        <v>46.3122420997438</v>
      </c>
      <c r="BZ133" s="14" t="n">
        <v>0</v>
      </c>
      <c r="CA133" s="14" t="n">
        <v>0</v>
      </c>
      <c r="CB133" s="14" t="n">
        <v>23029.0700414318</v>
      </c>
    </row>
    <row r="134" customFormat="false" ht="15" hidden="false" customHeight="false" outlineLevel="0" collapsed="false">
      <c r="A134" s="0" t="s">
        <v>2967</v>
      </c>
      <c r="B134" s="14" t="n">
        <v>2425.32952419152</v>
      </c>
      <c r="C134" s="14" t="n">
        <v>8140.65856246629</v>
      </c>
      <c r="D134" s="14" t="n">
        <v>24633.6289824031</v>
      </c>
      <c r="E134" s="14" t="n">
        <v>4447.42081839675</v>
      </c>
      <c r="F134" s="14" t="n">
        <v>-525.832951125091</v>
      </c>
      <c r="G134" s="14" t="n">
        <v>4647.62742702319</v>
      </c>
      <c r="H134" s="14" t="n">
        <v>125819.565275191</v>
      </c>
      <c r="I134" s="15" t="n">
        <v>334.889090292108</v>
      </c>
      <c r="J134" s="15" t="n">
        <v>378.424672030081</v>
      </c>
      <c r="K134" s="14" t="s">
        <v>60</v>
      </c>
      <c r="L134" s="14" t="n">
        <v>-7421.86571373466</v>
      </c>
      <c r="M134" s="14" t="n">
        <v>27449.6131712493</v>
      </c>
      <c r="N134" s="14" t="n">
        <v>16022.5781103747</v>
      </c>
      <c r="O134" s="14" t="n">
        <v>-12973.8480973641</v>
      </c>
      <c r="P134" s="14" t="n">
        <v>969.691844413664</v>
      </c>
      <c r="Q134" s="14" t="n">
        <v>5631.03538457559</v>
      </c>
      <c r="R134" s="14" t="n">
        <v>16720.3805904838</v>
      </c>
      <c r="S134" s="14" t="n">
        <v>23776.0725796481</v>
      </c>
      <c r="T134" s="14" t="n">
        <v>-935.915277915159</v>
      </c>
      <c r="U134" s="14" t="n">
        <v>129934.99090402</v>
      </c>
      <c r="V134" s="14" t="n">
        <v>0.953955874711187</v>
      </c>
      <c r="W134" s="14" t="n">
        <v>128995.229994862</v>
      </c>
      <c r="X134" s="14" t="n">
        <v>25322.0259848591</v>
      </c>
      <c r="Y134" s="14" t="n">
        <v>355.991986089916</v>
      </c>
      <c r="Z134" s="14" t="n">
        <v>483.210463715211</v>
      </c>
      <c r="AA134" s="14" t="n">
        <v>34.8673009068098</v>
      </c>
      <c r="AB134" s="14" t="n">
        <v>32.6673009068098</v>
      </c>
      <c r="AC134" s="14" t="n">
        <v>34.1173009068098</v>
      </c>
      <c r="AD134" s="14" t="n">
        <v>34.8673009068098</v>
      </c>
      <c r="AE134" s="14" t="n">
        <v>653.269421736173</v>
      </c>
      <c r="AF134" s="14" t="n">
        <v>0.03</v>
      </c>
      <c r="AG134" s="14" t="n">
        <v>0.73576675769493</v>
      </c>
      <c r="AH134" s="14" t="n">
        <v>8841.38090069497</v>
      </c>
      <c r="AI134" s="14" t="n">
        <v>24633.6289824031</v>
      </c>
      <c r="AJ134" s="14" t="n">
        <v>22.221</v>
      </c>
      <c r="AK134" s="14" t="n">
        <v>0</v>
      </c>
      <c r="AL134" s="14" t="n">
        <v>-18789.018794798</v>
      </c>
      <c r="AM134" s="14" t="n">
        <v>684.5</v>
      </c>
      <c r="AN134" s="14" t="n">
        <v>37202.1645544491</v>
      </c>
      <c r="AO134" s="14" t="n">
        <v>0</v>
      </c>
      <c r="AP134" s="14" t="n">
        <v>0.584492204233371</v>
      </c>
      <c r="AQ134" s="14" t="n">
        <v>334.889090292108</v>
      </c>
      <c r="AR134" s="14" t="n">
        <v>387.994099152899</v>
      </c>
      <c r="AS134" s="14" t="n">
        <v>387.994099152899</v>
      </c>
      <c r="AT134" s="14" t="n">
        <v>-7421.86571373466</v>
      </c>
      <c r="AU134" s="14" t="n">
        <v>0</v>
      </c>
      <c r="AV134" s="14" t="n">
        <v>0</v>
      </c>
      <c r="AW134" s="14" t="n">
        <v>2275.5</v>
      </c>
      <c r="AX134" s="14" t="n">
        <v>387.994099152899</v>
      </c>
      <c r="AY134" s="14" t="n">
        <v>347.328151017885</v>
      </c>
      <c r="AZ134" s="14" t="n">
        <v>7533.08365926308</v>
      </c>
      <c r="BA134" s="14" t="n">
        <v>21.8224071280499</v>
      </c>
      <c r="BB134" s="14" t="n">
        <v>30.2879082027573</v>
      </c>
      <c r="BC134" s="14" t="n">
        <v>30.8435956326425</v>
      </c>
      <c r="BD134" s="14" t="n">
        <v>-6.60619313427753</v>
      </c>
      <c r="BE134" s="14" t="n">
        <v>3.66224269082016</v>
      </c>
      <c r="BF134" s="14" t="n">
        <v>3.759910984945</v>
      </c>
      <c r="BG134" s="14" t="n">
        <v>14.0283468100427</v>
      </c>
      <c r="BH134" s="14" t="n">
        <v>8.79460973826781</v>
      </c>
      <c r="BI134" s="14" t="n">
        <v>23.1478112543334</v>
      </c>
      <c r="BJ134" s="14" t="n">
        <v>5.11489923648504</v>
      </c>
      <c r="BK134" s="14" t="n">
        <v>6.14038025700283</v>
      </c>
      <c r="BL134" s="14" t="n">
        <v>6.42123287671233</v>
      </c>
      <c r="BM134" s="14" t="n">
        <v>7672.79585778466</v>
      </c>
      <c r="BN134" s="14" t="n">
        <v>8108.29182543605</v>
      </c>
      <c r="BO134" s="14" t="n">
        <v>8108.29182543605</v>
      </c>
      <c r="BP134" s="14" t="n">
        <v>387.994099152899</v>
      </c>
      <c r="BQ134" s="14" t="n">
        <v>292.4</v>
      </c>
      <c r="BR134" s="14" t="n">
        <v>950</v>
      </c>
      <c r="BS134" s="14" t="s">
        <v>2855</v>
      </c>
      <c r="BT134" s="14" t="n">
        <v>36.5333333333333</v>
      </c>
      <c r="BU134" s="14" t="n">
        <v>0.191939308592271</v>
      </c>
      <c r="BV134" s="14" t="n">
        <v>0.295395823150495</v>
      </c>
      <c r="BW134" s="14" t="n">
        <v>0</v>
      </c>
      <c r="BX134" s="14" t="n">
        <v>0</v>
      </c>
      <c r="BY134" s="14" t="n">
        <v>46.3122420997438</v>
      </c>
      <c r="BZ134" s="14" t="n">
        <v>0</v>
      </c>
      <c r="CA134" s="14" t="n">
        <v>0</v>
      </c>
      <c r="CB134" s="14" t="n">
        <v>23029.0700414318</v>
      </c>
    </row>
    <row r="135" customFormat="false" ht="15" hidden="false" customHeight="false" outlineLevel="0" collapsed="false">
      <c r="A135" s="0" t="s">
        <v>2968</v>
      </c>
      <c r="B135" s="14" t="n">
        <v>2425.32952419152</v>
      </c>
      <c r="C135" s="14" t="n">
        <v>7324.95218380129</v>
      </c>
      <c r="D135" s="14" t="n">
        <v>19028.3078080523</v>
      </c>
      <c r="E135" s="14" t="n">
        <v>3868.2692895446</v>
      </c>
      <c r="F135" s="14" t="n">
        <v>-1071.49279431844</v>
      </c>
      <c r="G135" s="14" t="n">
        <v>4646.76399651099</v>
      </c>
      <c r="H135" s="14" t="n">
        <v>33183.3882652029</v>
      </c>
      <c r="I135" s="15" t="n">
        <v>74.9690296942112</v>
      </c>
      <c r="J135" s="15" t="n">
        <v>84.7150035544587</v>
      </c>
      <c r="K135" s="14" t="s">
        <v>60</v>
      </c>
      <c r="L135" s="14" t="n">
        <v>-7990.82841296473</v>
      </c>
      <c r="M135" s="14" t="n">
        <v>27433.299043676</v>
      </c>
      <c r="N135" s="14" t="n">
        <v>11762.5340178681</v>
      </c>
      <c r="O135" s="14" t="n">
        <v>-16718.8222193814</v>
      </c>
      <c r="P135" s="14" t="n">
        <v>969.691844413664</v>
      </c>
      <c r="Q135" s="14" t="n">
        <v>1604.61940184778</v>
      </c>
      <c r="R135" s="14" t="n">
        <v>16720.3805904838</v>
      </c>
      <c r="S135" s="14" t="n">
        <v>23663.966156161</v>
      </c>
      <c r="T135" s="14" t="n">
        <v>-935.915277915159</v>
      </c>
      <c r="U135" s="14" t="n">
        <v>23864.6361404347</v>
      </c>
      <c r="V135" s="14" t="n">
        <v>0.953955874711187</v>
      </c>
      <c r="W135" s="14" t="n">
        <v>53328.4441014675</v>
      </c>
      <c r="X135" s="14" t="n">
        <v>21755.0559571894</v>
      </c>
      <c r="Y135" s="14" t="n">
        <v>79.6931717088699</v>
      </c>
      <c r="Z135" s="14" t="n">
        <v>108.172588038688</v>
      </c>
      <c r="AA135" s="14" t="n">
        <v>34.8673009068098</v>
      </c>
      <c r="AB135" s="14" t="n">
        <v>32.6673009068098</v>
      </c>
      <c r="AC135" s="14" t="n">
        <v>34.1173009068098</v>
      </c>
      <c r="AD135" s="14" t="n">
        <v>34.8673009068098</v>
      </c>
      <c r="AE135" s="14" t="n">
        <v>653.269421736173</v>
      </c>
      <c r="AF135" s="14" t="n">
        <v>0.03</v>
      </c>
      <c r="AG135" s="14" t="n">
        <v>0.699339352532185</v>
      </c>
      <c r="AH135" s="14" t="n">
        <v>8841.38090069497</v>
      </c>
      <c r="AI135" s="14" t="n">
        <v>19028.3078080523</v>
      </c>
      <c r="AJ135" s="14" t="n">
        <v>22.221</v>
      </c>
      <c r="AK135" s="14" t="n">
        <v>0</v>
      </c>
      <c r="AL135" s="14" t="n">
        <v>-27749.7500387184</v>
      </c>
      <c r="AM135" s="14" t="n">
        <v>684.5</v>
      </c>
      <c r="AN135" s="14" t="n">
        <v>36892.6010399923</v>
      </c>
      <c r="AO135" s="14" t="n">
        <v>0</v>
      </c>
      <c r="AP135" s="14" t="n">
        <v>0.584492204233371</v>
      </c>
      <c r="AQ135" s="14" t="n">
        <v>73.3526585156911</v>
      </c>
      <c r="AR135" s="14" t="n">
        <v>318.3265975</v>
      </c>
      <c r="AS135" s="14" t="n">
        <v>318.3265975</v>
      </c>
      <c r="AT135" s="14" t="n">
        <v>-7990.82841296473</v>
      </c>
      <c r="AU135" s="14" t="n">
        <v>0</v>
      </c>
      <c r="AV135" s="14" t="n">
        <v>0</v>
      </c>
      <c r="AW135" s="14" t="n">
        <v>2275.5</v>
      </c>
      <c r="AX135" s="14" t="n">
        <v>318.3265975</v>
      </c>
      <c r="AY135" s="14" t="n">
        <v>315.866853470283</v>
      </c>
      <c r="AZ135" s="14" t="n">
        <v>6735.53411620271</v>
      </c>
      <c r="BA135" s="14" t="n">
        <v>19.289902809254</v>
      </c>
      <c r="BB135" s="14" t="n">
        <v>27.7554038839614</v>
      </c>
      <c r="BC135" s="14" t="n">
        <v>28.3110913138465</v>
      </c>
      <c r="BD135" s="14" t="n">
        <v>-6.60619313427753</v>
      </c>
      <c r="BE135" s="14" t="n">
        <v>3.66224269082016</v>
      </c>
      <c r="BF135" s="14" t="n">
        <v>3.759910984945</v>
      </c>
      <c r="BG135" s="14" t="n">
        <v>14.0283468100427</v>
      </c>
      <c r="BH135" s="14" t="n">
        <v>8.79460973826781</v>
      </c>
      <c r="BI135" s="14" t="n">
        <v>23.1478112543334</v>
      </c>
      <c r="BJ135" s="14" t="n">
        <v>5.11489923648504</v>
      </c>
      <c r="BK135" s="14" t="n">
        <v>6.14038025700283</v>
      </c>
      <c r="BL135" s="14" t="n">
        <v>6.42123287671233</v>
      </c>
      <c r="BM135" s="14" t="n">
        <v>7672.79585778466</v>
      </c>
      <c r="BN135" s="14" t="n">
        <v>7292.58544677106</v>
      </c>
      <c r="BO135" s="14" t="n">
        <v>7292.58544677106</v>
      </c>
      <c r="BP135" s="14" t="n">
        <v>318.3265975</v>
      </c>
      <c r="BQ135" s="14" t="n">
        <v>292.4</v>
      </c>
      <c r="BR135" s="14" t="n">
        <v>950</v>
      </c>
      <c r="BS135" s="14" t="s">
        <v>2855</v>
      </c>
      <c r="BT135" s="14" t="n">
        <v>36.5333333333333</v>
      </c>
      <c r="BU135" s="14" t="n">
        <v>0.191939308592271</v>
      </c>
      <c r="BV135" s="14" t="n">
        <v>0.295395823150495</v>
      </c>
      <c r="BW135" s="14" t="n">
        <v>13434.1777535968</v>
      </c>
      <c r="BX135" s="14" t="n">
        <v>13948.7116911521</v>
      </c>
      <c r="BY135" s="14" t="n">
        <v>65.7318122220085</v>
      </c>
      <c r="BZ135" s="14" t="n">
        <v>0</v>
      </c>
      <c r="CA135" s="14" t="n">
        <v>0</v>
      </c>
      <c r="CB135" s="14" t="n">
        <v>22979.6281292735</v>
      </c>
    </row>
    <row r="136" customFormat="false" ht="15" hidden="false" customHeight="false" outlineLevel="0" collapsed="false">
      <c r="A136" s="0" t="s">
        <v>2969</v>
      </c>
      <c r="B136" s="14" t="n">
        <v>2425.32952419152</v>
      </c>
      <c r="C136" s="14" t="n">
        <v>7324.95218380129</v>
      </c>
      <c r="D136" s="14" t="n">
        <v>19028.3078080523</v>
      </c>
      <c r="E136" s="14" t="n">
        <v>3868.2692895446</v>
      </c>
      <c r="F136" s="14" t="n">
        <v>-1071.49279431844</v>
      </c>
      <c r="G136" s="14" t="n">
        <v>4646.76399651099</v>
      </c>
      <c r="H136" s="14" t="n">
        <v>31884.6536769429</v>
      </c>
      <c r="I136" s="15" t="n">
        <v>70.8733469173191</v>
      </c>
      <c r="J136" s="15" t="n">
        <v>80.0868820165706</v>
      </c>
      <c r="K136" s="14" t="s">
        <v>60</v>
      </c>
      <c r="L136" s="14" t="n">
        <v>-8050.05808914412</v>
      </c>
      <c r="M136" s="14" t="n">
        <v>27433.299043676</v>
      </c>
      <c r="N136" s="14" t="n">
        <v>11762.5340178681</v>
      </c>
      <c r="O136" s="14" t="n">
        <v>-16945.8383279814</v>
      </c>
      <c r="P136" s="14" t="n">
        <v>969.691844413664</v>
      </c>
      <c r="Q136" s="14" t="n">
        <v>1604.61940184778</v>
      </c>
      <c r="R136" s="14" t="n">
        <v>16720.3805904838</v>
      </c>
      <c r="S136" s="14" t="n">
        <v>23663.966156161</v>
      </c>
      <c r="T136" s="14" t="n">
        <v>-935.915277915159</v>
      </c>
      <c r="U136" s="14" t="n">
        <v>22560.8713776273</v>
      </c>
      <c r="V136" s="14" t="n">
        <v>0.953955874711187</v>
      </c>
      <c r="W136" s="14" t="n">
        <v>53328.4441014675</v>
      </c>
      <c r="X136" s="14" t="n">
        <v>21755.0559571894</v>
      </c>
      <c r="Y136" s="14" t="n">
        <v>75.339401196763</v>
      </c>
      <c r="Z136" s="14" t="n">
        <v>102.262939646959</v>
      </c>
      <c r="AA136" s="14" t="n">
        <v>34.8673009068098</v>
      </c>
      <c r="AB136" s="14" t="n">
        <v>32.6673009068098</v>
      </c>
      <c r="AC136" s="14" t="n">
        <v>34.1173009068098</v>
      </c>
      <c r="AD136" s="14" t="n">
        <v>34.8673009068098</v>
      </c>
      <c r="AE136" s="14" t="n">
        <v>653.269421736173</v>
      </c>
      <c r="AF136" s="14" t="n">
        <v>0.03</v>
      </c>
      <c r="AG136" s="14" t="n">
        <v>0.699339352532185</v>
      </c>
      <c r="AH136" s="14" t="n">
        <v>8830.63704054368</v>
      </c>
      <c r="AI136" s="14" t="n">
        <v>19028.3078080523</v>
      </c>
      <c r="AJ136" s="14" t="n">
        <v>22.221</v>
      </c>
      <c r="AK136" s="14" t="n">
        <v>0</v>
      </c>
      <c r="AL136" s="14" t="n">
        <v>-28185.8483042225</v>
      </c>
      <c r="AM136" s="14" t="n">
        <v>684.5</v>
      </c>
      <c r="AN136" s="14" t="n">
        <v>34565.685</v>
      </c>
      <c r="AO136" s="14" t="n">
        <v>0</v>
      </c>
      <c r="AP136" s="14" t="n">
        <v>0.584492204233371</v>
      </c>
      <c r="AQ136" s="14" t="n">
        <v>69.256975738799</v>
      </c>
      <c r="AR136" s="14" t="n">
        <v>318.3265975</v>
      </c>
      <c r="AS136" s="14" t="n">
        <v>318.3265975</v>
      </c>
      <c r="AT136" s="14" t="n">
        <v>-8050.05808914412</v>
      </c>
      <c r="AU136" s="14" t="n">
        <v>0</v>
      </c>
      <c r="AV136" s="14" t="n">
        <v>0</v>
      </c>
      <c r="AW136" s="14" t="n">
        <v>2275.5</v>
      </c>
      <c r="AX136" s="14" t="n">
        <v>318.3265975</v>
      </c>
      <c r="AY136" s="14" t="n">
        <v>315.724707914919</v>
      </c>
      <c r="AZ136" s="14" t="n">
        <v>6735.53411620271</v>
      </c>
      <c r="BA136" s="14" t="n">
        <v>19.2739302105905</v>
      </c>
      <c r="BB136" s="14" t="n">
        <v>27.739431285298</v>
      </c>
      <c r="BC136" s="14" t="n">
        <v>28.2951187151831</v>
      </c>
      <c r="BD136" s="14" t="n">
        <v>-6.60619313427753</v>
      </c>
      <c r="BE136" s="14" t="n">
        <v>3.66224269082016</v>
      </c>
      <c r="BF136" s="14" t="n">
        <v>3.759910984945</v>
      </c>
      <c r="BG136" s="14" t="n">
        <v>14.0283468100427</v>
      </c>
      <c r="BH136" s="14" t="n">
        <v>8.79460973826781</v>
      </c>
      <c r="BI136" s="14" t="n">
        <v>23.1478112543334</v>
      </c>
      <c r="BJ136" s="14" t="n">
        <v>5.11489923648504</v>
      </c>
      <c r="BK136" s="14" t="n">
        <v>6.14038025700283</v>
      </c>
      <c r="BL136" s="14" t="n">
        <v>6.42123287671233</v>
      </c>
      <c r="BM136" s="14" t="n">
        <v>7672.79585778466</v>
      </c>
      <c r="BN136" s="14" t="n">
        <v>7292.58544677106</v>
      </c>
      <c r="BO136" s="14" t="n">
        <v>7292.58544677106</v>
      </c>
      <c r="BP136" s="14" t="n">
        <v>318.3265975</v>
      </c>
      <c r="BQ136" s="14" t="n">
        <v>292.4</v>
      </c>
      <c r="BR136" s="14" t="n">
        <v>950</v>
      </c>
      <c r="BS136" s="14" t="s">
        <v>2855</v>
      </c>
      <c r="BT136" s="14" t="n">
        <v>36.5333333333333</v>
      </c>
      <c r="BU136" s="14" t="n">
        <v>0.191939308592271</v>
      </c>
      <c r="BV136" s="14" t="n">
        <v>0.295395823150495</v>
      </c>
      <c r="BW136" s="14" t="n">
        <v>13434.1777535968</v>
      </c>
      <c r="BX136" s="14" t="n">
        <v>13948.7116911521</v>
      </c>
      <c r="BY136" s="14" t="n">
        <v>66.6832474771298</v>
      </c>
      <c r="BZ136" s="14" t="n">
        <v>0</v>
      </c>
      <c r="CA136" s="14" t="n">
        <v>0</v>
      </c>
      <c r="CB136" s="14" t="n">
        <v>22710.765</v>
      </c>
    </row>
    <row r="137" customFormat="false" ht="15" hidden="false" customHeight="false" outlineLevel="0" collapsed="false">
      <c r="A137" s="0" t="s">
        <v>2970</v>
      </c>
      <c r="B137" s="14" t="n">
        <v>2423.40833661368</v>
      </c>
      <c r="C137" s="14" t="n">
        <v>7320.29311172376</v>
      </c>
      <c r="D137" s="14" t="n">
        <v>19024.8843100935</v>
      </c>
      <c r="E137" s="14" t="n">
        <v>3864.96134836955</v>
      </c>
      <c r="F137" s="14" t="n">
        <v>-1074.59422057469</v>
      </c>
      <c r="G137" s="14" t="n">
        <v>4646.74384447529</v>
      </c>
      <c r="H137" s="14" t="n">
        <v>31798.064615235</v>
      </c>
      <c r="I137" s="15" t="n">
        <v>70.602100873207</v>
      </c>
      <c r="J137" s="15" t="n">
        <v>79.7803739867239</v>
      </c>
      <c r="K137" s="14" t="s">
        <v>60</v>
      </c>
      <c r="L137" s="14" t="n">
        <v>-8054.44067566647</v>
      </c>
      <c r="M137" s="14" t="n">
        <v>27433.2058622345</v>
      </c>
      <c r="N137" s="14" t="n">
        <v>11759.9321594194</v>
      </c>
      <c r="O137" s="14" t="n">
        <v>-16952.1124560574</v>
      </c>
      <c r="P137" s="14" t="n">
        <v>968.519919991184</v>
      </c>
      <c r="Q137" s="14" t="n">
        <v>1602.1834171171</v>
      </c>
      <c r="R137" s="14" t="n">
        <v>16720.3421667323</v>
      </c>
      <c r="S137" s="14" t="n">
        <v>23663.8976862019</v>
      </c>
      <c r="T137" s="14" t="n">
        <v>-937.010768786052</v>
      </c>
      <c r="U137" s="14" t="n">
        <v>22474.5265473198</v>
      </c>
      <c r="V137" s="14" t="n">
        <v>0.82509878873241</v>
      </c>
      <c r="W137" s="14" t="n">
        <v>53259.1234046399</v>
      </c>
      <c r="X137" s="14" t="n">
        <v>21751.8294322891</v>
      </c>
      <c r="Y137" s="14" t="n">
        <v>75.0510626967591</v>
      </c>
      <c r="Z137" s="14" t="n">
        <v>101.871559543648</v>
      </c>
      <c r="AA137" s="14" t="n">
        <v>30.1575455502983</v>
      </c>
      <c r="AB137" s="14" t="n">
        <v>27.9575455502983</v>
      </c>
      <c r="AC137" s="14" t="n">
        <v>29.4075455502983</v>
      </c>
      <c r="AD137" s="14" t="n">
        <v>30.1575455502983</v>
      </c>
      <c r="AE137" s="14" t="n">
        <v>653.683373262198</v>
      </c>
      <c r="AF137" s="14" t="n">
        <v>0.03</v>
      </c>
      <c r="AG137" s="14" t="n">
        <v>0.699294850981936</v>
      </c>
      <c r="AH137" s="14" t="n">
        <v>8829.50567689751</v>
      </c>
      <c r="AI137" s="14" t="n">
        <v>19024.8843100935</v>
      </c>
      <c r="AJ137" s="14" t="n">
        <v>22.221</v>
      </c>
      <c r="AK137" s="14" t="n">
        <v>0</v>
      </c>
      <c r="AL137" s="14" t="n">
        <v>-28196.4358191485</v>
      </c>
      <c r="AM137" s="14" t="n">
        <v>684.5</v>
      </c>
      <c r="AN137" s="14" t="n">
        <v>34565.685</v>
      </c>
      <c r="AO137" s="14" t="n">
        <v>0</v>
      </c>
      <c r="AP137" s="14" t="n">
        <v>0.585621100500218</v>
      </c>
      <c r="AQ137" s="14" t="n">
        <v>68.9857296946869</v>
      </c>
      <c r="AR137" s="14" t="n">
        <v>318.3265975</v>
      </c>
      <c r="AS137" s="14" t="n">
        <v>318.3265975</v>
      </c>
      <c r="AT137" s="14" t="n">
        <v>-8054.44067566647</v>
      </c>
      <c r="AU137" s="14" t="n">
        <v>0</v>
      </c>
      <c r="AV137" s="14" t="n">
        <v>0</v>
      </c>
      <c r="AW137" s="14" t="n">
        <v>2275.5</v>
      </c>
      <c r="AX137" s="14" t="n">
        <v>318.3265975</v>
      </c>
      <c r="AY137" s="14" t="n">
        <v>315.714711721485</v>
      </c>
      <c r="AZ137" s="14" t="n">
        <v>6732.81520118575</v>
      </c>
      <c r="BA137" s="14" t="n">
        <v>19.2660722072837</v>
      </c>
      <c r="BB137" s="14" t="n">
        <v>27.7315732819912</v>
      </c>
      <c r="BC137" s="14" t="n">
        <v>28.2872607118763</v>
      </c>
      <c r="BD137" s="14" t="n">
        <v>-6.60619313427753</v>
      </c>
      <c r="BE137" s="14" t="n">
        <v>3.66224269082016</v>
      </c>
      <c r="BF137" s="14" t="n">
        <v>3.759910984945</v>
      </c>
      <c r="BG137" s="14" t="n">
        <v>14.0283468100427</v>
      </c>
      <c r="BH137" s="14" t="n">
        <v>8.79460973826781</v>
      </c>
      <c r="BI137" s="14" t="n">
        <v>23.1478112543334</v>
      </c>
      <c r="BJ137" s="14" t="n">
        <v>5.11489923648504</v>
      </c>
      <c r="BK137" s="14" t="n">
        <v>6.14038025700283</v>
      </c>
      <c r="BL137" s="14" t="n">
        <v>6.42123287671233</v>
      </c>
      <c r="BM137" s="14" t="n">
        <v>7672.79585778466</v>
      </c>
      <c r="BN137" s="14" t="n">
        <v>7287.92637469352</v>
      </c>
      <c r="BO137" s="14" t="n">
        <v>7287.92637469352</v>
      </c>
      <c r="BP137" s="14" t="n">
        <v>318.3265975</v>
      </c>
      <c r="BQ137" s="14" t="n">
        <v>292.4</v>
      </c>
      <c r="BR137" s="14" t="n">
        <v>950</v>
      </c>
      <c r="BS137" s="14" t="s">
        <v>2855</v>
      </c>
      <c r="BT137" s="14" t="n">
        <v>36.5333333333333</v>
      </c>
      <c r="BU137" s="14" t="n">
        <v>0.191939308592271</v>
      </c>
      <c r="BV137" s="14" t="n">
        <v>0.295395823150495</v>
      </c>
      <c r="BW137" s="14" t="n">
        <v>13434.1777535968</v>
      </c>
      <c r="BX137" s="14" t="n">
        <v>13948.7116911521</v>
      </c>
      <c r="BY137" s="14" t="n">
        <v>66.7066934966782</v>
      </c>
      <c r="BZ137" s="14" t="n">
        <v>0</v>
      </c>
      <c r="CA137" s="14" t="n">
        <v>0</v>
      </c>
      <c r="CB137" s="14" t="n">
        <v>22710.765</v>
      </c>
    </row>
    <row r="138" customFormat="false" ht="15" hidden="false" customHeight="false" outlineLevel="0" collapsed="false">
      <c r="A138" s="0" t="s">
        <v>2971</v>
      </c>
      <c r="B138" s="14" t="n">
        <v>2423.40833661368</v>
      </c>
      <c r="C138" s="14" t="n">
        <v>7320.29311172376</v>
      </c>
      <c r="D138" s="14" t="n">
        <v>19024.8843100935</v>
      </c>
      <c r="E138" s="14" t="n">
        <v>3864.96134836955</v>
      </c>
      <c r="F138" s="14" t="n">
        <v>-1074.59422057469</v>
      </c>
      <c r="G138" s="14" t="n">
        <v>4646.74384447529</v>
      </c>
      <c r="H138" s="14" t="n">
        <v>22186.9805017732</v>
      </c>
      <c r="I138" s="15" t="n">
        <v>40.2604681966795</v>
      </c>
      <c r="J138" s="15" t="n">
        <v>45.4943290622478</v>
      </c>
      <c r="K138" s="14" t="s">
        <v>60</v>
      </c>
      <c r="L138" s="14" t="n">
        <v>-8054.44067566647</v>
      </c>
      <c r="M138" s="14" t="n">
        <v>27433.2058622345</v>
      </c>
      <c r="N138" s="14" t="n">
        <v>11759.9321594194</v>
      </c>
      <c r="O138" s="14" t="n">
        <v>-16952.1124560574</v>
      </c>
      <c r="P138" s="14" t="n">
        <v>968.519919991184</v>
      </c>
      <c r="Q138" s="14" t="n">
        <v>1602.1834171171</v>
      </c>
      <c r="R138" s="14" t="n">
        <v>16720.3421667323</v>
      </c>
      <c r="S138" s="14" t="n">
        <v>23663.8976862019</v>
      </c>
      <c r="T138" s="14" t="n">
        <v>-937.010768786052</v>
      </c>
      <c r="U138" s="14" t="n">
        <v>12679.037810654</v>
      </c>
      <c r="V138" s="14" t="n">
        <v>0.82509878873241</v>
      </c>
      <c r="W138" s="14" t="n">
        <v>53259.1234046399</v>
      </c>
      <c r="X138" s="14" t="n">
        <v>21751.8294322891</v>
      </c>
      <c r="Y138" s="14" t="n">
        <v>42.7974647419669</v>
      </c>
      <c r="Z138" s="14" t="n">
        <v>58.0917087795843</v>
      </c>
      <c r="AA138" s="14" t="n">
        <v>30.1575455502983</v>
      </c>
      <c r="AB138" s="14" t="n">
        <v>27.9575455502983</v>
      </c>
      <c r="AC138" s="14" t="n">
        <v>29.4075455502983</v>
      </c>
      <c r="AD138" s="14" t="n">
        <v>30.1575455502983</v>
      </c>
      <c r="AE138" s="14" t="n">
        <v>653.683373262198</v>
      </c>
      <c r="AF138" s="14" t="n">
        <v>0.03</v>
      </c>
      <c r="AG138" s="14" t="n">
        <v>0.699294850981936</v>
      </c>
      <c r="AH138" s="14" t="n">
        <v>8829.50567689751</v>
      </c>
      <c r="AI138" s="14" t="n">
        <v>19024.8843100935</v>
      </c>
      <c r="AJ138" s="14" t="n">
        <v>22.221</v>
      </c>
      <c r="AK138" s="14" t="n">
        <v>0</v>
      </c>
      <c r="AL138" s="14" t="n">
        <v>-28196.4358191485</v>
      </c>
      <c r="AM138" s="14" t="n">
        <v>684.5</v>
      </c>
      <c r="AN138" s="14" t="n">
        <v>34565.685</v>
      </c>
      <c r="AO138" s="14" t="n">
        <v>-9611.08411346176</v>
      </c>
      <c r="AP138" s="14" t="n">
        <v>0.585621100500218</v>
      </c>
      <c r="AQ138" s="14" t="n">
        <v>38.5983252678095</v>
      </c>
      <c r="AR138" s="14" t="n">
        <v>314.925245</v>
      </c>
      <c r="AS138" s="14" t="n">
        <v>314.925245</v>
      </c>
      <c r="AT138" s="14" t="n">
        <v>-8054.44067566647</v>
      </c>
      <c r="AU138" s="14" t="n">
        <v>0</v>
      </c>
      <c r="AV138" s="14" t="n">
        <v>0</v>
      </c>
      <c r="AW138" s="14" t="n">
        <v>2275.5</v>
      </c>
      <c r="AX138" s="14" t="n">
        <v>314.925245</v>
      </c>
      <c r="AY138" s="14" t="n">
        <v>314.925245</v>
      </c>
      <c r="AZ138" s="14" t="n">
        <v>6732.81520118575</v>
      </c>
      <c r="BA138" s="14" t="n">
        <v>19.2660722072837</v>
      </c>
      <c r="BB138" s="14" t="n">
        <v>27.7315732819912</v>
      </c>
      <c r="BC138" s="14" t="n">
        <v>28.2872607118763</v>
      </c>
      <c r="BD138" s="14" t="n">
        <v>-6.60619313427753</v>
      </c>
      <c r="BE138" s="14" t="n">
        <v>3.66224269082016</v>
      </c>
      <c r="BF138" s="14" t="n">
        <v>3.759910984945</v>
      </c>
      <c r="BG138" s="14" t="n">
        <v>14.0283468100427</v>
      </c>
      <c r="BH138" s="14" t="n">
        <v>8.79460973826781</v>
      </c>
      <c r="BI138" s="14" t="n">
        <v>23.1478112543334</v>
      </c>
      <c r="BJ138" s="14" t="n">
        <v>5.11489923648504</v>
      </c>
      <c r="BK138" s="14" t="n">
        <v>6.14038025700283</v>
      </c>
      <c r="BL138" s="14" t="n">
        <v>6.42123287671233</v>
      </c>
      <c r="BM138" s="14" t="n">
        <v>7672.79585778466</v>
      </c>
      <c r="BN138" s="14" t="n">
        <v>7287.92637469352</v>
      </c>
      <c r="BO138" s="14" t="n">
        <v>7287.92637469352</v>
      </c>
      <c r="BP138" s="14" t="n">
        <v>314.925245</v>
      </c>
      <c r="BQ138" s="14" t="n">
        <v>292.4</v>
      </c>
      <c r="BR138" s="14" t="n">
        <v>950</v>
      </c>
      <c r="BS138" s="14" t="s">
        <v>2855</v>
      </c>
      <c r="BT138" s="14" t="n">
        <v>36.5333333333333</v>
      </c>
      <c r="BU138" s="14" t="n">
        <v>0.191939308592271</v>
      </c>
      <c r="BV138" s="14" t="n">
        <v>0.295395823150495</v>
      </c>
      <c r="BW138" s="14" t="n">
        <v>13618.5823768008</v>
      </c>
      <c r="BX138" s="14" t="n">
        <v>14142.0331459002</v>
      </c>
      <c r="BY138" s="14" t="n">
        <v>66.7066934966782</v>
      </c>
      <c r="BZ138" s="14" t="n">
        <v>0</v>
      </c>
      <c r="CA138" s="14" t="n">
        <v>0</v>
      </c>
      <c r="CB138" s="14" t="n">
        <v>22710.765</v>
      </c>
    </row>
    <row r="139" customFormat="false" ht="15" hidden="false" customHeight="false" outlineLevel="0" collapsed="false">
      <c r="A139" s="0" t="s">
        <v>2972</v>
      </c>
      <c r="B139" s="14" t="n">
        <v>2423.40833661368</v>
      </c>
      <c r="C139" s="14" t="n">
        <v>7320.29311172376</v>
      </c>
      <c r="D139" s="14" t="n">
        <v>19024.8843100935</v>
      </c>
      <c r="E139" s="14" t="n">
        <v>3864.96134836955</v>
      </c>
      <c r="F139" s="14" t="n">
        <v>-1074.59422057469</v>
      </c>
      <c r="G139" s="14" t="n">
        <v>4646.74384447529</v>
      </c>
      <c r="H139" s="14" t="n">
        <v>21363.2300366211</v>
      </c>
      <c r="I139" s="15" t="n">
        <v>37.6447666032676</v>
      </c>
      <c r="J139" s="15" t="n">
        <v>42.5385862616924</v>
      </c>
      <c r="K139" s="14" t="s">
        <v>58</v>
      </c>
      <c r="L139" s="14" t="n">
        <v>-11246.4034201647</v>
      </c>
      <c r="M139" s="14" t="n">
        <v>27433.2058622345</v>
      </c>
      <c r="N139" s="14" t="n">
        <v>11759.9321594194</v>
      </c>
      <c r="O139" s="14" t="n">
        <v>-19196.6203394084</v>
      </c>
      <c r="P139" s="14" t="n">
        <v>968.519919991184</v>
      </c>
      <c r="Q139" s="14" t="n">
        <v>1602.1834171171</v>
      </c>
      <c r="R139" s="14" t="n">
        <v>16720.3421667323</v>
      </c>
      <c r="S139" s="14" t="n">
        <v>23663.8976862019</v>
      </c>
      <c r="T139" s="14" t="n">
        <v>-937.010768786052</v>
      </c>
      <c r="U139" s="14" t="n">
        <v>11855.2873455019</v>
      </c>
      <c r="V139" s="14" t="n">
        <v>0.82509878873241</v>
      </c>
      <c r="W139" s="14" t="n">
        <v>53259.1234046399</v>
      </c>
      <c r="X139" s="14" t="n">
        <v>21751.8294322891</v>
      </c>
      <c r="Y139" s="14" t="n">
        <v>40.0169358079098</v>
      </c>
      <c r="Z139" s="14" t="n">
        <v>54.317520797555</v>
      </c>
      <c r="AA139" s="14" t="n">
        <v>30.1575455502983</v>
      </c>
      <c r="AB139" s="14" t="n">
        <v>27.9575455502983</v>
      </c>
      <c r="AC139" s="14" t="n">
        <v>29.4075455502983</v>
      </c>
      <c r="AD139" s="14" t="n">
        <v>30.1575455502983</v>
      </c>
      <c r="AE139" s="14" t="n">
        <v>653.683373262198</v>
      </c>
      <c r="AF139" s="14" t="n">
        <v>0.03</v>
      </c>
      <c r="AG139" s="14" t="n">
        <v>0.699294850981936</v>
      </c>
      <c r="AH139" s="14" t="n">
        <v>7989.21212851042</v>
      </c>
      <c r="AI139" s="14" t="n">
        <v>19024.8843100935</v>
      </c>
      <c r="AJ139" s="14" t="n">
        <v>22.221</v>
      </c>
      <c r="AK139" s="14" t="n">
        <v>0</v>
      </c>
      <c r="AL139" s="14" t="n">
        <v>-29913.3421707406</v>
      </c>
      <c r="AM139" s="14" t="n">
        <v>684.5</v>
      </c>
      <c r="AN139" s="14" t="n">
        <v>30483.4713884852</v>
      </c>
      <c r="AO139" s="14" t="n">
        <v>-8958.5427846092</v>
      </c>
      <c r="AP139" s="14" t="n">
        <v>0.585621100500218</v>
      </c>
      <c r="AQ139" s="14" t="n">
        <v>35.9826236743976</v>
      </c>
      <c r="AR139" s="14" t="n">
        <v>314.925245</v>
      </c>
      <c r="AS139" s="14" t="n">
        <v>314.925245</v>
      </c>
      <c r="AT139" s="14" t="n">
        <v>-11246.4034201647</v>
      </c>
      <c r="AU139" s="14" t="n">
        <v>0</v>
      </c>
      <c r="AV139" s="14" t="n">
        <v>0</v>
      </c>
      <c r="AW139" s="14" t="n">
        <v>2275.5</v>
      </c>
      <c r="AX139" s="14" t="n">
        <v>314.925245</v>
      </c>
      <c r="AY139" s="14" t="n">
        <v>314.925245</v>
      </c>
      <c r="AZ139" s="14" t="n">
        <v>6732.81520118575</v>
      </c>
      <c r="BA139" s="14" t="n">
        <v>19.2660722072837</v>
      </c>
      <c r="BB139" s="14" t="n">
        <v>27.7315732819912</v>
      </c>
      <c r="BC139" s="14" t="n">
        <v>28.2872607118763</v>
      </c>
      <c r="BD139" s="14" t="n">
        <v>-6.60619313427753</v>
      </c>
      <c r="BE139" s="14" t="n">
        <v>3.66224269082016</v>
      </c>
      <c r="BF139" s="14" t="n">
        <v>3.759910984945</v>
      </c>
      <c r="BG139" s="14" t="n">
        <v>14.0283468100427</v>
      </c>
      <c r="BH139" s="14" t="n">
        <v>8.79460973826781</v>
      </c>
      <c r="BI139" s="14" t="n">
        <v>23.1478112543334</v>
      </c>
      <c r="BJ139" s="14" t="n">
        <v>5.11489923648504</v>
      </c>
      <c r="BK139" s="14" t="n">
        <v>6.14038025700283</v>
      </c>
      <c r="BL139" s="14" t="n">
        <v>6.42123287671233</v>
      </c>
      <c r="BM139" s="14" t="n">
        <v>7672.79585778466</v>
      </c>
      <c r="BN139" s="14" t="n">
        <v>7287.92637469352</v>
      </c>
      <c r="BO139" s="14" t="n">
        <v>7287.92637469352</v>
      </c>
      <c r="BP139" s="14" t="n">
        <v>314.925245</v>
      </c>
      <c r="BQ139" s="14" t="n">
        <v>292.4</v>
      </c>
      <c r="BR139" s="14" t="n">
        <v>950</v>
      </c>
      <c r="BS139" s="14" t="s">
        <v>2855</v>
      </c>
      <c r="BT139" s="14" t="n">
        <v>36.5333333333333</v>
      </c>
      <c r="BU139" s="14" t="n">
        <v>0.191939308592271</v>
      </c>
      <c r="BV139" s="14" t="n">
        <v>0.295395823150495</v>
      </c>
      <c r="BW139" s="14" t="n">
        <v>13618.5823768008</v>
      </c>
      <c r="BX139" s="14" t="n">
        <v>14142.0331459002</v>
      </c>
      <c r="BY139" s="14" t="n">
        <v>70.8308423081782</v>
      </c>
      <c r="BZ139" s="14" t="n">
        <v>0</v>
      </c>
      <c r="CA139" s="14" t="n">
        <v>0</v>
      </c>
      <c r="CB139" s="14" t="n">
        <v>18628.5513884852</v>
      </c>
    </row>
    <row r="140" customFormat="false" ht="15" hidden="false" customHeight="false" outlineLevel="0" collapsed="false">
      <c r="A140" s="0" t="s">
        <v>2973</v>
      </c>
      <c r="B140" s="14" t="n">
        <v>2423.40833661368</v>
      </c>
      <c r="C140" s="14" t="n">
        <v>7320.29311172376</v>
      </c>
      <c r="D140" s="14" t="n">
        <v>19024.8843100935</v>
      </c>
      <c r="E140" s="14" t="n">
        <v>3864.96134836955</v>
      </c>
      <c r="F140" s="14" t="n">
        <v>-1074.59422057469</v>
      </c>
      <c r="G140" s="14" t="n">
        <v>4646.74384447529</v>
      </c>
      <c r="H140" s="14" t="n">
        <v>20198.6465824731</v>
      </c>
      <c r="I140" s="15" t="n">
        <v>33.9467986802832</v>
      </c>
      <c r="J140" s="15" t="n">
        <v>38.35988250872</v>
      </c>
      <c r="K140" s="14" t="s">
        <v>58</v>
      </c>
      <c r="L140" s="14" t="n">
        <v>-11246.4034201647</v>
      </c>
      <c r="M140" s="14" t="n">
        <v>27433.2058622345</v>
      </c>
      <c r="N140" s="14" t="n">
        <v>11759.9321594194</v>
      </c>
      <c r="O140" s="14" t="n">
        <v>-22470.2620812109</v>
      </c>
      <c r="P140" s="14" t="n">
        <v>968.519919991184</v>
      </c>
      <c r="Q140" s="14" t="n">
        <v>1602.1834171171</v>
      </c>
      <c r="R140" s="14" t="n">
        <v>16720.3421667323</v>
      </c>
      <c r="S140" s="14" t="n">
        <v>23663.8976862019</v>
      </c>
      <c r="T140" s="14" t="n">
        <v>-937.010768786052</v>
      </c>
      <c r="U140" s="14" t="n">
        <v>10690.7038913539</v>
      </c>
      <c r="V140" s="14" t="n">
        <v>0.82509878873241</v>
      </c>
      <c r="W140" s="14" t="n">
        <v>53259.1234046399</v>
      </c>
      <c r="X140" s="14" t="n">
        <v>21751.8294322891</v>
      </c>
      <c r="Y140" s="14" t="n">
        <v>36.0859419846959</v>
      </c>
      <c r="Z140" s="14" t="n">
        <v>48.9817339753846</v>
      </c>
      <c r="AA140" s="14" t="n">
        <v>30.1575455502983</v>
      </c>
      <c r="AB140" s="14" t="n">
        <v>27.9575455502983</v>
      </c>
      <c r="AC140" s="14" t="n">
        <v>29.4075455502983</v>
      </c>
      <c r="AD140" s="14" t="n">
        <v>30.1575455502983</v>
      </c>
      <c r="AE140" s="14" t="n">
        <v>653.683373262198</v>
      </c>
      <c r="AF140" s="14" t="n">
        <v>0.03</v>
      </c>
      <c r="AG140" s="14" t="n">
        <v>0.699294850981936</v>
      </c>
      <c r="AH140" s="14" t="n">
        <v>7989.21212851042</v>
      </c>
      <c r="AI140" s="14" t="n">
        <v>19024.8843100935</v>
      </c>
      <c r="AJ140" s="14" t="n">
        <v>22.221</v>
      </c>
      <c r="AK140" s="14" t="n">
        <v>0</v>
      </c>
      <c r="AL140" s="14" t="n">
        <v>-36986.0439744383</v>
      </c>
      <c r="AM140" s="14" t="n">
        <v>684.5</v>
      </c>
      <c r="AN140" s="14" t="n">
        <v>21854.1913884852</v>
      </c>
      <c r="AO140" s="14" t="n">
        <v>-6256.1801281137</v>
      </c>
      <c r="AP140" s="14" t="n">
        <v>0.585621100500218</v>
      </c>
      <c r="AQ140" s="14" t="n">
        <v>32.2846557514132</v>
      </c>
      <c r="AR140" s="14" t="n">
        <v>314.925245</v>
      </c>
      <c r="AS140" s="14" t="n">
        <v>314.925245</v>
      </c>
      <c r="AT140" s="14" t="n">
        <v>-11246.4034201647</v>
      </c>
      <c r="AU140" s="14" t="n">
        <v>0</v>
      </c>
      <c r="AV140" s="14" t="n">
        <v>0</v>
      </c>
      <c r="AW140" s="14" t="n">
        <v>2275.5</v>
      </c>
      <c r="AX140" s="14" t="n">
        <v>314.925245</v>
      </c>
      <c r="AY140" s="14" t="n">
        <v>314.925245</v>
      </c>
      <c r="AZ140" s="14" t="n">
        <v>6732.81520118575</v>
      </c>
      <c r="BA140" s="14" t="n">
        <v>19.2660722072837</v>
      </c>
      <c r="BB140" s="14" t="n">
        <v>27.7315732819912</v>
      </c>
      <c r="BC140" s="14" t="n">
        <v>28.2872607118763</v>
      </c>
      <c r="BD140" s="14" t="n">
        <v>-6.60619313427753</v>
      </c>
      <c r="BE140" s="14" t="n">
        <v>3.66224269082016</v>
      </c>
      <c r="BF140" s="14" t="n">
        <v>3.759910984945</v>
      </c>
      <c r="BG140" s="14" t="n">
        <v>14.0283468100427</v>
      </c>
      <c r="BH140" s="14" t="n">
        <v>8.79460973826781</v>
      </c>
      <c r="BI140" s="14" t="n">
        <v>23.1478112543334</v>
      </c>
      <c r="BJ140" s="14" t="n">
        <v>5.11489923648504</v>
      </c>
      <c r="BK140" s="14" t="n">
        <v>6.14038025700283</v>
      </c>
      <c r="BL140" s="14" t="n">
        <v>6.42123287671233</v>
      </c>
      <c r="BM140" s="14" t="n">
        <v>7672.79585778466</v>
      </c>
      <c r="BN140" s="14" t="n">
        <v>7287.92637469352</v>
      </c>
      <c r="BO140" s="14" t="n">
        <v>7287.92637469352</v>
      </c>
      <c r="BP140" s="14" t="n">
        <v>314.925245</v>
      </c>
      <c r="BQ140" s="14" t="n">
        <v>292.4</v>
      </c>
      <c r="BR140" s="14" t="n">
        <v>950</v>
      </c>
      <c r="BS140" s="14" t="s">
        <v>2855</v>
      </c>
      <c r="BT140" s="14" t="n">
        <v>36.5333333333333</v>
      </c>
      <c r="BU140" s="14" t="n">
        <v>0.191939308592271</v>
      </c>
      <c r="BV140" s="14" t="n">
        <v>0.295395823150495</v>
      </c>
      <c r="BW140" s="14" t="n">
        <v>13618.5823768008</v>
      </c>
      <c r="BX140" s="14" t="n">
        <v>14142.0331459002</v>
      </c>
      <c r="BY140" s="14" t="n">
        <v>86.1868241806734</v>
      </c>
      <c r="BZ140" s="14" t="n">
        <v>0</v>
      </c>
      <c r="CA140" s="14" t="n">
        <v>0</v>
      </c>
      <c r="CB140" s="14" t="n">
        <v>14925.9913884852</v>
      </c>
    </row>
    <row r="141" customFormat="false" ht="15" hidden="false" customHeight="false" outlineLevel="0" collapsed="false">
      <c r="A141" s="0" t="s">
        <v>2974</v>
      </c>
      <c r="B141" s="14" t="n">
        <v>2423.40833661368</v>
      </c>
      <c r="C141" s="14" t="n">
        <v>7320.29311172376</v>
      </c>
      <c r="D141" s="14" t="n">
        <v>19024.8843100935</v>
      </c>
      <c r="E141" s="14" t="n">
        <v>3864.96134836955</v>
      </c>
      <c r="F141" s="14" t="n">
        <v>-1074.59422057469</v>
      </c>
      <c r="G141" s="14" t="n">
        <v>4646.74384447529</v>
      </c>
      <c r="H141" s="14" t="n">
        <v>20470.3730400818</v>
      </c>
      <c r="I141" s="15" t="n">
        <v>35.6132040657115</v>
      </c>
      <c r="J141" s="15" t="n">
        <v>40.242920594254</v>
      </c>
      <c r="K141" s="14" t="s">
        <v>58</v>
      </c>
      <c r="L141" s="14" t="n">
        <v>-9683.89358152069</v>
      </c>
      <c r="M141" s="14" t="n">
        <v>27433.2058622345</v>
      </c>
      <c r="N141" s="14" t="n">
        <v>11759.9321594194</v>
      </c>
      <c r="O141" s="14" t="n">
        <v>-20600.7743613049</v>
      </c>
      <c r="P141" s="14" t="n">
        <v>968.519919991184</v>
      </c>
      <c r="Q141" s="14" t="n">
        <v>1602.1834171171</v>
      </c>
      <c r="R141" s="14" t="n">
        <v>16720.3421667323</v>
      </c>
      <c r="S141" s="14" t="n">
        <v>23663.8976862019</v>
      </c>
      <c r="T141" s="14" t="n">
        <v>-937.010768786052</v>
      </c>
      <c r="U141" s="14" t="n">
        <v>11215.4970156292</v>
      </c>
      <c r="V141" s="14" t="n">
        <v>0.82509878873241</v>
      </c>
      <c r="W141" s="14" t="n">
        <v>53259.1234046399</v>
      </c>
      <c r="X141" s="14" t="n">
        <v>21751.8294322891</v>
      </c>
      <c r="Y141" s="14" t="n">
        <v>37.8573552077188</v>
      </c>
      <c r="Z141" s="14" t="n">
        <v>51.3861853068029</v>
      </c>
      <c r="AA141" s="14" t="n">
        <v>30.1575455502983</v>
      </c>
      <c r="AB141" s="14" t="n">
        <v>27.9575455502983</v>
      </c>
      <c r="AC141" s="14" t="n">
        <v>29.4075455502983</v>
      </c>
      <c r="AD141" s="14" t="n">
        <v>30.1575455502983</v>
      </c>
      <c r="AE141" s="14" t="n">
        <v>653.683373262198</v>
      </c>
      <c r="AF141" s="14" t="n">
        <v>0.03</v>
      </c>
      <c r="AG141" s="14" t="n">
        <v>0.699294850981936</v>
      </c>
      <c r="AH141" s="14" t="n">
        <v>8567.93169795486</v>
      </c>
      <c r="AI141" s="14" t="n">
        <v>19024.8843100935</v>
      </c>
      <c r="AJ141" s="14" t="n">
        <v>22.221</v>
      </c>
      <c r="AK141" s="14" t="n">
        <v>0</v>
      </c>
      <c r="AL141" s="14" t="n">
        <v>-35484.0985541242</v>
      </c>
      <c r="AM141" s="14" t="n">
        <v>684.5</v>
      </c>
      <c r="AN141" s="14" t="n">
        <v>21854.1913884852</v>
      </c>
      <c r="AO141" s="14" t="n">
        <v>-5613.79256375324</v>
      </c>
      <c r="AP141" s="14" t="n">
        <v>0.585621100500218</v>
      </c>
      <c r="AQ141" s="14" t="n">
        <v>33.9510611368415</v>
      </c>
      <c r="AR141" s="14" t="n">
        <v>314.925245</v>
      </c>
      <c r="AS141" s="14" t="n">
        <v>314.925245</v>
      </c>
      <c r="AT141" s="14" t="n">
        <v>-9683.89358152069</v>
      </c>
      <c r="AU141" s="14" t="n">
        <v>0</v>
      </c>
      <c r="AV141" s="14" t="n">
        <v>0</v>
      </c>
      <c r="AW141" s="14" t="n">
        <v>2275.5</v>
      </c>
      <c r="AX141" s="14" t="n">
        <v>314.925245</v>
      </c>
      <c r="AY141" s="14" t="n">
        <v>314.925245</v>
      </c>
      <c r="AZ141" s="14" t="n">
        <v>6732.81520118575</v>
      </c>
      <c r="BA141" s="14" t="n">
        <v>20.06964915351</v>
      </c>
      <c r="BB141" s="14" t="n">
        <v>28.5351502282174</v>
      </c>
      <c r="BC141" s="14" t="n">
        <v>29.0908376581026</v>
      </c>
      <c r="BD141" s="14" t="n">
        <v>-6.60619313427753</v>
      </c>
      <c r="BE141" s="14" t="n">
        <v>3.66224269082016</v>
      </c>
      <c r="BF141" s="14" t="n">
        <v>3.759910984945</v>
      </c>
      <c r="BG141" s="14" t="n">
        <v>14.0283468100427</v>
      </c>
      <c r="BH141" s="14" t="n">
        <v>8.79460973826781</v>
      </c>
      <c r="BI141" s="14" t="n">
        <v>23.1478112543334</v>
      </c>
      <c r="BJ141" s="14" t="n">
        <v>5.11489923648504</v>
      </c>
      <c r="BK141" s="14" t="n">
        <v>6.14038025700283</v>
      </c>
      <c r="BL141" s="14" t="n">
        <v>6.42123287671233</v>
      </c>
      <c r="BM141" s="14" t="n">
        <v>7672.79585778466</v>
      </c>
      <c r="BN141" s="14" t="n">
        <v>7287.92637469352</v>
      </c>
      <c r="BO141" s="14" t="n">
        <v>7287.92637469352</v>
      </c>
      <c r="BP141" s="14" t="n">
        <v>314.925245</v>
      </c>
      <c r="BQ141" s="14" t="n">
        <v>292.4</v>
      </c>
      <c r="BR141" s="14" t="n">
        <v>950</v>
      </c>
      <c r="BS141" s="14" t="s">
        <v>2855</v>
      </c>
      <c r="BT141" s="14" t="n">
        <v>36.5333333333333</v>
      </c>
      <c r="BU141" s="14" t="n">
        <v>0.191939308592271</v>
      </c>
      <c r="BV141" s="14" t="n">
        <v>0.295395823150495</v>
      </c>
      <c r="BW141" s="14" t="n">
        <v>13618.5823768008</v>
      </c>
      <c r="BX141" s="14" t="n">
        <v>14142.0331459002</v>
      </c>
      <c r="BY141" s="14" t="n">
        <v>82.7182862366503</v>
      </c>
      <c r="BZ141" s="14" t="n">
        <v>0</v>
      </c>
      <c r="CA141" s="14" t="n">
        <v>0</v>
      </c>
      <c r="CB141" s="14" t="n">
        <v>14925.9913884852</v>
      </c>
    </row>
    <row r="142" customFormat="false" ht="15" hidden="false" customHeight="false" outlineLevel="0" collapsed="false">
      <c r="A142" s="0" t="s">
        <v>2975</v>
      </c>
      <c r="B142" s="14" t="n">
        <v>2423.40833661368</v>
      </c>
      <c r="C142" s="14" t="n">
        <v>7336.21347446577</v>
      </c>
      <c r="D142" s="14" t="n">
        <v>18576.5735684625</v>
      </c>
      <c r="E142" s="14" t="n">
        <v>3876.26480591638</v>
      </c>
      <c r="F142" s="14" t="n">
        <v>-1063.98300530939</v>
      </c>
      <c r="G142" s="14" t="n">
        <v>4646.79927224714</v>
      </c>
      <c r="H142" s="14" t="n">
        <v>10106.0009695084</v>
      </c>
      <c r="I142" s="15" t="n">
        <v>2.70262533273834</v>
      </c>
      <c r="J142" s="15" t="n">
        <v>3.05396662599432</v>
      </c>
      <c r="K142" s="14" t="s">
        <v>58</v>
      </c>
      <c r="L142" s="14" t="n">
        <v>-9672.79955737185</v>
      </c>
      <c r="M142" s="14" t="n">
        <v>27433.5242694893</v>
      </c>
      <c r="N142" s="14" t="n">
        <v>11419.2159957799</v>
      </c>
      <c r="O142" s="14" t="n">
        <v>-20842.6347008976</v>
      </c>
      <c r="P142" s="14" t="n">
        <v>968.519919991184</v>
      </c>
      <c r="Q142" s="14" t="n">
        <v>1279.74550353081</v>
      </c>
      <c r="R142" s="14" t="n">
        <v>16720.3421667323</v>
      </c>
      <c r="S142" s="14" t="n">
        <v>23654.9314713693</v>
      </c>
      <c r="T142" s="14" t="n">
        <v>-937.010768786052</v>
      </c>
      <c r="U142" s="14" t="n">
        <v>851.124945055828</v>
      </c>
      <c r="V142" s="14" t="n">
        <v>0.82509878873241</v>
      </c>
      <c r="W142" s="14" t="n">
        <v>44606.695298757</v>
      </c>
      <c r="X142" s="14" t="n">
        <v>21344.4515046184</v>
      </c>
      <c r="Y142" s="14" t="n">
        <v>2.8729301364199</v>
      </c>
      <c r="Z142" s="14" t="n">
        <v>3.89960998473215</v>
      </c>
      <c r="AA142" s="14" t="n">
        <v>30.1575455502983</v>
      </c>
      <c r="AB142" s="14" t="n">
        <v>27.9575455502983</v>
      </c>
      <c r="AC142" s="14" t="n">
        <v>29.4075455502983</v>
      </c>
      <c r="AD142" s="14" t="n">
        <v>30.1575455502983</v>
      </c>
      <c r="AE142" s="14" t="n">
        <v>653.683373262198</v>
      </c>
      <c r="AF142" s="14" t="n">
        <v>0.03</v>
      </c>
      <c r="AG142" s="14" t="n">
        <v>0.692782615751903</v>
      </c>
      <c r="AH142" s="14" t="n">
        <v>8567.93169795486</v>
      </c>
      <c r="AI142" s="14" t="n">
        <v>18576.5735684625</v>
      </c>
      <c r="AJ142" s="14" t="n">
        <v>21.24225</v>
      </c>
      <c r="AK142" s="14" t="n">
        <v>0</v>
      </c>
      <c r="AL142" s="14" t="n">
        <v>-36270.7525825228</v>
      </c>
      <c r="AM142" s="14" t="n">
        <v>684.5</v>
      </c>
      <c r="AN142" s="14" t="n">
        <v>21854.1913884852</v>
      </c>
      <c r="AO142" s="14" t="n">
        <v>-5613.79256375324</v>
      </c>
      <c r="AP142" s="14" t="n">
        <v>0.585621100500218</v>
      </c>
      <c r="AQ142" s="14" t="n">
        <v>1.04048240386831</v>
      </c>
      <c r="AR142" s="14" t="n">
        <v>314.925245</v>
      </c>
      <c r="AS142" s="14" t="n">
        <v>314.925245</v>
      </c>
      <c r="AT142" s="14" t="n">
        <v>-9672.79955737185</v>
      </c>
      <c r="AU142" s="14" t="n">
        <v>0</v>
      </c>
      <c r="AV142" s="14" t="n">
        <v>0</v>
      </c>
      <c r="AW142" s="14" t="n">
        <v>2275.5</v>
      </c>
      <c r="AX142" s="14" t="n">
        <v>314.925245</v>
      </c>
      <c r="AY142" s="14" t="n">
        <v>314.925245</v>
      </c>
      <c r="AZ142" s="14" t="n">
        <v>6633.58454165325</v>
      </c>
      <c r="BA142" s="14" t="n">
        <v>19.7545564097305</v>
      </c>
      <c r="BB142" s="14" t="n">
        <v>28.2200574844379</v>
      </c>
      <c r="BC142" s="14" t="n">
        <v>28.775744914323</v>
      </c>
      <c r="BD142" s="14" t="n">
        <v>-6.60619313427753</v>
      </c>
      <c r="BE142" s="14" t="n">
        <v>3.66224269082016</v>
      </c>
      <c r="BF142" s="14" t="n">
        <v>3.759910984945</v>
      </c>
      <c r="BG142" s="14" t="n">
        <v>14.0283468100427</v>
      </c>
      <c r="BH142" s="14" t="n">
        <v>8.79460973826781</v>
      </c>
      <c r="BI142" s="14" t="n">
        <v>23.1478112543334</v>
      </c>
      <c r="BJ142" s="14" t="n">
        <v>5.11489923648504</v>
      </c>
      <c r="BK142" s="14" t="n">
        <v>6.14038025700283</v>
      </c>
      <c r="BL142" s="14" t="n">
        <v>6.42123287671233</v>
      </c>
      <c r="BM142" s="14" t="n">
        <v>7672.79585778466</v>
      </c>
      <c r="BN142" s="14" t="n">
        <v>7303.84673743553</v>
      </c>
      <c r="BO142" s="14" t="n">
        <v>7303.84673743553</v>
      </c>
      <c r="BP142" s="14" t="n">
        <v>314.925245</v>
      </c>
      <c r="BQ142" s="14" t="n">
        <v>292.4</v>
      </c>
      <c r="BR142" s="14" t="n">
        <v>950</v>
      </c>
      <c r="BS142" s="14" t="s">
        <v>2855</v>
      </c>
      <c r="BT142" s="14" t="n">
        <v>36.5333333333333</v>
      </c>
      <c r="BU142" s="14" t="n">
        <v>0.191939308592271</v>
      </c>
      <c r="BV142" s="14" t="n">
        <v>0.295395823150495</v>
      </c>
      <c r="BW142" s="14" t="n">
        <v>13618.5823768008</v>
      </c>
      <c r="BX142" s="14" t="n">
        <v>14142.0331459002</v>
      </c>
      <c r="BY142" s="14" t="n">
        <v>84.413896253797</v>
      </c>
      <c r="BZ142" s="14" t="n">
        <v>0</v>
      </c>
      <c r="CA142" s="14" t="n">
        <v>0</v>
      </c>
      <c r="CB142" s="14" t="n">
        <v>14925.9913884852</v>
      </c>
    </row>
    <row r="143" customFormat="false" ht="15" hidden="false" customHeight="false" outlineLevel="0" collapsed="false">
      <c r="A143" s="0" t="s">
        <v>2976</v>
      </c>
      <c r="B143" s="14" t="n">
        <v>2423.40833661368</v>
      </c>
      <c r="C143" s="14" t="n">
        <v>7640.8884091291</v>
      </c>
      <c r="D143" s="14" t="n">
        <v>20773.0271269625</v>
      </c>
      <c r="E143" s="14" t="n">
        <v>4092.58400952734</v>
      </c>
      <c r="F143" s="14" t="n">
        <v>-860.082731712113</v>
      </c>
      <c r="G143" s="14" t="n">
        <v>4647.03120487429</v>
      </c>
      <c r="H143" s="14" t="n">
        <v>52718.9793581637</v>
      </c>
      <c r="I143" s="15" t="n">
        <v>136.113586628239</v>
      </c>
      <c r="J143" s="15" t="n">
        <v>153.80835288991</v>
      </c>
      <c r="K143" s="14" t="s">
        <v>58</v>
      </c>
      <c r="L143" s="14" t="n">
        <v>-9462.51644435236</v>
      </c>
      <c r="M143" s="14" t="n">
        <v>27439.6177681826</v>
      </c>
      <c r="N143" s="14" t="n">
        <v>13088.5207002398</v>
      </c>
      <c r="O143" s="14" t="n">
        <v>-19368.122211372</v>
      </c>
      <c r="P143" s="14" t="n">
        <v>968.519919991184</v>
      </c>
      <c r="Q143" s="14" t="n">
        <v>2857.47588112676</v>
      </c>
      <c r="R143" s="14" t="n">
        <v>16720.3421667323</v>
      </c>
      <c r="S143" s="14" t="n">
        <v>23698.8605425393</v>
      </c>
      <c r="T143" s="14" t="n">
        <v>-937.010768786052</v>
      </c>
      <c r="U143" s="14" t="n">
        <v>43648.5079569151</v>
      </c>
      <c r="V143" s="14" t="n">
        <v>0.82509878873241</v>
      </c>
      <c r="W143" s="14" t="n">
        <v>80005.6649527215</v>
      </c>
      <c r="X143" s="14" t="n">
        <v>23007.0548544672</v>
      </c>
      <c r="Y143" s="14" t="n">
        <v>144.690727295247</v>
      </c>
      <c r="Z143" s="14" t="n">
        <v>196.397885805126</v>
      </c>
      <c r="AA143" s="14" t="n">
        <v>30.1575455502983</v>
      </c>
      <c r="AB143" s="14" t="n">
        <v>27.9575455502983</v>
      </c>
      <c r="AC143" s="14" t="n">
        <v>29.4075455502983</v>
      </c>
      <c r="AD143" s="14" t="n">
        <v>30.1575455502983</v>
      </c>
      <c r="AE143" s="14" t="n">
        <v>653.683373262198</v>
      </c>
      <c r="AF143" s="14" t="n">
        <v>0.03</v>
      </c>
      <c r="AG143" s="14" t="n">
        <v>0.715140897863769</v>
      </c>
      <c r="AH143" s="14" t="n">
        <v>8567.93169795486</v>
      </c>
      <c r="AI143" s="14" t="n">
        <v>20773.0271269625</v>
      </c>
      <c r="AJ143" s="14" t="n">
        <v>22.39175</v>
      </c>
      <c r="AK143" s="14" t="n">
        <v>0</v>
      </c>
      <c r="AL143" s="14" t="n">
        <v>-32658.5944756147</v>
      </c>
      <c r="AM143" s="14" t="n">
        <v>684.5</v>
      </c>
      <c r="AN143" s="14" t="n">
        <v>21854.1913884852</v>
      </c>
      <c r="AO143" s="14" t="n">
        <v>-5613.79256375324</v>
      </c>
      <c r="AP143" s="14" t="n">
        <v>0.493991752567796</v>
      </c>
      <c r="AQ143" s="14" t="n">
        <v>134.530732555258</v>
      </c>
      <c r="AR143" s="14" t="n">
        <v>320.625430339068</v>
      </c>
      <c r="AS143" s="14" t="n">
        <v>320.677083296103</v>
      </c>
      <c r="AT143" s="14" t="n">
        <v>-9462.51644435236</v>
      </c>
      <c r="AU143" s="14" t="n">
        <v>0</v>
      </c>
      <c r="AV143" s="14" t="n">
        <v>0</v>
      </c>
      <c r="AW143" s="14" t="n">
        <v>2275.5</v>
      </c>
      <c r="AX143" s="14" t="n">
        <v>320.677083296103</v>
      </c>
      <c r="AY143" s="14" t="n">
        <v>319.322298459614</v>
      </c>
      <c r="AZ143" s="14" t="n">
        <v>7055.32991267765</v>
      </c>
      <c r="BA143" s="14" t="n">
        <v>21.0937484171048</v>
      </c>
      <c r="BB143" s="14" t="n">
        <v>29.5592494918122</v>
      </c>
      <c r="BC143" s="14" t="n">
        <v>30.1149369216974</v>
      </c>
      <c r="BD143" s="14" t="n">
        <v>-6.60619313427753</v>
      </c>
      <c r="BE143" s="14" t="n">
        <v>3.66224269082016</v>
      </c>
      <c r="BF143" s="14" t="n">
        <v>3.759910984945</v>
      </c>
      <c r="BG143" s="14" t="n">
        <v>14.0283468100427</v>
      </c>
      <c r="BH143" s="14" t="n">
        <v>8.79460973826781</v>
      </c>
      <c r="BI143" s="14" t="n">
        <v>23.1478112543334</v>
      </c>
      <c r="BJ143" s="14" t="n">
        <v>5.11489923648504</v>
      </c>
      <c r="BK143" s="14" t="n">
        <v>6.14038025700283</v>
      </c>
      <c r="BL143" s="14" t="n">
        <v>6.42123287671233</v>
      </c>
      <c r="BM143" s="14" t="n">
        <v>7672.79585778466</v>
      </c>
      <c r="BN143" s="14" t="n">
        <v>7608.52167209886</v>
      </c>
      <c r="BO143" s="14" t="n">
        <v>7608.52167209886</v>
      </c>
      <c r="BP143" s="14" t="n">
        <v>320.625430339068</v>
      </c>
      <c r="BQ143" s="14" t="n">
        <v>292.4</v>
      </c>
      <c r="BR143" s="14" t="n">
        <v>950</v>
      </c>
      <c r="BS143" s="14" t="s">
        <v>2855</v>
      </c>
      <c r="BT143" s="14" t="n">
        <v>36.5333333333333</v>
      </c>
      <c r="BU143" s="14" t="n">
        <v>0.191939308592271</v>
      </c>
      <c r="BV143" s="14" t="n">
        <v>0.295395823150495</v>
      </c>
      <c r="BW143" s="14" t="n">
        <v>13434.1777535968</v>
      </c>
      <c r="BX143" s="14" t="n">
        <v>13948.7116911521</v>
      </c>
      <c r="BY143" s="14" t="n">
        <v>76.5276389482652</v>
      </c>
      <c r="BZ143" s="14" t="n">
        <v>0</v>
      </c>
      <c r="CA143" s="14" t="n">
        <v>0</v>
      </c>
      <c r="CB143" s="14" t="n">
        <v>14925.9913884852</v>
      </c>
    </row>
    <row r="144" customFormat="false" ht="15" hidden="false" customHeight="false" outlineLevel="0" collapsed="false">
      <c r="A144" s="0" t="s">
        <v>2977</v>
      </c>
      <c r="B144" s="14" t="n">
        <v>2423.40833661368</v>
      </c>
      <c r="C144" s="14" t="n">
        <v>7619.72420522498</v>
      </c>
      <c r="D144" s="14" t="n">
        <v>19459.2297182455</v>
      </c>
      <c r="E144" s="14" t="n">
        <v>4077.55742475542</v>
      </c>
      <c r="F144" s="14" t="n">
        <v>-874.245813140134</v>
      </c>
      <c r="G144" s="14" t="n">
        <v>4647.01426968655</v>
      </c>
      <c r="H144" s="14" t="n">
        <v>22073.0140205822</v>
      </c>
      <c r="I144" s="15" t="n">
        <v>40.7021609084709</v>
      </c>
      <c r="J144" s="15" t="n">
        <v>45.9934418265722</v>
      </c>
      <c r="K144" s="14" t="s">
        <v>58</v>
      </c>
      <c r="L144" s="14" t="n">
        <v>-9477.1197450462</v>
      </c>
      <c r="M144" s="14" t="n">
        <v>27439.1944841045</v>
      </c>
      <c r="N144" s="14" t="n">
        <v>12090.034669615</v>
      </c>
      <c r="O144" s="14" t="n">
        <v>-20128.1098566571</v>
      </c>
      <c r="P144" s="14" t="n">
        <v>968.519919991184</v>
      </c>
      <c r="Q144" s="14" t="n">
        <v>1912.9307637414</v>
      </c>
      <c r="R144" s="14" t="n">
        <v>16720.3421667323</v>
      </c>
      <c r="S144" s="14" t="n">
        <v>23672.5845943649</v>
      </c>
      <c r="T144" s="14" t="n">
        <v>-937.010768786052</v>
      </c>
      <c r="U144" s="14" t="n">
        <v>12818.1379961296</v>
      </c>
      <c r="V144" s="14" t="n">
        <v>0.82509878873241</v>
      </c>
      <c r="W144" s="14" t="n">
        <v>54275.5703625904</v>
      </c>
      <c r="X144" s="14" t="n">
        <v>21798.7630657667</v>
      </c>
      <c r="Y144" s="14" t="n">
        <v>43.2669905350434</v>
      </c>
      <c r="Z144" s="14" t="n">
        <v>58.72902586835</v>
      </c>
      <c r="AA144" s="14" t="n">
        <v>30.1575455502983</v>
      </c>
      <c r="AB144" s="14" t="n">
        <v>27.9575455502983</v>
      </c>
      <c r="AC144" s="14" t="n">
        <v>29.4075455502983</v>
      </c>
      <c r="AD144" s="14" t="n">
        <v>23.1609949826291</v>
      </c>
      <c r="AE144" s="14" t="n">
        <v>653.683373262198</v>
      </c>
      <c r="AF144" s="14" t="n">
        <v>0.03</v>
      </c>
      <c r="AG144" s="14" t="n">
        <v>0.699896266672107</v>
      </c>
      <c r="AH144" s="14" t="n">
        <v>8567.93169795486</v>
      </c>
      <c r="AI144" s="14" t="n">
        <v>19459.2297182455</v>
      </c>
      <c r="AJ144" s="14" t="n">
        <v>22.39175</v>
      </c>
      <c r="AK144" s="14" t="n">
        <v>0</v>
      </c>
      <c r="AL144" s="14" t="n">
        <v>-34895.3586099113</v>
      </c>
      <c r="AM144" s="14" t="n">
        <v>684.5</v>
      </c>
      <c r="AN144" s="14" t="n">
        <v>21854.1913884852</v>
      </c>
      <c r="AO144" s="14" t="n">
        <v>-5613.79256375324</v>
      </c>
      <c r="AP144" s="14" t="n">
        <v>0.52477734060772</v>
      </c>
      <c r="AQ144" s="14" t="n">
        <v>39.0400179796009</v>
      </c>
      <c r="AR144" s="14" t="n">
        <v>314.925245</v>
      </c>
      <c r="AS144" s="14" t="n">
        <v>314.925245</v>
      </c>
      <c r="AT144" s="14" t="n">
        <v>-9477.1197450462</v>
      </c>
      <c r="AU144" s="14" t="n">
        <v>0</v>
      </c>
      <c r="AV144" s="14" t="n">
        <v>0</v>
      </c>
      <c r="AW144" s="14" t="n">
        <v>2275.5</v>
      </c>
      <c r="AX144" s="14" t="n">
        <v>314.925245</v>
      </c>
      <c r="AY144" s="14" t="n">
        <v>314.925245</v>
      </c>
      <c r="AZ144" s="14" t="n">
        <v>6805.39150399988</v>
      </c>
      <c r="BA144" s="14" t="n">
        <v>20.3001048059749</v>
      </c>
      <c r="BB144" s="14" t="n">
        <v>28.7656058806823</v>
      </c>
      <c r="BC144" s="14" t="n">
        <v>29.3212933105675</v>
      </c>
      <c r="BD144" s="14" t="n">
        <v>-6.60619313427753</v>
      </c>
      <c r="BE144" s="14" t="n">
        <v>3.66224269082016</v>
      </c>
      <c r="BF144" s="14" t="n">
        <v>3.759910984945</v>
      </c>
      <c r="BG144" s="14" t="n">
        <v>14.0283468100427</v>
      </c>
      <c r="BH144" s="14" t="n">
        <v>8.79460973826781</v>
      </c>
      <c r="BI144" s="14" t="n">
        <v>23.1478112543334</v>
      </c>
      <c r="BJ144" s="14" t="n">
        <v>5.11489923648504</v>
      </c>
      <c r="BK144" s="14" t="n">
        <v>6.14038025700283</v>
      </c>
      <c r="BL144" s="14" t="n">
        <v>6.42123287671233</v>
      </c>
      <c r="BM144" s="14" t="n">
        <v>7672.79585778466</v>
      </c>
      <c r="BN144" s="14" t="n">
        <v>7587.35746819474</v>
      </c>
      <c r="BO144" s="14" t="n">
        <v>7587.35746819474</v>
      </c>
      <c r="BP144" s="14" t="n">
        <v>314.925245</v>
      </c>
      <c r="BQ144" s="14" t="n">
        <v>292.4</v>
      </c>
      <c r="BR144" s="14" t="n">
        <v>950</v>
      </c>
      <c r="BS144" s="14" t="s">
        <v>2855</v>
      </c>
      <c r="BT144" s="14" t="n">
        <v>36.5333333333333</v>
      </c>
      <c r="BU144" s="14" t="n">
        <v>0.191939308592271</v>
      </c>
      <c r="BV144" s="14" t="n">
        <v>0.295395823150495</v>
      </c>
      <c r="BW144" s="14" t="n">
        <v>13618.5823768008</v>
      </c>
      <c r="BX144" s="14" t="n">
        <v>14142.0331459002</v>
      </c>
      <c r="BY144" s="14" t="n">
        <v>81.4104290976466</v>
      </c>
      <c r="BZ144" s="14" t="n">
        <v>0</v>
      </c>
      <c r="CA144" s="14" t="n">
        <v>0</v>
      </c>
      <c r="CB144" s="14" t="n">
        <v>14925.9913884852</v>
      </c>
    </row>
    <row r="145" customFormat="false" ht="15" hidden="false" customHeight="false" outlineLevel="0" collapsed="false">
      <c r="A145" s="0" t="s">
        <v>2978</v>
      </c>
      <c r="B145" s="14" t="n">
        <v>2423.40833661368</v>
      </c>
      <c r="C145" s="14" t="n">
        <v>7619.72420522498</v>
      </c>
      <c r="D145" s="14" t="n">
        <v>19459.2297182455</v>
      </c>
      <c r="E145" s="14" t="n">
        <v>4077.55742475542</v>
      </c>
      <c r="F145" s="14" t="n">
        <v>-874.245813140134</v>
      </c>
      <c r="G145" s="14" t="n">
        <v>4647.01426968655</v>
      </c>
      <c r="H145" s="14" t="n">
        <v>22073.0140205822</v>
      </c>
      <c r="I145" s="15" t="n">
        <v>40.6348830374956</v>
      </c>
      <c r="J145" s="15" t="n">
        <v>45.91741783237</v>
      </c>
      <c r="K145" s="14" t="s">
        <v>58</v>
      </c>
      <c r="L145" s="14" t="n">
        <v>-9477.1197450462</v>
      </c>
      <c r="M145" s="14" t="n">
        <v>27439.1944841045</v>
      </c>
      <c r="N145" s="14" t="n">
        <v>12090.034669615</v>
      </c>
      <c r="O145" s="14" t="n">
        <v>-20128.1098566571</v>
      </c>
      <c r="P145" s="14" t="n">
        <v>968.519919991184</v>
      </c>
      <c r="Q145" s="14" t="n">
        <v>1912.9307637414</v>
      </c>
      <c r="R145" s="14" t="n">
        <v>16720.3421667323</v>
      </c>
      <c r="S145" s="14" t="n">
        <v>23672.5845943649</v>
      </c>
      <c r="T145" s="14" t="n">
        <v>-937.010768786052</v>
      </c>
      <c r="U145" s="14" t="n">
        <v>12796.9504961296</v>
      </c>
      <c r="V145" s="14" t="n">
        <v>0.82509878873241</v>
      </c>
      <c r="W145" s="14" t="n">
        <v>54275.5703625904</v>
      </c>
      <c r="X145" s="14" t="n">
        <v>21798.7630657667</v>
      </c>
      <c r="Y145" s="14" t="n">
        <v>43.1954731771996</v>
      </c>
      <c r="Z145" s="14" t="n">
        <v>58.6319508301532</v>
      </c>
      <c r="AA145" s="14" t="n">
        <v>30.1575455502983</v>
      </c>
      <c r="AB145" s="14" t="n">
        <v>27.9575455502983</v>
      </c>
      <c r="AC145" s="14" t="n">
        <v>29.4075455502983</v>
      </c>
      <c r="AD145" s="14" t="n">
        <v>23.1609949826291</v>
      </c>
      <c r="AE145" s="14" t="n">
        <v>653.683373262198</v>
      </c>
      <c r="AF145" s="14" t="n">
        <v>0.03</v>
      </c>
      <c r="AG145" s="14" t="n">
        <v>0.699896266672107</v>
      </c>
      <c r="AH145" s="14" t="n">
        <v>8567.93169795486</v>
      </c>
      <c r="AI145" s="14" t="n">
        <v>19459.2297182455</v>
      </c>
      <c r="AJ145" s="14" t="n">
        <v>22.39175</v>
      </c>
      <c r="AK145" s="14" t="n">
        <v>0</v>
      </c>
      <c r="AL145" s="14" t="n">
        <v>-34895.3586099113</v>
      </c>
      <c r="AM145" s="14" t="n">
        <v>684.5</v>
      </c>
      <c r="AN145" s="14" t="n">
        <v>21854.1913884852</v>
      </c>
      <c r="AO145" s="14" t="n">
        <v>-5613.79256375324</v>
      </c>
      <c r="AP145" s="14" t="n">
        <v>0.52477734060772</v>
      </c>
      <c r="AQ145" s="14" t="n">
        <v>38.9727401086255</v>
      </c>
      <c r="AR145" s="14" t="n">
        <v>314.925245</v>
      </c>
      <c r="AS145" s="14" t="n">
        <v>314.925245</v>
      </c>
      <c r="AT145" s="14" t="n">
        <v>-9477.1197450462</v>
      </c>
      <c r="AU145" s="14" t="n">
        <v>0</v>
      </c>
      <c r="AV145" s="14" t="n">
        <v>0</v>
      </c>
      <c r="AW145" s="14" t="n">
        <v>2254.3125</v>
      </c>
      <c r="AX145" s="14" t="n">
        <v>314.925245</v>
      </c>
      <c r="AY145" s="14" t="n">
        <v>314.925245</v>
      </c>
      <c r="AZ145" s="14" t="n">
        <v>6805.39150399988</v>
      </c>
      <c r="BA145" s="14" t="n">
        <v>20.3001048059749</v>
      </c>
      <c r="BB145" s="14" t="n">
        <v>28.9573974279113</v>
      </c>
      <c r="BC145" s="14" t="n">
        <v>37.6896284689636</v>
      </c>
      <c r="BD145" s="14" t="n">
        <v>-6.60619313427753</v>
      </c>
      <c r="BE145" s="14" t="n">
        <v>3.66224269082016</v>
      </c>
      <c r="BF145" s="14" t="n">
        <v>3.759910984945</v>
      </c>
      <c r="BG145" s="14" t="n">
        <v>14.0283468100427</v>
      </c>
      <c r="BH145" s="14" t="n">
        <v>8.79460973826781</v>
      </c>
      <c r="BI145" s="14" t="n">
        <v>23.1478112543334</v>
      </c>
      <c r="BJ145" s="14" t="n">
        <v>5.11489923648504</v>
      </c>
      <c r="BK145" s="14" t="n">
        <v>6.14038025700283</v>
      </c>
      <c r="BL145" s="14" t="n">
        <v>6.42123287671233</v>
      </c>
      <c r="BM145" s="14" t="n">
        <v>7672.79585778466</v>
      </c>
      <c r="BN145" s="14" t="n">
        <v>7587.35746819474</v>
      </c>
      <c r="BO145" s="14" t="n">
        <v>7587.35746819474</v>
      </c>
      <c r="BP145" s="14" t="n">
        <v>314.925245</v>
      </c>
      <c r="BQ145" s="14" t="n">
        <v>292.4</v>
      </c>
      <c r="BR145" s="14" t="n">
        <v>950</v>
      </c>
      <c r="BS145" s="14" t="s">
        <v>2855</v>
      </c>
      <c r="BT145" s="14" t="n">
        <v>36.5333333333333</v>
      </c>
      <c r="BU145" s="14" t="n">
        <v>0.191939308592271</v>
      </c>
      <c r="BV145" s="14" t="n">
        <v>0.295395823150495</v>
      </c>
      <c r="BW145" s="14" t="n">
        <v>13618.5823768008</v>
      </c>
      <c r="BX145" s="14" t="n">
        <v>14142.0331459002</v>
      </c>
      <c r="BY145" s="14" t="n">
        <v>81.4104290976466</v>
      </c>
      <c r="BZ145" s="14" t="n">
        <v>0</v>
      </c>
      <c r="CA145" s="14" t="n">
        <v>0</v>
      </c>
      <c r="CB145" s="14" t="n">
        <v>14925.9913884852</v>
      </c>
    </row>
    <row r="146" customFormat="false" ht="15" hidden="false" customHeight="false" outlineLevel="0" collapsed="false">
      <c r="A146" s="0" t="s">
        <v>2979</v>
      </c>
      <c r="B146" s="14" t="n">
        <v>2423.40833661368</v>
      </c>
      <c r="C146" s="14" t="n">
        <v>7619.72420522498</v>
      </c>
      <c r="D146" s="14" t="n">
        <v>19459.2297182455</v>
      </c>
      <c r="E146" s="14" t="n">
        <v>4077.55742475542</v>
      </c>
      <c r="F146" s="14" t="n">
        <v>-870.948769390134</v>
      </c>
      <c r="G146" s="14" t="n">
        <v>4643.71722593655</v>
      </c>
      <c r="H146" s="14" t="n">
        <v>22066.9390081365</v>
      </c>
      <c r="I146" s="15" t="n">
        <v>40.6555823547392</v>
      </c>
      <c r="J146" s="15" t="n">
        <v>45.9408080608553</v>
      </c>
      <c r="K146" s="14" t="s">
        <v>58</v>
      </c>
      <c r="L146" s="14" t="n">
        <v>-10196.4144849004</v>
      </c>
      <c r="M146" s="14" t="n">
        <v>27439.1944841045</v>
      </c>
      <c r="N146" s="14" t="n">
        <v>12090.034669615</v>
      </c>
      <c r="O146" s="14" t="n">
        <v>-20799.7090563832</v>
      </c>
      <c r="P146" s="14" t="n">
        <v>968.519919991184</v>
      </c>
      <c r="Q146" s="14" t="n">
        <v>1919.9958574914</v>
      </c>
      <c r="R146" s="14" t="n">
        <v>16720.3421667323</v>
      </c>
      <c r="S146" s="14" t="n">
        <v>23672.5845943649</v>
      </c>
      <c r="T146" s="14" t="n">
        <v>-936.775265661052</v>
      </c>
      <c r="U146" s="14" t="n">
        <v>12803.4692336839</v>
      </c>
      <c r="V146" s="14" t="n">
        <v>0.82509878873241</v>
      </c>
      <c r="W146" s="14" t="n">
        <v>54275.5703625904</v>
      </c>
      <c r="X146" s="14" t="n">
        <v>21798.7630657667</v>
      </c>
      <c r="Y146" s="14" t="n">
        <v>43.2174768532519</v>
      </c>
      <c r="Z146" s="14" t="n">
        <v>58.6618178129061</v>
      </c>
      <c r="AA146" s="14" t="n">
        <v>30.1575455502983</v>
      </c>
      <c r="AB146" s="14" t="n">
        <v>27.9575455502983</v>
      </c>
      <c r="AC146" s="14" t="n">
        <v>29.4075455502983</v>
      </c>
      <c r="AD146" s="14" t="n">
        <v>23.1609949826291</v>
      </c>
      <c r="AE146" s="14" t="n">
        <v>653.683373262198</v>
      </c>
      <c r="AF146" s="14" t="n">
        <v>0.03</v>
      </c>
      <c r="AG146" s="14" t="n">
        <v>0.699896266672107</v>
      </c>
      <c r="AH146" s="14" t="n">
        <v>7811.44814326736</v>
      </c>
      <c r="AI146" s="14" t="n">
        <v>19459.2297182455</v>
      </c>
      <c r="AJ146" s="14" t="n">
        <v>22.39175</v>
      </c>
      <c r="AK146" s="14" t="n">
        <v>0</v>
      </c>
      <c r="AL146" s="14" t="n">
        <v>-35532.5119409679</v>
      </c>
      <c r="AM146" s="14" t="n">
        <v>684.5</v>
      </c>
      <c r="AN146" s="14" t="n">
        <v>21854.1913884852</v>
      </c>
      <c r="AO146" s="14" t="n">
        <v>-5613.79256375324</v>
      </c>
      <c r="AP146" s="14" t="n">
        <v>0.52477734060772</v>
      </c>
      <c r="AQ146" s="14" t="n">
        <v>38.9934394258691</v>
      </c>
      <c r="AR146" s="14" t="n">
        <v>314.925245</v>
      </c>
      <c r="AS146" s="14" t="n">
        <v>314.925245</v>
      </c>
      <c r="AT146" s="14" t="n">
        <v>-10196.4144849004</v>
      </c>
      <c r="AU146" s="14" t="n">
        <v>0</v>
      </c>
      <c r="AV146" s="14" t="n">
        <v>0</v>
      </c>
      <c r="AW146" s="14" t="n">
        <v>2254.3125</v>
      </c>
      <c r="AX146" s="14" t="n">
        <v>314.925245</v>
      </c>
      <c r="AY146" s="14" t="n">
        <v>314.925245</v>
      </c>
      <c r="AZ146" s="14" t="n">
        <v>6805.39150399988</v>
      </c>
      <c r="BA146" s="14" t="n">
        <v>20.340094454947</v>
      </c>
      <c r="BB146" s="14" t="n">
        <v>28.9973870768833</v>
      </c>
      <c r="BC146" s="14" t="n">
        <v>37.7296181179356</v>
      </c>
      <c r="BD146" s="14" t="n">
        <v>-6.60619313427753</v>
      </c>
      <c r="BE146" s="14" t="n">
        <v>3.66224269082016</v>
      </c>
      <c r="BF146" s="14" t="n">
        <v>3.759910984945</v>
      </c>
      <c r="BG146" s="14" t="n">
        <v>14.0283468100427</v>
      </c>
      <c r="BH146" s="14" t="n">
        <v>8.79460973826781</v>
      </c>
      <c r="BI146" s="14" t="n">
        <v>23.1478112543334</v>
      </c>
      <c r="BJ146" s="14" t="n">
        <v>5.11489923648504</v>
      </c>
      <c r="BK146" s="14" t="n">
        <v>6.14038025700283</v>
      </c>
      <c r="BL146" s="14" t="n">
        <v>6.42123287671233</v>
      </c>
      <c r="BM146" s="14" t="n">
        <v>7672.79585778466</v>
      </c>
      <c r="BN146" s="14" t="n">
        <v>7587.35746819474</v>
      </c>
      <c r="BO146" s="14" t="n">
        <v>7587.35746819474</v>
      </c>
      <c r="BP146" s="14" t="n">
        <v>314.925245</v>
      </c>
      <c r="BQ146" s="14" t="n">
        <v>292.4</v>
      </c>
      <c r="BR146" s="14" t="n">
        <v>950</v>
      </c>
      <c r="BS146" s="14" t="s">
        <v>2855</v>
      </c>
      <c r="BT146" s="14" t="n">
        <v>36.5333333333333</v>
      </c>
      <c r="BU146" s="14" t="n">
        <v>0.191939308592271</v>
      </c>
      <c r="BV146" s="14" t="n">
        <v>0.295395823150495</v>
      </c>
      <c r="BW146" s="14" t="n">
        <v>13618.5823768008</v>
      </c>
      <c r="BX146" s="14" t="n">
        <v>14142.0331459002</v>
      </c>
      <c r="BY146" s="14" t="n">
        <v>82.8836195007467</v>
      </c>
      <c r="BZ146" s="14" t="n">
        <v>0</v>
      </c>
      <c r="CA146" s="14" t="n">
        <v>0</v>
      </c>
      <c r="CB146" s="14" t="n">
        <v>14925.9913884852</v>
      </c>
    </row>
    <row r="147" customFormat="false" ht="15" hidden="false" customHeight="false" outlineLevel="0" collapsed="false">
      <c r="A147" s="0" t="s">
        <v>2980</v>
      </c>
      <c r="B147" s="14" t="n">
        <v>2423.40833661368</v>
      </c>
      <c r="C147" s="14" t="n">
        <v>7619.72420522498</v>
      </c>
      <c r="D147" s="14" t="n">
        <v>19459.2297182455</v>
      </c>
      <c r="E147" s="14" t="n">
        <v>4077.55742475542</v>
      </c>
      <c r="F147" s="14" t="n">
        <v>-870.948769390134</v>
      </c>
      <c r="G147" s="14" t="n">
        <v>4643.71722593655</v>
      </c>
      <c r="H147" s="14" t="n">
        <v>22066.9390081365</v>
      </c>
      <c r="I147" s="15" t="n">
        <v>41.2702754600847</v>
      </c>
      <c r="J147" s="15" t="n">
        <v>46.6354112698957</v>
      </c>
      <c r="K147" s="14" t="s">
        <v>58</v>
      </c>
      <c r="L147" s="14" t="n">
        <v>-10196.4144849004</v>
      </c>
      <c r="M147" s="14" t="n">
        <v>27439.1944841045</v>
      </c>
      <c r="N147" s="14" t="n">
        <v>12090.034669615</v>
      </c>
      <c r="O147" s="14" t="n">
        <v>-20799.7090563832</v>
      </c>
      <c r="P147" s="14" t="n">
        <v>968.519919991184</v>
      </c>
      <c r="Q147" s="14" t="n">
        <v>1919.9958574914</v>
      </c>
      <c r="R147" s="14" t="n">
        <v>16720.3421667323</v>
      </c>
      <c r="S147" s="14" t="n">
        <v>23672.5845943649</v>
      </c>
      <c r="T147" s="14" t="n">
        <v>-936.775265661052</v>
      </c>
      <c r="U147" s="14" t="n">
        <v>12997.0516104847</v>
      </c>
      <c r="V147" s="14" t="n">
        <v>0.82509878873241</v>
      </c>
      <c r="W147" s="14" t="n">
        <v>54275.5703625904</v>
      </c>
      <c r="X147" s="14" t="n">
        <v>21798.7630657667</v>
      </c>
      <c r="Y147" s="14" t="n">
        <v>43.8709045872425</v>
      </c>
      <c r="Z147" s="14" t="n">
        <v>59.5487566505298</v>
      </c>
      <c r="AA147" s="14" t="n">
        <v>30.1575455502983</v>
      </c>
      <c r="AB147" s="14" t="n">
        <v>27.9575455502983</v>
      </c>
      <c r="AC147" s="14" t="n">
        <v>29.4075455502983</v>
      </c>
      <c r="AD147" s="14" t="n">
        <v>23.1609949826291</v>
      </c>
      <c r="AE147" s="14" t="n">
        <v>653.683373262198</v>
      </c>
      <c r="AF147" s="14" t="n">
        <v>0.03</v>
      </c>
      <c r="AG147" s="14" t="n">
        <v>0.699896266672107</v>
      </c>
      <c r="AH147" s="14" t="n">
        <v>7811.44814326736</v>
      </c>
      <c r="AI147" s="14" t="n">
        <v>19459.2297182455</v>
      </c>
      <c r="AJ147" s="14" t="n">
        <v>22.39175</v>
      </c>
      <c r="AK147" s="14" t="n">
        <v>0</v>
      </c>
      <c r="AL147" s="14" t="n">
        <v>-35532.5119409679</v>
      </c>
      <c r="AM147" s="14" t="n">
        <v>684.5</v>
      </c>
      <c r="AN147" s="14" t="n">
        <v>21854.1913884852</v>
      </c>
      <c r="AO147" s="14" t="n">
        <v>-5613.79256375324</v>
      </c>
      <c r="AP147" s="14" t="n">
        <v>0.52477734060772</v>
      </c>
      <c r="AQ147" s="14" t="n">
        <v>41.2702754600847</v>
      </c>
      <c r="AR147" s="14" t="n">
        <v>314.925245</v>
      </c>
      <c r="AS147" s="14" t="n">
        <v>314.925245</v>
      </c>
      <c r="AT147" s="14" t="n">
        <v>-10196.4144849004</v>
      </c>
      <c r="AU147" s="14" t="n">
        <v>0</v>
      </c>
      <c r="AV147" s="14" t="n">
        <v>0</v>
      </c>
      <c r="AW147" s="14" t="n">
        <v>2254.3125</v>
      </c>
      <c r="AX147" s="14" t="n">
        <v>314.925245</v>
      </c>
      <c r="AY147" s="14" t="n">
        <v>314.925245</v>
      </c>
      <c r="AZ147" s="14" t="n">
        <v>6805.39150399988</v>
      </c>
      <c r="BA147" s="14" t="n">
        <v>20.9547875602925</v>
      </c>
      <c r="BB147" s="14" t="n">
        <v>29.6120801822289</v>
      </c>
      <c r="BC147" s="14" t="n">
        <v>38.3443112232812</v>
      </c>
      <c r="BD147" s="14" t="n">
        <v>-6.60619313427753</v>
      </c>
      <c r="BE147" s="14" t="n">
        <v>3.66224269082016</v>
      </c>
      <c r="BF147" s="14" t="n">
        <v>3.759910984945</v>
      </c>
      <c r="BG147" s="14" t="n">
        <v>14.0283468100427</v>
      </c>
      <c r="BH147" s="14" t="n">
        <v>8.79460973826781</v>
      </c>
      <c r="BI147" s="14" t="n">
        <v>23.1478112543334</v>
      </c>
      <c r="BJ147" s="14" t="n">
        <v>5.11489923648504</v>
      </c>
      <c r="BK147" s="14" t="n">
        <v>6.14038025700283</v>
      </c>
      <c r="BL147" s="14" t="n">
        <v>6.42123287671233</v>
      </c>
      <c r="BM147" s="14" t="n">
        <v>7672.79585778466</v>
      </c>
      <c r="BN147" s="14" t="n">
        <v>7587.35746819474</v>
      </c>
      <c r="BO147" s="14" t="n">
        <v>7587.35746819474</v>
      </c>
      <c r="BP147" s="14" t="n">
        <v>314.925245</v>
      </c>
      <c r="BQ147" s="14" t="n">
        <v>292.4</v>
      </c>
      <c r="BR147" s="14" t="n">
        <v>950</v>
      </c>
      <c r="BS147" s="14" t="s">
        <v>2855</v>
      </c>
      <c r="BT147" s="14" t="n">
        <v>36.5333333333333</v>
      </c>
      <c r="BU147" s="14" t="n">
        <v>0.191939308592271</v>
      </c>
      <c r="BV147" s="14" t="n">
        <v>0.295395823150495</v>
      </c>
      <c r="BW147" s="14" t="n">
        <v>13425</v>
      </c>
      <c r="BX147" s="14" t="n">
        <v>13425</v>
      </c>
      <c r="BY147" s="14" t="n">
        <v>82.8836195007467</v>
      </c>
      <c r="BZ147" s="14" t="n">
        <v>0</v>
      </c>
      <c r="CA147" s="14" t="n">
        <v>0</v>
      </c>
      <c r="CB147" s="14" t="n">
        <v>14925.9913884852</v>
      </c>
    </row>
    <row r="148" customFormat="false" ht="15" hidden="false" customHeight="false" outlineLevel="0" collapsed="false">
      <c r="A148" s="0" t="s">
        <v>2981</v>
      </c>
      <c r="B148" s="14" t="n">
        <v>2423.40833661368</v>
      </c>
      <c r="C148" s="14" t="n">
        <v>7621.71734378923</v>
      </c>
      <c r="D148" s="14" t="n">
        <v>19606.894648061</v>
      </c>
      <c r="E148" s="14" t="n">
        <v>4078.97255313604</v>
      </c>
      <c r="F148" s="14" t="n">
        <v>-869.615036714095</v>
      </c>
      <c r="G148" s="14" t="n">
        <v>4643.71889609856</v>
      </c>
      <c r="H148" s="14" t="n">
        <v>26024.112404063</v>
      </c>
      <c r="I148" s="15" t="n">
        <v>53.8102223971756</v>
      </c>
      <c r="J148" s="15" t="n">
        <v>60.8055513088084</v>
      </c>
      <c r="K148" s="14" t="s">
        <v>58</v>
      </c>
      <c r="L148" s="14" t="n">
        <v>-10195.0392192911</v>
      </c>
      <c r="M148" s="14" t="n">
        <v>27439.2343468758</v>
      </c>
      <c r="N148" s="14" t="n">
        <v>12202.2600162747</v>
      </c>
      <c r="O148" s="14" t="n">
        <v>-20714.5368772925</v>
      </c>
      <c r="P148" s="14" t="n">
        <v>968.519919991184</v>
      </c>
      <c r="Q148" s="14" t="n">
        <v>2026.16761715315</v>
      </c>
      <c r="R148" s="14" t="n">
        <v>16720.3421667323</v>
      </c>
      <c r="S148" s="14" t="n">
        <v>23675.5378929612</v>
      </c>
      <c r="T148" s="14" t="n">
        <v>-936.775265661052</v>
      </c>
      <c r="U148" s="14" t="n">
        <v>17129.2250064112</v>
      </c>
      <c r="V148" s="14" t="n">
        <v>0.82509878873241</v>
      </c>
      <c r="W148" s="14" t="n">
        <v>57617.3326897501</v>
      </c>
      <c r="X148" s="14" t="n">
        <v>21955.5413172654</v>
      </c>
      <c r="Y148" s="14" t="n">
        <v>57.2010510297656</v>
      </c>
      <c r="Z148" s="14" t="n">
        <v>77.6426084662174</v>
      </c>
      <c r="AA148" s="14" t="n">
        <v>30.1575455502983</v>
      </c>
      <c r="AB148" s="14" t="n">
        <v>27.9575455502983</v>
      </c>
      <c r="AC148" s="14" t="n">
        <v>29.4075455502983</v>
      </c>
      <c r="AD148" s="14" t="n">
        <v>23.1609949826291</v>
      </c>
      <c r="AE148" s="14" t="n">
        <v>653.683373262198</v>
      </c>
      <c r="AF148" s="14" t="n">
        <v>0.03</v>
      </c>
      <c r="AG148" s="14" t="n">
        <v>0.702129022128044</v>
      </c>
      <c r="AH148" s="14" t="n">
        <v>7811.44814326736</v>
      </c>
      <c r="AI148" s="14" t="n">
        <v>19606.894648061</v>
      </c>
      <c r="AJ148" s="14" t="n">
        <v>22.39175</v>
      </c>
      <c r="AK148" s="14" t="n">
        <v>0</v>
      </c>
      <c r="AL148" s="14" t="n">
        <v>-35264.9930202368</v>
      </c>
      <c r="AM148" s="14" t="n">
        <v>684.5</v>
      </c>
      <c r="AN148" s="14" t="n">
        <v>21854.1913884852</v>
      </c>
      <c r="AO148" s="14" t="n">
        <v>-5613.79256375324</v>
      </c>
      <c r="AP148" s="14" t="n">
        <v>0.519414437863832</v>
      </c>
      <c r="AQ148" s="14" t="n">
        <v>53.8102223971756</v>
      </c>
      <c r="AR148" s="14" t="n">
        <v>318.3265975</v>
      </c>
      <c r="AS148" s="14" t="n">
        <v>318.3265975</v>
      </c>
      <c r="AT148" s="14" t="n">
        <v>-10195.0392192911</v>
      </c>
      <c r="AU148" s="14" t="n">
        <v>0</v>
      </c>
      <c r="AV148" s="14" t="n">
        <v>0</v>
      </c>
      <c r="AW148" s="14" t="n">
        <v>2254.3125</v>
      </c>
      <c r="AX148" s="14" t="n">
        <v>318.3265975</v>
      </c>
      <c r="AY148" s="14" t="n">
        <v>315.074427332252</v>
      </c>
      <c r="AZ148" s="14" t="n">
        <v>6839.73993545842</v>
      </c>
      <c r="BA148" s="14" t="n">
        <v>21.0638560837084</v>
      </c>
      <c r="BB148" s="14" t="n">
        <v>29.7211487056448</v>
      </c>
      <c r="BC148" s="14" t="n">
        <v>38.4533797466971</v>
      </c>
      <c r="BD148" s="14" t="n">
        <v>-6.60619313427753</v>
      </c>
      <c r="BE148" s="14" t="n">
        <v>3.66224269082016</v>
      </c>
      <c r="BF148" s="14" t="n">
        <v>3.759910984945</v>
      </c>
      <c r="BG148" s="14" t="n">
        <v>14.0283468100427</v>
      </c>
      <c r="BH148" s="14" t="n">
        <v>8.79460973826781</v>
      </c>
      <c r="BI148" s="14" t="n">
        <v>23.1478112543334</v>
      </c>
      <c r="BJ148" s="14" t="n">
        <v>5.11489923648504</v>
      </c>
      <c r="BK148" s="14" t="n">
        <v>6.14038025700283</v>
      </c>
      <c r="BL148" s="14" t="n">
        <v>6.42123287671233</v>
      </c>
      <c r="BM148" s="14" t="n">
        <v>7672.79585778466</v>
      </c>
      <c r="BN148" s="14" t="n">
        <v>7589.35060675899</v>
      </c>
      <c r="BO148" s="14" t="n">
        <v>7589.35060675899</v>
      </c>
      <c r="BP148" s="14" t="n">
        <v>318.3265975</v>
      </c>
      <c r="BQ148" s="14" t="n">
        <v>292.4</v>
      </c>
      <c r="BR148" s="14" t="n">
        <v>950</v>
      </c>
      <c r="BS148" s="14" t="s">
        <v>2855</v>
      </c>
      <c r="BT148" s="14" t="n">
        <v>36.5333333333333</v>
      </c>
      <c r="BU148" s="14" t="n">
        <v>0.191939308592271</v>
      </c>
      <c r="BV148" s="14" t="n">
        <v>0.295395823150495</v>
      </c>
      <c r="BW148" s="14" t="n">
        <v>13250</v>
      </c>
      <c r="BX148" s="14" t="n">
        <v>13250</v>
      </c>
      <c r="BY148" s="14" t="n">
        <v>82.306286615184</v>
      </c>
      <c r="BZ148" s="14" t="n">
        <v>0</v>
      </c>
      <c r="CA148" s="14" t="n">
        <v>0</v>
      </c>
      <c r="CB148" s="14" t="n">
        <v>14925.9913884852</v>
      </c>
    </row>
    <row r="149" customFormat="false" ht="15" hidden="false" customHeight="false" outlineLevel="0" collapsed="false">
      <c r="A149" s="0" t="s">
        <v>2982</v>
      </c>
      <c r="B149" s="14" t="n">
        <v>2423.40833661368</v>
      </c>
      <c r="C149" s="14" t="n">
        <v>7621.71734378923</v>
      </c>
      <c r="D149" s="14" t="n">
        <v>19606.894648061</v>
      </c>
      <c r="E149" s="14" t="n">
        <v>4078.97255313604</v>
      </c>
      <c r="F149" s="14" t="n">
        <v>-875.240036714096</v>
      </c>
      <c r="G149" s="14" t="n">
        <v>4649.34389609856</v>
      </c>
      <c r="H149" s="14" t="n">
        <v>25285.7602636984</v>
      </c>
      <c r="I149" s="15" t="n">
        <v>51.4907425102817</v>
      </c>
      <c r="J149" s="15" t="n">
        <v>58.1845390366183</v>
      </c>
      <c r="K149" s="14" t="s">
        <v>58</v>
      </c>
      <c r="L149" s="14" t="n">
        <v>-10420.8440805267</v>
      </c>
      <c r="M149" s="14" t="n">
        <v>27776.7343468758</v>
      </c>
      <c r="N149" s="14" t="n">
        <v>12202.2600162747</v>
      </c>
      <c r="O149" s="14" t="n">
        <v>-21038.2228344146</v>
      </c>
      <c r="P149" s="14" t="n">
        <v>968.519919991184</v>
      </c>
      <c r="Q149" s="14" t="n">
        <v>1958.66761715315</v>
      </c>
      <c r="R149" s="14" t="n">
        <v>16720.3421667323</v>
      </c>
      <c r="S149" s="14" t="n">
        <v>23788.0378929612</v>
      </c>
      <c r="T149" s="14" t="n">
        <v>-936.775265661052</v>
      </c>
      <c r="U149" s="14" t="n">
        <v>16390.8728660466</v>
      </c>
      <c r="V149" s="14" t="n">
        <v>0.82509878873241</v>
      </c>
      <c r="W149" s="14" t="n">
        <v>57203.1010233033</v>
      </c>
      <c r="X149" s="14" t="n">
        <v>22031.0454672654</v>
      </c>
      <c r="Y149" s="14" t="n">
        <v>54.7354100890269</v>
      </c>
      <c r="Z149" s="14" t="n">
        <v>74.2958378958579</v>
      </c>
      <c r="AA149" s="14" t="n">
        <v>30.1575455502983</v>
      </c>
      <c r="AB149" s="14" t="n">
        <v>27.9575455502983</v>
      </c>
      <c r="AC149" s="14" t="n">
        <v>29.4075455502983</v>
      </c>
      <c r="AD149" s="14" t="n">
        <v>23.1609949826291</v>
      </c>
      <c r="AE149" s="14" t="n">
        <v>653.683373262198</v>
      </c>
      <c r="AF149" s="14" t="n">
        <v>0.03</v>
      </c>
      <c r="AG149" s="14" t="n">
        <v>0.702129022128044</v>
      </c>
      <c r="AH149" s="14" t="n">
        <v>7811.44814326736</v>
      </c>
      <c r="AI149" s="14" t="n">
        <v>19606.894648061</v>
      </c>
      <c r="AJ149" s="14" t="n">
        <v>22.39175</v>
      </c>
      <c r="AK149" s="14" t="n">
        <v>0</v>
      </c>
      <c r="AL149" s="14" t="n">
        <v>-35594.9593166338</v>
      </c>
      <c r="AM149" s="14" t="n">
        <v>684.5</v>
      </c>
      <c r="AN149" s="14" t="n">
        <v>21992.8703698339</v>
      </c>
      <c r="AO149" s="14" t="n">
        <v>-5636.94041441882</v>
      </c>
      <c r="AP149" s="14" t="n">
        <v>0.519414437863832</v>
      </c>
      <c r="AQ149" s="14" t="n">
        <v>51.4907425102817</v>
      </c>
      <c r="AR149" s="14" t="n">
        <v>318.3265975</v>
      </c>
      <c r="AS149" s="14" t="n">
        <v>318.3265975</v>
      </c>
      <c r="AT149" s="14" t="n">
        <v>-10420.8440805267</v>
      </c>
      <c r="AU149" s="14" t="n">
        <v>0</v>
      </c>
      <c r="AV149" s="14" t="n">
        <v>0</v>
      </c>
      <c r="AW149" s="14" t="n">
        <v>2254.3125</v>
      </c>
      <c r="AX149" s="14" t="n">
        <v>318.3265975</v>
      </c>
      <c r="AY149" s="14" t="n">
        <v>314.927928312717</v>
      </c>
      <c r="AZ149" s="14" t="n">
        <v>5879.73993545842</v>
      </c>
      <c r="BA149" s="14" t="n">
        <v>18.0155136111956</v>
      </c>
      <c r="BB149" s="14" t="n">
        <v>26.672806233132</v>
      </c>
      <c r="BC149" s="14" t="n">
        <v>35.4050372741843</v>
      </c>
      <c r="BD149" s="14" t="n">
        <v>-6.60619313427753</v>
      </c>
      <c r="BE149" s="14" t="n">
        <v>3.66224269082016</v>
      </c>
      <c r="BF149" s="14" t="n">
        <v>3.759910984945</v>
      </c>
      <c r="BG149" s="14" t="n">
        <v>14.0283468100427</v>
      </c>
      <c r="BH149" s="14" t="n">
        <v>8.79460973826781</v>
      </c>
      <c r="BI149" s="14" t="n">
        <v>23.1478112543334</v>
      </c>
      <c r="BJ149" s="14" t="n">
        <v>5.11489923648504</v>
      </c>
      <c r="BK149" s="14" t="n">
        <v>6.14038025700283</v>
      </c>
      <c r="BL149" s="14" t="n">
        <v>6.42123287671233</v>
      </c>
      <c r="BM149" s="14" t="n">
        <v>7672.79585778466</v>
      </c>
      <c r="BN149" s="14" t="n">
        <v>7589.35060675899</v>
      </c>
      <c r="BO149" s="14" t="n">
        <v>7589.35060675899</v>
      </c>
      <c r="BP149" s="14" t="n">
        <v>318.3265975</v>
      </c>
      <c r="BQ149" s="14" t="n">
        <v>292.4</v>
      </c>
      <c r="BR149" s="14" t="n">
        <v>950</v>
      </c>
      <c r="BS149" s="14" t="s">
        <v>2855</v>
      </c>
      <c r="BT149" s="14" t="n">
        <v>36.5333333333333</v>
      </c>
      <c r="BU149" s="14" t="n">
        <v>0.191939308592271</v>
      </c>
      <c r="BV149" s="14" t="n">
        <v>0.295395823150495</v>
      </c>
      <c r="BW149" s="14" t="n">
        <v>13250</v>
      </c>
      <c r="BX149" s="14" t="n">
        <v>13250</v>
      </c>
      <c r="BY149" s="14" t="n">
        <v>83.0510201611923</v>
      </c>
      <c r="BZ149" s="14" t="n">
        <v>0</v>
      </c>
      <c r="CA149" s="14" t="n">
        <v>0</v>
      </c>
      <c r="CB149" s="14" t="n">
        <v>15064.6703698339</v>
      </c>
    </row>
    <row r="150" customFormat="false" ht="15" hidden="false" customHeight="false" outlineLevel="0" collapsed="false">
      <c r="A150" s="0" t="s">
        <v>2983</v>
      </c>
      <c r="B150" s="14" t="n">
        <v>2423.40833661368</v>
      </c>
      <c r="C150" s="14" t="n">
        <v>7621.71734378923</v>
      </c>
      <c r="D150" s="14" t="n">
        <v>19606.894648061</v>
      </c>
      <c r="E150" s="14" t="n">
        <v>4078.97255313604</v>
      </c>
      <c r="F150" s="14" t="n">
        <v>-974.040036714095</v>
      </c>
      <c r="G150" s="14" t="n">
        <v>4748.14389609856</v>
      </c>
      <c r="H150" s="14" t="n">
        <v>-308.827567722828</v>
      </c>
      <c r="I150" s="15" t="n">
        <v>0.01</v>
      </c>
      <c r="J150" s="15" t="n">
        <v>0.0113</v>
      </c>
      <c r="K150" s="14" t="s">
        <v>58</v>
      </c>
      <c r="L150" s="14" t="n">
        <v>-13507.4496750321</v>
      </c>
      <c r="M150" s="14" t="n">
        <v>32170.7343468758</v>
      </c>
      <c r="N150" s="14" t="n">
        <v>12202.2600162747</v>
      </c>
      <c r="O150" s="14" t="n">
        <v>-28655.0135480726</v>
      </c>
      <c r="P150" s="14" t="n">
        <v>968.519919991184</v>
      </c>
      <c r="Q150" s="14" t="n">
        <v>903.067617153153</v>
      </c>
      <c r="R150" s="14" t="n">
        <v>16850.3421667323</v>
      </c>
      <c r="S150" s="14" t="n">
        <v>29456.0378929612</v>
      </c>
      <c r="T150" s="14" t="n">
        <v>-936.775265661052</v>
      </c>
      <c r="U150" s="14" t="n">
        <v>-9378.71496537464</v>
      </c>
      <c r="V150" s="14" t="n">
        <v>0.82509878873241</v>
      </c>
      <c r="W150" s="14" t="n">
        <v>45973.5272130968</v>
      </c>
      <c r="X150" s="14" t="n">
        <v>25494.8402952654</v>
      </c>
      <c r="Y150" s="14" t="n">
        <v>0.0106301458127347</v>
      </c>
      <c r="Z150" s="14" t="n">
        <v>0.01442897</v>
      </c>
      <c r="AA150" s="14" t="n">
        <v>30.1575455502983</v>
      </c>
      <c r="AB150" s="14" t="n">
        <v>27.9575455502983</v>
      </c>
      <c r="AC150" s="14" t="n">
        <v>29.4075455502983</v>
      </c>
      <c r="AD150" s="14" t="n">
        <v>23.1609949826291</v>
      </c>
      <c r="AE150" s="14" t="n">
        <v>653.683373262198</v>
      </c>
      <c r="AF150" s="14" t="n">
        <v>0.03</v>
      </c>
      <c r="AG150" s="14" t="n">
        <v>0.702129022128044</v>
      </c>
      <c r="AH150" s="14" t="n">
        <v>7709.97126154693</v>
      </c>
      <c r="AI150" s="14" t="n">
        <v>19606.894648061</v>
      </c>
      <c r="AJ150" s="14" t="n">
        <v>22.39175</v>
      </c>
      <c r="AK150" s="14" t="n">
        <v>0</v>
      </c>
      <c r="AL150" s="14" t="n">
        <v>-51366.284299732</v>
      </c>
      <c r="AM150" s="14" t="n">
        <v>684.5</v>
      </c>
      <c r="AN150" s="14" t="n">
        <v>27078.2628664013</v>
      </c>
      <c r="AO150" s="14" t="n">
        <v>-7119.9037923103</v>
      </c>
      <c r="AP150" s="14" t="n">
        <v>0.519414437863832</v>
      </c>
      <c r="AQ150" s="14" t="n">
        <v>0</v>
      </c>
      <c r="AR150" s="14" t="n">
        <v>314.925245</v>
      </c>
      <c r="AS150" s="14" t="n">
        <v>314.925245</v>
      </c>
      <c r="AT150" s="14" t="n">
        <v>-13507.4496750321</v>
      </c>
      <c r="AU150" s="14" t="n">
        <v>0</v>
      </c>
      <c r="AV150" s="14" t="n">
        <v>0</v>
      </c>
      <c r="AW150" s="14" t="n">
        <v>2254.3125</v>
      </c>
      <c r="AX150" s="14" t="n">
        <v>314.925245</v>
      </c>
      <c r="AY150" s="14" t="n">
        <v>314.925245</v>
      </c>
      <c r="AZ150" s="14" t="n">
        <v>5879.73993545842</v>
      </c>
      <c r="BA150" s="14" t="n">
        <v>18.0155136111956</v>
      </c>
      <c r="BB150" s="14" t="n">
        <v>26.672806233132</v>
      </c>
      <c r="BC150" s="14" t="n">
        <v>35.4050372741843</v>
      </c>
      <c r="BD150" s="14" t="n">
        <v>-6.60619313427753</v>
      </c>
      <c r="BE150" s="14" t="n">
        <v>-6.85854958974057</v>
      </c>
      <c r="BF150" s="14" t="n">
        <v>3.759910984945</v>
      </c>
      <c r="BG150" s="14" t="n">
        <v>3.50755452948196</v>
      </c>
      <c r="BH150" s="14" t="n">
        <v>8.79460973826781</v>
      </c>
      <c r="BI150" s="14" t="n">
        <v>10.1478112543334</v>
      </c>
      <c r="BJ150" s="14" t="n">
        <v>5.11489923648504</v>
      </c>
      <c r="BK150" s="14" t="n">
        <v>6.14038025700283</v>
      </c>
      <c r="BL150" s="14" t="n">
        <v>6.42123287671233</v>
      </c>
      <c r="BM150" s="14" t="n">
        <v>7672.79585778466</v>
      </c>
      <c r="BN150" s="14" t="n">
        <v>7589.35060675899</v>
      </c>
      <c r="BO150" s="14" t="n">
        <v>7589.35060675899</v>
      </c>
      <c r="BP150" s="14" t="n">
        <v>314.925245</v>
      </c>
      <c r="BQ150" s="14" t="n">
        <v>292.4</v>
      </c>
      <c r="BR150" s="14" t="n">
        <v>950</v>
      </c>
      <c r="BS150" s="14" t="s">
        <v>2856</v>
      </c>
      <c r="BT150" s="14" t="n">
        <v>36.5333333333333</v>
      </c>
      <c r="BU150" s="14" t="n">
        <v>0.191939308592271</v>
      </c>
      <c r="BV150" s="14" t="n">
        <v>0.17581544487597</v>
      </c>
      <c r="BW150" s="14" t="n">
        <v>13425</v>
      </c>
      <c r="BX150" s="14" t="n">
        <v>13425</v>
      </c>
      <c r="BY150" s="14" t="n">
        <v>117.554126497149</v>
      </c>
      <c r="BZ150" s="14" t="n">
        <v>0</v>
      </c>
      <c r="CA150" s="14" t="n">
        <v>0</v>
      </c>
      <c r="CB150" s="14" t="n">
        <v>17798.3628664013</v>
      </c>
    </row>
    <row r="151" customFormat="false" ht="15" hidden="false" customHeight="false" outlineLevel="0" collapsed="false">
      <c r="A151" s="0" t="s">
        <v>2984</v>
      </c>
      <c r="B151" s="14" t="n">
        <v>2423.40833661368</v>
      </c>
      <c r="C151" s="14" t="n">
        <v>7621.71734378923</v>
      </c>
      <c r="D151" s="14" t="n">
        <v>19606.894648061</v>
      </c>
      <c r="E151" s="14" t="n">
        <v>4078.97255313604</v>
      </c>
      <c r="F151" s="14" t="n">
        <v>-974.040036714095</v>
      </c>
      <c r="G151" s="14" t="n">
        <v>4748.14389609856</v>
      </c>
      <c r="H151" s="14" t="n">
        <v>-308.827567722828</v>
      </c>
      <c r="I151" s="15" t="n">
        <v>0.01</v>
      </c>
      <c r="J151" s="15" t="n">
        <v>0.0113</v>
      </c>
      <c r="K151" s="14" t="s">
        <v>58</v>
      </c>
      <c r="L151" s="14" t="n">
        <v>-13507.4496750321</v>
      </c>
      <c r="M151" s="14" t="n">
        <v>32170.7343468758</v>
      </c>
      <c r="N151" s="14" t="n">
        <v>12202.2600162747</v>
      </c>
      <c r="O151" s="14" t="n">
        <v>-28655.0135480726</v>
      </c>
      <c r="P151" s="14" t="n">
        <v>968.519919991184</v>
      </c>
      <c r="Q151" s="14" t="n">
        <v>903.067617153153</v>
      </c>
      <c r="R151" s="14" t="n">
        <v>16850.3421667323</v>
      </c>
      <c r="S151" s="14" t="n">
        <v>29456.0378929612</v>
      </c>
      <c r="T151" s="14" t="n">
        <v>-936.775265661052</v>
      </c>
      <c r="U151" s="14" t="n">
        <v>-9378.71496537464</v>
      </c>
      <c r="V151" s="14" t="n">
        <v>0.82509878873241</v>
      </c>
      <c r="W151" s="14" t="n">
        <v>45973.5272130968</v>
      </c>
      <c r="X151" s="14" t="n">
        <v>25494.8402952654</v>
      </c>
      <c r="Y151" s="14" t="n">
        <v>0.0106301458127347</v>
      </c>
      <c r="Z151" s="14" t="n">
        <v>0.01442897</v>
      </c>
      <c r="AA151" s="14" t="n">
        <v>30.1575455502983</v>
      </c>
      <c r="AB151" s="14" t="n">
        <v>27.9575455502983</v>
      </c>
      <c r="AC151" s="14" t="n">
        <v>29.4075455502983</v>
      </c>
      <c r="AD151" s="14" t="n">
        <v>23.1609949826291</v>
      </c>
      <c r="AE151" s="14" t="n">
        <v>653.683373262198</v>
      </c>
      <c r="AF151" s="14" t="n">
        <v>0.03</v>
      </c>
      <c r="AG151" s="14" t="n">
        <v>0.702129022128044</v>
      </c>
      <c r="AH151" s="14" t="n">
        <v>7709.97126154693</v>
      </c>
      <c r="AI151" s="14" t="n">
        <v>19606.894648061</v>
      </c>
      <c r="AJ151" s="14" t="n">
        <v>22.39175</v>
      </c>
      <c r="AK151" s="14" t="n">
        <v>0</v>
      </c>
      <c r="AL151" s="14" t="n">
        <v>-51366.284299732</v>
      </c>
      <c r="AM151" s="14" t="n">
        <v>684.5</v>
      </c>
      <c r="AN151" s="14" t="n">
        <v>27078.2628664013</v>
      </c>
      <c r="AO151" s="14" t="n">
        <v>-7119.9037923103</v>
      </c>
      <c r="AP151" s="14" t="n">
        <v>0.519414437863832</v>
      </c>
      <c r="AQ151" s="14" t="n">
        <v>0</v>
      </c>
      <c r="AR151" s="14" t="n">
        <v>314.925245</v>
      </c>
      <c r="AS151" s="14" t="n">
        <v>314.925245</v>
      </c>
      <c r="AT151" s="14" t="n">
        <v>-13507.4496750321</v>
      </c>
      <c r="AU151" s="14" t="n">
        <v>0</v>
      </c>
      <c r="AV151" s="14" t="n">
        <v>0</v>
      </c>
      <c r="AW151" s="14" t="n">
        <v>2254.3125</v>
      </c>
      <c r="AX151" s="14" t="n">
        <v>314.925245</v>
      </c>
      <c r="AY151" s="14" t="n">
        <v>314.925245</v>
      </c>
      <c r="AZ151" s="14" t="n">
        <v>5879.73993545842</v>
      </c>
      <c r="BA151" s="14" t="n">
        <v>18.0155136111956</v>
      </c>
      <c r="BB151" s="14" t="n">
        <v>26.672806233132</v>
      </c>
      <c r="BC151" s="14" t="n">
        <v>40.9006614419344</v>
      </c>
      <c r="BD151" s="14" t="n">
        <v>-6.60619313427753</v>
      </c>
      <c r="BE151" s="14" t="n">
        <v>-6.85854958974057</v>
      </c>
      <c r="BF151" s="14" t="n">
        <v>3.759910984945</v>
      </c>
      <c r="BG151" s="14" t="n">
        <v>3.50755452948196</v>
      </c>
      <c r="BH151" s="14" t="n">
        <v>8.79460973826781</v>
      </c>
      <c r="BI151" s="14" t="n">
        <v>10.1478112543334</v>
      </c>
      <c r="BJ151" s="14" t="n">
        <v>5.11489923648504</v>
      </c>
      <c r="BK151" s="14" t="n">
        <v>6.14038025700283</v>
      </c>
      <c r="BL151" s="14" t="n">
        <v>6.42123287671233</v>
      </c>
      <c r="BM151" s="14" t="n">
        <v>7672.79585778466</v>
      </c>
      <c r="BN151" s="14" t="n">
        <v>7589.35060675899</v>
      </c>
      <c r="BO151" s="14" t="n">
        <v>7589.35060675899</v>
      </c>
      <c r="BP151" s="14" t="n">
        <v>314.925245</v>
      </c>
      <c r="BQ151" s="14" t="n">
        <v>292.4</v>
      </c>
      <c r="BR151" s="14" t="n">
        <v>950</v>
      </c>
      <c r="BS151" s="14" t="s">
        <v>2856</v>
      </c>
      <c r="BT151" s="14" t="n">
        <v>36.5333333333333</v>
      </c>
      <c r="BU151" s="14" t="n">
        <v>0.191939308592271</v>
      </c>
      <c r="BV151" s="14" t="n">
        <v>0.17581544487597</v>
      </c>
      <c r="BW151" s="14" t="n">
        <v>13425</v>
      </c>
      <c r="BX151" s="14" t="n">
        <v>13425</v>
      </c>
      <c r="BY151" s="14" t="n">
        <v>117.554126497149</v>
      </c>
      <c r="BZ151" s="14" t="n">
        <v>0</v>
      </c>
      <c r="CA151" s="14" t="n">
        <v>0</v>
      </c>
      <c r="CB151" s="14" t="n">
        <v>17798.3628664013</v>
      </c>
    </row>
    <row r="152" customFormat="false" ht="15" hidden="false" customHeight="false" outlineLevel="0" collapsed="false">
      <c r="A152" s="0" t="s">
        <v>2985</v>
      </c>
      <c r="B152" s="14" t="n">
        <v>2423.40833661368</v>
      </c>
      <c r="C152" s="14" t="n">
        <v>7621.71734378923</v>
      </c>
      <c r="D152" s="14" t="n">
        <v>19606.894648061</v>
      </c>
      <c r="E152" s="14" t="n">
        <v>4078.97255313604</v>
      </c>
      <c r="F152" s="14" t="n">
        <v>-984.824838083892</v>
      </c>
      <c r="G152" s="14" t="n">
        <v>4758.92869746836</v>
      </c>
      <c r="H152" s="14" t="n">
        <v>-183.968096750174</v>
      </c>
      <c r="I152" s="15" t="n">
        <v>0.01</v>
      </c>
      <c r="J152" s="15" t="n">
        <v>0</v>
      </c>
      <c r="K152" s="14" t="s">
        <v>83</v>
      </c>
      <c r="L152" s="14" t="n">
        <v>2073.20268369447</v>
      </c>
      <c r="M152" s="14" t="n">
        <v>32170.7343468758</v>
      </c>
      <c r="N152" s="14" t="n">
        <v>12202.2600162747</v>
      </c>
      <c r="O152" s="14" t="n">
        <v>-13352.5358355777</v>
      </c>
      <c r="P152" s="14" t="n">
        <v>968.519919991184</v>
      </c>
      <c r="Q152" s="14" t="n">
        <v>847.61745263715</v>
      </c>
      <c r="R152" s="14" t="n">
        <v>16850.3421667323</v>
      </c>
      <c r="S152" s="14" t="n">
        <v>29456.0378929612</v>
      </c>
      <c r="T152" s="14" t="n">
        <v>-936.775265661052</v>
      </c>
      <c r="U152" s="14" t="n">
        <v>-9253.85549440198</v>
      </c>
      <c r="V152" s="14" t="n">
        <v>0.82509878873241</v>
      </c>
      <c r="W152" s="14" t="n">
        <v>46042.3702753286</v>
      </c>
      <c r="X152" s="14" t="n">
        <v>25494.8402952654</v>
      </c>
      <c r="Y152" s="14" t="n">
        <v>0</v>
      </c>
      <c r="Z152" s="14" t="n">
        <v>0</v>
      </c>
      <c r="AA152" s="14" t="n">
        <v>30.1575455502983</v>
      </c>
      <c r="AB152" s="14" t="n">
        <v>27.9575455502983</v>
      </c>
      <c r="AC152" s="14" t="n">
        <v>29.4075455502983</v>
      </c>
      <c r="AD152" s="14" t="n">
        <v>23.1609949826291</v>
      </c>
      <c r="AE152" s="14" t="n">
        <v>653.683373262198</v>
      </c>
      <c r="AF152" s="14" t="n">
        <v>0.03</v>
      </c>
      <c r="AG152" s="14" t="n">
        <v>0.702129022128044</v>
      </c>
      <c r="AH152" s="14" t="n">
        <v>10689.3730662169</v>
      </c>
      <c r="AI152" s="14" t="n">
        <v>19606.894648061</v>
      </c>
      <c r="AJ152" s="14" t="n">
        <v>22.39175</v>
      </c>
      <c r="AK152" s="14" t="n">
        <v>0</v>
      </c>
      <c r="AL152" s="14" t="n">
        <v>-36275.5225432373</v>
      </c>
      <c r="AM152" s="14" t="n">
        <v>684.5</v>
      </c>
      <c r="AN152" s="14" t="n">
        <v>27078.2628664013</v>
      </c>
      <c r="AO152" s="14" t="n">
        <v>-7119.9037923103</v>
      </c>
      <c r="AP152" s="14" t="n">
        <v>0.519414437863832</v>
      </c>
      <c r="AQ152" s="14" t="n">
        <v>0</v>
      </c>
      <c r="AR152" s="14" t="n">
        <v>327.195752</v>
      </c>
      <c r="AS152" s="14" t="n">
        <v>314.925245</v>
      </c>
      <c r="AT152" s="14" t="n">
        <v>2073.20268369447</v>
      </c>
      <c r="AU152" s="14" t="n">
        <v>12.270507</v>
      </c>
      <c r="AV152" s="14" t="n">
        <v>0</v>
      </c>
      <c r="AW152" s="14" t="n">
        <v>2254.3125</v>
      </c>
      <c r="AX152" s="14" t="n">
        <v>314.925245</v>
      </c>
      <c r="AY152" s="14" t="n">
        <v>314.925245</v>
      </c>
      <c r="AZ152" s="14" t="n">
        <v>5879.73993545842</v>
      </c>
      <c r="BA152" s="14" t="n">
        <v>18.0155136111956</v>
      </c>
      <c r="BB152" s="14" t="n">
        <v>26.672806233132</v>
      </c>
      <c r="BC152" s="14" t="n">
        <v>40.9006614419344</v>
      </c>
      <c r="BD152" s="14" t="n">
        <v>-6.60619313427753</v>
      </c>
      <c r="BE152" s="14" t="n">
        <v>-6.85854958974057</v>
      </c>
      <c r="BF152" s="14" t="n">
        <v>3.759910984945</v>
      </c>
      <c r="BG152" s="14" t="n">
        <v>3.50755452948196</v>
      </c>
      <c r="BH152" s="14" t="n">
        <v>8.79460973826781</v>
      </c>
      <c r="BI152" s="14" t="n">
        <v>10.1478112543334</v>
      </c>
      <c r="BJ152" s="14" t="n">
        <v>5.11489923648504</v>
      </c>
      <c r="BK152" s="14" t="n">
        <v>6.14038025700283</v>
      </c>
      <c r="BL152" s="14" t="n">
        <v>6.42123287671233</v>
      </c>
      <c r="BM152" s="14" t="n">
        <v>7672.79585778466</v>
      </c>
      <c r="BN152" s="14" t="n">
        <v>7589.35060675899</v>
      </c>
      <c r="BO152" s="14" t="n">
        <v>7589.35060675899</v>
      </c>
      <c r="BP152" s="14" t="n">
        <v>327.195752</v>
      </c>
      <c r="BQ152" s="14" t="n">
        <v>292.4</v>
      </c>
      <c r="BR152" s="14" t="n">
        <v>950</v>
      </c>
      <c r="BS152" s="14" t="s">
        <v>2856</v>
      </c>
      <c r="BT152" s="14" t="n">
        <v>36.5333333333333</v>
      </c>
      <c r="BU152" s="14" t="n">
        <v>0.191939308592271</v>
      </c>
      <c r="BV152" s="14" t="n">
        <v>0.17581544487597</v>
      </c>
      <c r="BW152" s="14" t="n">
        <v>13425</v>
      </c>
      <c r="BX152" s="14" t="n">
        <v>26225</v>
      </c>
      <c r="BY152" s="14" t="n">
        <v>95.3577254919771</v>
      </c>
      <c r="BZ152" s="14" t="n">
        <v>0</v>
      </c>
      <c r="CA152" s="14" t="n">
        <v>0</v>
      </c>
      <c r="CB152" s="14" t="n">
        <v>17798.3628664013</v>
      </c>
    </row>
    <row r="153" customFormat="false" ht="15" hidden="false" customHeight="false" outlineLevel="0" collapsed="false">
      <c r="A153" s="0" t="s">
        <v>2986</v>
      </c>
      <c r="B153" s="14" t="n">
        <v>2423.40833661368</v>
      </c>
      <c r="C153" s="14" t="n">
        <v>7621.71734378923</v>
      </c>
      <c r="D153" s="14" t="n">
        <v>19606.894648061</v>
      </c>
      <c r="E153" s="14" t="n">
        <v>4078.97255313604</v>
      </c>
      <c r="F153" s="14" t="n">
        <v>-984.824838083892</v>
      </c>
      <c r="G153" s="14" t="n">
        <v>4758.92869746836</v>
      </c>
      <c r="H153" s="14" t="n">
        <v>-480.656470997969</v>
      </c>
      <c r="I153" s="15" t="n">
        <v>0.01</v>
      </c>
      <c r="J153" s="15" t="n">
        <v>0</v>
      </c>
      <c r="K153" s="14" t="s">
        <v>83</v>
      </c>
      <c r="L153" s="14" t="n">
        <v>2073.20268369447</v>
      </c>
      <c r="M153" s="14" t="n">
        <v>32170.7343468758</v>
      </c>
      <c r="N153" s="14" t="n">
        <v>12202.2600162747</v>
      </c>
      <c r="O153" s="14" t="n">
        <v>-13352.5358355777</v>
      </c>
      <c r="P153" s="14" t="n">
        <v>968.519919991184</v>
      </c>
      <c r="Q153" s="14" t="n">
        <v>847.61745263715</v>
      </c>
      <c r="R153" s="14" t="n">
        <v>16850.3421667323</v>
      </c>
      <c r="S153" s="14" t="n">
        <v>29456.0378929612</v>
      </c>
      <c r="T153" s="14" t="n">
        <v>-936.775265661052</v>
      </c>
      <c r="U153" s="14" t="n">
        <v>-9550.54386864978</v>
      </c>
      <c r="V153" s="14" t="n">
        <v>0.82509878873241</v>
      </c>
      <c r="W153" s="14" t="n">
        <v>45884.7436274607</v>
      </c>
      <c r="X153" s="14" t="n">
        <v>25494.8402952654</v>
      </c>
      <c r="Y153" s="14" t="n">
        <v>0</v>
      </c>
      <c r="Z153" s="14" t="n">
        <v>0</v>
      </c>
      <c r="AA153" s="14" t="n">
        <v>30.1575455502983</v>
      </c>
      <c r="AB153" s="14" t="n">
        <v>27.9575455502983</v>
      </c>
      <c r="AC153" s="14" t="n">
        <v>29.4075455502983</v>
      </c>
      <c r="AD153" s="14" t="n">
        <v>23.1609949826291</v>
      </c>
      <c r="AE153" s="14" t="n">
        <v>653.683373262198</v>
      </c>
      <c r="AF153" s="14" t="n">
        <v>0.03</v>
      </c>
      <c r="AG153" s="14" t="n">
        <v>0.702129022128044</v>
      </c>
      <c r="AH153" s="14" t="n">
        <v>10689.3730662169</v>
      </c>
      <c r="AI153" s="14" t="n">
        <v>19606.894648061</v>
      </c>
      <c r="AJ153" s="14" t="n">
        <v>22.39175</v>
      </c>
      <c r="AK153" s="14" t="n">
        <v>0</v>
      </c>
      <c r="AL153" s="14" t="n">
        <v>-36275.5225432373</v>
      </c>
      <c r="AM153" s="14" t="n">
        <v>684.5</v>
      </c>
      <c r="AN153" s="14" t="n">
        <v>27078.2628664013</v>
      </c>
      <c r="AO153" s="14" t="n">
        <v>-7119.9037923103</v>
      </c>
      <c r="AP153" s="14" t="n">
        <v>0.519414437863832</v>
      </c>
      <c r="AQ153" s="14" t="n">
        <v>0</v>
      </c>
      <c r="AR153" s="14" t="n">
        <v>327.195752</v>
      </c>
      <c r="AS153" s="14" t="n">
        <v>314.925245</v>
      </c>
      <c r="AT153" s="14" t="n">
        <v>2073.20268369447</v>
      </c>
      <c r="AU153" s="14" t="n">
        <v>12.270507</v>
      </c>
      <c r="AV153" s="14" t="n">
        <v>0</v>
      </c>
      <c r="AW153" s="14" t="n">
        <v>2254.3125</v>
      </c>
      <c r="AX153" s="14" t="n">
        <v>314.925245</v>
      </c>
      <c r="AY153" s="14" t="n">
        <v>314.925245</v>
      </c>
      <c r="AZ153" s="14" t="n">
        <v>5879.73993545842</v>
      </c>
      <c r="BA153" s="14" t="n">
        <v>18.0155136111956</v>
      </c>
      <c r="BB153" s="14" t="n">
        <v>26.672806233132</v>
      </c>
      <c r="BC153" s="14" t="n">
        <v>40.9006614419344</v>
      </c>
      <c r="BD153" s="14" t="n">
        <v>-6.60619313427753</v>
      </c>
      <c r="BE153" s="14" t="n">
        <v>-6.85854958974057</v>
      </c>
      <c r="BF153" s="14" t="n">
        <v>3.759910984945</v>
      </c>
      <c r="BG153" s="14" t="n">
        <v>3.50755452948196</v>
      </c>
      <c r="BH153" s="14" t="n">
        <v>8.79460973826781</v>
      </c>
      <c r="BI153" s="14" t="n">
        <v>10.1478112543334</v>
      </c>
      <c r="BJ153" s="14" t="n">
        <v>5.11489923648504</v>
      </c>
      <c r="BK153" s="14" t="n">
        <v>6.14038025700283</v>
      </c>
      <c r="BL153" s="14" t="n">
        <v>6.42123287671233</v>
      </c>
      <c r="BM153" s="14" t="n">
        <v>7672.79585778466</v>
      </c>
      <c r="BN153" s="14" t="n">
        <v>7589.35060675899</v>
      </c>
      <c r="BO153" s="14" t="n">
        <v>7589.35060675899</v>
      </c>
      <c r="BP153" s="14" t="n">
        <v>327.195752</v>
      </c>
      <c r="BQ153" s="14" t="n">
        <v>292.4</v>
      </c>
      <c r="BR153" s="14" t="n">
        <v>950</v>
      </c>
      <c r="BS153" s="14" t="s">
        <v>2856</v>
      </c>
      <c r="BT153" s="14" t="n">
        <v>36.5333333333333</v>
      </c>
      <c r="BU153" s="14" t="n">
        <v>0.191939308592271</v>
      </c>
      <c r="BV153" s="14" t="n">
        <v>0.17581544487597</v>
      </c>
      <c r="BW153" s="14" t="n">
        <v>13425</v>
      </c>
      <c r="BX153" s="14" t="n">
        <v>26225</v>
      </c>
      <c r="BY153" s="14" t="n">
        <v>95.3577254919771</v>
      </c>
      <c r="BZ153" s="14" t="n">
        <v>0</v>
      </c>
      <c r="CA153" s="14" t="n">
        <v>0</v>
      </c>
      <c r="CB153" s="14" t="n">
        <v>17798.3628664013</v>
      </c>
    </row>
    <row r="154" customFormat="false" ht="15" hidden="false" customHeight="false" outlineLevel="0" collapsed="false">
      <c r="A154" s="0" t="s">
        <v>2987</v>
      </c>
      <c r="B154" s="14" t="n">
        <v>2423.40833661368</v>
      </c>
      <c r="C154" s="14" t="n">
        <v>7621.71734378923</v>
      </c>
      <c r="D154" s="14" t="n">
        <v>19606.894648061</v>
      </c>
      <c r="E154" s="14" t="n">
        <v>3979.41586186791</v>
      </c>
      <c r="F154" s="14" t="n">
        <v>-1084.38152935202</v>
      </c>
      <c r="G154" s="14" t="n">
        <v>4758.92869746836</v>
      </c>
      <c r="H154" s="14" t="n">
        <v>-3764.79894932358</v>
      </c>
      <c r="I154" s="15" t="n">
        <v>0.01</v>
      </c>
      <c r="J154" s="15" t="n">
        <v>0</v>
      </c>
      <c r="K154" s="14" t="s">
        <v>83</v>
      </c>
      <c r="L154" s="14" t="n">
        <v>1948.44774121372</v>
      </c>
      <c r="M154" s="14" t="n">
        <v>32170.7343468758</v>
      </c>
      <c r="N154" s="14" t="n">
        <v>11776.3209816172</v>
      </c>
      <c r="O154" s="14" t="n">
        <v>-13871.463532564</v>
      </c>
      <c r="P154" s="14" t="n">
        <v>945.057363780535</v>
      </c>
      <c r="Q154" s="14" t="n">
        <v>421.678417979644</v>
      </c>
      <c r="R154" s="14" t="n">
        <v>16850.3421667323</v>
      </c>
      <c r="S154" s="14" t="n">
        <v>29456.0378929612</v>
      </c>
      <c r="T154" s="14" t="n">
        <v>-960.237821871701</v>
      </c>
      <c r="U154" s="14" t="n">
        <v>-12847.864569867</v>
      </c>
      <c r="V154" s="14" t="n">
        <v>0.82509878873241</v>
      </c>
      <c r="W154" s="14" t="n">
        <v>44143.3158468079</v>
      </c>
      <c r="X154" s="14" t="n">
        <v>25209.0102367056</v>
      </c>
      <c r="Y154" s="14" t="n">
        <v>0</v>
      </c>
      <c r="Z154" s="14" t="n">
        <v>0</v>
      </c>
      <c r="AA154" s="14" t="n">
        <v>30.1575455502983</v>
      </c>
      <c r="AB154" s="14" t="n">
        <v>27.9575455502983</v>
      </c>
      <c r="AC154" s="14" t="n">
        <v>29.4075455502983</v>
      </c>
      <c r="AD154" s="14" t="n">
        <v>23.1609949826291</v>
      </c>
      <c r="AE154" s="14" t="n">
        <v>653.683373262198</v>
      </c>
      <c r="AF154" s="14" t="n">
        <v>0.03</v>
      </c>
      <c r="AG154" s="14" t="n">
        <v>0.669954845956548</v>
      </c>
      <c r="AH154" s="14" t="n">
        <v>10665.795200556</v>
      </c>
      <c r="AI154" s="14" t="n">
        <v>19606.894648061</v>
      </c>
      <c r="AJ154" s="14" t="n">
        <v>22.39175</v>
      </c>
      <c r="AK154" s="14" t="n">
        <v>0</v>
      </c>
      <c r="AL154" s="14" t="n">
        <v>-37282.1474423799</v>
      </c>
      <c r="AM154" s="14" t="n">
        <v>684.5</v>
      </c>
      <c r="AN154" s="14" t="n">
        <v>27078.2628664013</v>
      </c>
      <c r="AO154" s="14" t="n">
        <v>-7119.9037923103</v>
      </c>
      <c r="AP154" s="14" t="n">
        <v>0.519414437863832</v>
      </c>
      <c r="AQ154" s="14" t="n">
        <v>0</v>
      </c>
      <c r="AR154" s="14" t="n">
        <v>327.195752</v>
      </c>
      <c r="AS154" s="14" t="n">
        <v>314.925245</v>
      </c>
      <c r="AT154" s="14" t="n">
        <v>1948.44774121372</v>
      </c>
      <c r="AU154" s="14" t="n">
        <v>12.270507</v>
      </c>
      <c r="AV154" s="14" t="n">
        <v>0</v>
      </c>
      <c r="AW154" s="14" t="n">
        <v>2254.3125</v>
      </c>
      <c r="AX154" s="14" t="n">
        <v>314.925245</v>
      </c>
      <c r="AY154" s="14" t="n">
        <v>314.925245</v>
      </c>
      <c r="AZ154" s="14" t="n">
        <v>5201.47191290208</v>
      </c>
      <c r="BA154" s="14" t="n">
        <v>15.8199251138432</v>
      </c>
      <c r="BB154" s="14" t="n">
        <v>24.4772177357795</v>
      </c>
      <c r="BC154" s="14" t="n">
        <v>38.705072944582</v>
      </c>
      <c r="BD154" s="14" t="n">
        <v>-6.60619313427753</v>
      </c>
      <c r="BE154" s="14" t="n">
        <v>-9.17035534966242</v>
      </c>
      <c r="BF154" s="14" t="n">
        <v>3.759910984945</v>
      </c>
      <c r="BG154" s="14" t="n">
        <v>1.19574876956011</v>
      </c>
      <c r="BH154" s="14" t="n">
        <v>8.79460973826781</v>
      </c>
      <c r="BI154" s="14" t="n">
        <v>7.0321700684549</v>
      </c>
      <c r="BJ154" s="14" t="n">
        <v>5.11489923648504</v>
      </c>
      <c r="BK154" s="14" t="n">
        <v>6.14038025700283</v>
      </c>
      <c r="BL154" s="14" t="n">
        <v>6.42123287671233</v>
      </c>
      <c r="BM154" s="14" t="n">
        <v>7672.79585778466</v>
      </c>
      <c r="BN154" s="14" t="n">
        <v>7589.35060675899</v>
      </c>
      <c r="BO154" s="14" t="n">
        <v>7589.35060675899</v>
      </c>
      <c r="BP154" s="14" t="n">
        <v>327.195752</v>
      </c>
      <c r="BQ154" s="14" t="n">
        <v>292.4</v>
      </c>
      <c r="BR154" s="14" t="n">
        <v>950</v>
      </c>
      <c r="BS154" s="14" t="s">
        <v>2856</v>
      </c>
      <c r="BT154" s="14" t="n">
        <v>36.5333333333333</v>
      </c>
      <c r="BU154" s="14" t="n">
        <v>0.191939308592271</v>
      </c>
      <c r="BV154" s="14" t="n">
        <v>0.155934091895313</v>
      </c>
      <c r="BW154" s="14" t="n">
        <v>13425</v>
      </c>
      <c r="BX154" s="14" t="n">
        <v>26225</v>
      </c>
      <c r="BY154" s="14" t="n">
        <v>97.5517266069175</v>
      </c>
      <c r="BZ154" s="14" t="n">
        <v>0</v>
      </c>
      <c r="CA154" s="14" t="n">
        <v>0</v>
      </c>
      <c r="CB154" s="14" t="n">
        <v>17798.3628664013</v>
      </c>
    </row>
    <row r="155" customFormat="false" ht="15" hidden="false" customHeight="false" outlineLevel="0" collapsed="false">
      <c r="A155" s="0" t="s">
        <v>2988</v>
      </c>
      <c r="B155" s="14" t="n">
        <v>2423.40833661368</v>
      </c>
      <c r="C155" s="14" t="n">
        <v>7621.71734378923</v>
      </c>
      <c r="D155" s="14" t="n">
        <v>19606.894648061</v>
      </c>
      <c r="E155" s="14" t="n">
        <v>3979.41586186791</v>
      </c>
      <c r="F155" s="14" t="n">
        <v>-1091.94402935202</v>
      </c>
      <c r="G155" s="14" t="n">
        <v>4766.49119746836</v>
      </c>
      <c r="H155" s="14" t="n">
        <v>-3890.73528591035</v>
      </c>
      <c r="I155" s="15" t="n">
        <v>0.01</v>
      </c>
      <c r="J155" s="15" t="n">
        <v>0</v>
      </c>
      <c r="K155" s="14" t="s">
        <v>83</v>
      </c>
      <c r="L155" s="14" t="n">
        <v>1778.80160737149</v>
      </c>
      <c r="M155" s="14" t="n">
        <v>32335.7343468758</v>
      </c>
      <c r="N155" s="14" t="n">
        <v>11776.3209816172</v>
      </c>
      <c r="O155" s="14" t="n">
        <v>-14220.7062593072</v>
      </c>
      <c r="P155" s="14" t="n">
        <v>945.057363780535</v>
      </c>
      <c r="Q155" s="14" t="n">
        <v>436.240917979644</v>
      </c>
      <c r="R155" s="14" t="n">
        <v>16880.3421667323</v>
      </c>
      <c r="S155" s="14" t="n">
        <v>29681.0378929612</v>
      </c>
      <c r="T155" s="14" t="n">
        <v>-960.237821871701</v>
      </c>
      <c r="U155" s="14" t="n">
        <v>-12981.4884064537</v>
      </c>
      <c r="V155" s="14" t="n">
        <v>0.82509878873241</v>
      </c>
      <c r="W155" s="14" t="n">
        <v>44087.0748433818</v>
      </c>
      <c r="X155" s="14" t="n">
        <v>25092.4402184556</v>
      </c>
      <c r="Y155" s="14" t="n">
        <v>0</v>
      </c>
      <c r="Z155" s="14" t="n">
        <v>0</v>
      </c>
      <c r="AA155" s="14" t="n">
        <v>30.1575455502983</v>
      </c>
      <c r="AB155" s="14" t="n">
        <v>27.9575455502983</v>
      </c>
      <c r="AC155" s="14" t="n">
        <v>29.4075455502983</v>
      </c>
      <c r="AD155" s="14" t="n">
        <v>23.1609949826291</v>
      </c>
      <c r="AE155" s="14" t="n">
        <v>653.683373262198</v>
      </c>
      <c r="AF155" s="14" t="n">
        <v>0.03</v>
      </c>
      <c r="AG155" s="14" t="n">
        <v>0.669954845956548</v>
      </c>
      <c r="AH155" s="14" t="n">
        <v>10644.3800854686</v>
      </c>
      <c r="AI155" s="14" t="n">
        <v>19606.894648061</v>
      </c>
      <c r="AJ155" s="14" t="n">
        <v>22.39175</v>
      </c>
      <c r="AK155" s="14" t="n">
        <v>0</v>
      </c>
      <c r="AL155" s="14" t="n">
        <v>-37310.4564284642</v>
      </c>
      <c r="AM155" s="14" t="n">
        <v>684.5</v>
      </c>
      <c r="AN155" s="14" t="n">
        <v>27066.6679880054</v>
      </c>
      <c r="AO155" s="14" t="n">
        <v>-7103.49664045297</v>
      </c>
      <c r="AP155" s="14" t="n">
        <v>0.519414437863832</v>
      </c>
      <c r="AQ155" s="14" t="n">
        <v>0</v>
      </c>
      <c r="AR155" s="14" t="n">
        <v>327.195752</v>
      </c>
      <c r="AS155" s="14" t="n">
        <v>314.925245</v>
      </c>
      <c r="AT155" s="14" t="n">
        <v>1778.80160737149</v>
      </c>
      <c r="AU155" s="14" t="n">
        <v>12.270507</v>
      </c>
      <c r="AV155" s="14" t="n">
        <v>0</v>
      </c>
      <c r="AW155" s="14" t="n">
        <v>2254.3125</v>
      </c>
      <c r="AX155" s="14" t="n">
        <v>314.925245</v>
      </c>
      <c r="AY155" s="14" t="n">
        <v>314.925245</v>
      </c>
      <c r="AZ155" s="14" t="n">
        <v>5201.47191290208</v>
      </c>
      <c r="BA155" s="14" t="n">
        <v>15.7955145588875</v>
      </c>
      <c r="BB155" s="14" t="n">
        <v>24.4528071808238</v>
      </c>
      <c r="BC155" s="14" t="n">
        <v>38.6806623896263</v>
      </c>
      <c r="BD155" s="14" t="n">
        <v>-6.60619313427753</v>
      </c>
      <c r="BE155" s="14" t="n">
        <v>-8.78927444017758</v>
      </c>
      <c r="BF155" s="14" t="n">
        <v>3.759910984945</v>
      </c>
      <c r="BG155" s="14" t="n">
        <v>1.57682967904495</v>
      </c>
      <c r="BH155" s="14" t="n">
        <v>8.79460973826781</v>
      </c>
      <c r="BI155" s="14" t="n">
        <v>7.56792473961888</v>
      </c>
      <c r="BJ155" s="14" t="n">
        <v>5.11489923648504</v>
      </c>
      <c r="BK155" s="14" t="n">
        <v>6.14038025700283</v>
      </c>
      <c r="BL155" s="14" t="n">
        <v>6.42123287671233</v>
      </c>
      <c r="BM155" s="14" t="n">
        <v>7672.79585778466</v>
      </c>
      <c r="BN155" s="14" t="n">
        <v>7589.35060675899</v>
      </c>
      <c r="BO155" s="14" t="n">
        <v>7589.35060675899</v>
      </c>
      <c r="BP155" s="14" t="n">
        <v>327.195752</v>
      </c>
      <c r="BQ155" s="14" t="n">
        <v>292.4</v>
      </c>
      <c r="BR155" s="14" t="n">
        <v>950</v>
      </c>
      <c r="BS155" s="14" t="s">
        <v>2856</v>
      </c>
      <c r="BT155" s="14" t="n">
        <v>36.5333333333333</v>
      </c>
      <c r="BU155" s="14" t="n">
        <v>0.191939308592271</v>
      </c>
      <c r="BV155" s="14" t="n">
        <v>0.159053606721474</v>
      </c>
      <c r="BW155" s="14" t="n">
        <v>13425</v>
      </c>
      <c r="BX155" s="14" t="n">
        <v>26225</v>
      </c>
      <c r="BY155" s="14" t="n">
        <v>97.6374720477878</v>
      </c>
      <c r="BZ155" s="14" t="n">
        <v>0</v>
      </c>
      <c r="CA155" s="14" t="n">
        <v>0</v>
      </c>
      <c r="CB155" s="14" t="n">
        <v>17881.2679880054</v>
      </c>
    </row>
    <row r="156" customFormat="false" ht="15" hidden="false" customHeight="false" outlineLevel="0" collapsed="false">
      <c r="A156" s="0" t="s">
        <v>2989</v>
      </c>
      <c r="B156" s="14" t="n">
        <v>2423.40833661368</v>
      </c>
      <c r="C156" s="14" t="n">
        <v>7621.71734378923</v>
      </c>
      <c r="D156" s="14" t="n">
        <v>19606.894648061</v>
      </c>
      <c r="E156" s="14" t="n">
        <v>3979.41586186791</v>
      </c>
      <c r="F156" s="14" t="n">
        <v>-1091.94402935202</v>
      </c>
      <c r="G156" s="14" t="n">
        <v>4766.49119746836</v>
      </c>
      <c r="H156" s="14" t="n">
        <v>-1118.47907173227</v>
      </c>
      <c r="I156" s="15" t="n">
        <v>0.01</v>
      </c>
      <c r="J156" s="15" t="n">
        <v>0</v>
      </c>
      <c r="K156" s="14" t="s">
        <v>83</v>
      </c>
      <c r="L156" s="14" t="n">
        <v>1778.80160737149</v>
      </c>
      <c r="M156" s="14" t="n">
        <v>32335.7343468758</v>
      </c>
      <c r="N156" s="14" t="n">
        <v>11776.3209816172</v>
      </c>
      <c r="O156" s="14" t="n">
        <v>-14204.8571393072</v>
      </c>
      <c r="P156" s="14" t="n">
        <v>945.057363780535</v>
      </c>
      <c r="Q156" s="14" t="n">
        <v>436.240917979644</v>
      </c>
      <c r="R156" s="14" t="n">
        <v>16880.3421667323</v>
      </c>
      <c r="S156" s="14" t="n">
        <v>29681.0378929612</v>
      </c>
      <c r="T156" s="14" t="n">
        <v>-960.237821871701</v>
      </c>
      <c r="U156" s="14" t="n">
        <v>-10209.2321922756</v>
      </c>
      <c r="V156" s="14" t="n">
        <v>0.82509878873241</v>
      </c>
      <c r="W156" s="14" t="n">
        <v>46556.0410960424</v>
      </c>
      <c r="X156" s="14" t="n">
        <v>23273.9506659504</v>
      </c>
      <c r="Y156" s="14" t="n">
        <v>0</v>
      </c>
      <c r="Z156" s="14" t="n">
        <v>0</v>
      </c>
      <c r="AA156" s="14" t="n">
        <v>30.1575455502983</v>
      </c>
      <c r="AB156" s="14" t="n">
        <v>27.9575455502983</v>
      </c>
      <c r="AC156" s="14" t="n">
        <v>29.4075455502983</v>
      </c>
      <c r="AD156" s="14" t="n">
        <v>23.1609949826291</v>
      </c>
      <c r="AE156" s="14" t="n">
        <v>653.683373262198</v>
      </c>
      <c r="AF156" s="14" t="n">
        <v>0.03</v>
      </c>
      <c r="AG156" s="14" t="n">
        <v>0.669954845956548</v>
      </c>
      <c r="AH156" s="14" t="n">
        <v>10644.3800854686</v>
      </c>
      <c r="AI156" s="14" t="n">
        <v>19606.894648061</v>
      </c>
      <c r="AJ156" s="14" t="n">
        <v>22.39175</v>
      </c>
      <c r="AK156" s="14" t="n">
        <v>0</v>
      </c>
      <c r="AL156" s="14" t="n">
        <v>-37259.9528359363</v>
      </c>
      <c r="AM156" s="14" t="n">
        <v>684.5</v>
      </c>
      <c r="AN156" s="14" t="n">
        <v>27066.6679880054</v>
      </c>
      <c r="AO156" s="14" t="n">
        <v>-7103.49664045297</v>
      </c>
      <c r="AP156" s="14" t="n">
        <v>0.519414437863832</v>
      </c>
      <c r="AQ156" s="14" t="n">
        <v>0</v>
      </c>
      <c r="AR156" s="14" t="n">
        <v>327.195752</v>
      </c>
      <c r="AS156" s="14" t="n">
        <v>314.925245</v>
      </c>
      <c r="AT156" s="14" t="n">
        <v>1778.80160737149</v>
      </c>
      <c r="AU156" s="14" t="n">
        <v>12.270507</v>
      </c>
      <c r="AV156" s="14" t="n">
        <v>0</v>
      </c>
      <c r="AW156" s="14" t="n">
        <v>2254.3125</v>
      </c>
      <c r="AX156" s="14" t="n">
        <v>314.925245</v>
      </c>
      <c r="AY156" s="14" t="n">
        <v>314.925245</v>
      </c>
      <c r="AZ156" s="14" t="n">
        <v>5201.47191290208</v>
      </c>
      <c r="BA156" s="14" t="n">
        <v>15.7955145588875</v>
      </c>
      <c r="BB156" s="14" t="n">
        <v>24.4528071808238</v>
      </c>
      <c r="BC156" s="14" t="n">
        <v>38.6806623896263</v>
      </c>
      <c r="BD156" s="14" t="n">
        <v>-3.89149157566662</v>
      </c>
      <c r="BE156" s="14" t="n">
        <v>-5.91605016281566</v>
      </c>
      <c r="BF156" s="14" t="n">
        <v>6.47461254355591</v>
      </c>
      <c r="BG156" s="14" t="n">
        <v>4.45005395640687</v>
      </c>
      <c r="BH156" s="14" t="n">
        <v>12.4532371757488</v>
      </c>
      <c r="BI156" s="14" t="n">
        <v>11.440194655201</v>
      </c>
      <c r="BJ156" s="14" t="n">
        <v>5.11489923648504</v>
      </c>
      <c r="BK156" s="14" t="n">
        <v>6.14038025700283</v>
      </c>
      <c r="BL156" s="14" t="n">
        <v>6.42123287671233</v>
      </c>
      <c r="BM156" s="14" t="n">
        <v>7672.79585778466</v>
      </c>
      <c r="BN156" s="14" t="n">
        <v>7589.35060675899</v>
      </c>
      <c r="BO156" s="14" t="n">
        <v>7589.35060675899</v>
      </c>
      <c r="BP156" s="14" t="n">
        <v>327.195752</v>
      </c>
      <c r="BQ156" s="14" t="n">
        <v>292.4</v>
      </c>
      <c r="BR156" s="14" t="n">
        <v>950</v>
      </c>
      <c r="BS156" s="14" t="s">
        <v>2856</v>
      </c>
      <c r="BT156" s="14" t="n">
        <v>36.5333333333333</v>
      </c>
      <c r="BU156" s="14" t="n">
        <v>0.218268790793018</v>
      </c>
      <c r="BV156" s="14" t="n">
        <v>0.180365060629974</v>
      </c>
      <c r="BW156" s="14" t="n">
        <v>13425</v>
      </c>
      <c r="BX156" s="14" t="n">
        <v>26225</v>
      </c>
      <c r="BY156" s="14" t="n">
        <v>97.5287207020509</v>
      </c>
      <c r="BZ156" s="14" t="n">
        <v>0</v>
      </c>
      <c r="CA156" s="14" t="n">
        <v>0</v>
      </c>
      <c r="CB156" s="14" t="n">
        <v>17881.2679880054</v>
      </c>
    </row>
    <row r="157" customFormat="false" ht="15" hidden="false" customHeight="false" outlineLevel="0" collapsed="false">
      <c r="A157" s="0" t="s">
        <v>2990</v>
      </c>
      <c r="B157" s="14" t="n">
        <v>2465.07954157611</v>
      </c>
      <c r="C157" s="14" t="n">
        <v>8349.83355520186</v>
      </c>
      <c r="D157" s="14" t="n">
        <v>22070.4816314923</v>
      </c>
      <c r="E157" s="14" t="n">
        <v>4312.96513042944</v>
      </c>
      <c r="F157" s="14" t="n">
        <v>-1238.41766627784</v>
      </c>
      <c r="G157" s="14" t="n">
        <v>5217.3894544992</v>
      </c>
      <c r="H157" s="14" t="n">
        <v>8286.36583696916</v>
      </c>
      <c r="I157" s="15" t="n">
        <v>0.01</v>
      </c>
      <c r="J157" s="15" t="n">
        <v>7.00872410996057</v>
      </c>
      <c r="K157" s="14" t="s">
        <v>50</v>
      </c>
      <c r="L157" s="14" t="n">
        <v>-995.45659814626</v>
      </c>
      <c r="M157" s="14" t="n">
        <v>35956.886846104</v>
      </c>
      <c r="N157" s="14" t="n">
        <v>13191.5045829555</v>
      </c>
      <c r="O157" s="14" t="n">
        <v>-15185.8252079135</v>
      </c>
      <c r="P157" s="14" t="n">
        <v>951.290832135856</v>
      </c>
      <c r="Q157" s="14" t="n">
        <v>784.839793915737</v>
      </c>
      <c r="R157" s="14" t="n">
        <v>18027.6371658315</v>
      </c>
      <c r="S157" s="14" t="n">
        <v>28539.6208826298</v>
      </c>
      <c r="T157" s="14" t="n">
        <v>-955.692204749296</v>
      </c>
      <c r="U157" s="14" t="n">
        <v>-794.173279024028</v>
      </c>
      <c r="V157" s="14" t="n">
        <v>0.750319556751226</v>
      </c>
      <c r="W157" s="14" t="n">
        <v>54286.4210752949</v>
      </c>
      <c r="X157" s="14" t="n">
        <v>23666.9956188325</v>
      </c>
      <c r="Y157" s="14" t="n">
        <v>6.59325303098316</v>
      </c>
      <c r="Z157" s="14" t="n">
        <v>8.94943981600865</v>
      </c>
      <c r="AA157" s="14" t="n">
        <v>27.424347870838</v>
      </c>
      <c r="AB157" s="14" t="n">
        <v>25.224347870838</v>
      </c>
      <c r="AC157" s="14" t="n">
        <v>26.674347870838</v>
      </c>
      <c r="AD157" s="14" t="n">
        <v>21.0618991648036</v>
      </c>
      <c r="AE157" s="14" t="n">
        <v>674.686407680941</v>
      </c>
      <c r="AF157" s="14" t="n">
        <v>0.03</v>
      </c>
      <c r="AG157" s="14" t="n">
        <v>0.670229486358198</v>
      </c>
      <c r="AH157" s="14" t="n">
        <v>9947.94542593384</v>
      </c>
      <c r="AI157" s="14" t="n">
        <v>22070.4816314923</v>
      </c>
      <c r="AJ157" s="14" t="n">
        <v>22.39175</v>
      </c>
      <c r="AK157" s="14" t="n">
        <v>0</v>
      </c>
      <c r="AL157" s="14" t="n">
        <v>-35713.3706789851</v>
      </c>
      <c r="AM157" s="14" t="n">
        <v>812.6073</v>
      </c>
      <c r="AN157" s="14" t="n">
        <v>28219.6666536226</v>
      </c>
      <c r="AO157" s="14" t="n">
        <v>-6970.38017764711</v>
      </c>
      <c r="AP157" s="14" t="n">
        <v>0.401891966794121</v>
      </c>
      <c r="AQ157" s="14" t="n">
        <v>6.20241071677927</v>
      </c>
      <c r="AR157" s="14" t="n">
        <v>327.195752</v>
      </c>
      <c r="AS157" s="14" t="n">
        <v>314.925245</v>
      </c>
      <c r="AT157" s="14" t="n">
        <v>-995.45659814626</v>
      </c>
      <c r="AU157" s="14" t="n">
        <v>12.270507</v>
      </c>
      <c r="AV157" s="14" t="n">
        <v>0</v>
      </c>
      <c r="AW157" s="14" t="n">
        <v>2254.3125</v>
      </c>
      <c r="AX157" s="14" t="n">
        <v>314.925245</v>
      </c>
      <c r="AY157" s="14" t="n">
        <v>314.925245</v>
      </c>
      <c r="AZ157" s="14" t="n">
        <v>5114.35123011686</v>
      </c>
      <c r="BA157" s="14" t="n">
        <v>15.5513084196336</v>
      </c>
      <c r="BB157" s="14" t="n">
        <v>24.2086010415699</v>
      </c>
      <c r="BC157" s="14" t="n">
        <v>38.4364562503724</v>
      </c>
      <c r="BD157" s="14" t="n">
        <v>-3.89149157566662</v>
      </c>
      <c r="BE157" s="14" t="n">
        <v>-5.91605016281566</v>
      </c>
      <c r="BF157" s="14" t="n">
        <v>6.47461254355591</v>
      </c>
      <c r="BG157" s="14" t="n">
        <v>4.45005395640687</v>
      </c>
      <c r="BH157" s="14" t="n">
        <v>12.4532371757488</v>
      </c>
      <c r="BI157" s="14" t="n">
        <v>11.440194655201</v>
      </c>
      <c r="BJ157" s="14" t="n">
        <v>5.11489923648504</v>
      </c>
      <c r="BK157" s="14" t="n">
        <v>6.14038025700283</v>
      </c>
      <c r="BL157" s="14" t="n">
        <v>6.42123287671233</v>
      </c>
      <c r="BM157" s="14" t="n">
        <v>8712.70308277889</v>
      </c>
      <c r="BN157" s="14" t="n">
        <v>8317.46681817163</v>
      </c>
      <c r="BO157" s="14" t="n">
        <v>8317.46681817163</v>
      </c>
      <c r="BP157" s="14" t="n">
        <v>327.195752</v>
      </c>
      <c r="BQ157" s="14" t="n">
        <v>301.7195</v>
      </c>
      <c r="BR157" s="14" t="n">
        <v>1081.9108</v>
      </c>
      <c r="BS157" s="14" t="s">
        <v>2855</v>
      </c>
      <c r="BT157" s="14" t="n">
        <v>36.5333333333333</v>
      </c>
      <c r="BU157" s="14" t="n">
        <v>0.218268790793018</v>
      </c>
      <c r="BV157" s="14" t="n">
        <v>0.180365060629974</v>
      </c>
      <c r="BW157" s="14" t="n">
        <v>13425</v>
      </c>
      <c r="BX157" s="14" t="n">
        <v>26225</v>
      </c>
      <c r="BY157" s="14" t="n">
        <v>94.429019695586</v>
      </c>
      <c r="BZ157" s="14" t="n">
        <v>0</v>
      </c>
      <c r="CA157" s="14" t="n">
        <v>0</v>
      </c>
      <c r="CB157" s="14" t="n">
        <v>19560.8411286226</v>
      </c>
    </row>
    <row r="158" customFormat="false" ht="15" hidden="false" customHeight="false" outlineLevel="0" collapsed="false">
      <c r="A158" s="0" t="s">
        <v>2991</v>
      </c>
      <c r="B158" s="14" t="n">
        <v>2465.07954157611</v>
      </c>
      <c r="C158" s="14" t="n">
        <v>8349.83355520186</v>
      </c>
      <c r="D158" s="14" t="n">
        <v>22070.4816314923</v>
      </c>
      <c r="E158" s="14" t="n">
        <v>4312.96513042944</v>
      </c>
      <c r="F158" s="14" t="n">
        <v>-1007.61082327784</v>
      </c>
      <c r="G158" s="14" t="n">
        <v>4986.5826114992</v>
      </c>
      <c r="H158" s="14" t="n">
        <v>13126.0746130506</v>
      </c>
      <c r="I158" s="15" t="n">
        <v>13.4789680930706</v>
      </c>
      <c r="J158" s="15" t="n">
        <v>24.4115047155353</v>
      </c>
      <c r="K158" s="14" t="s">
        <v>83</v>
      </c>
      <c r="L158" s="14" t="n">
        <v>849.254057144571</v>
      </c>
      <c r="M158" s="14" t="n">
        <v>34510.281706104</v>
      </c>
      <c r="N158" s="14" t="n">
        <v>13191.5045829555</v>
      </c>
      <c r="O158" s="14" t="n">
        <v>-13130.6095865016</v>
      </c>
      <c r="P158" s="14" t="n">
        <v>951.290832135856</v>
      </c>
      <c r="Q158" s="14" t="n">
        <v>1247.48195391574</v>
      </c>
      <c r="R158" s="14" t="n">
        <v>17161.0315058315</v>
      </c>
      <c r="S158" s="14" t="n">
        <v>28341.1672826298</v>
      </c>
      <c r="T158" s="14" t="n">
        <v>-955.692204749296</v>
      </c>
      <c r="U158" s="14" t="n">
        <v>4244.86732905743</v>
      </c>
      <c r="V158" s="14" t="n">
        <v>0.750319556751226</v>
      </c>
      <c r="W158" s="14" t="n">
        <v>57369.1201270492</v>
      </c>
      <c r="X158" s="14" t="n">
        <v>23149.5927524325</v>
      </c>
      <c r="Y158" s="14" t="n">
        <v>22.9644119145487</v>
      </c>
      <c r="Z158" s="14" t="n">
        <v>31.1710503712671</v>
      </c>
      <c r="AA158" s="14" t="n">
        <v>27.424347870838</v>
      </c>
      <c r="AB158" s="14" t="n">
        <v>25.224347870838</v>
      </c>
      <c r="AC158" s="14" t="n">
        <v>26.674347870838</v>
      </c>
      <c r="AD158" s="14" t="n">
        <v>21.0618991648036</v>
      </c>
      <c r="AE158" s="14" t="n">
        <v>674.686407680941</v>
      </c>
      <c r="AF158" s="14" t="n">
        <v>0.03</v>
      </c>
      <c r="AG158" s="14" t="n">
        <v>0.670229486358198</v>
      </c>
      <c r="AH158" s="14" t="n">
        <v>10555.9005851127</v>
      </c>
      <c r="AI158" s="14" t="n">
        <v>22070.4816314923</v>
      </c>
      <c r="AJ158" s="14" t="n">
        <v>22.39175</v>
      </c>
      <c r="AK158" s="14" t="n">
        <v>0</v>
      </c>
      <c r="AL158" s="14" t="n">
        <v>-33652.1238041504</v>
      </c>
      <c r="AM158" s="14" t="n">
        <v>812.6073</v>
      </c>
      <c r="AN158" s="14" t="n">
        <v>27591.5562695673</v>
      </c>
      <c r="AO158" s="14" t="n">
        <v>-6914.67819639031</v>
      </c>
      <c r="AP158" s="14" t="n">
        <v>0.401891966794121</v>
      </c>
      <c r="AQ158" s="14" t="n">
        <v>21.6031015181729</v>
      </c>
      <c r="AR158" s="14" t="n">
        <v>327.195752</v>
      </c>
      <c r="AS158" s="14" t="n">
        <v>314.925245</v>
      </c>
      <c r="AT158" s="14" t="n">
        <v>849.254057144571</v>
      </c>
      <c r="AU158" s="14" t="n">
        <v>12.270507</v>
      </c>
      <c r="AV158" s="14" t="n">
        <v>0</v>
      </c>
      <c r="AW158" s="14" t="n">
        <v>2254.3125</v>
      </c>
      <c r="AX158" s="14" t="n">
        <v>314.925245</v>
      </c>
      <c r="AY158" s="14" t="n">
        <v>314.925245</v>
      </c>
      <c r="AZ158" s="14" t="n">
        <v>5917.01789678353</v>
      </c>
      <c r="BA158" s="14" t="n">
        <v>18.7330111080499</v>
      </c>
      <c r="BB158" s="14" t="n">
        <v>27.3903037299863</v>
      </c>
      <c r="BC158" s="14" t="n">
        <v>41.6181589387887</v>
      </c>
      <c r="BD158" s="14" t="n">
        <v>-3.89149157566662</v>
      </c>
      <c r="BE158" s="14" t="n">
        <v>-5.91605016281566</v>
      </c>
      <c r="BF158" s="14" t="n">
        <v>6.47461254355591</v>
      </c>
      <c r="BG158" s="14" t="n">
        <v>4.45005395640687</v>
      </c>
      <c r="BH158" s="14" t="n">
        <v>12.4532371757488</v>
      </c>
      <c r="BI158" s="14" t="n">
        <v>11.440194655201</v>
      </c>
      <c r="BJ158" s="14" t="n">
        <v>5.11489923648504</v>
      </c>
      <c r="BK158" s="14" t="n">
        <v>6.14038025700283</v>
      </c>
      <c r="BL158" s="14" t="n">
        <v>6.42123287671233</v>
      </c>
      <c r="BM158" s="14" t="n">
        <v>8712.70308277889</v>
      </c>
      <c r="BN158" s="14" t="n">
        <v>8317.46681817163</v>
      </c>
      <c r="BO158" s="14" t="n">
        <v>8317.46681817163</v>
      </c>
      <c r="BP158" s="14" t="n">
        <v>327.195752</v>
      </c>
      <c r="BQ158" s="14" t="n">
        <v>301.7195</v>
      </c>
      <c r="BR158" s="14" t="n">
        <v>1081.9108</v>
      </c>
      <c r="BS158" s="14" t="s">
        <v>2855</v>
      </c>
      <c r="BT158" s="14" t="n">
        <v>36.5333333333333</v>
      </c>
      <c r="BU158" s="14" t="n">
        <v>0.218268790793018</v>
      </c>
      <c r="BV158" s="14" t="n">
        <v>0.180365060629974</v>
      </c>
      <c r="BW158" s="14" t="n">
        <v>13425</v>
      </c>
      <c r="BX158" s="14" t="n">
        <v>26225</v>
      </c>
      <c r="BY158" s="14" t="n">
        <v>89.7834470258935</v>
      </c>
      <c r="BZ158" s="14" t="n">
        <v>0</v>
      </c>
      <c r="CA158" s="14" t="n">
        <v>0</v>
      </c>
      <c r="CB158" s="14" t="n">
        <v>18932.7307445673</v>
      </c>
    </row>
    <row r="159" customFormat="false" ht="15" hidden="false" customHeight="false" outlineLevel="0" collapsed="false">
      <c r="A159" s="0" t="s">
        <v>2992</v>
      </c>
      <c r="B159" s="14" t="n">
        <v>2465.07954157611</v>
      </c>
      <c r="C159" s="14" t="n">
        <v>8349.83355520186</v>
      </c>
      <c r="D159" s="14" t="n">
        <v>22070.4816314923</v>
      </c>
      <c r="E159" s="14" t="n">
        <v>4312.96513042944</v>
      </c>
      <c r="F159" s="14" t="n">
        <v>-1007.61082327784</v>
      </c>
      <c r="G159" s="14" t="n">
        <v>4986.5826114992</v>
      </c>
      <c r="H159" s="14" t="n">
        <v>13126.0746130506</v>
      </c>
      <c r="I159" s="15" t="n">
        <v>13.2063389366171</v>
      </c>
      <c r="J159" s="15" t="n">
        <v>21.3652113770361</v>
      </c>
      <c r="K159" s="14" t="s">
        <v>83</v>
      </c>
      <c r="L159" s="14" t="n">
        <v>849.254057144571</v>
      </c>
      <c r="M159" s="14" t="n">
        <v>34510.281706104</v>
      </c>
      <c r="N159" s="14" t="n">
        <v>13191.5045829555</v>
      </c>
      <c r="O159" s="14" t="n">
        <v>-13130.6095865016</v>
      </c>
      <c r="P159" s="14" t="n">
        <v>951.290832135856</v>
      </c>
      <c r="Q159" s="14" t="n">
        <v>1247.48195391574</v>
      </c>
      <c r="R159" s="14" t="n">
        <v>17161.0315058315</v>
      </c>
      <c r="S159" s="14" t="n">
        <v>28341.1672826298</v>
      </c>
      <c r="T159" s="14" t="n">
        <v>-955.692204749296</v>
      </c>
      <c r="U159" s="14" t="n">
        <v>4159.00952516717</v>
      </c>
      <c r="V159" s="14" t="n">
        <v>0.750319556751226</v>
      </c>
      <c r="W159" s="14" t="n">
        <v>57369.1201270492</v>
      </c>
      <c r="X159" s="14" t="n">
        <v>23149.5927524325</v>
      </c>
      <c r="Y159" s="14" t="n">
        <v>20.0987001998045</v>
      </c>
      <c r="Z159" s="14" t="n">
        <v>27.2812384073374</v>
      </c>
      <c r="AA159" s="14" t="n">
        <v>27.424347870838</v>
      </c>
      <c r="AB159" s="14" t="n">
        <v>25.224347870838</v>
      </c>
      <c r="AC159" s="14" t="n">
        <v>26.674347870838</v>
      </c>
      <c r="AD159" s="14" t="n">
        <v>21.0618991648036</v>
      </c>
      <c r="AE159" s="14" t="n">
        <v>674.686407680941</v>
      </c>
      <c r="AF159" s="14" t="n">
        <v>0.03</v>
      </c>
      <c r="AG159" s="14" t="n">
        <v>0.670229486358198</v>
      </c>
      <c r="AH159" s="14" t="n">
        <v>10555.9005851127</v>
      </c>
      <c r="AI159" s="14" t="n">
        <v>22070.4816314923</v>
      </c>
      <c r="AJ159" s="14" t="n">
        <v>22.39175</v>
      </c>
      <c r="AK159" s="14" t="n">
        <v>0</v>
      </c>
      <c r="AL159" s="14" t="n">
        <v>-33652.1238041504</v>
      </c>
      <c r="AM159" s="14" t="n">
        <v>812.6073</v>
      </c>
      <c r="AN159" s="14" t="n">
        <v>27591.5562695673</v>
      </c>
      <c r="AO159" s="14" t="n">
        <v>-6914.67819639031</v>
      </c>
      <c r="AP159" s="14" t="n">
        <v>0.401891966794121</v>
      </c>
      <c r="AQ159" s="14" t="n">
        <v>18.9072667053417</v>
      </c>
      <c r="AR159" s="14" t="n">
        <v>327.195752</v>
      </c>
      <c r="AS159" s="14" t="n">
        <v>314.925245</v>
      </c>
      <c r="AT159" s="14" t="n">
        <v>849.254057144571</v>
      </c>
      <c r="AU159" s="14" t="n">
        <v>12.270507</v>
      </c>
      <c r="AV159" s="14" t="n">
        <v>0</v>
      </c>
      <c r="AW159" s="14" t="n">
        <v>2254.3125</v>
      </c>
      <c r="AX159" s="14" t="n">
        <v>314.925245</v>
      </c>
      <c r="AY159" s="14" t="n">
        <v>314.925245</v>
      </c>
      <c r="AZ159" s="14" t="n">
        <v>5917.01789678353</v>
      </c>
      <c r="BA159" s="14" t="n">
        <v>18.4603819515964</v>
      </c>
      <c r="BB159" s="14" t="n">
        <v>27.1176745735328</v>
      </c>
      <c r="BC159" s="14" t="n">
        <v>41.3455297823352</v>
      </c>
      <c r="BD159" s="14" t="n">
        <v>-3.89149157566662</v>
      </c>
      <c r="BE159" s="14" t="n">
        <v>-5.91605016281566</v>
      </c>
      <c r="BF159" s="14" t="n">
        <v>6.47461254355591</v>
      </c>
      <c r="BG159" s="14" t="n">
        <v>4.45005395640687</v>
      </c>
      <c r="BH159" s="14" t="n">
        <v>12.4532371757488</v>
      </c>
      <c r="BI159" s="14" t="n">
        <v>11.440194655201</v>
      </c>
      <c r="BJ159" s="14" t="n">
        <v>5.11489923648504</v>
      </c>
      <c r="BK159" s="14" t="n">
        <v>6.14038025700283</v>
      </c>
      <c r="BL159" s="14" t="n">
        <v>6.42123287671233</v>
      </c>
      <c r="BM159" s="14" t="n">
        <v>8712.70308277889</v>
      </c>
      <c r="BN159" s="14" t="n">
        <v>8317.46681817163</v>
      </c>
      <c r="BO159" s="14" t="n">
        <v>8317.46681817163</v>
      </c>
      <c r="BP159" s="14" t="n">
        <v>327.195752</v>
      </c>
      <c r="BQ159" s="14" t="n">
        <v>301.7195</v>
      </c>
      <c r="BR159" s="14" t="n">
        <v>1081.9108</v>
      </c>
      <c r="BS159" s="14" t="s">
        <v>2855</v>
      </c>
      <c r="BT159" s="14" t="n">
        <v>36.5333333333333</v>
      </c>
      <c r="BU159" s="14" t="n">
        <v>0.218268790793018</v>
      </c>
      <c r="BV159" s="14" t="n">
        <v>0.180365060629974</v>
      </c>
      <c r="BW159" s="14" t="n">
        <v>13510.8578038903</v>
      </c>
      <c r="BX159" s="14" t="n">
        <v>27107.0656988521</v>
      </c>
      <c r="BY159" s="14" t="n">
        <v>89.7834470258935</v>
      </c>
      <c r="BZ159" s="14" t="n">
        <v>0</v>
      </c>
      <c r="CA159" s="14" t="n">
        <v>0</v>
      </c>
      <c r="CB159" s="14" t="n">
        <v>18932.7307445673</v>
      </c>
    </row>
    <row r="160" customFormat="false" ht="15" hidden="false" customHeight="false" outlineLevel="0" collapsed="false">
      <c r="A160" s="0" t="s">
        <v>2993</v>
      </c>
      <c r="B160" s="14" t="n">
        <v>2465.07954157611</v>
      </c>
      <c r="C160" s="14" t="n">
        <v>8349.83355520186</v>
      </c>
      <c r="D160" s="14" t="n">
        <v>22070.4816314923</v>
      </c>
      <c r="E160" s="14" t="n">
        <v>4312.96513042944</v>
      </c>
      <c r="F160" s="14" t="n">
        <v>-1012.30747415284</v>
      </c>
      <c r="G160" s="14" t="n">
        <v>4991.2792623742</v>
      </c>
      <c r="H160" s="14" t="n">
        <v>13027.7181407711</v>
      </c>
      <c r="I160" s="15" t="n">
        <v>12.881142259293</v>
      </c>
      <c r="J160" s="15" t="n">
        <v>21.0115200891804</v>
      </c>
      <c r="K160" s="14" t="s">
        <v>83</v>
      </c>
      <c r="L160" s="14" t="n">
        <v>811.662072478144</v>
      </c>
      <c r="M160" s="14" t="n">
        <v>34539.718438604</v>
      </c>
      <c r="N160" s="14" t="n">
        <v>13191.5045829555</v>
      </c>
      <c r="O160" s="14" t="n">
        <v>-13172.2062458431</v>
      </c>
      <c r="P160" s="14" t="n">
        <v>951.290832135856</v>
      </c>
      <c r="Q160" s="14" t="n">
        <v>1238.06772391574</v>
      </c>
      <c r="R160" s="14" t="n">
        <v>17178.6659233315</v>
      </c>
      <c r="S160" s="14" t="n">
        <v>28345.2055826298</v>
      </c>
      <c r="T160" s="14" t="n">
        <v>-955.692204749296</v>
      </c>
      <c r="U160" s="14" t="n">
        <v>4056.59688188769</v>
      </c>
      <c r="V160" s="14" t="n">
        <v>0.750319556751226</v>
      </c>
      <c r="W160" s="14" t="n">
        <v>57306.3907858798</v>
      </c>
      <c r="X160" s="14" t="n">
        <v>23160.1212991325</v>
      </c>
      <c r="Y160" s="14" t="n">
        <v>19.7659754243532</v>
      </c>
      <c r="Z160" s="14" t="n">
        <v>26.8296100018744</v>
      </c>
      <c r="AA160" s="14" t="n">
        <v>27.424347870838</v>
      </c>
      <c r="AB160" s="14" t="n">
        <v>25.224347870838</v>
      </c>
      <c r="AC160" s="14" t="n">
        <v>26.674347870838</v>
      </c>
      <c r="AD160" s="14" t="n">
        <v>21.0618991648036</v>
      </c>
      <c r="AE160" s="14" t="n">
        <v>674.686407680941</v>
      </c>
      <c r="AF160" s="14" t="n">
        <v>0.03</v>
      </c>
      <c r="AG160" s="14" t="n">
        <v>0.670229486358198</v>
      </c>
      <c r="AH160" s="14" t="n">
        <v>10543.529404548</v>
      </c>
      <c r="AI160" s="14" t="n">
        <v>22070.4816314923</v>
      </c>
      <c r="AJ160" s="14" t="n">
        <v>22.39175</v>
      </c>
      <c r="AK160" s="14" t="n">
        <v>0</v>
      </c>
      <c r="AL160" s="14" t="n">
        <v>-33693.8451150313</v>
      </c>
      <c r="AM160" s="14" t="n">
        <v>812.6073</v>
      </c>
      <c r="AN160" s="14" t="n">
        <v>27604.3375855219</v>
      </c>
      <c r="AO160" s="14" t="n">
        <v>-6915.81166693913</v>
      </c>
      <c r="AP160" s="14" t="n">
        <v>0.401891966794121</v>
      </c>
      <c r="AQ160" s="14" t="n">
        <v>18.5942655656464</v>
      </c>
      <c r="AR160" s="14" t="n">
        <v>327.195752</v>
      </c>
      <c r="AS160" s="14" t="n">
        <v>314.925245</v>
      </c>
      <c r="AT160" s="14" t="n">
        <v>811.662072478144</v>
      </c>
      <c r="AU160" s="14" t="n">
        <v>12.270507</v>
      </c>
      <c r="AV160" s="14" t="n">
        <v>0</v>
      </c>
      <c r="AW160" s="14" t="n">
        <v>2254.3125</v>
      </c>
      <c r="AX160" s="14" t="n">
        <v>314.925245</v>
      </c>
      <c r="AY160" s="14" t="n">
        <v>314.925245</v>
      </c>
      <c r="AZ160" s="14" t="n">
        <v>5900.68456345019</v>
      </c>
      <c r="BA160" s="14" t="n">
        <v>18.3956380015414</v>
      </c>
      <c r="BB160" s="14" t="n">
        <v>27.0529306234778</v>
      </c>
      <c r="BC160" s="14" t="n">
        <v>41.2807858322802</v>
      </c>
      <c r="BD160" s="14" t="n">
        <v>-3.89149157566662</v>
      </c>
      <c r="BE160" s="14" t="n">
        <v>-5.91605016281566</v>
      </c>
      <c r="BF160" s="14" t="n">
        <v>6.47461254355591</v>
      </c>
      <c r="BG160" s="14" t="n">
        <v>4.45005395640687</v>
      </c>
      <c r="BH160" s="14" t="n">
        <v>12.4532371757488</v>
      </c>
      <c r="BI160" s="14" t="n">
        <v>11.440194655201</v>
      </c>
      <c r="BJ160" s="14" t="n">
        <v>5.11489923648504</v>
      </c>
      <c r="BK160" s="14" t="n">
        <v>6.14038025700283</v>
      </c>
      <c r="BL160" s="14" t="n">
        <v>6.42123287671233</v>
      </c>
      <c r="BM160" s="14" t="n">
        <v>8712.70308277889</v>
      </c>
      <c r="BN160" s="14" t="n">
        <v>8317.46681817163</v>
      </c>
      <c r="BO160" s="14" t="n">
        <v>8317.46681817163</v>
      </c>
      <c r="BP160" s="14" t="n">
        <v>327.195752</v>
      </c>
      <c r="BQ160" s="14" t="n">
        <v>301.7195</v>
      </c>
      <c r="BR160" s="14" t="n">
        <v>1081.9108</v>
      </c>
      <c r="BS160" s="14" t="s">
        <v>2855</v>
      </c>
      <c r="BT160" s="14" t="n">
        <v>36.5333333333333</v>
      </c>
      <c r="BU160" s="14" t="n">
        <v>0.218268790793018</v>
      </c>
      <c r="BV160" s="14" t="n">
        <v>0.180365060629974</v>
      </c>
      <c r="BW160" s="14" t="n">
        <v>13510.8578038903</v>
      </c>
      <c r="BX160" s="14" t="n">
        <v>27107.0656988521</v>
      </c>
      <c r="BY160" s="14" t="n">
        <v>89.8773685438685</v>
      </c>
      <c r="BZ160" s="14" t="n">
        <v>0</v>
      </c>
      <c r="CA160" s="14" t="n">
        <v>0</v>
      </c>
      <c r="CB160" s="14" t="n">
        <v>18945.5120605219</v>
      </c>
    </row>
    <row r="161" customFormat="false" ht="15" hidden="false" customHeight="false" outlineLevel="0" collapsed="false">
      <c r="A161" s="0" t="s">
        <v>2994</v>
      </c>
      <c r="B161" s="14" t="n">
        <v>2465.07954157611</v>
      </c>
      <c r="C161" s="14" t="n">
        <v>8349.83355520186</v>
      </c>
      <c r="D161" s="14" t="n">
        <v>22070.4816314923</v>
      </c>
      <c r="E161" s="14" t="n">
        <v>4312.96513042944</v>
      </c>
      <c r="F161" s="14" t="n">
        <v>-987.294931652838</v>
      </c>
      <c r="G161" s="14" t="n">
        <v>4966.2667198742</v>
      </c>
      <c r="H161" s="14" t="n">
        <v>21625.7346620258</v>
      </c>
      <c r="I161" s="15" t="n">
        <v>40.1829119896131</v>
      </c>
      <c r="J161" s="15" t="n">
        <v>50.7055445672786</v>
      </c>
      <c r="K161" s="14" t="s">
        <v>83</v>
      </c>
      <c r="L161" s="14" t="n">
        <v>1582.01537093433</v>
      </c>
      <c r="M161" s="14" t="n">
        <v>33433.435588604</v>
      </c>
      <c r="N161" s="14" t="n">
        <v>13191.5045829555</v>
      </c>
      <c r="O161" s="14" t="n">
        <v>-11256.6531256845</v>
      </c>
      <c r="P161" s="14" t="n">
        <v>951.290832135856</v>
      </c>
      <c r="Q161" s="14" t="n">
        <v>1504.43761891574</v>
      </c>
      <c r="R161" s="14" t="n">
        <v>17147.1861733315</v>
      </c>
      <c r="S161" s="14" t="n">
        <v>26914.7733826298</v>
      </c>
      <c r="T161" s="14" t="n">
        <v>-955.692204749296</v>
      </c>
      <c r="U161" s="14" t="n">
        <v>12654.6134031423</v>
      </c>
      <c r="V161" s="14" t="n">
        <v>0.750319556751226</v>
      </c>
      <c r="W161" s="14" t="n">
        <v>62332.0115387698</v>
      </c>
      <c r="X161" s="14" t="n">
        <v>22261.0176327188</v>
      </c>
      <c r="Y161" s="14" t="n">
        <v>47.6997639171935</v>
      </c>
      <c r="Z161" s="14" t="n">
        <v>64.745909857958</v>
      </c>
      <c r="AA161" s="14" t="n">
        <v>27.424347870838</v>
      </c>
      <c r="AB161" s="14" t="n">
        <v>25.224347870838</v>
      </c>
      <c r="AC161" s="14" t="n">
        <v>26.674347870838</v>
      </c>
      <c r="AD161" s="14" t="n">
        <v>21.0618991648036</v>
      </c>
      <c r="AE161" s="14" t="n">
        <v>674.686407680941</v>
      </c>
      <c r="AF161" s="14" t="n">
        <v>0.03</v>
      </c>
      <c r="AG161" s="14" t="n">
        <v>0.670229486358198</v>
      </c>
      <c r="AH161" s="14" t="n">
        <v>10567.1399440652</v>
      </c>
      <c r="AI161" s="14" t="n">
        <v>22070.4816314923</v>
      </c>
      <c r="AJ161" s="14" t="n">
        <v>22.39175</v>
      </c>
      <c r="AK161" s="14" t="n">
        <v>0</v>
      </c>
      <c r="AL161" s="14" t="n">
        <v>-29767.7416351496</v>
      </c>
      <c r="AM161" s="14" t="n">
        <v>812.6073</v>
      </c>
      <c r="AN161" s="14" t="n">
        <v>26321.0217026062</v>
      </c>
      <c r="AO161" s="14" t="n">
        <v>-6546.04445387379</v>
      </c>
      <c r="AP161" s="14" t="n">
        <v>0.401891966794121</v>
      </c>
      <c r="AQ161" s="14" t="n">
        <v>44.8721633338749</v>
      </c>
      <c r="AR161" s="14" t="n">
        <v>327.195752</v>
      </c>
      <c r="AS161" s="14" t="n">
        <v>314.925245</v>
      </c>
      <c r="AT161" s="14" t="n">
        <v>1582.01537093433</v>
      </c>
      <c r="AU161" s="14" t="n">
        <v>12.270507</v>
      </c>
      <c r="AV161" s="14" t="n">
        <v>0</v>
      </c>
      <c r="AW161" s="14" t="n">
        <v>2254.3125</v>
      </c>
      <c r="AX161" s="14" t="n">
        <v>314.925245</v>
      </c>
      <c r="AY161" s="14" t="n">
        <v>314.925245</v>
      </c>
      <c r="AZ161" s="14" t="n">
        <v>5890.01789678353</v>
      </c>
      <c r="BA161" s="14" t="n">
        <v>18.3617675296246</v>
      </c>
      <c r="BB161" s="14" t="n">
        <v>27.019060151561</v>
      </c>
      <c r="BC161" s="14" t="n">
        <v>41.2469153603634</v>
      </c>
      <c r="BD161" s="14" t="n">
        <v>-3.89149157566662</v>
      </c>
      <c r="BE161" s="14" t="n">
        <v>-3.389032187156</v>
      </c>
      <c r="BF161" s="14" t="n">
        <v>6.47461254355591</v>
      </c>
      <c r="BG161" s="14" t="n">
        <v>6.97707193206652</v>
      </c>
      <c r="BH161" s="14" t="n">
        <v>12.4532371757488</v>
      </c>
      <c r="BI161" s="14" t="n">
        <v>14.5375344778911</v>
      </c>
      <c r="BJ161" s="14" t="n">
        <v>5.11489923648504</v>
      </c>
      <c r="BK161" s="14" t="n">
        <v>6.14038025700283</v>
      </c>
      <c r="BL161" s="14" t="n">
        <v>6.42123287671233</v>
      </c>
      <c r="BM161" s="14" t="n">
        <v>8712.70308277889</v>
      </c>
      <c r="BN161" s="14" t="n">
        <v>8317.46681817163</v>
      </c>
      <c r="BO161" s="14" t="n">
        <v>8317.46681817163</v>
      </c>
      <c r="BP161" s="14" t="n">
        <v>327.195752</v>
      </c>
      <c r="BQ161" s="14" t="n">
        <v>301.7195</v>
      </c>
      <c r="BR161" s="14" t="n">
        <v>1081.9108</v>
      </c>
      <c r="BS161" s="14" t="s">
        <v>2855</v>
      </c>
      <c r="BT161" s="14" t="n">
        <v>36.5333333333333</v>
      </c>
      <c r="BU161" s="14" t="n">
        <v>0.218268790793018</v>
      </c>
      <c r="BV161" s="14" t="n">
        <v>0.204285232461873</v>
      </c>
      <c r="BW161" s="14" t="n">
        <v>13510.8578038903</v>
      </c>
      <c r="BX161" s="14" t="n">
        <v>27107.0656988521</v>
      </c>
      <c r="BY161" s="14" t="n">
        <v>81.30633591373</v>
      </c>
      <c r="BZ161" s="14" t="n">
        <v>0</v>
      </c>
      <c r="CA161" s="14" t="n">
        <v>0</v>
      </c>
      <c r="CB161" s="14" t="n">
        <v>18241.0326626062</v>
      </c>
    </row>
    <row r="162" customFormat="false" ht="15" hidden="false" customHeight="false" outlineLevel="0" collapsed="false">
      <c r="A162" s="0" t="s">
        <v>2995</v>
      </c>
      <c r="B162" s="14" t="n">
        <v>2465.07954157611</v>
      </c>
      <c r="C162" s="14" t="n">
        <v>8349.83355520186</v>
      </c>
      <c r="D162" s="14" t="n">
        <v>22070.4816314923</v>
      </c>
      <c r="E162" s="14" t="n">
        <v>4312.96513042944</v>
      </c>
      <c r="F162" s="14" t="n">
        <v>-1041.94738765284</v>
      </c>
      <c r="G162" s="14" t="n">
        <v>5020.9191758742</v>
      </c>
      <c r="H162" s="14" t="n">
        <v>21002.7405922851</v>
      </c>
      <c r="I162" s="15" t="n">
        <v>37.4791069334617</v>
      </c>
      <c r="J162" s="15" t="n">
        <v>47.7648248148809</v>
      </c>
      <c r="K162" s="14" t="s">
        <v>83</v>
      </c>
      <c r="L162" s="14" t="n">
        <v>698.191461183871</v>
      </c>
      <c r="M162" s="14" t="n">
        <v>33819.758788604</v>
      </c>
      <c r="N162" s="14" t="n">
        <v>13191.5045829555</v>
      </c>
      <c r="O162" s="14" t="n">
        <v>-12210.4954472316</v>
      </c>
      <c r="P162" s="14" t="n">
        <v>951.290832135856</v>
      </c>
      <c r="Q162" s="14" t="n">
        <v>1415.90613091574</v>
      </c>
      <c r="R162" s="14" t="n">
        <v>17617.7170533315</v>
      </c>
      <c r="S162" s="14" t="n">
        <v>27008.6165826298</v>
      </c>
      <c r="T162" s="14" t="n">
        <v>-955.692204749296</v>
      </c>
      <c r="U162" s="14" t="n">
        <v>11803.1169334016</v>
      </c>
      <c r="V162" s="14" t="n">
        <v>0.750319556751226</v>
      </c>
      <c r="W162" s="14" t="n">
        <v>62332.0115387698</v>
      </c>
      <c r="X162" s="14" t="n">
        <v>22261.0176327188</v>
      </c>
      <c r="Y162" s="14" t="n">
        <v>44.9333674780451</v>
      </c>
      <c r="Z162" s="14" t="n">
        <v>60.9909048061214</v>
      </c>
      <c r="AA162" s="14" t="n">
        <v>27.424347870838</v>
      </c>
      <c r="AB162" s="14" t="n">
        <v>25.224347870838</v>
      </c>
      <c r="AC162" s="14" t="n">
        <v>26.674347870838</v>
      </c>
      <c r="AD162" s="14" t="n">
        <v>21.0618991648036</v>
      </c>
      <c r="AE162" s="14" t="n">
        <v>674.686407680941</v>
      </c>
      <c r="AF162" s="14" t="n">
        <v>0.03</v>
      </c>
      <c r="AG162" s="14" t="n">
        <v>0.670229486358198</v>
      </c>
      <c r="AH162" s="14" t="n">
        <v>10094.6096680652</v>
      </c>
      <c r="AI162" s="14" t="n">
        <v>22070.4816314923</v>
      </c>
      <c r="AJ162" s="14" t="n">
        <v>22.39175</v>
      </c>
      <c r="AK162" s="14" t="n">
        <v>0</v>
      </c>
      <c r="AL162" s="14" t="n">
        <v>-30696.5029295068</v>
      </c>
      <c r="AM162" s="14" t="n">
        <v>812.6073</v>
      </c>
      <c r="AN162" s="14" t="n">
        <v>26321.0217026062</v>
      </c>
      <c r="AO162" s="14" t="n">
        <v>-6546.04445387379</v>
      </c>
      <c r="AP162" s="14" t="n">
        <v>0.401891966794121</v>
      </c>
      <c r="AQ162" s="14" t="n">
        <v>42.2697564733459</v>
      </c>
      <c r="AR162" s="14" t="n">
        <v>327.195752</v>
      </c>
      <c r="AS162" s="14" t="n">
        <v>314.925245</v>
      </c>
      <c r="AT162" s="14" t="n">
        <v>698.191461183871</v>
      </c>
      <c r="AU162" s="14" t="n">
        <v>12.270507</v>
      </c>
      <c r="AV162" s="14" t="n">
        <v>0</v>
      </c>
      <c r="AW162" s="14" t="n">
        <v>2254.3125</v>
      </c>
      <c r="AX162" s="14" t="n">
        <v>314.925245</v>
      </c>
      <c r="AY162" s="14" t="n">
        <v>314.925245</v>
      </c>
      <c r="AZ162" s="14" t="n">
        <v>5890.01789678353</v>
      </c>
      <c r="BA162" s="14" t="n">
        <v>17.6361908931755</v>
      </c>
      <c r="BB162" s="14" t="n">
        <v>26.2934835151119</v>
      </c>
      <c r="BC162" s="14" t="n">
        <v>40.5213387239143</v>
      </c>
      <c r="BD162" s="14" t="n">
        <v>-5.08067650538881</v>
      </c>
      <c r="BE162" s="14" t="n">
        <v>-3.389032187156</v>
      </c>
      <c r="BF162" s="14" t="n">
        <v>5.28542761383372</v>
      </c>
      <c r="BG162" s="14" t="n">
        <v>6.97707193206652</v>
      </c>
      <c r="BH162" s="14" t="n">
        <v>10.9956654944829</v>
      </c>
      <c r="BI162" s="14" t="n">
        <v>14.5375344778911</v>
      </c>
      <c r="BJ162" s="14" t="n">
        <v>5.11489923648504</v>
      </c>
      <c r="BK162" s="14" t="n">
        <v>6.14038025700283</v>
      </c>
      <c r="BL162" s="14" t="n">
        <v>6.42123287671233</v>
      </c>
      <c r="BM162" s="14" t="n">
        <v>8712.70308277889</v>
      </c>
      <c r="BN162" s="14" t="n">
        <v>8317.46681817163</v>
      </c>
      <c r="BO162" s="14" t="n">
        <v>8317.46681817163</v>
      </c>
      <c r="BP162" s="14" t="n">
        <v>327.195752</v>
      </c>
      <c r="BQ162" s="14" t="n">
        <v>301.7195</v>
      </c>
      <c r="BR162" s="14" t="n">
        <v>1081.9108</v>
      </c>
      <c r="BS162" s="14" t="s">
        <v>2855</v>
      </c>
      <c r="BT162" s="14" t="n">
        <v>37.9555555555556</v>
      </c>
      <c r="BU162" s="14" t="n">
        <v>0.202495480090107</v>
      </c>
      <c r="BV162" s="14" t="n">
        <v>0.204285232461873</v>
      </c>
      <c r="BW162" s="14" t="n">
        <v>13510.8578038903</v>
      </c>
      <c r="BX162" s="14" t="n">
        <v>27107.0656988521</v>
      </c>
      <c r="BY162" s="14" t="n">
        <v>83.4030067771906</v>
      </c>
      <c r="BZ162" s="14" t="n">
        <v>0</v>
      </c>
      <c r="CA162" s="14" t="n">
        <v>950.69728</v>
      </c>
      <c r="CB162" s="14" t="n">
        <v>18241.0326626062</v>
      </c>
    </row>
    <row r="163" customFormat="false" ht="15" hidden="false" customHeight="false" outlineLevel="0" collapsed="false">
      <c r="A163" s="0" t="s">
        <v>2996</v>
      </c>
      <c r="B163" s="14" t="n">
        <v>2465.07954157611</v>
      </c>
      <c r="C163" s="14" t="n">
        <v>7505.46533149617</v>
      </c>
      <c r="D163" s="14" t="n">
        <v>20180.6645744977</v>
      </c>
      <c r="E163" s="14" t="n">
        <v>3713.46369159839</v>
      </c>
      <c r="F163" s="14" t="n">
        <v>-1606.96308130411</v>
      </c>
      <c r="G163" s="14" t="n">
        <v>5020.20815964266</v>
      </c>
      <c r="H163" s="14" t="n">
        <v>9057.7281902452</v>
      </c>
      <c r="I163" s="15" t="n">
        <v>0.01</v>
      </c>
      <c r="J163" s="15" t="n">
        <v>6.511648599118</v>
      </c>
      <c r="K163" s="14" t="s">
        <v>83</v>
      </c>
      <c r="L163" s="14" t="n">
        <v>111.269596161281</v>
      </c>
      <c r="M163" s="14" t="n">
        <v>33802.8714241299</v>
      </c>
      <c r="N163" s="14" t="n">
        <v>11755.2436196396</v>
      </c>
      <c r="O163" s="14" t="n">
        <v>-14053.7666899708</v>
      </c>
      <c r="P163" s="14" t="n">
        <v>951.290832135856</v>
      </c>
      <c r="Q163" s="14" t="n">
        <v>61.4155828462322</v>
      </c>
      <c r="R163" s="14" t="n">
        <v>17617.7170533315</v>
      </c>
      <c r="S163" s="14" t="n">
        <v>26970.82024149</v>
      </c>
      <c r="T163" s="14" t="n">
        <v>-955.692204749296</v>
      </c>
      <c r="U163" s="14" t="n">
        <v>-141.895468638255</v>
      </c>
      <c r="V163" s="14" t="n">
        <v>0.750319556751226</v>
      </c>
      <c r="W163" s="14" t="n">
        <v>53464.5708424573</v>
      </c>
      <c r="X163" s="14" t="n">
        <v>22173.3734272866</v>
      </c>
      <c r="Y163" s="14" t="n">
        <v>6.12564372477112</v>
      </c>
      <c r="Z163" s="14" t="n">
        <v>8.31472409621378</v>
      </c>
      <c r="AA163" s="14" t="n">
        <v>27.424347870838</v>
      </c>
      <c r="AB163" s="14" t="n">
        <v>25.224347870838</v>
      </c>
      <c r="AC163" s="14" t="n">
        <v>26.674347870838</v>
      </c>
      <c r="AD163" s="14" t="n">
        <v>21.0618991648036</v>
      </c>
      <c r="AE163" s="14" t="n">
        <v>674.686407680941</v>
      </c>
      <c r="AF163" s="14" t="n">
        <v>0.03</v>
      </c>
      <c r="AG163" s="14" t="n">
        <v>0.664073049535931</v>
      </c>
      <c r="AH163" s="14" t="n">
        <v>10094.6096680652</v>
      </c>
      <c r="AI163" s="14" t="n">
        <v>20180.6645744977</v>
      </c>
      <c r="AJ163" s="14" t="n">
        <v>16.69175</v>
      </c>
      <c r="AK163" s="14" t="n">
        <v>0</v>
      </c>
      <c r="AL163" s="14" t="n">
        <v>-33441.442494152</v>
      </c>
      <c r="AM163" s="14" t="n">
        <v>812.6073</v>
      </c>
      <c r="AN163" s="14" t="n">
        <v>26321.0217026062</v>
      </c>
      <c r="AO163" s="14" t="n">
        <v>-6546.04445387379</v>
      </c>
      <c r="AP163" s="14" t="n">
        <v>0.516474502037109</v>
      </c>
      <c r="AQ163" s="14" t="n">
        <v>5.76252088417522</v>
      </c>
      <c r="AR163" s="14" t="n">
        <v>327.195752</v>
      </c>
      <c r="AS163" s="14" t="n">
        <v>314.925245</v>
      </c>
      <c r="AT163" s="14" t="n">
        <v>111.269596161281</v>
      </c>
      <c r="AU163" s="14" t="n">
        <v>12.270507</v>
      </c>
      <c r="AV163" s="14" t="n">
        <v>0</v>
      </c>
      <c r="AW163" s="14" t="n">
        <v>2254.3125</v>
      </c>
      <c r="AX163" s="14" t="n">
        <v>314.925245</v>
      </c>
      <c r="AY163" s="14" t="n">
        <v>314.925245</v>
      </c>
      <c r="AZ163" s="14" t="n">
        <v>5568.83612056339</v>
      </c>
      <c r="BA163" s="14" t="n">
        <v>16.6163241745829</v>
      </c>
      <c r="BB163" s="14" t="n">
        <v>25.2736167965192</v>
      </c>
      <c r="BC163" s="14" t="n">
        <v>39.5014720053217</v>
      </c>
      <c r="BD163" s="14" t="n">
        <v>-5.08067650538881</v>
      </c>
      <c r="BE163" s="14" t="n">
        <v>-3.389032187156</v>
      </c>
      <c r="BF163" s="14" t="n">
        <v>5.28542761383372</v>
      </c>
      <c r="BG163" s="14" t="n">
        <v>6.97707193206652</v>
      </c>
      <c r="BH163" s="14" t="n">
        <v>10.9956654944829</v>
      </c>
      <c r="BI163" s="14" t="n">
        <v>14.5375344778911</v>
      </c>
      <c r="BJ163" s="14" t="n">
        <v>3.71992671744367</v>
      </c>
      <c r="BK163" s="14" t="n">
        <v>4.46573109600205</v>
      </c>
      <c r="BL163" s="14" t="n">
        <v>6.42123287671233</v>
      </c>
      <c r="BM163" s="14" t="n">
        <v>8712.70308277889</v>
      </c>
      <c r="BN163" s="14" t="n">
        <v>7473.09859446594</v>
      </c>
      <c r="BO163" s="14" t="n">
        <v>7473.09859446594</v>
      </c>
      <c r="BP163" s="14" t="n">
        <v>327.195752</v>
      </c>
      <c r="BQ163" s="14" t="n">
        <v>301.7195</v>
      </c>
      <c r="BR163" s="14" t="n">
        <v>1081.9108</v>
      </c>
      <c r="BS163" s="14" t="s">
        <v>2855</v>
      </c>
      <c r="BT163" s="14" t="n">
        <v>37.9555555555556</v>
      </c>
      <c r="BU163" s="14" t="n">
        <v>0.202495480090107</v>
      </c>
      <c r="BV163" s="14" t="n">
        <v>0.204285232461873</v>
      </c>
      <c r="BW163" s="14" t="n">
        <v>13510.8578038903</v>
      </c>
      <c r="BX163" s="14" t="n">
        <v>27107.0656988521</v>
      </c>
      <c r="BY163" s="14" t="n">
        <v>89.4338461244326</v>
      </c>
      <c r="BZ163" s="14" t="n">
        <v>0</v>
      </c>
      <c r="CA163" s="14" t="n">
        <v>950.69728</v>
      </c>
      <c r="CB163" s="14" t="n">
        <v>18241.0326626062</v>
      </c>
    </row>
    <row r="164" customFormat="false" ht="15" hidden="false" customHeight="false" outlineLevel="0" collapsed="false">
      <c r="A164" s="0" t="s">
        <v>2997</v>
      </c>
      <c r="B164" s="14" t="n">
        <v>2465.07954157611</v>
      </c>
      <c r="C164" s="14" t="n">
        <v>7505.46533149617</v>
      </c>
      <c r="D164" s="14" t="n">
        <v>20180.6645744977</v>
      </c>
      <c r="E164" s="14" t="n">
        <v>3713.46369159839</v>
      </c>
      <c r="F164" s="14" t="n">
        <v>-1606.96308130411</v>
      </c>
      <c r="G164" s="14" t="n">
        <v>5020.20815964266</v>
      </c>
      <c r="H164" s="14" t="n">
        <v>7854.59013302158</v>
      </c>
      <c r="I164" s="15" t="n">
        <v>0.01</v>
      </c>
      <c r="J164" s="15" t="n">
        <v>2.28688359991828</v>
      </c>
      <c r="K164" s="14" t="s">
        <v>60</v>
      </c>
      <c r="L164" s="14" t="n">
        <v>-4956.48323642636</v>
      </c>
      <c r="M164" s="14" t="n">
        <v>33802.8714241299</v>
      </c>
      <c r="N164" s="14" t="n">
        <v>11755.2436196396</v>
      </c>
      <c r="O164" s="14" t="n">
        <v>-19023.84719661</v>
      </c>
      <c r="P164" s="14" t="n">
        <v>951.290832135856</v>
      </c>
      <c r="Q164" s="14" t="n">
        <v>61.4155828462322</v>
      </c>
      <c r="R164" s="14" t="n">
        <v>17617.7170533315</v>
      </c>
      <c r="S164" s="14" t="n">
        <v>26970.82024149</v>
      </c>
      <c r="T164" s="14" t="n">
        <v>-955.692204749296</v>
      </c>
      <c r="U164" s="14" t="n">
        <v>-1365.19207123687</v>
      </c>
      <c r="V164" s="14" t="n">
        <v>0.750319556751226</v>
      </c>
      <c r="W164" s="14" t="n">
        <v>53464.5708424573</v>
      </c>
      <c r="X164" s="14" t="n">
        <v>22173.3734272866</v>
      </c>
      <c r="Y164" s="14" t="n">
        <v>2.15131912600733</v>
      </c>
      <c r="Z164" s="14" t="n">
        <v>2.92012166873565</v>
      </c>
      <c r="AA164" s="14" t="n">
        <v>27.424347870838</v>
      </c>
      <c r="AB164" s="14" t="n">
        <v>25.224347870838</v>
      </c>
      <c r="AC164" s="14" t="n">
        <v>26.674347870838</v>
      </c>
      <c r="AD164" s="14" t="n">
        <v>21.0618991648036</v>
      </c>
      <c r="AE164" s="14" t="n">
        <v>674.686407680941</v>
      </c>
      <c r="AF164" s="14" t="n">
        <v>0.03</v>
      </c>
      <c r="AG164" s="14" t="n">
        <v>0.664073049535931</v>
      </c>
      <c r="AH164" s="14" t="n">
        <v>9819.91719809611</v>
      </c>
      <c r="AI164" s="14" t="n">
        <v>20180.6645744977</v>
      </c>
      <c r="AJ164" s="14" t="n">
        <v>16.69175</v>
      </c>
      <c r="AK164" s="14" t="n">
        <v>0</v>
      </c>
      <c r="AL164" s="14" t="n">
        <v>-37200.0960732068</v>
      </c>
      <c r="AM164" s="14" t="n">
        <v>812.6073</v>
      </c>
      <c r="AN164" s="14" t="n">
        <v>20079.98904</v>
      </c>
      <c r="AO164" s="14" t="n">
        <v>-5508.72242389994</v>
      </c>
      <c r="AP164" s="14" t="n">
        <v>0.516474502037109</v>
      </c>
      <c r="AQ164" s="14" t="n">
        <v>2.02379079638786</v>
      </c>
      <c r="AR164" s="14" t="n">
        <v>327.195752</v>
      </c>
      <c r="AS164" s="14" t="n">
        <v>314.925245</v>
      </c>
      <c r="AT164" s="14" t="n">
        <v>-4956.48323642636</v>
      </c>
      <c r="AU164" s="14" t="n">
        <v>12.270507</v>
      </c>
      <c r="AV164" s="14" t="n">
        <v>0</v>
      </c>
      <c r="AW164" s="14" t="n">
        <v>2254.3125</v>
      </c>
      <c r="AX164" s="14" t="n">
        <v>314.925245</v>
      </c>
      <c r="AY164" s="14" t="n">
        <v>314.925245</v>
      </c>
      <c r="AZ164" s="14" t="n">
        <v>5568.83612056339</v>
      </c>
      <c r="BA164" s="14" t="n">
        <v>16.5523136016134</v>
      </c>
      <c r="BB164" s="14" t="n">
        <v>25.2096062235498</v>
      </c>
      <c r="BC164" s="14" t="n">
        <v>39.4374614323522</v>
      </c>
      <c r="BD164" s="14" t="n">
        <v>-5.08067650538881</v>
      </c>
      <c r="BE164" s="14" t="n">
        <v>-3.389032187156</v>
      </c>
      <c r="BF164" s="14" t="n">
        <v>5.28542761383372</v>
      </c>
      <c r="BG164" s="14" t="n">
        <v>6.97707193206652</v>
      </c>
      <c r="BH164" s="14" t="n">
        <v>10.9956654944829</v>
      </c>
      <c r="BI164" s="14" t="n">
        <v>14.5375344778911</v>
      </c>
      <c r="BJ164" s="14" t="n">
        <v>3.71992671744367</v>
      </c>
      <c r="BK164" s="14" t="n">
        <v>4.46573109600205</v>
      </c>
      <c r="BL164" s="14" t="n">
        <v>6.42123287671233</v>
      </c>
      <c r="BM164" s="14" t="n">
        <v>8712.70308277889</v>
      </c>
      <c r="BN164" s="14" t="n">
        <v>7473.09859446594</v>
      </c>
      <c r="BO164" s="14" t="n">
        <v>7473.09859446594</v>
      </c>
      <c r="BP164" s="14" t="n">
        <v>327.195752</v>
      </c>
      <c r="BQ164" s="14" t="n">
        <v>301.7195</v>
      </c>
      <c r="BR164" s="14" t="n">
        <v>1081.9108</v>
      </c>
      <c r="BS164" s="14" t="s">
        <v>2855</v>
      </c>
      <c r="BT164" s="14" t="n">
        <v>37.9555555555556</v>
      </c>
      <c r="BU164" s="14" t="n">
        <v>0.202495480090107</v>
      </c>
      <c r="BV164" s="14" t="n">
        <v>0.204285232461873</v>
      </c>
      <c r="BW164" s="14" t="n">
        <v>13510.8578038903</v>
      </c>
      <c r="BX164" s="14" t="n">
        <v>27107.0656988521</v>
      </c>
      <c r="BY164" s="14" t="n">
        <v>98.1216364538248</v>
      </c>
      <c r="BZ164" s="14" t="n">
        <v>0</v>
      </c>
      <c r="CA164" s="14" t="n">
        <v>950.69728</v>
      </c>
      <c r="CB164" s="14" t="n">
        <v>12000</v>
      </c>
    </row>
    <row r="165" customFormat="false" ht="15" hidden="false" customHeight="false" outlineLevel="0" collapsed="false">
      <c r="A165" s="0" t="s">
        <v>2998</v>
      </c>
      <c r="B165" s="14" t="n">
        <v>2465.07954157611</v>
      </c>
      <c r="C165" s="14" t="n">
        <v>7194.11867097113</v>
      </c>
      <c r="D165" s="14" t="n">
        <v>18907.4813404464</v>
      </c>
      <c r="E165" s="14" t="n">
        <v>3492.40756262561</v>
      </c>
      <c r="F165" s="14" t="n">
        <v>-1815.23830800585</v>
      </c>
      <c r="G165" s="14" t="n">
        <v>5019.88112379261</v>
      </c>
      <c r="H165" s="14" t="n">
        <v>-5159.80798334515</v>
      </c>
      <c r="I165" s="15" t="n">
        <v>0.01</v>
      </c>
      <c r="J165" s="15" t="n">
        <v>0</v>
      </c>
      <c r="K165" s="14" t="s">
        <v>60</v>
      </c>
      <c r="L165" s="14" t="n">
        <v>-5172.14756501904</v>
      </c>
      <c r="M165" s="14" t="n">
        <v>33796.6444909194</v>
      </c>
      <c r="N165" s="14" t="n">
        <v>10787.6243617607</v>
      </c>
      <c r="O165" s="14" t="n">
        <v>-20181.6671184006</v>
      </c>
      <c r="P165" s="14" t="n">
        <v>951.290832135856</v>
      </c>
      <c r="Q165" s="14" t="n">
        <v>-852.283953785194</v>
      </c>
      <c r="R165" s="14" t="n">
        <v>17617.7170533315</v>
      </c>
      <c r="S165" s="14" t="n">
        <v>26945.3565768089</v>
      </c>
      <c r="T165" s="14" t="n">
        <v>-955.692204749296</v>
      </c>
      <c r="U165" s="14" t="n">
        <v>-14379.5901876036</v>
      </c>
      <c r="V165" s="14" t="n">
        <v>0.750319556751226</v>
      </c>
      <c r="W165" s="14" t="n">
        <v>42923.8024217441</v>
      </c>
      <c r="X165" s="14" t="n">
        <v>22153.0261387004</v>
      </c>
      <c r="Y165" s="14" t="n">
        <v>0</v>
      </c>
      <c r="Z165" s="14" t="n">
        <v>0</v>
      </c>
      <c r="AA165" s="14" t="n">
        <v>27.424347870838</v>
      </c>
      <c r="AB165" s="14" t="n">
        <v>25.224347870838</v>
      </c>
      <c r="AC165" s="14" t="n">
        <v>26.674347870838</v>
      </c>
      <c r="AD165" s="14" t="n">
        <v>21.0618991648036</v>
      </c>
      <c r="AE165" s="14" t="n">
        <v>674.686407680941</v>
      </c>
      <c r="AF165" s="14" t="n">
        <v>0.03</v>
      </c>
      <c r="AG165" s="14" t="n">
        <v>0.656540873618241</v>
      </c>
      <c r="AH165" s="14" t="n">
        <v>9819.91719809611</v>
      </c>
      <c r="AI165" s="14" t="n">
        <v>18907.4813404464</v>
      </c>
      <c r="AJ165" s="14" t="n">
        <v>16</v>
      </c>
      <c r="AK165" s="14" t="n">
        <v>0</v>
      </c>
      <c r="AL165" s="14" t="n">
        <v>-39263.1139848136</v>
      </c>
      <c r="AM165" s="14" t="n">
        <v>812.6073</v>
      </c>
      <c r="AN165" s="14" t="n">
        <v>20079.98904</v>
      </c>
      <c r="AO165" s="14" t="n">
        <v>-5508.72242389994</v>
      </c>
      <c r="AP165" s="14" t="n">
        <v>0.516474502037109</v>
      </c>
      <c r="AQ165" s="14" t="n">
        <v>0</v>
      </c>
      <c r="AR165" s="14" t="n">
        <v>327.195752</v>
      </c>
      <c r="AS165" s="14" t="n">
        <v>314.925245</v>
      </c>
      <c r="AT165" s="14" t="n">
        <v>-5172.14756501904</v>
      </c>
      <c r="AU165" s="14" t="n">
        <v>12.270507</v>
      </c>
      <c r="AV165" s="14" t="n">
        <v>0</v>
      </c>
      <c r="AW165" s="14" t="n">
        <v>2254.3125</v>
      </c>
      <c r="AX165" s="14" t="n">
        <v>314.925245</v>
      </c>
      <c r="AY165" s="14" t="n">
        <v>314.925245</v>
      </c>
      <c r="AZ165" s="14" t="n">
        <v>5324.30066098225</v>
      </c>
      <c r="BA165" s="14" t="n">
        <v>15.7758262813253</v>
      </c>
      <c r="BB165" s="14" t="n">
        <v>24.4331189032616</v>
      </c>
      <c r="BC165" s="14" t="n">
        <v>38.6609741120641</v>
      </c>
      <c r="BD165" s="14" t="n">
        <v>-5.08067650538881</v>
      </c>
      <c r="BE165" s="14" t="n">
        <v>-3.389032187156</v>
      </c>
      <c r="BF165" s="14" t="n">
        <v>5.28542761383372</v>
      </c>
      <c r="BG165" s="14" t="n">
        <v>6.97707193206652</v>
      </c>
      <c r="BH165" s="14" t="n">
        <v>10.9956654944829</v>
      </c>
      <c r="BI165" s="14" t="n">
        <v>14.5375344778911</v>
      </c>
      <c r="BJ165" s="14" t="n">
        <v>3.71992671744367</v>
      </c>
      <c r="BK165" s="14" t="n">
        <v>4.46573109600205</v>
      </c>
      <c r="BL165" s="14" t="n">
        <v>6.42123287671233</v>
      </c>
      <c r="BM165" s="14" t="n">
        <v>8712.70308277889</v>
      </c>
      <c r="BN165" s="14" t="n">
        <v>7161.75193394089</v>
      </c>
      <c r="BO165" s="14" t="n">
        <v>7161.75193394089</v>
      </c>
      <c r="BP165" s="14" t="n">
        <v>327.195752</v>
      </c>
      <c r="BQ165" s="14" t="n">
        <v>301.7195</v>
      </c>
      <c r="BR165" s="14" t="n">
        <v>1081.9108</v>
      </c>
      <c r="BS165" s="14" t="s">
        <v>2856</v>
      </c>
      <c r="BT165" s="14" t="n">
        <v>37.9555555555556</v>
      </c>
      <c r="BU165" s="14" t="n">
        <v>0.202495480090107</v>
      </c>
      <c r="BV165" s="14" t="n">
        <v>0.204285232461873</v>
      </c>
      <c r="BW165" s="14" t="n">
        <v>13510.8578038903</v>
      </c>
      <c r="BX165" s="14" t="n">
        <v>27107.0656988521</v>
      </c>
      <c r="BY165" s="14" t="n">
        <v>102.626594998646</v>
      </c>
      <c r="BZ165" s="14" t="n">
        <v>0</v>
      </c>
      <c r="CA165" s="14" t="n">
        <v>950.69728</v>
      </c>
      <c r="CB165" s="14" t="n">
        <v>12000</v>
      </c>
    </row>
    <row r="166" customFormat="false" ht="15" hidden="false" customHeight="false" outlineLevel="0" collapsed="false">
      <c r="A166" s="0" t="s">
        <v>2999</v>
      </c>
      <c r="B166" s="14" t="n">
        <v>2465.07954157611</v>
      </c>
      <c r="C166" s="14" t="n">
        <v>7318.65733518114</v>
      </c>
      <c r="D166" s="14" t="n">
        <v>19416.7546340669</v>
      </c>
      <c r="E166" s="14" t="n">
        <v>3580.83001421472</v>
      </c>
      <c r="F166" s="14" t="n">
        <v>-1731.92821732515</v>
      </c>
      <c r="G166" s="14" t="n">
        <v>5020.01193813263</v>
      </c>
      <c r="H166" s="14" t="n">
        <v>60.6522670037548</v>
      </c>
      <c r="I166" s="15" t="n">
        <v>0.01</v>
      </c>
      <c r="J166" s="15" t="n">
        <v>0</v>
      </c>
      <c r="K166" s="14" t="s">
        <v>60</v>
      </c>
      <c r="L166" s="14" t="n">
        <v>-5085.88183358197</v>
      </c>
      <c r="M166" s="14" t="n">
        <v>33799.1352642036</v>
      </c>
      <c r="N166" s="14" t="n">
        <v>11174.6720649122</v>
      </c>
      <c r="O166" s="14" t="n">
        <v>-19718.5391496844</v>
      </c>
      <c r="P166" s="14" t="n">
        <v>951.290832135856</v>
      </c>
      <c r="Q166" s="14" t="n">
        <v>-486.804139132624</v>
      </c>
      <c r="R166" s="14" t="n">
        <v>17617.7170533315</v>
      </c>
      <c r="S166" s="14" t="n">
        <v>26955.5420426813</v>
      </c>
      <c r="T166" s="14" t="n">
        <v>-955.692204749296</v>
      </c>
      <c r="U166" s="14" t="n">
        <v>-9159.1299372547</v>
      </c>
      <c r="V166" s="14" t="n">
        <v>0.750319556751226</v>
      </c>
      <c r="W166" s="14" t="n">
        <v>47140.1097900293</v>
      </c>
      <c r="X166" s="14" t="n">
        <v>22161.1650541349</v>
      </c>
      <c r="Y166" s="14" t="n">
        <v>0</v>
      </c>
      <c r="Z166" s="14" t="n">
        <v>0</v>
      </c>
      <c r="AA166" s="14" t="n">
        <v>27.424347870838</v>
      </c>
      <c r="AB166" s="14" t="n">
        <v>25.224347870838</v>
      </c>
      <c r="AC166" s="14" t="n">
        <v>26.674347870838</v>
      </c>
      <c r="AD166" s="14" t="n">
        <v>21.0618991648036</v>
      </c>
      <c r="AE166" s="14" t="n">
        <v>674.686407680941</v>
      </c>
      <c r="AF166" s="14" t="n">
        <v>0.03</v>
      </c>
      <c r="AG166" s="14" t="n">
        <v>0.659645164007828</v>
      </c>
      <c r="AH166" s="14" t="n">
        <v>9819.91719809611</v>
      </c>
      <c r="AI166" s="14" t="n">
        <v>19416.7546340669</v>
      </c>
      <c r="AJ166" s="14" t="n">
        <v>16.2767</v>
      </c>
      <c r="AK166" s="14" t="n">
        <v>0</v>
      </c>
      <c r="AL166" s="14" t="n">
        <v>-38415.1670266208</v>
      </c>
      <c r="AM166" s="14" t="n">
        <v>812.6073</v>
      </c>
      <c r="AN166" s="14" t="n">
        <v>20079.98904</v>
      </c>
      <c r="AO166" s="14" t="n">
        <v>-5508.72242389994</v>
      </c>
      <c r="AP166" s="14" t="n">
        <v>0.516474502037109</v>
      </c>
      <c r="AQ166" s="14" t="n">
        <v>0</v>
      </c>
      <c r="AR166" s="14" t="n">
        <v>327.195752</v>
      </c>
      <c r="AS166" s="14" t="n">
        <v>314.925245</v>
      </c>
      <c r="AT166" s="14" t="n">
        <v>-5085.88183358197</v>
      </c>
      <c r="AU166" s="14" t="n">
        <v>12.270507</v>
      </c>
      <c r="AV166" s="14" t="n">
        <v>0</v>
      </c>
      <c r="AW166" s="14" t="n">
        <v>2254.3125</v>
      </c>
      <c r="AX166" s="14" t="n">
        <v>314.925245</v>
      </c>
      <c r="AY166" s="14" t="n">
        <v>314.925245</v>
      </c>
      <c r="AZ166" s="14" t="n">
        <v>5425.33194186228</v>
      </c>
      <c r="BA166" s="14" t="n">
        <v>16.0966366402409</v>
      </c>
      <c r="BB166" s="14" t="n">
        <v>24.7539292621772</v>
      </c>
      <c r="BC166" s="14" t="n">
        <v>38.9817844709797</v>
      </c>
      <c r="BD166" s="14" t="n">
        <v>-5.08067650538881</v>
      </c>
      <c r="BE166" s="14" t="n">
        <v>-3.389032187156</v>
      </c>
      <c r="BF166" s="14" t="n">
        <v>5.28542761383372</v>
      </c>
      <c r="BG166" s="14" t="n">
        <v>6.97707193206652</v>
      </c>
      <c r="BH166" s="14" t="n">
        <v>10.9956654944829</v>
      </c>
      <c r="BI166" s="14" t="n">
        <v>14.5375344778911</v>
      </c>
      <c r="BJ166" s="14" t="n">
        <v>3.71992671744367</v>
      </c>
      <c r="BK166" s="14" t="n">
        <v>4.46573109600205</v>
      </c>
      <c r="BL166" s="14" t="n">
        <v>6.42123287671233</v>
      </c>
      <c r="BM166" s="14" t="n">
        <v>8712.70308277889</v>
      </c>
      <c r="BN166" s="14" t="n">
        <v>7286.29059815091</v>
      </c>
      <c r="BO166" s="14" t="n">
        <v>7286.29059815091</v>
      </c>
      <c r="BP166" s="14" t="n">
        <v>327.195752</v>
      </c>
      <c r="BQ166" s="14" t="n">
        <v>301.7195</v>
      </c>
      <c r="BR166" s="14" t="n">
        <v>1081.9108</v>
      </c>
      <c r="BS166" s="14" t="s">
        <v>2856</v>
      </c>
      <c r="BT166" s="14" t="n">
        <v>37.9555555555556</v>
      </c>
      <c r="BU166" s="14" t="n">
        <v>0.202495480090107</v>
      </c>
      <c r="BV166" s="14" t="n">
        <v>0.204285232461873</v>
      </c>
      <c r="BW166" s="14" t="n">
        <v>13510.8578038903</v>
      </c>
      <c r="BX166" s="14" t="n">
        <v>27107.0656988521</v>
      </c>
      <c r="BY166" s="14" t="n">
        <v>100.7759874772</v>
      </c>
      <c r="BZ166" s="14" t="n">
        <v>0</v>
      </c>
      <c r="CA166" s="14" t="n">
        <v>950.69728</v>
      </c>
      <c r="CB166" s="14" t="n">
        <v>12000</v>
      </c>
    </row>
    <row r="167" customFormat="false" ht="15" hidden="false" customHeight="false" outlineLevel="0" collapsed="false">
      <c r="A167" s="0" t="s">
        <v>3000</v>
      </c>
      <c r="B167" s="14" t="n">
        <v>2465.07954157611</v>
      </c>
      <c r="C167" s="14" t="n">
        <v>7505.46533149617</v>
      </c>
      <c r="D167" s="14" t="n">
        <v>20180.6645744977</v>
      </c>
      <c r="E167" s="14" t="n">
        <v>3713.46369159839</v>
      </c>
      <c r="F167" s="14" t="n">
        <v>-1606.96308130411</v>
      </c>
      <c r="G167" s="14" t="n">
        <v>5020.20815964266</v>
      </c>
      <c r="H167" s="14" t="n">
        <v>7854.59013302158</v>
      </c>
      <c r="I167" s="15" t="n">
        <v>0.01</v>
      </c>
      <c r="J167" s="15" t="n">
        <v>2.28688359991828</v>
      </c>
      <c r="K167" s="14" t="s">
        <v>60</v>
      </c>
      <c r="L167" s="14" t="n">
        <v>-4956.48323642636</v>
      </c>
      <c r="M167" s="14" t="n">
        <v>33802.8714241299</v>
      </c>
      <c r="N167" s="14" t="n">
        <v>11755.2436196396</v>
      </c>
      <c r="O167" s="14" t="n">
        <v>-19023.84719661</v>
      </c>
      <c r="P167" s="14" t="n">
        <v>951.290832135856</v>
      </c>
      <c r="Q167" s="14" t="n">
        <v>61.4155828462322</v>
      </c>
      <c r="R167" s="14" t="n">
        <v>17617.7170533315</v>
      </c>
      <c r="S167" s="14" t="n">
        <v>26970.82024149</v>
      </c>
      <c r="T167" s="14" t="n">
        <v>-955.692204749296</v>
      </c>
      <c r="U167" s="14" t="n">
        <v>-1365.19207123687</v>
      </c>
      <c r="V167" s="14" t="n">
        <v>0.750319556751226</v>
      </c>
      <c r="W167" s="14" t="n">
        <v>53464.5708424573</v>
      </c>
      <c r="X167" s="14" t="n">
        <v>22173.3734272866</v>
      </c>
      <c r="Y167" s="14" t="n">
        <v>2.15131912600733</v>
      </c>
      <c r="Z167" s="14" t="n">
        <v>2.92012166873565</v>
      </c>
      <c r="AA167" s="14" t="n">
        <v>27.424347870838</v>
      </c>
      <c r="AB167" s="14" t="n">
        <v>25.224347870838</v>
      </c>
      <c r="AC167" s="14" t="n">
        <v>26.674347870838</v>
      </c>
      <c r="AD167" s="14" t="n">
        <v>21.0618991648036</v>
      </c>
      <c r="AE167" s="14" t="n">
        <v>674.686407680941</v>
      </c>
      <c r="AF167" s="14" t="n">
        <v>0.03</v>
      </c>
      <c r="AG167" s="14" t="n">
        <v>0.664073049535931</v>
      </c>
      <c r="AH167" s="14" t="n">
        <v>9819.91719809611</v>
      </c>
      <c r="AI167" s="14" t="n">
        <v>20180.6645744977</v>
      </c>
      <c r="AJ167" s="14" t="n">
        <v>16.69175</v>
      </c>
      <c r="AK167" s="14" t="n">
        <v>0</v>
      </c>
      <c r="AL167" s="14" t="n">
        <v>-37200.0960732068</v>
      </c>
      <c r="AM167" s="14" t="n">
        <v>812.6073</v>
      </c>
      <c r="AN167" s="14" t="n">
        <v>20079.98904</v>
      </c>
      <c r="AO167" s="14" t="n">
        <v>-5508.72242389994</v>
      </c>
      <c r="AP167" s="14" t="n">
        <v>0.516474502037109</v>
      </c>
      <c r="AQ167" s="14" t="n">
        <v>2.02379079638786</v>
      </c>
      <c r="AR167" s="14" t="n">
        <v>327.195752</v>
      </c>
      <c r="AS167" s="14" t="n">
        <v>314.925245</v>
      </c>
      <c r="AT167" s="14" t="n">
        <v>-4956.48323642636</v>
      </c>
      <c r="AU167" s="14" t="n">
        <v>12.270507</v>
      </c>
      <c r="AV167" s="14" t="n">
        <v>0</v>
      </c>
      <c r="AW167" s="14" t="n">
        <v>2254.3125</v>
      </c>
      <c r="AX167" s="14" t="n">
        <v>314.925245</v>
      </c>
      <c r="AY167" s="14" t="n">
        <v>314.925245</v>
      </c>
      <c r="AZ167" s="14" t="n">
        <v>5568.83612056339</v>
      </c>
      <c r="BA167" s="14" t="n">
        <v>16.5523136016134</v>
      </c>
      <c r="BB167" s="14" t="n">
        <v>25.2096062235498</v>
      </c>
      <c r="BC167" s="14" t="n">
        <v>39.4374614323522</v>
      </c>
      <c r="BD167" s="14" t="n">
        <v>-5.08067650538881</v>
      </c>
      <c r="BE167" s="14" t="n">
        <v>-3.389032187156</v>
      </c>
      <c r="BF167" s="14" t="n">
        <v>5.28542761383372</v>
      </c>
      <c r="BG167" s="14" t="n">
        <v>6.97707193206652</v>
      </c>
      <c r="BH167" s="14" t="n">
        <v>10.9956654944829</v>
      </c>
      <c r="BI167" s="14" t="n">
        <v>14.5375344778911</v>
      </c>
      <c r="BJ167" s="14" t="n">
        <v>3.71992671744367</v>
      </c>
      <c r="BK167" s="14" t="n">
        <v>4.46573109600205</v>
      </c>
      <c r="BL167" s="14" t="n">
        <v>6.42123287671233</v>
      </c>
      <c r="BM167" s="14" t="n">
        <v>8712.70308277889</v>
      </c>
      <c r="BN167" s="14" t="n">
        <v>7473.09859446594</v>
      </c>
      <c r="BO167" s="14" t="n">
        <v>7473.09859446594</v>
      </c>
      <c r="BP167" s="14" t="n">
        <v>327.195752</v>
      </c>
      <c r="BQ167" s="14" t="n">
        <v>301.7195</v>
      </c>
      <c r="BR167" s="14" t="n">
        <v>1081.9108</v>
      </c>
      <c r="BS167" s="14" t="s">
        <v>2855</v>
      </c>
      <c r="BT167" s="14" t="n">
        <v>37.9555555555556</v>
      </c>
      <c r="BU167" s="14" t="n">
        <v>0.202495480090107</v>
      </c>
      <c r="BV167" s="14" t="n">
        <v>0.204285232461873</v>
      </c>
      <c r="BW167" s="14" t="n">
        <v>13510.8578038903</v>
      </c>
      <c r="BX167" s="14" t="n">
        <v>27107.0656988521</v>
      </c>
      <c r="BY167" s="14" t="n">
        <v>98.1216364538248</v>
      </c>
      <c r="BZ167" s="14" t="n">
        <v>0</v>
      </c>
      <c r="CA167" s="14" t="n">
        <v>950.69728</v>
      </c>
      <c r="CB167" s="14" t="n">
        <v>12000</v>
      </c>
    </row>
    <row r="168" customFormat="false" ht="15" hidden="false" customHeight="false" outlineLevel="0" collapsed="false">
      <c r="A168" s="0" t="s">
        <v>3001</v>
      </c>
      <c r="B168" s="14" t="n">
        <v>2465.07954157611</v>
      </c>
      <c r="C168" s="14" t="n">
        <v>7816.81199202122</v>
      </c>
      <c r="D168" s="14" t="n">
        <v>21453.847808549</v>
      </c>
      <c r="E168" s="14" t="n">
        <v>3934.51982057118</v>
      </c>
      <c r="F168" s="14" t="n">
        <v>-1398.68785460238</v>
      </c>
      <c r="G168" s="14" t="n">
        <v>5020.53519549271</v>
      </c>
      <c r="H168" s="14" t="n">
        <v>19955.7439417561</v>
      </c>
      <c r="I168" s="15" t="n">
        <v>34.0905084871735</v>
      </c>
      <c r="J168" s="15" t="n">
        <v>44.0793082273323</v>
      </c>
      <c r="K168" s="14" t="s">
        <v>60</v>
      </c>
      <c r="L168" s="14" t="n">
        <v>-4740.81890783368</v>
      </c>
      <c r="M168" s="14" t="n">
        <v>33809.0983573404</v>
      </c>
      <c r="N168" s="14" t="n">
        <v>12722.8628775186</v>
      </c>
      <c r="O168" s="14" t="n">
        <v>-17896.2495791836</v>
      </c>
      <c r="P168" s="14" t="n">
        <v>951.290832135856</v>
      </c>
      <c r="Q168" s="14" t="n">
        <v>975.115119477659</v>
      </c>
      <c r="R168" s="14" t="n">
        <v>17617.7170533315</v>
      </c>
      <c r="S168" s="14" t="n">
        <v>26996.283906171</v>
      </c>
      <c r="T168" s="14" t="n">
        <v>-955.692204749296</v>
      </c>
      <c r="U168" s="14" t="n">
        <v>10735.9617374977</v>
      </c>
      <c r="V168" s="14" t="n">
        <v>0.750319556751226</v>
      </c>
      <c r="W168" s="14" t="n">
        <v>63154.4210256552</v>
      </c>
      <c r="X168" s="14" t="n">
        <v>22299.6923029807</v>
      </c>
      <c r="Y168" s="14" t="n">
        <v>41.4663251133643</v>
      </c>
      <c r="Z168" s="14" t="n">
        <v>56.2848686754806</v>
      </c>
      <c r="AA168" s="14" t="n">
        <v>27.424347870838</v>
      </c>
      <c r="AB168" s="14" t="n">
        <v>25.224347870838</v>
      </c>
      <c r="AC168" s="14" t="n">
        <v>26.674347870838</v>
      </c>
      <c r="AD168" s="14" t="n">
        <v>21.0618991648036</v>
      </c>
      <c r="AE168" s="14" t="n">
        <v>674.686407680941</v>
      </c>
      <c r="AF168" s="14" t="n">
        <v>0.03</v>
      </c>
      <c r="AG168" s="14" t="n">
        <v>0.670900421240664</v>
      </c>
      <c r="AH168" s="14" t="n">
        <v>9819.91719809611</v>
      </c>
      <c r="AI168" s="14" t="n">
        <v>21453.847808549</v>
      </c>
      <c r="AJ168" s="14" t="n">
        <v>17.3835</v>
      </c>
      <c r="AK168" s="14" t="n">
        <v>0</v>
      </c>
      <c r="AL168" s="14" t="n">
        <v>-35317.4789651959</v>
      </c>
      <c r="AM168" s="14" t="n">
        <v>812.6073</v>
      </c>
      <c r="AN168" s="14" t="n">
        <v>20079.98904</v>
      </c>
      <c r="AO168" s="14" t="n">
        <v>-5508.72242389994</v>
      </c>
      <c r="AP168" s="14" t="n">
        <v>0.516474502037109</v>
      </c>
      <c r="AQ168" s="14" t="n">
        <v>39.0082373693206</v>
      </c>
      <c r="AR168" s="14" t="n">
        <v>327.195752</v>
      </c>
      <c r="AS168" s="14" t="n">
        <v>314.925245</v>
      </c>
      <c r="AT168" s="14" t="n">
        <v>-4740.81890783368</v>
      </c>
      <c r="AU168" s="14" t="n">
        <v>12.270507</v>
      </c>
      <c r="AV168" s="14" t="n">
        <v>0</v>
      </c>
      <c r="AW168" s="14" t="n">
        <v>2254.3125</v>
      </c>
      <c r="AX168" s="14" t="n">
        <v>314.925245</v>
      </c>
      <c r="AY168" s="14" t="n">
        <v>314.925245</v>
      </c>
      <c r="AZ168" s="14" t="n">
        <v>5788.77571094839</v>
      </c>
      <c r="BA168" s="14" t="n">
        <v>17.2507002628193</v>
      </c>
      <c r="BB168" s="14" t="n">
        <v>25.9079928847557</v>
      </c>
      <c r="BC168" s="14" t="n">
        <v>40.1358480935581</v>
      </c>
      <c r="BD168" s="14" t="n">
        <v>-5.08067650538881</v>
      </c>
      <c r="BE168" s="14" t="n">
        <v>-3.389032187156</v>
      </c>
      <c r="BF168" s="14" t="n">
        <v>5.28542761383372</v>
      </c>
      <c r="BG168" s="14" t="n">
        <v>6.97707193206652</v>
      </c>
      <c r="BH168" s="14" t="n">
        <v>10.9956654944829</v>
      </c>
      <c r="BI168" s="14" t="n">
        <v>14.5375344778911</v>
      </c>
      <c r="BJ168" s="14" t="n">
        <v>3.71992671744367</v>
      </c>
      <c r="BK168" s="14" t="n">
        <v>4.46573109600205</v>
      </c>
      <c r="BL168" s="14" t="n">
        <v>6.42123287671233</v>
      </c>
      <c r="BM168" s="14" t="n">
        <v>8712.70308277889</v>
      </c>
      <c r="BN168" s="14" t="n">
        <v>7784.44525499099</v>
      </c>
      <c r="BO168" s="14" t="n">
        <v>7784.44525499099</v>
      </c>
      <c r="BP168" s="14" t="n">
        <v>327.195752</v>
      </c>
      <c r="BQ168" s="14" t="n">
        <v>301.7195</v>
      </c>
      <c r="BR168" s="14" t="n">
        <v>1081.9108</v>
      </c>
      <c r="BS168" s="14" t="s">
        <v>2855</v>
      </c>
      <c r="BT168" s="14" t="n">
        <v>37.9555555555556</v>
      </c>
      <c r="BU168" s="14" t="n">
        <v>0.202495480090107</v>
      </c>
      <c r="BV168" s="14" t="n">
        <v>0.204285232461873</v>
      </c>
      <c r="BW168" s="14" t="n">
        <v>13510.8578038903</v>
      </c>
      <c r="BX168" s="14" t="n">
        <v>27107.0656988521</v>
      </c>
      <c r="BY168" s="14" t="n">
        <v>94.0034622270159</v>
      </c>
      <c r="BZ168" s="14" t="n">
        <v>0</v>
      </c>
      <c r="CA168" s="14" t="n">
        <v>950.69728</v>
      </c>
      <c r="CB168" s="14" t="n">
        <v>12000</v>
      </c>
    </row>
    <row r="169" customFormat="false" ht="15" hidden="false" customHeight="false" outlineLevel="0" collapsed="false">
      <c r="A169" s="0" t="s">
        <v>3002</v>
      </c>
      <c r="B169" s="14" t="n">
        <v>2465.07954157611</v>
      </c>
      <c r="C169" s="14" t="n">
        <v>7695.22407928408</v>
      </c>
      <c r="D169" s="14" t="n">
        <v>20070.5148074391</v>
      </c>
      <c r="E169" s="14" t="n">
        <v>3848.19240252781</v>
      </c>
      <c r="F169" s="14" t="n">
        <v>-1479.91997441172</v>
      </c>
      <c r="G169" s="14" t="n">
        <v>5020.30341376816</v>
      </c>
      <c r="H169" s="14" t="n">
        <v>3504.16174025066</v>
      </c>
      <c r="I169" s="15" t="n">
        <v>0.01</v>
      </c>
      <c r="J169" s="15" t="n">
        <v>0</v>
      </c>
      <c r="K169" s="14" t="s">
        <v>60</v>
      </c>
      <c r="L169" s="14" t="n">
        <v>-4825.5205270752</v>
      </c>
      <c r="M169" s="14" t="n">
        <v>33806.6665990857</v>
      </c>
      <c r="N169" s="14" t="n">
        <v>11671.5297966751</v>
      </c>
      <c r="O169" s="14" t="n">
        <v>-18974.3953148822</v>
      </c>
      <c r="P169" s="14" t="n">
        <v>951.290832135856</v>
      </c>
      <c r="Q169" s="14" t="n">
        <v>-18.6085527485216</v>
      </c>
      <c r="R169" s="14" t="n">
        <v>17617.7170533315</v>
      </c>
      <c r="S169" s="14" t="n">
        <v>26968.6172461488</v>
      </c>
      <c r="T169" s="14" t="n">
        <v>-955.692204749296</v>
      </c>
      <c r="U169" s="14" t="n">
        <v>-5715.6204640078</v>
      </c>
      <c r="V169" s="14" t="n">
        <v>0.750319556751226</v>
      </c>
      <c r="W169" s="14" t="n">
        <v>49537.8515803905</v>
      </c>
      <c r="X169" s="14" t="n">
        <v>22169.504625485</v>
      </c>
      <c r="Y169" s="14" t="n">
        <v>0</v>
      </c>
      <c r="Z169" s="14" t="n">
        <v>0</v>
      </c>
      <c r="AA169" s="14" t="n">
        <v>27.424347870838</v>
      </c>
      <c r="AB169" s="14" t="n">
        <v>25.224347870838</v>
      </c>
      <c r="AC169" s="14" t="n">
        <v>26.674347870838</v>
      </c>
      <c r="AD169" s="14" t="n">
        <v>21.0618991648036</v>
      </c>
      <c r="AE169" s="14" t="n">
        <v>674.686407680941</v>
      </c>
      <c r="AF169" s="14" t="n">
        <v>0.03</v>
      </c>
      <c r="AG169" s="14" t="n">
        <v>0.661353453831333</v>
      </c>
      <c r="AH169" s="14" t="n">
        <v>9819.91719809611</v>
      </c>
      <c r="AI169" s="14" t="n">
        <v>20070.5148074391</v>
      </c>
      <c r="AJ169" s="14" t="n">
        <v>19.2078239608802</v>
      </c>
      <c r="AK169" s="14" t="n">
        <v>0</v>
      </c>
      <c r="AL169" s="14" t="n">
        <v>-37330.2426236923</v>
      </c>
      <c r="AM169" s="14" t="n">
        <v>812.6073</v>
      </c>
      <c r="AN169" s="14" t="n">
        <v>20079.98904</v>
      </c>
      <c r="AO169" s="14" t="n">
        <v>-5508.72242389994</v>
      </c>
      <c r="AP169" s="14" t="n">
        <v>0.448161561074905</v>
      </c>
      <c r="AQ169" s="14" t="n">
        <v>0</v>
      </c>
      <c r="AR169" s="14" t="n">
        <v>327.195752</v>
      </c>
      <c r="AS169" s="14" t="n">
        <v>314.925245</v>
      </c>
      <c r="AT169" s="14" t="n">
        <v>-4825.5205270752</v>
      </c>
      <c r="AU169" s="14" t="n">
        <v>12.270507</v>
      </c>
      <c r="AV169" s="14" t="n">
        <v>0</v>
      </c>
      <c r="AW169" s="14" t="n">
        <v>2254.3125</v>
      </c>
      <c r="AX169" s="14" t="n">
        <v>314.925245</v>
      </c>
      <c r="AY169" s="14" t="n">
        <v>314.925245</v>
      </c>
      <c r="AZ169" s="14" t="n">
        <v>5554.09301361219</v>
      </c>
      <c r="BA169" s="14" t="n">
        <v>16.505498977555</v>
      </c>
      <c r="BB169" s="14" t="n">
        <v>25.1627915994913</v>
      </c>
      <c r="BC169" s="14" t="n">
        <v>39.3906468082937</v>
      </c>
      <c r="BD169" s="14" t="n">
        <v>-5.08067650538881</v>
      </c>
      <c r="BE169" s="14" t="n">
        <v>-3.389032187156</v>
      </c>
      <c r="BF169" s="14" t="n">
        <v>5.28542761383372</v>
      </c>
      <c r="BG169" s="14" t="n">
        <v>6.97707193206652</v>
      </c>
      <c r="BH169" s="14" t="n">
        <v>10.9956654944829</v>
      </c>
      <c r="BI169" s="14" t="n">
        <v>14.5375344778911</v>
      </c>
      <c r="BJ169" s="14" t="n">
        <v>3.71992671744367</v>
      </c>
      <c r="BK169" s="14" t="n">
        <v>4.46573109600205</v>
      </c>
      <c r="BL169" s="14" t="n">
        <v>6.42123287671233</v>
      </c>
      <c r="BM169" s="14" t="n">
        <v>8712.70308277889</v>
      </c>
      <c r="BN169" s="14" t="n">
        <v>7662.85734225385</v>
      </c>
      <c r="BO169" s="14" t="n">
        <v>7662.85734225385</v>
      </c>
      <c r="BP169" s="14" t="n">
        <v>327.195752</v>
      </c>
      <c r="BQ169" s="14" t="n">
        <v>301.7195</v>
      </c>
      <c r="BR169" s="14" t="n">
        <v>1081.9108</v>
      </c>
      <c r="BS169" s="14" t="s">
        <v>2856</v>
      </c>
      <c r="BT169" s="14" t="n">
        <v>37.9555555555556</v>
      </c>
      <c r="BU169" s="14" t="n">
        <v>0.202495480090107</v>
      </c>
      <c r="BV169" s="14" t="n">
        <v>0.204285232461873</v>
      </c>
      <c r="BW169" s="14" t="n">
        <v>13510.8578038903</v>
      </c>
      <c r="BX169" s="14" t="n">
        <v>27107.0656988521</v>
      </c>
      <c r="BY169" s="14" t="n">
        <v>98.3873807970107</v>
      </c>
      <c r="BZ169" s="14" t="n">
        <v>0</v>
      </c>
      <c r="CA169" s="14" t="n">
        <v>950.69728</v>
      </c>
      <c r="CB169" s="14" t="n">
        <v>12000</v>
      </c>
    </row>
    <row r="170" customFormat="false" ht="15" hidden="false" customHeight="false" outlineLevel="0" collapsed="false">
      <c r="A170" s="0" t="s">
        <v>3003</v>
      </c>
      <c r="B170" s="14" t="n">
        <v>2465.07954157611</v>
      </c>
      <c r="C170" s="14" t="n">
        <v>7799.89288815618</v>
      </c>
      <c r="D170" s="14" t="n">
        <v>20518.7214100697</v>
      </c>
      <c r="E170" s="14" t="n">
        <v>3922.507256827</v>
      </c>
      <c r="F170" s="14" t="n">
        <v>-1409.90582514415</v>
      </c>
      <c r="G170" s="14" t="n">
        <v>5020.4173664449</v>
      </c>
      <c r="H170" s="14" t="n">
        <v>7910.33842154229</v>
      </c>
      <c r="I170" s="15" t="n">
        <v>0.01</v>
      </c>
      <c r="J170" s="15" t="n">
        <v>2.47941533556379</v>
      </c>
      <c r="K170" s="14" t="s">
        <v>60</v>
      </c>
      <c r="L170" s="14" t="n">
        <v>-4753.00087670633</v>
      </c>
      <c r="M170" s="14" t="n">
        <v>33808.7599752631</v>
      </c>
      <c r="N170" s="14" t="n">
        <v>12012.1668146743</v>
      </c>
      <c r="O170" s="14" t="n">
        <v>-18570.2027785667</v>
      </c>
      <c r="P170" s="14" t="n">
        <v>951.290832135856</v>
      </c>
      <c r="Q170" s="14" t="n">
        <v>303.065583814919</v>
      </c>
      <c r="R170" s="14" t="n">
        <v>17617.7170533315</v>
      </c>
      <c r="S170" s="14" t="n">
        <v>26977.5813782014</v>
      </c>
      <c r="T170" s="14" t="n">
        <v>-955.692204749296</v>
      </c>
      <c r="U170" s="14" t="n">
        <v>-1309.44378271616</v>
      </c>
      <c r="V170" s="14" t="n">
        <v>0.750319556751226</v>
      </c>
      <c r="W170" s="14" t="n">
        <v>53111.3157850617</v>
      </c>
      <c r="X170" s="14" t="n">
        <v>22176.5406481634</v>
      </c>
      <c r="Y170" s="14" t="n">
        <v>2.33243774755518</v>
      </c>
      <c r="Z170" s="14" t="n">
        <v>3.1659654419814</v>
      </c>
      <c r="AA170" s="14" t="n">
        <v>27.424347870838</v>
      </c>
      <c r="AB170" s="14" t="n">
        <v>25.224347870838</v>
      </c>
      <c r="AC170" s="14" t="n">
        <v>26.674347870838</v>
      </c>
      <c r="AD170" s="14" t="n">
        <v>21.0618991648036</v>
      </c>
      <c r="AE170" s="14" t="n">
        <v>674.686407680941</v>
      </c>
      <c r="AF170" s="14" t="n">
        <v>0.03</v>
      </c>
      <c r="AG170" s="14" t="n">
        <v>0.663845367236094</v>
      </c>
      <c r="AH170" s="14" t="n">
        <v>9819.91719809611</v>
      </c>
      <c r="AI170" s="14" t="n">
        <v>20518.7214100697</v>
      </c>
      <c r="AJ170" s="14" t="n">
        <v>19.4203674816626</v>
      </c>
      <c r="AK170" s="14" t="n">
        <v>0</v>
      </c>
      <c r="AL170" s="14" t="n">
        <v>-36638.9627438373</v>
      </c>
      <c r="AM170" s="14" t="n">
        <v>812.6073</v>
      </c>
      <c r="AN170" s="14" t="n">
        <v>20079.98904</v>
      </c>
      <c r="AO170" s="14" t="n">
        <v>-5508.72242389994</v>
      </c>
      <c r="AP170" s="14" t="n">
        <v>0.448161561074905</v>
      </c>
      <c r="AQ170" s="14" t="n">
        <v>2.19417286333079</v>
      </c>
      <c r="AR170" s="14" t="n">
        <v>327.195752</v>
      </c>
      <c r="AS170" s="14" t="n">
        <v>314.925245</v>
      </c>
      <c r="AT170" s="14" t="n">
        <v>-4753.00087670633</v>
      </c>
      <c r="AU170" s="14" t="n">
        <v>12.270507</v>
      </c>
      <c r="AV170" s="14" t="n">
        <v>0</v>
      </c>
      <c r="AW170" s="14" t="n">
        <v>2254.3125</v>
      </c>
      <c r="AX170" s="14" t="n">
        <v>314.925245</v>
      </c>
      <c r="AY170" s="14" t="n">
        <v>314.925245</v>
      </c>
      <c r="AZ170" s="14" t="n">
        <v>5633.48988044789</v>
      </c>
      <c r="BA170" s="14" t="n">
        <v>16.7576123539713</v>
      </c>
      <c r="BB170" s="14" t="n">
        <v>25.4149049759077</v>
      </c>
      <c r="BC170" s="14" t="n">
        <v>39.6427601847101</v>
      </c>
      <c r="BD170" s="14" t="n">
        <v>-5.08067650538881</v>
      </c>
      <c r="BE170" s="14" t="n">
        <v>-3.389032187156</v>
      </c>
      <c r="BF170" s="14" t="n">
        <v>5.28542761383372</v>
      </c>
      <c r="BG170" s="14" t="n">
        <v>6.97707193206652</v>
      </c>
      <c r="BH170" s="14" t="n">
        <v>10.9956654944829</v>
      </c>
      <c r="BI170" s="14" t="n">
        <v>14.5375344778911</v>
      </c>
      <c r="BJ170" s="14" t="n">
        <v>3.71992671744367</v>
      </c>
      <c r="BK170" s="14" t="n">
        <v>4.46573109600205</v>
      </c>
      <c r="BL170" s="14" t="n">
        <v>6.42123287671233</v>
      </c>
      <c r="BM170" s="14" t="n">
        <v>8712.70308277889</v>
      </c>
      <c r="BN170" s="14" t="n">
        <v>7767.52615112595</v>
      </c>
      <c r="BO170" s="14" t="n">
        <v>7767.52615112595</v>
      </c>
      <c r="BP170" s="14" t="n">
        <v>327.195752</v>
      </c>
      <c r="BQ170" s="14" t="n">
        <v>301.7195</v>
      </c>
      <c r="BR170" s="14" t="n">
        <v>1081.9108</v>
      </c>
      <c r="BS170" s="14" t="s">
        <v>2855</v>
      </c>
      <c r="BT170" s="14" t="n">
        <v>37.9555555555556</v>
      </c>
      <c r="BU170" s="14" t="n">
        <v>0.202495480090107</v>
      </c>
      <c r="BV170" s="14" t="n">
        <v>0.204285232461873</v>
      </c>
      <c r="BW170" s="14" t="n">
        <v>13510.8578038903</v>
      </c>
      <c r="BX170" s="14" t="n">
        <v>27107.0656988521</v>
      </c>
      <c r="BY170" s="14" t="n">
        <v>96.8764530598612</v>
      </c>
      <c r="BZ170" s="14" t="n">
        <v>0</v>
      </c>
      <c r="CA170" s="14" t="n">
        <v>950.69728</v>
      </c>
      <c r="CB170" s="14" t="n">
        <v>12000</v>
      </c>
    </row>
    <row r="171" customFormat="false" ht="15" hidden="false" customHeight="false" outlineLevel="0" collapsed="false">
      <c r="A171" s="0" t="s">
        <v>3004</v>
      </c>
      <c r="B171" s="14" t="n">
        <v>2465.07954157611</v>
      </c>
      <c r="C171" s="14" t="n">
        <v>7956.89610146433</v>
      </c>
      <c r="D171" s="14" t="n">
        <v>21191.0313140156</v>
      </c>
      <c r="E171" s="14" t="n">
        <v>4033.97953827579</v>
      </c>
      <c r="F171" s="14" t="n">
        <v>-1304.8846012428</v>
      </c>
      <c r="G171" s="14" t="n">
        <v>5020.58829546001</v>
      </c>
      <c r="H171" s="14" t="n">
        <v>14519.6034434797</v>
      </c>
      <c r="I171" s="15" t="n">
        <v>16.8288231044204</v>
      </c>
      <c r="J171" s="15" t="n">
        <v>25.3051073842469</v>
      </c>
      <c r="K171" s="14" t="s">
        <v>60</v>
      </c>
      <c r="L171" s="14" t="n">
        <v>-4644.22140115303</v>
      </c>
      <c r="M171" s="14" t="n">
        <v>33811.9000395293</v>
      </c>
      <c r="N171" s="14" t="n">
        <v>12523.1223416732</v>
      </c>
      <c r="O171" s="14" t="n">
        <v>-17971.472780481</v>
      </c>
      <c r="P171" s="14" t="n">
        <v>951.290832135856</v>
      </c>
      <c r="Q171" s="14" t="n">
        <v>785.576788660082</v>
      </c>
      <c r="R171" s="14" t="n">
        <v>17617.7170533315</v>
      </c>
      <c r="S171" s="14" t="n">
        <v>26991.0275762803</v>
      </c>
      <c r="T171" s="14" t="n">
        <v>-955.692204749296</v>
      </c>
      <c r="U171" s="14" t="n">
        <v>5299.82123922126</v>
      </c>
      <c r="V171" s="14" t="n">
        <v>0.750319556751226</v>
      </c>
      <c r="W171" s="14" t="n">
        <v>58471.5120920686</v>
      </c>
      <c r="X171" s="14" t="n">
        <v>22187.0946821811</v>
      </c>
      <c r="Y171" s="14" t="n">
        <v>23.8050425930489</v>
      </c>
      <c r="Z171" s="14" t="n">
        <v>32.3120916189449</v>
      </c>
      <c r="AA171" s="14" t="n">
        <v>27.424347870838</v>
      </c>
      <c r="AB171" s="14" t="n">
        <v>25.224347870838</v>
      </c>
      <c r="AC171" s="14" t="n">
        <v>26.674347870838</v>
      </c>
      <c r="AD171" s="14" t="n">
        <v>21.0618991648036</v>
      </c>
      <c r="AE171" s="14" t="n">
        <v>674.686407680941</v>
      </c>
      <c r="AF171" s="14" t="n">
        <v>0.03</v>
      </c>
      <c r="AG171" s="14" t="n">
        <v>0.667430425644163</v>
      </c>
      <c r="AH171" s="14" t="n">
        <v>9819.91719809611</v>
      </c>
      <c r="AI171" s="14" t="n">
        <v>21191.0313140156</v>
      </c>
      <c r="AJ171" s="14" t="n">
        <v>19.7391827628362</v>
      </c>
      <c r="AK171" s="14" t="n">
        <v>0</v>
      </c>
      <c r="AL171" s="14" t="n">
        <v>-35642.6200890909</v>
      </c>
      <c r="AM171" s="14" t="n">
        <v>812.6073</v>
      </c>
      <c r="AN171" s="14" t="n">
        <v>20079.98904</v>
      </c>
      <c r="AO171" s="14" t="n">
        <v>-5508.72242389994</v>
      </c>
      <c r="AP171" s="14" t="n">
        <v>0.448161561074905</v>
      </c>
      <c r="AQ171" s="14" t="n">
        <v>22.3939003400415</v>
      </c>
      <c r="AR171" s="14" t="n">
        <v>327.195752</v>
      </c>
      <c r="AS171" s="14" t="n">
        <v>314.925245</v>
      </c>
      <c r="AT171" s="14" t="n">
        <v>-4644.22140115303</v>
      </c>
      <c r="AU171" s="14" t="n">
        <v>12.270507</v>
      </c>
      <c r="AV171" s="14" t="n">
        <v>0</v>
      </c>
      <c r="AW171" s="14" t="n">
        <v>2254.3125</v>
      </c>
      <c r="AX171" s="14" t="n">
        <v>314.925245</v>
      </c>
      <c r="AY171" s="14" t="n">
        <v>314.925245</v>
      </c>
      <c r="AZ171" s="14" t="n">
        <v>5747.32141250041</v>
      </c>
      <c r="BA171" s="14" t="n">
        <v>17.1190680767493</v>
      </c>
      <c r="BB171" s="14" t="n">
        <v>25.7763606986857</v>
      </c>
      <c r="BC171" s="14" t="n">
        <v>40.0042159074881</v>
      </c>
      <c r="BD171" s="14" t="n">
        <v>-5.08067650538881</v>
      </c>
      <c r="BE171" s="14" t="n">
        <v>-3.389032187156</v>
      </c>
      <c r="BF171" s="14" t="n">
        <v>5.28542761383372</v>
      </c>
      <c r="BG171" s="14" t="n">
        <v>6.97707193206652</v>
      </c>
      <c r="BH171" s="14" t="n">
        <v>10.9956654944829</v>
      </c>
      <c r="BI171" s="14" t="n">
        <v>14.5375344778911</v>
      </c>
      <c r="BJ171" s="14" t="n">
        <v>3.71992671744367</v>
      </c>
      <c r="BK171" s="14" t="n">
        <v>4.46573109600205</v>
      </c>
      <c r="BL171" s="14" t="n">
        <v>6.42123287671233</v>
      </c>
      <c r="BM171" s="14" t="n">
        <v>8712.70308277889</v>
      </c>
      <c r="BN171" s="14" t="n">
        <v>7924.5293644341</v>
      </c>
      <c r="BO171" s="14" t="n">
        <v>7924.5293644341</v>
      </c>
      <c r="BP171" s="14" t="n">
        <v>327.195752</v>
      </c>
      <c r="BQ171" s="14" t="n">
        <v>301.7195</v>
      </c>
      <c r="BR171" s="14" t="n">
        <v>1081.9108</v>
      </c>
      <c r="BS171" s="14" t="s">
        <v>2855</v>
      </c>
      <c r="BT171" s="14" t="n">
        <v>37.9555555555556</v>
      </c>
      <c r="BU171" s="14" t="n">
        <v>0.202495480090107</v>
      </c>
      <c r="BV171" s="14" t="n">
        <v>0.204285232461873</v>
      </c>
      <c r="BW171" s="14" t="n">
        <v>13510.8578038903</v>
      </c>
      <c r="BX171" s="14" t="n">
        <v>27107.0656988521</v>
      </c>
      <c r="BY171" s="14" t="n">
        <v>94.6972409870161</v>
      </c>
      <c r="BZ171" s="14" t="n">
        <v>0</v>
      </c>
      <c r="CA171" s="14" t="n">
        <v>950.69728</v>
      </c>
      <c r="CB171" s="14" t="n">
        <v>12000</v>
      </c>
    </row>
    <row r="172" customFormat="false" ht="15" hidden="false" customHeight="false" outlineLevel="0" collapsed="false">
      <c r="A172" s="0" t="s">
        <v>3005</v>
      </c>
      <c r="B172" s="14" t="n">
        <v>2465.07954157611</v>
      </c>
      <c r="C172" s="14" t="n">
        <v>8218.56812364458</v>
      </c>
      <c r="D172" s="14" t="n">
        <v>22311.5478205921</v>
      </c>
      <c r="E172" s="14" t="n">
        <v>4219.76667402376</v>
      </c>
      <c r="F172" s="14" t="n">
        <v>-1129.84922807388</v>
      </c>
      <c r="G172" s="14" t="n">
        <v>5020.87317715186</v>
      </c>
      <c r="H172" s="14" t="n">
        <v>23784.5033626913</v>
      </c>
      <c r="I172" s="15" t="n">
        <v>46.2481855287049</v>
      </c>
      <c r="J172" s="15" t="n">
        <v>57.3022737432682</v>
      </c>
      <c r="K172" s="14" t="s">
        <v>60</v>
      </c>
      <c r="L172" s="14" t="n">
        <v>-4462.92227523087</v>
      </c>
      <c r="M172" s="14" t="n">
        <v>33817.1334799729</v>
      </c>
      <c r="N172" s="14" t="n">
        <v>13374.7148866713</v>
      </c>
      <c r="O172" s="14" t="n">
        <v>-17101.5601192902</v>
      </c>
      <c r="P172" s="14" t="n">
        <v>951.290832135856</v>
      </c>
      <c r="Q172" s="14" t="n">
        <v>1589.76213006869</v>
      </c>
      <c r="R172" s="14" t="n">
        <v>17617.7170533315</v>
      </c>
      <c r="S172" s="14" t="n">
        <v>27013.4379064118</v>
      </c>
      <c r="T172" s="14" t="n">
        <v>-955.692204749296</v>
      </c>
      <c r="U172" s="14" t="n">
        <v>14564.7211584328</v>
      </c>
      <c r="V172" s="14" t="n">
        <v>0.750319556751226</v>
      </c>
      <c r="W172" s="14" t="n">
        <v>65681.8781191416</v>
      </c>
      <c r="X172" s="14" t="n">
        <v>22419.3002489658</v>
      </c>
      <c r="Y172" s="14" t="n">
        <v>53.9054447161219</v>
      </c>
      <c r="Z172" s="14" t="n">
        <v>73.1692733427791</v>
      </c>
      <c r="AA172" s="14" t="n">
        <v>27.424347870838</v>
      </c>
      <c r="AB172" s="14" t="n">
        <v>25.224347870838</v>
      </c>
      <c r="AC172" s="14" t="n">
        <v>26.674347870838</v>
      </c>
      <c r="AD172" s="14" t="n">
        <v>21.0618991648036</v>
      </c>
      <c r="AE172" s="14" t="n">
        <v>674.686407680941</v>
      </c>
      <c r="AF172" s="14" t="n">
        <v>0.03</v>
      </c>
      <c r="AG172" s="14" t="n">
        <v>0.673030035167204</v>
      </c>
      <c r="AH172" s="14" t="n">
        <v>9819.91719809611</v>
      </c>
      <c r="AI172" s="14" t="n">
        <v>22311.5478205921</v>
      </c>
      <c r="AJ172" s="14" t="n">
        <v>20.2705415647922</v>
      </c>
      <c r="AK172" s="14" t="n">
        <v>0</v>
      </c>
      <c r="AL172" s="14" t="n">
        <v>-34148.6805040907</v>
      </c>
      <c r="AM172" s="14" t="n">
        <v>812.6073</v>
      </c>
      <c r="AN172" s="14" t="n">
        <v>20079.98904</v>
      </c>
      <c r="AO172" s="14" t="n">
        <v>-5508.72242389994</v>
      </c>
      <c r="AP172" s="14" t="n">
        <v>0.448161561074905</v>
      </c>
      <c r="AQ172" s="14" t="n">
        <v>50.7099767639542</v>
      </c>
      <c r="AR172" s="14" t="n">
        <v>327.195752</v>
      </c>
      <c r="AS172" s="14" t="n">
        <v>314.925245</v>
      </c>
      <c r="AT172" s="14" t="n">
        <v>-4462.92227523087</v>
      </c>
      <c r="AU172" s="14" t="n">
        <v>12.270507</v>
      </c>
      <c r="AV172" s="14" t="n">
        <v>0</v>
      </c>
      <c r="AW172" s="14" t="n">
        <v>2254.3125</v>
      </c>
      <c r="AX172" s="14" t="n">
        <v>314.925245</v>
      </c>
      <c r="AY172" s="14" t="n">
        <v>314.925245</v>
      </c>
      <c r="AZ172" s="14" t="n">
        <v>5924.22369187514</v>
      </c>
      <c r="BA172" s="14" t="n">
        <v>17.6807959222726</v>
      </c>
      <c r="BB172" s="14" t="n">
        <v>26.3380885442089</v>
      </c>
      <c r="BC172" s="14" t="n">
        <v>40.5659437530114</v>
      </c>
      <c r="BD172" s="14" t="n">
        <v>-5.08067650538881</v>
      </c>
      <c r="BE172" s="14" t="n">
        <v>-3.389032187156</v>
      </c>
      <c r="BF172" s="14" t="n">
        <v>5.28542761383372</v>
      </c>
      <c r="BG172" s="14" t="n">
        <v>6.97707193206652</v>
      </c>
      <c r="BH172" s="14" t="n">
        <v>10.9956654944829</v>
      </c>
      <c r="BI172" s="14" t="n">
        <v>14.5375344778911</v>
      </c>
      <c r="BJ172" s="14" t="n">
        <v>3.71992671744367</v>
      </c>
      <c r="BK172" s="14" t="n">
        <v>4.46573109600205</v>
      </c>
      <c r="BL172" s="14" t="n">
        <v>6.42123287671233</v>
      </c>
      <c r="BM172" s="14" t="n">
        <v>8712.70308277889</v>
      </c>
      <c r="BN172" s="14" t="n">
        <v>8186.20138661435</v>
      </c>
      <c r="BO172" s="14" t="n">
        <v>8186.20138661435</v>
      </c>
      <c r="BP172" s="14" t="n">
        <v>327.195752</v>
      </c>
      <c r="BQ172" s="14" t="n">
        <v>301.7195</v>
      </c>
      <c r="BR172" s="14" t="n">
        <v>1081.9108</v>
      </c>
      <c r="BS172" s="14" t="s">
        <v>2855</v>
      </c>
      <c r="BT172" s="14" t="n">
        <v>37.9555555555556</v>
      </c>
      <c r="BU172" s="14" t="n">
        <v>0.202495480090107</v>
      </c>
      <c r="BV172" s="14" t="n">
        <v>0.204285232461873</v>
      </c>
      <c r="BW172" s="14" t="n">
        <v>13510.8578038903</v>
      </c>
      <c r="BX172" s="14" t="n">
        <v>27107.0656988521</v>
      </c>
      <c r="BY172" s="14" t="n">
        <v>91.429856516021</v>
      </c>
      <c r="BZ172" s="14" t="n">
        <v>0</v>
      </c>
      <c r="CA172" s="14" t="n">
        <v>950.69728</v>
      </c>
      <c r="CB172" s="14" t="n">
        <v>12000</v>
      </c>
    </row>
    <row r="173" customFormat="false" ht="15" hidden="false" customHeight="false" outlineLevel="0" collapsed="false">
      <c r="A173" s="0" t="s">
        <v>3006</v>
      </c>
      <c r="B173" s="14" t="n">
        <v>2465.07954157611</v>
      </c>
      <c r="C173" s="14" t="n">
        <v>7194.11867097113</v>
      </c>
      <c r="D173" s="14" t="n">
        <v>18907.4813404464</v>
      </c>
      <c r="E173" s="14" t="n">
        <v>3492.40756262561</v>
      </c>
      <c r="F173" s="14" t="n">
        <v>-1815.23830800585</v>
      </c>
      <c r="G173" s="14" t="n">
        <v>5019.88112379261</v>
      </c>
      <c r="H173" s="14" t="n">
        <v>-4329.71618258592</v>
      </c>
      <c r="I173" s="15" t="n">
        <v>0.01</v>
      </c>
      <c r="J173" s="15" t="n">
        <v>0</v>
      </c>
      <c r="K173" s="14" t="s">
        <v>60</v>
      </c>
      <c r="L173" s="14" t="n">
        <v>-5172.14756501904</v>
      </c>
      <c r="M173" s="14" t="n">
        <v>33796.6444909194</v>
      </c>
      <c r="N173" s="14" t="n">
        <v>10787.6243617607</v>
      </c>
      <c r="O173" s="14" t="n">
        <v>-20181.6671184006</v>
      </c>
      <c r="P173" s="14" t="n">
        <v>951.290832135856</v>
      </c>
      <c r="Q173" s="14" t="n">
        <v>-852.283953785194</v>
      </c>
      <c r="R173" s="14" t="n">
        <v>17617.7170533315</v>
      </c>
      <c r="S173" s="14" t="n">
        <v>26945.3565768089</v>
      </c>
      <c r="T173" s="14" t="n">
        <v>-955.692204749296</v>
      </c>
      <c r="U173" s="14" t="n">
        <v>-13549.4983868444</v>
      </c>
      <c r="V173" s="14" t="n">
        <v>0.750319556751226</v>
      </c>
      <c r="W173" s="14" t="n">
        <v>42923.8024217441</v>
      </c>
      <c r="X173" s="14" t="n">
        <v>22153.0261387004</v>
      </c>
      <c r="Y173" s="14" t="n">
        <v>0</v>
      </c>
      <c r="Z173" s="14" t="n">
        <v>0</v>
      </c>
      <c r="AA173" s="14" t="n">
        <v>27.424347870838</v>
      </c>
      <c r="AB173" s="14" t="n">
        <v>25.224347870838</v>
      </c>
      <c r="AC173" s="14" t="n">
        <v>26.674347870838</v>
      </c>
      <c r="AD173" s="14" t="n">
        <v>21.0618991648036</v>
      </c>
      <c r="AE173" s="14" t="n">
        <v>674.686407680941</v>
      </c>
      <c r="AF173" s="14" t="n">
        <v>0.03</v>
      </c>
      <c r="AG173" s="14" t="n">
        <v>0.656540873618241</v>
      </c>
      <c r="AH173" s="14" t="n">
        <v>9819.91719809611</v>
      </c>
      <c r="AI173" s="14" t="n">
        <v>18907.4813404464</v>
      </c>
      <c r="AJ173" s="14" t="n">
        <v>16</v>
      </c>
      <c r="AK173" s="14" t="n">
        <v>0</v>
      </c>
      <c r="AL173" s="14" t="n">
        <v>-33642.0926948136</v>
      </c>
      <c r="AM173" s="14" t="n">
        <v>812.6073</v>
      </c>
      <c r="AN173" s="14" t="n">
        <v>25825.759024</v>
      </c>
      <c r="AO173" s="14" t="n">
        <v>-7800.03602701777</v>
      </c>
      <c r="AP173" s="14" t="n">
        <v>0.516474502037109</v>
      </c>
      <c r="AQ173" s="14" t="n">
        <v>0</v>
      </c>
      <c r="AR173" s="14" t="n">
        <v>327.195752</v>
      </c>
      <c r="AS173" s="14" t="n">
        <v>314.925245</v>
      </c>
      <c r="AT173" s="14" t="n">
        <v>-5172.14756501904</v>
      </c>
      <c r="AU173" s="14" t="n">
        <v>12.270507</v>
      </c>
      <c r="AV173" s="14" t="n">
        <v>0</v>
      </c>
      <c r="AW173" s="14" t="n">
        <v>2254.3125</v>
      </c>
      <c r="AX173" s="14" t="n">
        <v>314.925245</v>
      </c>
      <c r="AY173" s="14" t="n">
        <v>314.925245</v>
      </c>
      <c r="AZ173" s="14" t="n">
        <v>5324.30066098225</v>
      </c>
      <c r="BA173" s="14" t="n">
        <v>15.7758262813253</v>
      </c>
      <c r="BB173" s="14" t="n">
        <v>24.4331189032616</v>
      </c>
      <c r="BC173" s="14" t="n">
        <v>38.6609741120641</v>
      </c>
      <c r="BD173" s="14" t="n">
        <v>-5.08067650538881</v>
      </c>
      <c r="BE173" s="14" t="n">
        <v>-3.389032187156</v>
      </c>
      <c r="BF173" s="14" t="n">
        <v>5.28542761383372</v>
      </c>
      <c r="BG173" s="14" t="n">
        <v>6.97707193206652</v>
      </c>
      <c r="BH173" s="14" t="n">
        <v>10.9956654944829</v>
      </c>
      <c r="BI173" s="14" t="n">
        <v>14.5375344778911</v>
      </c>
      <c r="BJ173" s="14" t="n">
        <v>3.71992671744367</v>
      </c>
      <c r="BK173" s="14" t="n">
        <v>4.46573109600205</v>
      </c>
      <c r="BL173" s="14" t="n">
        <v>6.42123287671233</v>
      </c>
      <c r="BM173" s="14" t="n">
        <v>8712.70308277889</v>
      </c>
      <c r="BN173" s="14" t="n">
        <v>7161.75193394089</v>
      </c>
      <c r="BO173" s="14" t="n">
        <v>7161.75193394089</v>
      </c>
      <c r="BP173" s="14" t="n">
        <v>327.195752</v>
      </c>
      <c r="BQ173" s="14" t="n">
        <v>301.7195</v>
      </c>
      <c r="BR173" s="14" t="n">
        <v>1081.9108</v>
      </c>
      <c r="BS173" s="14" t="s">
        <v>2856</v>
      </c>
      <c r="BT173" s="14" t="n">
        <v>37.9555555555556</v>
      </c>
      <c r="BU173" s="14" t="n">
        <v>0.202495480090107</v>
      </c>
      <c r="BV173" s="14" t="n">
        <v>0.204285232461873</v>
      </c>
      <c r="BW173" s="14" t="n">
        <v>13510.8578038903</v>
      </c>
      <c r="BX173" s="14" t="n">
        <v>27107.0656988521</v>
      </c>
      <c r="BY173" s="14" t="n">
        <v>90.6026397488151</v>
      </c>
      <c r="BZ173" s="14" t="n">
        <v>0</v>
      </c>
      <c r="CA173" s="14" t="n">
        <v>950.69728</v>
      </c>
      <c r="CB173" s="14" t="n">
        <v>12000</v>
      </c>
    </row>
    <row r="174" customFormat="false" ht="15" hidden="false" customHeight="false" outlineLevel="0" collapsed="false">
      <c r="A174" s="0" t="s">
        <v>3007</v>
      </c>
      <c r="B174" s="14" t="n">
        <v>2465.07954157611</v>
      </c>
      <c r="C174" s="14" t="n">
        <v>7318.65733518114</v>
      </c>
      <c r="D174" s="14" t="n">
        <v>19416.7546340669</v>
      </c>
      <c r="E174" s="14" t="n">
        <v>3580.83001421472</v>
      </c>
      <c r="F174" s="14" t="n">
        <v>-1731.92821732515</v>
      </c>
      <c r="G174" s="14" t="n">
        <v>5020.01193813263</v>
      </c>
      <c r="H174" s="14" t="n">
        <v>890.744067762985</v>
      </c>
      <c r="I174" s="15" t="n">
        <v>0.01</v>
      </c>
      <c r="J174" s="15" t="n">
        <v>0</v>
      </c>
      <c r="K174" s="14" t="s">
        <v>60</v>
      </c>
      <c r="L174" s="14" t="n">
        <v>-5085.88183358197</v>
      </c>
      <c r="M174" s="14" t="n">
        <v>33799.1352642036</v>
      </c>
      <c r="N174" s="14" t="n">
        <v>11174.6720649122</v>
      </c>
      <c r="O174" s="14" t="n">
        <v>-19718.5391496844</v>
      </c>
      <c r="P174" s="14" t="n">
        <v>951.290832135856</v>
      </c>
      <c r="Q174" s="14" t="n">
        <v>-486.804139132624</v>
      </c>
      <c r="R174" s="14" t="n">
        <v>17617.7170533315</v>
      </c>
      <c r="S174" s="14" t="n">
        <v>26955.5420426813</v>
      </c>
      <c r="T174" s="14" t="n">
        <v>-955.692204749296</v>
      </c>
      <c r="U174" s="14" t="n">
        <v>-8329.03813649547</v>
      </c>
      <c r="V174" s="14" t="n">
        <v>0.750319556751226</v>
      </c>
      <c r="W174" s="14" t="n">
        <v>47140.1097900293</v>
      </c>
      <c r="X174" s="14" t="n">
        <v>22161.1650541349</v>
      </c>
      <c r="Y174" s="14" t="n">
        <v>0</v>
      </c>
      <c r="Z174" s="14" t="n">
        <v>0</v>
      </c>
      <c r="AA174" s="14" t="n">
        <v>27.424347870838</v>
      </c>
      <c r="AB174" s="14" t="n">
        <v>25.224347870838</v>
      </c>
      <c r="AC174" s="14" t="n">
        <v>26.674347870838</v>
      </c>
      <c r="AD174" s="14" t="n">
        <v>21.0618991648036</v>
      </c>
      <c r="AE174" s="14" t="n">
        <v>674.686407680941</v>
      </c>
      <c r="AF174" s="14" t="n">
        <v>0.03</v>
      </c>
      <c r="AG174" s="14" t="n">
        <v>0.659645164007828</v>
      </c>
      <c r="AH174" s="14" t="n">
        <v>9819.91719809611</v>
      </c>
      <c r="AI174" s="14" t="n">
        <v>19416.7546340669</v>
      </c>
      <c r="AJ174" s="14" t="n">
        <v>16.2767</v>
      </c>
      <c r="AK174" s="14" t="n">
        <v>0</v>
      </c>
      <c r="AL174" s="14" t="n">
        <v>-32798.6516594481</v>
      </c>
      <c r="AM174" s="14" t="n">
        <v>812.6073</v>
      </c>
      <c r="AN174" s="14" t="n">
        <v>25825.759024</v>
      </c>
      <c r="AO174" s="14" t="n">
        <v>-7800.03602701777</v>
      </c>
      <c r="AP174" s="14" t="n">
        <v>0.516474502037109</v>
      </c>
      <c r="AQ174" s="14" t="n">
        <v>0</v>
      </c>
      <c r="AR174" s="14" t="n">
        <v>327.195752</v>
      </c>
      <c r="AS174" s="14" t="n">
        <v>314.925245</v>
      </c>
      <c r="AT174" s="14" t="n">
        <v>-5085.88183358197</v>
      </c>
      <c r="AU174" s="14" t="n">
        <v>12.270507</v>
      </c>
      <c r="AV174" s="14" t="n">
        <v>0</v>
      </c>
      <c r="AW174" s="14" t="n">
        <v>2254.3125</v>
      </c>
      <c r="AX174" s="14" t="n">
        <v>314.925245</v>
      </c>
      <c r="AY174" s="14" t="n">
        <v>314.925245</v>
      </c>
      <c r="AZ174" s="14" t="n">
        <v>5425.33194186228</v>
      </c>
      <c r="BA174" s="14" t="n">
        <v>16.0966366402409</v>
      </c>
      <c r="BB174" s="14" t="n">
        <v>24.7539292621772</v>
      </c>
      <c r="BC174" s="14" t="n">
        <v>38.9817844709797</v>
      </c>
      <c r="BD174" s="14" t="n">
        <v>-5.08067650538881</v>
      </c>
      <c r="BE174" s="14" t="n">
        <v>-3.389032187156</v>
      </c>
      <c r="BF174" s="14" t="n">
        <v>5.28542761383372</v>
      </c>
      <c r="BG174" s="14" t="n">
        <v>6.97707193206652</v>
      </c>
      <c r="BH174" s="14" t="n">
        <v>10.9956654944829</v>
      </c>
      <c r="BI174" s="14" t="n">
        <v>14.5375344778911</v>
      </c>
      <c r="BJ174" s="14" t="n">
        <v>3.71992671744367</v>
      </c>
      <c r="BK174" s="14" t="n">
        <v>4.46573109600205</v>
      </c>
      <c r="BL174" s="14" t="n">
        <v>6.42123287671233</v>
      </c>
      <c r="BM174" s="14" t="n">
        <v>8712.70308277889</v>
      </c>
      <c r="BN174" s="14" t="n">
        <v>7286.29059815091</v>
      </c>
      <c r="BO174" s="14" t="n">
        <v>7286.29059815091</v>
      </c>
      <c r="BP174" s="14" t="n">
        <v>327.195752</v>
      </c>
      <c r="BQ174" s="14" t="n">
        <v>301.7195</v>
      </c>
      <c r="BR174" s="14" t="n">
        <v>1081.9108</v>
      </c>
      <c r="BS174" s="14" t="s">
        <v>2856</v>
      </c>
      <c r="BT174" s="14" t="n">
        <v>37.9555555555556</v>
      </c>
      <c r="BU174" s="14" t="n">
        <v>0.202495480090107</v>
      </c>
      <c r="BV174" s="14" t="n">
        <v>0.204285232461873</v>
      </c>
      <c r="BW174" s="14" t="n">
        <v>13510.8578038903</v>
      </c>
      <c r="BX174" s="14" t="n">
        <v>27107.0656988521</v>
      </c>
      <c r="BY174" s="14" t="n">
        <v>88.7616815982272</v>
      </c>
      <c r="BZ174" s="14" t="n">
        <v>0</v>
      </c>
      <c r="CA174" s="14" t="n">
        <v>950.69728</v>
      </c>
      <c r="CB174" s="14" t="n">
        <v>12000</v>
      </c>
    </row>
    <row r="175" customFormat="false" ht="15" hidden="false" customHeight="false" outlineLevel="0" collapsed="false">
      <c r="A175" s="0" t="s">
        <v>3008</v>
      </c>
      <c r="B175" s="14" t="n">
        <v>2465.07954157611</v>
      </c>
      <c r="C175" s="14" t="n">
        <v>7505.46533149617</v>
      </c>
      <c r="D175" s="14" t="n">
        <v>20180.6645744977</v>
      </c>
      <c r="E175" s="14" t="n">
        <v>3713.46369159839</v>
      </c>
      <c r="F175" s="14" t="n">
        <v>-1606.96308130411</v>
      </c>
      <c r="G175" s="14" t="n">
        <v>5020.20815964266</v>
      </c>
      <c r="H175" s="14" t="n">
        <v>8684.68193378082</v>
      </c>
      <c r="I175" s="15" t="n">
        <v>0.01</v>
      </c>
      <c r="J175" s="15" t="n">
        <v>5.15368040007337</v>
      </c>
      <c r="K175" s="14" t="s">
        <v>60</v>
      </c>
      <c r="L175" s="14" t="n">
        <v>-4956.48323642636</v>
      </c>
      <c r="M175" s="14" t="n">
        <v>33802.8714241299</v>
      </c>
      <c r="N175" s="14" t="n">
        <v>11755.2436196396</v>
      </c>
      <c r="O175" s="14" t="n">
        <v>-19023.84719661</v>
      </c>
      <c r="P175" s="14" t="n">
        <v>951.290832135856</v>
      </c>
      <c r="Q175" s="14" t="n">
        <v>61.4155828462322</v>
      </c>
      <c r="R175" s="14" t="n">
        <v>17617.7170533315</v>
      </c>
      <c r="S175" s="14" t="n">
        <v>26970.82024149</v>
      </c>
      <c r="T175" s="14" t="n">
        <v>-955.692204749296</v>
      </c>
      <c r="U175" s="14" t="n">
        <v>-535.100270477633</v>
      </c>
      <c r="V175" s="14" t="n">
        <v>0.750319556751226</v>
      </c>
      <c r="W175" s="14" t="n">
        <v>53464.5708424573</v>
      </c>
      <c r="X175" s="14" t="n">
        <v>22173.3734272866</v>
      </c>
      <c r="Y175" s="14" t="n">
        <v>4.84817470132854</v>
      </c>
      <c r="Z175" s="14" t="n">
        <v>6.58073450285368</v>
      </c>
      <c r="AA175" s="14" t="n">
        <v>27.424347870838</v>
      </c>
      <c r="AB175" s="14" t="n">
        <v>25.224347870838</v>
      </c>
      <c r="AC175" s="14" t="n">
        <v>26.674347870838</v>
      </c>
      <c r="AD175" s="14" t="n">
        <v>21.0618991648036</v>
      </c>
      <c r="AE175" s="14" t="n">
        <v>674.686407680941</v>
      </c>
      <c r="AF175" s="14" t="n">
        <v>0.03</v>
      </c>
      <c r="AG175" s="14" t="n">
        <v>0.664073049535931</v>
      </c>
      <c r="AH175" s="14" t="n">
        <v>9819.91719809611</v>
      </c>
      <c r="AI175" s="14" t="n">
        <v>20180.6645744977</v>
      </c>
      <c r="AJ175" s="14" t="n">
        <v>16.69175</v>
      </c>
      <c r="AK175" s="14" t="n">
        <v>0</v>
      </c>
      <c r="AL175" s="14" t="n">
        <v>-31590.1275643903</v>
      </c>
      <c r="AM175" s="14" t="n">
        <v>812.6073</v>
      </c>
      <c r="AN175" s="14" t="n">
        <v>25825.759024</v>
      </c>
      <c r="AO175" s="14" t="n">
        <v>-7800.03602701777</v>
      </c>
      <c r="AP175" s="14" t="n">
        <v>0.516474502037109</v>
      </c>
      <c r="AQ175" s="14" t="n">
        <v>4.56077911510918</v>
      </c>
      <c r="AR175" s="14" t="n">
        <v>327.195752</v>
      </c>
      <c r="AS175" s="14" t="n">
        <v>314.925245</v>
      </c>
      <c r="AT175" s="14" t="n">
        <v>-4956.48323642636</v>
      </c>
      <c r="AU175" s="14" t="n">
        <v>12.270507</v>
      </c>
      <c r="AV175" s="14" t="n">
        <v>0</v>
      </c>
      <c r="AW175" s="14" t="n">
        <v>2254.3125</v>
      </c>
      <c r="AX175" s="14" t="n">
        <v>314.925245</v>
      </c>
      <c r="AY175" s="14" t="n">
        <v>314.925245</v>
      </c>
      <c r="AZ175" s="14" t="n">
        <v>5568.83612056339</v>
      </c>
      <c r="BA175" s="14" t="n">
        <v>16.5523136016134</v>
      </c>
      <c r="BB175" s="14" t="n">
        <v>25.2096062235498</v>
      </c>
      <c r="BC175" s="14" t="n">
        <v>39.4374614323522</v>
      </c>
      <c r="BD175" s="14" t="n">
        <v>-5.08067650538881</v>
      </c>
      <c r="BE175" s="14" t="n">
        <v>-3.389032187156</v>
      </c>
      <c r="BF175" s="14" t="n">
        <v>5.28542761383372</v>
      </c>
      <c r="BG175" s="14" t="n">
        <v>6.97707193206652</v>
      </c>
      <c r="BH175" s="14" t="n">
        <v>10.9956654944829</v>
      </c>
      <c r="BI175" s="14" t="n">
        <v>14.5375344778911</v>
      </c>
      <c r="BJ175" s="14" t="n">
        <v>3.71992671744367</v>
      </c>
      <c r="BK175" s="14" t="n">
        <v>4.46573109600205</v>
      </c>
      <c r="BL175" s="14" t="n">
        <v>6.42123287671233</v>
      </c>
      <c r="BM175" s="14" t="n">
        <v>8712.70308277889</v>
      </c>
      <c r="BN175" s="14" t="n">
        <v>7473.09859446594</v>
      </c>
      <c r="BO175" s="14" t="n">
        <v>7473.09859446594</v>
      </c>
      <c r="BP175" s="14" t="n">
        <v>327.195752</v>
      </c>
      <c r="BQ175" s="14" t="n">
        <v>301.7195</v>
      </c>
      <c r="BR175" s="14" t="n">
        <v>1081.9108</v>
      </c>
      <c r="BS175" s="14" t="s">
        <v>2855</v>
      </c>
      <c r="BT175" s="14" t="n">
        <v>37.9555555555556</v>
      </c>
      <c r="BU175" s="14" t="n">
        <v>0.202495480090107</v>
      </c>
      <c r="BV175" s="14" t="n">
        <v>0.204285232461873</v>
      </c>
      <c r="BW175" s="14" t="n">
        <v>13510.8578038903</v>
      </c>
      <c r="BX175" s="14" t="n">
        <v>27107.0656988521</v>
      </c>
      <c r="BY175" s="14" t="n">
        <v>86.1212289697118</v>
      </c>
      <c r="BZ175" s="14" t="n">
        <v>0</v>
      </c>
      <c r="CA175" s="14" t="n">
        <v>950.69728</v>
      </c>
      <c r="CB175" s="14" t="n">
        <v>12000</v>
      </c>
    </row>
    <row r="176" customFormat="false" ht="15" hidden="false" customHeight="false" outlineLevel="0" collapsed="false">
      <c r="A176" s="0" t="s">
        <v>3009</v>
      </c>
      <c r="B176" s="14" t="n">
        <v>2465.07954157611</v>
      </c>
      <c r="C176" s="14" t="n">
        <v>7816.81199202122</v>
      </c>
      <c r="D176" s="14" t="n">
        <v>21453.847808549</v>
      </c>
      <c r="E176" s="14" t="n">
        <v>3934.51982057118</v>
      </c>
      <c r="F176" s="14" t="n">
        <v>-1398.68785460238</v>
      </c>
      <c r="G176" s="14" t="n">
        <v>5020.53519549271</v>
      </c>
      <c r="H176" s="14" t="n">
        <v>20785.8357425154</v>
      </c>
      <c r="I176" s="15" t="n">
        <v>36.7263460833599</v>
      </c>
      <c r="J176" s="15" t="n">
        <v>46.9461050274873</v>
      </c>
      <c r="K176" s="14" t="s">
        <v>60</v>
      </c>
      <c r="L176" s="14" t="n">
        <v>-4740.81890783368</v>
      </c>
      <c r="M176" s="14" t="n">
        <v>33809.0983573404</v>
      </c>
      <c r="N176" s="14" t="n">
        <v>12722.8628775186</v>
      </c>
      <c r="O176" s="14" t="n">
        <v>-17896.2495791836</v>
      </c>
      <c r="P176" s="14" t="n">
        <v>951.290832135856</v>
      </c>
      <c r="Q176" s="14" t="n">
        <v>975.115119477659</v>
      </c>
      <c r="R176" s="14" t="n">
        <v>17617.7170533315</v>
      </c>
      <c r="S176" s="14" t="n">
        <v>26996.283906171</v>
      </c>
      <c r="T176" s="14" t="n">
        <v>-955.692204749296</v>
      </c>
      <c r="U176" s="14" t="n">
        <v>11566.0535382569</v>
      </c>
      <c r="V176" s="14" t="n">
        <v>0.750319556751226</v>
      </c>
      <c r="W176" s="14" t="n">
        <v>63154.4210256552</v>
      </c>
      <c r="X176" s="14" t="n">
        <v>22299.6923029807</v>
      </c>
      <c r="Y176" s="14" t="n">
        <v>44.1631806886854</v>
      </c>
      <c r="Z176" s="14" t="n">
        <v>59.9454815095986</v>
      </c>
      <c r="AA176" s="14" t="n">
        <v>27.424347870838</v>
      </c>
      <c r="AB176" s="14" t="n">
        <v>25.224347870838</v>
      </c>
      <c r="AC176" s="14" t="n">
        <v>26.674347870838</v>
      </c>
      <c r="AD176" s="14" t="n">
        <v>21.0618991648036</v>
      </c>
      <c r="AE176" s="14" t="n">
        <v>674.686407680941</v>
      </c>
      <c r="AF176" s="14" t="n">
        <v>0.03</v>
      </c>
      <c r="AG176" s="14" t="n">
        <v>0.670900421240664</v>
      </c>
      <c r="AH176" s="14" t="n">
        <v>9819.91719809611</v>
      </c>
      <c r="AI176" s="14" t="n">
        <v>21453.847808549</v>
      </c>
      <c r="AJ176" s="14" t="n">
        <v>17.3835</v>
      </c>
      <c r="AK176" s="14" t="n">
        <v>0</v>
      </c>
      <c r="AL176" s="14" t="n">
        <v>-29707.5104563794</v>
      </c>
      <c r="AM176" s="14" t="n">
        <v>812.6073</v>
      </c>
      <c r="AN176" s="14" t="n">
        <v>25825.759024</v>
      </c>
      <c r="AO176" s="14" t="n">
        <v>-7800.03602701777</v>
      </c>
      <c r="AP176" s="14" t="n">
        <v>0.516474502037109</v>
      </c>
      <c r="AQ176" s="14" t="n">
        <v>41.5452256880419</v>
      </c>
      <c r="AR176" s="14" t="n">
        <v>327.195752</v>
      </c>
      <c r="AS176" s="14" t="n">
        <v>314.925245</v>
      </c>
      <c r="AT176" s="14" t="n">
        <v>-4740.81890783368</v>
      </c>
      <c r="AU176" s="14" t="n">
        <v>12.270507</v>
      </c>
      <c r="AV176" s="14" t="n">
        <v>0</v>
      </c>
      <c r="AW176" s="14" t="n">
        <v>2254.3125</v>
      </c>
      <c r="AX176" s="14" t="n">
        <v>314.925245</v>
      </c>
      <c r="AY176" s="14" t="n">
        <v>314.925245</v>
      </c>
      <c r="AZ176" s="14" t="n">
        <v>5788.77571094839</v>
      </c>
      <c r="BA176" s="14" t="n">
        <v>17.2507002628193</v>
      </c>
      <c r="BB176" s="14" t="n">
        <v>25.9079928847557</v>
      </c>
      <c r="BC176" s="14" t="n">
        <v>40.1358480935581</v>
      </c>
      <c r="BD176" s="14" t="n">
        <v>-5.08067650538881</v>
      </c>
      <c r="BE176" s="14" t="n">
        <v>-3.389032187156</v>
      </c>
      <c r="BF176" s="14" t="n">
        <v>5.28542761383372</v>
      </c>
      <c r="BG176" s="14" t="n">
        <v>6.97707193206652</v>
      </c>
      <c r="BH176" s="14" t="n">
        <v>10.9956654944829</v>
      </c>
      <c r="BI176" s="14" t="n">
        <v>14.5375344778911</v>
      </c>
      <c r="BJ176" s="14" t="n">
        <v>3.71992671744367</v>
      </c>
      <c r="BK176" s="14" t="n">
        <v>4.46573109600205</v>
      </c>
      <c r="BL176" s="14" t="n">
        <v>6.42123287671233</v>
      </c>
      <c r="BM176" s="14" t="n">
        <v>8712.70308277889</v>
      </c>
      <c r="BN176" s="14" t="n">
        <v>7784.44525499099</v>
      </c>
      <c r="BO176" s="14" t="n">
        <v>7784.44525499099</v>
      </c>
      <c r="BP176" s="14" t="n">
        <v>327.195752</v>
      </c>
      <c r="BQ176" s="14" t="n">
        <v>301.7195</v>
      </c>
      <c r="BR176" s="14" t="n">
        <v>1081.9108</v>
      </c>
      <c r="BS176" s="14" t="s">
        <v>2855</v>
      </c>
      <c r="BT176" s="14" t="n">
        <v>37.9555555555556</v>
      </c>
      <c r="BU176" s="14" t="n">
        <v>0.202495480090107</v>
      </c>
      <c r="BV176" s="14" t="n">
        <v>0.204285232461873</v>
      </c>
      <c r="BW176" s="14" t="n">
        <v>13510.8578038903</v>
      </c>
      <c r="BX176" s="14" t="n">
        <v>27107.0656988521</v>
      </c>
      <c r="BY176" s="14" t="n">
        <v>82.0030547429029</v>
      </c>
      <c r="BZ176" s="14" t="n">
        <v>0</v>
      </c>
      <c r="CA176" s="14" t="n">
        <v>950.69728</v>
      </c>
      <c r="CB176" s="14" t="n">
        <v>12000</v>
      </c>
    </row>
    <row r="177" customFormat="false" ht="15" hidden="false" customHeight="false" outlineLevel="0" collapsed="false">
      <c r="A177" s="0" t="s">
        <v>3010</v>
      </c>
      <c r="B177" s="14" t="n">
        <v>2465.07954157611</v>
      </c>
      <c r="C177" s="14" t="n">
        <v>7695.22407928408</v>
      </c>
      <c r="D177" s="14" t="n">
        <v>20070.5148074391</v>
      </c>
      <c r="E177" s="14" t="n">
        <v>3848.19240252781</v>
      </c>
      <c r="F177" s="14" t="n">
        <v>-1479.91997441172</v>
      </c>
      <c r="G177" s="14" t="n">
        <v>5020.30341376816</v>
      </c>
      <c r="H177" s="14" t="n">
        <v>4334.25354100989</v>
      </c>
      <c r="I177" s="15" t="n">
        <v>0.01</v>
      </c>
      <c r="J177" s="15" t="n">
        <v>0</v>
      </c>
      <c r="K177" s="14" t="s">
        <v>60</v>
      </c>
      <c r="L177" s="14" t="n">
        <v>-4825.5205270752</v>
      </c>
      <c r="M177" s="14" t="n">
        <v>33806.6665990857</v>
      </c>
      <c r="N177" s="14" t="n">
        <v>11671.5297966751</v>
      </c>
      <c r="O177" s="14" t="n">
        <v>-18974.3953148822</v>
      </c>
      <c r="P177" s="14" t="n">
        <v>951.290832135856</v>
      </c>
      <c r="Q177" s="14" t="n">
        <v>-18.6085527485216</v>
      </c>
      <c r="R177" s="14" t="n">
        <v>17617.7170533315</v>
      </c>
      <c r="S177" s="14" t="n">
        <v>26968.6172461488</v>
      </c>
      <c r="T177" s="14" t="n">
        <v>-955.692204749296</v>
      </c>
      <c r="U177" s="14" t="n">
        <v>-4885.52866324857</v>
      </c>
      <c r="V177" s="14" t="n">
        <v>0.750319556751226</v>
      </c>
      <c r="W177" s="14" t="n">
        <v>49537.8515803905</v>
      </c>
      <c r="X177" s="14" t="n">
        <v>22169.504625485</v>
      </c>
      <c r="Y177" s="14" t="n">
        <v>0</v>
      </c>
      <c r="Z177" s="14" t="n">
        <v>0</v>
      </c>
      <c r="AA177" s="14" t="n">
        <v>27.424347870838</v>
      </c>
      <c r="AB177" s="14" t="n">
        <v>25.224347870838</v>
      </c>
      <c r="AC177" s="14" t="n">
        <v>26.674347870838</v>
      </c>
      <c r="AD177" s="14" t="n">
        <v>21.0618991648036</v>
      </c>
      <c r="AE177" s="14" t="n">
        <v>674.686407680941</v>
      </c>
      <c r="AF177" s="14" t="n">
        <v>0.03</v>
      </c>
      <c r="AG177" s="14" t="n">
        <v>0.661353453831333</v>
      </c>
      <c r="AH177" s="14" t="n">
        <v>9819.91719809611</v>
      </c>
      <c r="AI177" s="14" t="n">
        <v>20070.5148074391</v>
      </c>
      <c r="AJ177" s="14" t="n">
        <v>19.2078239608802</v>
      </c>
      <c r="AK177" s="14" t="n">
        <v>0</v>
      </c>
      <c r="AL177" s="14" t="n">
        <v>-31713.7272565195</v>
      </c>
      <c r="AM177" s="14" t="n">
        <v>812.6073</v>
      </c>
      <c r="AN177" s="14" t="n">
        <v>25825.759024</v>
      </c>
      <c r="AO177" s="14" t="n">
        <v>-7800.03602701777</v>
      </c>
      <c r="AP177" s="14" t="n">
        <v>0.448161561074905</v>
      </c>
      <c r="AQ177" s="14" t="n">
        <v>0</v>
      </c>
      <c r="AR177" s="14" t="n">
        <v>327.195752</v>
      </c>
      <c r="AS177" s="14" t="n">
        <v>314.925245</v>
      </c>
      <c r="AT177" s="14" t="n">
        <v>-4825.5205270752</v>
      </c>
      <c r="AU177" s="14" t="n">
        <v>12.270507</v>
      </c>
      <c r="AV177" s="14" t="n">
        <v>0</v>
      </c>
      <c r="AW177" s="14" t="n">
        <v>2254.3125</v>
      </c>
      <c r="AX177" s="14" t="n">
        <v>314.925245</v>
      </c>
      <c r="AY177" s="14" t="n">
        <v>314.925245</v>
      </c>
      <c r="AZ177" s="14" t="n">
        <v>5554.09301361219</v>
      </c>
      <c r="BA177" s="14" t="n">
        <v>16.505498977555</v>
      </c>
      <c r="BB177" s="14" t="n">
        <v>25.1627915994913</v>
      </c>
      <c r="BC177" s="14" t="n">
        <v>39.3906468082937</v>
      </c>
      <c r="BD177" s="14" t="n">
        <v>-5.08067650538881</v>
      </c>
      <c r="BE177" s="14" t="n">
        <v>-3.389032187156</v>
      </c>
      <c r="BF177" s="14" t="n">
        <v>5.28542761383372</v>
      </c>
      <c r="BG177" s="14" t="n">
        <v>6.97707193206652</v>
      </c>
      <c r="BH177" s="14" t="n">
        <v>10.9956654944829</v>
      </c>
      <c r="BI177" s="14" t="n">
        <v>14.5375344778911</v>
      </c>
      <c r="BJ177" s="14" t="n">
        <v>3.71992671744367</v>
      </c>
      <c r="BK177" s="14" t="n">
        <v>4.46573109600205</v>
      </c>
      <c r="BL177" s="14" t="n">
        <v>6.42123287671233</v>
      </c>
      <c r="BM177" s="14" t="n">
        <v>8712.70308277889</v>
      </c>
      <c r="BN177" s="14" t="n">
        <v>7662.85734225385</v>
      </c>
      <c r="BO177" s="14" t="n">
        <v>7662.85734225385</v>
      </c>
      <c r="BP177" s="14" t="n">
        <v>327.195752</v>
      </c>
      <c r="BQ177" s="14" t="n">
        <v>301.7195</v>
      </c>
      <c r="BR177" s="14" t="n">
        <v>1081.9108</v>
      </c>
      <c r="BS177" s="14" t="s">
        <v>2856</v>
      </c>
      <c r="BT177" s="14" t="n">
        <v>37.9555555555556</v>
      </c>
      <c r="BU177" s="14" t="n">
        <v>0.202495480090107</v>
      </c>
      <c r="BV177" s="14" t="n">
        <v>0.204285232461873</v>
      </c>
      <c r="BW177" s="14" t="n">
        <v>13510.8578038903</v>
      </c>
      <c r="BX177" s="14" t="n">
        <v>27107.0656988521</v>
      </c>
      <c r="BY177" s="14" t="n">
        <v>86.3730749180384</v>
      </c>
      <c r="BZ177" s="14" t="n">
        <v>0</v>
      </c>
      <c r="CA177" s="14" t="n">
        <v>950.69728</v>
      </c>
      <c r="CB177" s="14" t="n">
        <v>12000</v>
      </c>
    </row>
    <row r="178" customFormat="false" ht="15" hidden="false" customHeight="false" outlineLevel="0" collapsed="false">
      <c r="A178" s="0" t="s">
        <v>3011</v>
      </c>
      <c r="B178" s="14" t="n">
        <v>2465.07954157611</v>
      </c>
      <c r="C178" s="14" t="n">
        <v>7799.89288815618</v>
      </c>
      <c r="D178" s="14" t="n">
        <v>20518.7214100697</v>
      </c>
      <c r="E178" s="14" t="n">
        <v>3922.507256827</v>
      </c>
      <c r="F178" s="14" t="n">
        <v>-1409.90582514415</v>
      </c>
      <c r="G178" s="14" t="n">
        <v>5020.4173664449</v>
      </c>
      <c r="H178" s="14" t="n">
        <v>8740.43022230152</v>
      </c>
      <c r="I178" s="15" t="n">
        <v>0.01</v>
      </c>
      <c r="J178" s="15" t="n">
        <v>5.34621213571885</v>
      </c>
      <c r="K178" s="14" t="s">
        <v>60</v>
      </c>
      <c r="L178" s="14" t="n">
        <v>-4753.00087670633</v>
      </c>
      <c r="M178" s="14" t="n">
        <v>33808.7599752631</v>
      </c>
      <c r="N178" s="14" t="n">
        <v>12012.1668146743</v>
      </c>
      <c r="O178" s="14" t="n">
        <v>-18570.2027785667</v>
      </c>
      <c r="P178" s="14" t="n">
        <v>951.290832135856</v>
      </c>
      <c r="Q178" s="14" t="n">
        <v>303.065583814919</v>
      </c>
      <c r="R178" s="14" t="n">
        <v>17617.7170533315</v>
      </c>
      <c r="S178" s="14" t="n">
        <v>26977.5813782014</v>
      </c>
      <c r="T178" s="14" t="n">
        <v>-955.692204749296</v>
      </c>
      <c r="U178" s="14" t="n">
        <v>-479.351981956934</v>
      </c>
      <c r="V178" s="14" t="n">
        <v>0.750319556751226</v>
      </c>
      <c r="W178" s="14" t="n">
        <v>53111.3157850617</v>
      </c>
      <c r="X178" s="14" t="n">
        <v>22176.5406481634</v>
      </c>
      <c r="Y178" s="14" t="n">
        <v>5.02929332287637</v>
      </c>
      <c r="Z178" s="14" t="n">
        <v>6.8265782760994</v>
      </c>
      <c r="AA178" s="14" t="n">
        <v>27.424347870838</v>
      </c>
      <c r="AB178" s="14" t="n">
        <v>25.224347870838</v>
      </c>
      <c r="AC178" s="14" t="n">
        <v>26.674347870838</v>
      </c>
      <c r="AD178" s="14" t="n">
        <v>21.0618991648036</v>
      </c>
      <c r="AE178" s="14" t="n">
        <v>674.686407680941</v>
      </c>
      <c r="AF178" s="14" t="n">
        <v>0.03</v>
      </c>
      <c r="AG178" s="14" t="n">
        <v>0.663845367236094</v>
      </c>
      <c r="AH178" s="14" t="n">
        <v>9819.91719809611</v>
      </c>
      <c r="AI178" s="14" t="n">
        <v>20518.7214100697</v>
      </c>
      <c r="AJ178" s="14" t="n">
        <v>19.4203674816626</v>
      </c>
      <c r="AK178" s="14" t="n">
        <v>0</v>
      </c>
      <c r="AL178" s="14" t="n">
        <v>-31028.9942350208</v>
      </c>
      <c r="AM178" s="14" t="n">
        <v>812.6073</v>
      </c>
      <c r="AN178" s="14" t="n">
        <v>25825.759024</v>
      </c>
      <c r="AO178" s="14" t="n">
        <v>-7800.03602701777</v>
      </c>
      <c r="AP178" s="14" t="n">
        <v>0.448161561074905</v>
      </c>
      <c r="AQ178" s="14" t="n">
        <v>4.73116118205208</v>
      </c>
      <c r="AR178" s="14" t="n">
        <v>327.195752</v>
      </c>
      <c r="AS178" s="14" t="n">
        <v>314.925245</v>
      </c>
      <c r="AT178" s="14" t="n">
        <v>-4753.00087670633</v>
      </c>
      <c r="AU178" s="14" t="n">
        <v>12.270507</v>
      </c>
      <c r="AV178" s="14" t="n">
        <v>0</v>
      </c>
      <c r="AW178" s="14" t="n">
        <v>2254.3125</v>
      </c>
      <c r="AX178" s="14" t="n">
        <v>314.925245</v>
      </c>
      <c r="AY178" s="14" t="n">
        <v>314.925245</v>
      </c>
      <c r="AZ178" s="14" t="n">
        <v>5633.48988044789</v>
      </c>
      <c r="BA178" s="14" t="n">
        <v>16.7576123539713</v>
      </c>
      <c r="BB178" s="14" t="n">
        <v>25.4149049759077</v>
      </c>
      <c r="BC178" s="14" t="n">
        <v>39.6427601847101</v>
      </c>
      <c r="BD178" s="14" t="n">
        <v>-5.08067650538881</v>
      </c>
      <c r="BE178" s="14" t="n">
        <v>-3.389032187156</v>
      </c>
      <c r="BF178" s="14" t="n">
        <v>5.28542761383372</v>
      </c>
      <c r="BG178" s="14" t="n">
        <v>6.97707193206652</v>
      </c>
      <c r="BH178" s="14" t="n">
        <v>10.9956654944829</v>
      </c>
      <c r="BI178" s="14" t="n">
        <v>14.5375344778911</v>
      </c>
      <c r="BJ178" s="14" t="n">
        <v>3.71992671744367</v>
      </c>
      <c r="BK178" s="14" t="n">
        <v>4.46573109600205</v>
      </c>
      <c r="BL178" s="14" t="n">
        <v>6.42123287671233</v>
      </c>
      <c r="BM178" s="14" t="n">
        <v>8712.70308277889</v>
      </c>
      <c r="BN178" s="14" t="n">
        <v>7767.52615112595</v>
      </c>
      <c r="BO178" s="14" t="n">
        <v>7767.52615112595</v>
      </c>
      <c r="BP178" s="14" t="n">
        <v>327.195752</v>
      </c>
      <c r="BQ178" s="14" t="n">
        <v>301.7195</v>
      </c>
      <c r="BR178" s="14" t="n">
        <v>1081.9108</v>
      </c>
      <c r="BS178" s="14" t="s">
        <v>2855</v>
      </c>
      <c r="BT178" s="14" t="n">
        <v>37.9555555555556</v>
      </c>
      <c r="BU178" s="14" t="n">
        <v>0.202495480090107</v>
      </c>
      <c r="BV178" s="14" t="n">
        <v>0.204285232461873</v>
      </c>
      <c r="BW178" s="14" t="n">
        <v>13510.8578038903</v>
      </c>
      <c r="BX178" s="14" t="n">
        <v>27107.0656988521</v>
      </c>
      <c r="BY178" s="14" t="n">
        <v>84.8760455757482</v>
      </c>
      <c r="BZ178" s="14" t="n">
        <v>0</v>
      </c>
      <c r="CA178" s="14" t="n">
        <v>950.69728</v>
      </c>
      <c r="CB178" s="14" t="n">
        <v>12000</v>
      </c>
    </row>
    <row r="179" customFormat="false" ht="15" hidden="false" customHeight="false" outlineLevel="0" collapsed="false">
      <c r="A179" s="0" t="s">
        <v>3012</v>
      </c>
      <c r="B179" s="14" t="n">
        <v>2465.07954157611</v>
      </c>
      <c r="C179" s="14" t="n">
        <v>7956.89610146433</v>
      </c>
      <c r="D179" s="14" t="n">
        <v>21191.0313140156</v>
      </c>
      <c r="E179" s="14" t="n">
        <v>4033.97953827579</v>
      </c>
      <c r="F179" s="14" t="n">
        <v>-1304.8846012428</v>
      </c>
      <c r="G179" s="14" t="n">
        <v>5020.58829546001</v>
      </c>
      <c r="H179" s="14" t="n">
        <v>15349.6952442389</v>
      </c>
      <c r="I179" s="15" t="n">
        <v>19.4646607006069</v>
      </c>
      <c r="J179" s="15" t="n">
        <v>28.1719041844019</v>
      </c>
      <c r="K179" s="14" t="s">
        <v>60</v>
      </c>
      <c r="L179" s="14" t="n">
        <v>-4644.22140115303</v>
      </c>
      <c r="M179" s="14" t="n">
        <v>33811.9000395293</v>
      </c>
      <c r="N179" s="14" t="n">
        <v>12523.1223416732</v>
      </c>
      <c r="O179" s="14" t="n">
        <v>-17971.472780481</v>
      </c>
      <c r="P179" s="14" t="n">
        <v>951.290832135856</v>
      </c>
      <c r="Q179" s="14" t="n">
        <v>785.576788660082</v>
      </c>
      <c r="R179" s="14" t="n">
        <v>17617.7170533315</v>
      </c>
      <c r="S179" s="14" t="n">
        <v>26991.0275762803</v>
      </c>
      <c r="T179" s="14" t="n">
        <v>-955.692204749296</v>
      </c>
      <c r="U179" s="14" t="n">
        <v>6129.91303998049</v>
      </c>
      <c r="V179" s="14" t="n">
        <v>0.750319556751226</v>
      </c>
      <c r="W179" s="14" t="n">
        <v>58471.5120920686</v>
      </c>
      <c r="X179" s="14" t="n">
        <v>22187.0946821811</v>
      </c>
      <c r="Y179" s="14" t="n">
        <v>26.5018981683701</v>
      </c>
      <c r="Z179" s="14" t="n">
        <v>35.9727044530628</v>
      </c>
      <c r="AA179" s="14" t="n">
        <v>27.424347870838</v>
      </c>
      <c r="AB179" s="14" t="n">
        <v>25.224347870838</v>
      </c>
      <c r="AC179" s="14" t="n">
        <v>26.674347870838</v>
      </c>
      <c r="AD179" s="14" t="n">
        <v>21.0618991648036</v>
      </c>
      <c r="AE179" s="14" t="n">
        <v>674.686407680941</v>
      </c>
      <c r="AF179" s="14" t="n">
        <v>0.03</v>
      </c>
      <c r="AG179" s="14" t="n">
        <v>0.667430425644163</v>
      </c>
      <c r="AH179" s="14" t="n">
        <v>9819.91719809611</v>
      </c>
      <c r="AI179" s="14" t="n">
        <v>21191.0313140156</v>
      </c>
      <c r="AJ179" s="14" t="n">
        <v>19.7391827628362</v>
      </c>
      <c r="AK179" s="14" t="n">
        <v>0</v>
      </c>
      <c r="AL179" s="14" t="n">
        <v>-30032.6515802744</v>
      </c>
      <c r="AM179" s="14" t="n">
        <v>812.6073</v>
      </c>
      <c r="AN179" s="14" t="n">
        <v>25825.759024</v>
      </c>
      <c r="AO179" s="14" t="n">
        <v>-7800.03602701777</v>
      </c>
      <c r="AP179" s="14" t="n">
        <v>0.448161561074905</v>
      </c>
      <c r="AQ179" s="14" t="n">
        <v>24.9308886587628</v>
      </c>
      <c r="AR179" s="14" t="n">
        <v>327.195752</v>
      </c>
      <c r="AS179" s="14" t="n">
        <v>314.925245</v>
      </c>
      <c r="AT179" s="14" t="n">
        <v>-4644.22140115303</v>
      </c>
      <c r="AU179" s="14" t="n">
        <v>12.270507</v>
      </c>
      <c r="AV179" s="14" t="n">
        <v>0</v>
      </c>
      <c r="AW179" s="14" t="n">
        <v>2254.3125</v>
      </c>
      <c r="AX179" s="14" t="n">
        <v>314.925245</v>
      </c>
      <c r="AY179" s="14" t="n">
        <v>314.925245</v>
      </c>
      <c r="AZ179" s="14" t="n">
        <v>5747.32141250041</v>
      </c>
      <c r="BA179" s="14" t="n">
        <v>17.1190680767493</v>
      </c>
      <c r="BB179" s="14" t="n">
        <v>25.7763606986857</v>
      </c>
      <c r="BC179" s="14" t="n">
        <v>40.0042159074881</v>
      </c>
      <c r="BD179" s="14" t="n">
        <v>-5.08067650538881</v>
      </c>
      <c r="BE179" s="14" t="n">
        <v>-3.389032187156</v>
      </c>
      <c r="BF179" s="14" t="n">
        <v>5.28542761383372</v>
      </c>
      <c r="BG179" s="14" t="n">
        <v>6.97707193206652</v>
      </c>
      <c r="BH179" s="14" t="n">
        <v>10.9956654944829</v>
      </c>
      <c r="BI179" s="14" t="n">
        <v>14.5375344778911</v>
      </c>
      <c r="BJ179" s="14" t="n">
        <v>3.71992671744367</v>
      </c>
      <c r="BK179" s="14" t="n">
        <v>4.46573109600205</v>
      </c>
      <c r="BL179" s="14" t="n">
        <v>6.42123287671233</v>
      </c>
      <c r="BM179" s="14" t="n">
        <v>8712.70308277889</v>
      </c>
      <c r="BN179" s="14" t="n">
        <v>7924.5293644341</v>
      </c>
      <c r="BO179" s="14" t="n">
        <v>7924.5293644341</v>
      </c>
      <c r="BP179" s="14" t="n">
        <v>327.195752</v>
      </c>
      <c r="BQ179" s="14" t="n">
        <v>301.7195</v>
      </c>
      <c r="BR179" s="14" t="n">
        <v>1081.9108</v>
      </c>
      <c r="BS179" s="14" t="s">
        <v>2855</v>
      </c>
      <c r="BT179" s="14" t="n">
        <v>37.9555555555556</v>
      </c>
      <c r="BU179" s="14" t="n">
        <v>0.202495480090107</v>
      </c>
      <c r="BV179" s="14" t="n">
        <v>0.204285232461873</v>
      </c>
      <c r="BW179" s="14" t="n">
        <v>13510.8578038903</v>
      </c>
      <c r="BX179" s="14" t="n">
        <v>27107.0656988521</v>
      </c>
      <c r="BY179" s="14" t="n">
        <v>82.6968335029031</v>
      </c>
      <c r="BZ179" s="14" t="n">
        <v>0</v>
      </c>
      <c r="CA179" s="14" t="n">
        <v>950.69728</v>
      </c>
      <c r="CB179" s="14" t="n">
        <v>12000</v>
      </c>
    </row>
    <row r="180" customFormat="false" ht="15" hidden="false" customHeight="false" outlineLevel="0" collapsed="false">
      <c r="A180" s="0" t="s">
        <v>3013</v>
      </c>
      <c r="B180" s="14" t="n">
        <v>2465.07954157611</v>
      </c>
      <c r="C180" s="14" t="n">
        <v>8218.56812364458</v>
      </c>
      <c r="D180" s="14" t="n">
        <v>22311.5478205921</v>
      </c>
      <c r="E180" s="14" t="n">
        <v>4219.76667402376</v>
      </c>
      <c r="F180" s="14" t="n">
        <v>-1129.84922807388</v>
      </c>
      <c r="G180" s="14" t="n">
        <v>5020.87317715186</v>
      </c>
      <c r="H180" s="14" t="n">
        <v>24614.5951634505</v>
      </c>
      <c r="I180" s="15" t="n">
        <v>48.8840231248913</v>
      </c>
      <c r="J180" s="15" t="n">
        <v>60.2052570576608</v>
      </c>
      <c r="K180" s="14" t="s">
        <v>60</v>
      </c>
      <c r="L180" s="14" t="n">
        <v>-4462.92227523087</v>
      </c>
      <c r="M180" s="14" t="n">
        <v>33817.1334799729</v>
      </c>
      <c r="N180" s="14" t="n">
        <v>13374.7148866713</v>
      </c>
      <c r="O180" s="14" t="n">
        <v>-17101.5601192902</v>
      </c>
      <c r="P180" s="14" t="n">
        <v>951.290832135856</v>
      </c>
      <c r="Q180" s="14" t="n">
        <v>1589.76213006869</v>
      </c>
      <c r="R180" s="14" t="n">
        <v>17617.7170533315</v>
      </c>
      <c r="S180" s="14" t="n">
        <v>27013.4379064118</v>
      </c>
      <c r="T180" s="14" t="n">
        <v>-955.692204749296</v>
      </c>
      <c r="U180" s="14" t="n">
        <v>15394.8129591921</v>
      </c>
      <c r="V180" s="14" t="n">
        <v>0.750319556751226</v>
      </c>
      <c r="W180" s="14" t="n">
        <v>65681.8781191416</v>
      </c>
      <c r="X180" s="14" t="n">
        <v>22419.3002489658</v>
      </c>
      <c r="Y180" s="14" t="n">
        <v>56.6363417005404</v>
      </c>
      <c r="Z180" s="14" t="n">
        <v>76.8760927369271</v>
      </c>
      <c r="AA180" s="14" t="n">
        <v>27.424347870838</v>
      </c>
      <c r="AB180" s="14" t="n">
        <v>25.224347870838</v>
      </c>
      <c r="AC180" s="14" t="n">
        <v>26.674347870838</v>
      </c>
      <c r="AD180" s="14" t="n">
        <v>21.0618991648036</v>
      </c>
      <c r="AE180" s="14" t="n">
        <v>674.686407680941</v>
      </c>
      <c r="AF180" s="14" t="n">
        <v>0.03</v>
      </c>
      <c r="AG180" s="14" t="n">
        <v>0.673030035167204</v>
      </c>
      <c r="AH180" s="14" t="n">
        <v>9819.91719809611</v>
      </c>
      <c r="AI180" s="14" t="n">
        <v>22311.5478205921</v>
      </c>
      <c r="AJ180" s="14" t="n">
        <v>20.2705415647922</v>
      </c>
      <c r="AK180" s="14" t="n">
        <v>0</v>
      </c>
      <c r="AL180" s="14" t="n">
        <v>-28538.7119952742</v>
      </c>
      <c r="AM180" s="14" t="n">
        <v>812.6073</v>
      </c>
      <c r="AN180" s="14" t="n">
        <v>25825.759024</v>
      </c>
      <c r="AO180" s="14" t="n">
        <v>-7800.03602701777</v>
      </c>
      <c r="AP180" s="14" t="n">
        <v>0.448161561074905</v>
      </c>
      <c r="AQ180" s="14" t="n">
        <v>53.2789885466025</v>
      </c>
      <c r="AR180" s="14" t="n">
        <v>330.5971045</v>
      </c>
      <c r="AS180" s="14" t="n">
        <v>314.925245</v>
      </c>
      <c r="AT180" s="14" t="n">
        <v>-4462.92227523087</v>
      </c>
      <c r="AU180" s="14" t="n">
        <v>12.270507</v>
      </c>
      <c r="AV180" s="14" t="n">
        <v>0</v>
      </c>
      <c r="AW180" s="14" t="n">
        <v>2254.3125</v>
      </c>
      <c r="AX180" s="14" t="n">
        <v>314.925245</v>
      </c>
      <c r="AY180" s="14" t="n">
        <v>314.925245</v>
      </c>
      <c r="AZ180" s="14" t="n">
        <v>5924.22369187514</v>
      </c>
      <c r="BA180" s="14" t="n">
        <v>17.6807959222726</v>
      </c>
      <c r="BB180" s="14" t="n">
        <v>26.3380885442089</v>
      </c>
      <c r="BC180" s="14" t="n">
        <v>40.5659437530114</v>
      </c>
      <c r="BD180" s="14" t="n">
        <v>-5.08067650538881</v>
      </c>
      <c r="BE180" s="14" t="n">
        <v>-3.389032187156</v>
      </c>
      <c r="BF180" s="14" t="n">
        <v>5.28542761383372</v>
      </c>
      <c r="BG180" s="14" t="n">
        <v>6.97707193206652</v>
      </c>
      <c r="BH180" s="14" t="n">
        <v>10.9956654944829</v>
      </c>
      <c r="BI180" s="14" t="n">
        <v>14.5375344778911</v>
      </c>
      <c r="BJ180" s="14" t="n">
        <v>3.71992671744367</v>
      </c>
      <c r="BK180" s="14" t="n">
        <v>4.46573109600205</v>
      </c>
      <c r="BL180" s="14" t="n">
        <v>6.42123287671233</v>
      </c>
      <c r="BM180" s="14" t="n">
        <v>8712.70308277889</v>
      </c>
      <c r="BN180" s="14" t="n">
        <v>8186.20138661435</v>
      </c>
      <c r="BO180" s="14" t="n">
        <v>8186.20138661435</v>
      </c>
      <c r="BP180" s="14" t="n">
        <v>330.5971045</v>
      </c>
      <c r="BQ180" s="14" t="n">
        <v>301.7195</v>
      </c>
      <c r="BR180" s="14" t="n">
        <v>1081.9108</v>
      </c>
      <c r="BS180" s="14" t="s">
        <v>2855</v>
      </c>
      <c r="BT180" s="14" t="n">
        <v>37.9555555555556</v>
      </c>
      <c r="BU180" s="14" t="n">
        <v>0.202495480090107</v>
      </c>
      <c r="BV180" s="14" t="n">
        <v>0.204285232461873</v>
      </c>
      <c r="BW180" s="14" t="n">
        <v>13510.8578038903</v>
      </c>
      <c r="BX180" s="14" t="n">
        <v>26915.3671366004</v>
      </c>
      <c r="BY180" s="14" t="n">
        <v>82.830801531908</v>
      </c>
      <c r="BZ180" s="14" t="n">
        <v>0</v>
      </c>
      <c r="CA180" s="14" t="n">
        <v>950.69728</v>
      </c>
      <c r="CB180" s="14" t="n">
        <v>12000</v>
      </c>
    </row>
    <row r="183" customFormat="false" ht="15" hidden="false" customHeight="false" outlineLevel="0" collapsed="false">
      <c r="A183" s="8" t="s">
        <v>3014</v>
      </c>
    </row>
    <row r="184" customFormat="false" ht="15" hidden="false" customHeight="false" outlineLevel="0" collapsed="false">
      <c r="B184" s="8" t="s">
        <v>392</v>
      </c>
      <c r="C184" s="8" t="s">
        <v>393</v>
      </c>
      <c r="D184" s="8" t="s">
        <v>394</v>
      </c>
    </row>
    <row r="185" customFormat="false" ht="15" hidden="false" customHeight="false" outlineLevel="0" collapsed="false">
      <c r="A185" s="0" t="s">
        <v>3015</v>
      </c>
      <c r="B185" s="14" t="n">
        <v>-2744.31323608536</v>
      </c>
      <c r="C185" s="14" t="n">
        <v>-1606.96308130411</v>
      </c>
      <c r="D185" s="14" t="n">
        <v>-848.729644783281</v>
      </c>
    </row>
    <row r="186" customFormat="false" ht="15" hidden="false" customHeight="false" outlineLevel="0" collapsed="false">
      <c r="A186" s="0" t="s">
        <v>3016</v>
      </c>
      <c r="B186" s="44" t="n">
        <f aca="false">SkEBIT4</f>
        <v>820</v>
      </c>
      <c r="C186" s="44" t="n">
        <f aca="false">SkEBIT5</f>
        <v>1980</v>
      </c>
      <c r="D186" s="44" t="n">
        <f aca="false">SkEBIT6</f>
        <v>2750</v>
      </c>
    </row>
    <row r="187" customFormat="false" ht="15" hidden="false" customHeight="false" outlineLevel="0" collapsed="false">
      <c r="A187" s="0" t="s">
        <v>2523</v>
      </c>
      <c r="B187" s="14" t="n">
        <f aca="false">B185-B186</f>
        <v>-3564.31323608536</v>
      </c>
      <c r="C187" s="14" t="n">
        <f aca="false">C185-C186</f>
        <v>-3586.96308130411</v>
      </c>
      <c r="D187" s="14" t="n">
        <f aca="false">D185-D186</f>
        <v>-3598.72964478328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3017</v>
      </c>
    </row>
    <row r="3" customFormat="false" ht="15" hidden="false" customHeight="false" outlineLevel="0" collapsed="false">
      <c r="A3" s="0" t="s">
        <v>558</v>
      </c>
      <c r="B3" s="0" t="s">
        <v>3018</v>
      </c>
      <c r="C3" s="0" t="s">
        <v>3019</v>
      </c>
    </row>
    <row r="4" customFormat="false" ht="15" hidden="false" customHeight="false" outlineLevel="0" collapsed="false">
      <c r="A4" s="0" t="s">
        <v>3020</v>
      </c>
      <c r="B4" s="0" t="s">
        <v>3021</v>
      </c>
      <c r="C4" s="0" t="s">
        <v>626</v>
      </c>
    </row>
    <row r="5" customFormat="false" ht="15" hidden="false" customHeight="false" outlineLevel="0" collapsed="false">
      <c r="A5" s="0" t="s">
        <v>1764</v>
      </c>
      <c r="B5" s="0" t="s">
        <v>3022</v>
      </c>
      <c r="C5" s="0" t="s">
        <v>626</v>
      </c>
    </row>
    <row r="6" customFormat="false" ht="15" hidden="false" customHeight="false" outlineLevel="0" collapsed="false">
      <c r="A6" s="0" t="s">
        <v>3023</v>
      </c>
      <c r="B6" s="0" t="s">
        <v>3024</v>
      </c>
      <c r="C6" s="0" t="s">
        <v>551</v>
      </c>
    </row>
    <row r="7" customFormat="false" ht="15" hidden="false" customHeight="false" outlineLevel="0" collapsed="false">
      <c r="A7" s="0" t="s">
        <v>604</v>
      </c>
      <c r="B7" s="0" t="s">
        <v>3025</v>
      </c>
      <c r="C7" s="0" t="s">
        <v>3026</v>
      </c>
    </row>
    <row r="8" customFormat="false" ht="15" hidden="false" customHeight="false" outlineLevel="0" collapsed="false">
      <c r="A8" s="0" t="s">
        <v>3027</v>
      </c>
      <c r="B8" s="0" t="s">
        <v>3028</v>
      </c>
      <c r="C8" s="0" t="s">
        <v>604</v>
      </c>
    </row>
    <row r="9" customFormat="false" ht="15" hidden="false" customHeight="false" outlineLevel="0" collapsed="false">
      <c r="A9" s="0" t="s">
        <v>970</v>
      </c>
      <c r="B9" s="0" t="s">
        <v>3029</v>
      </c>
      <c r="C9" s="0" t="s">
        <v>604</v>
      </c>
    </row>
    <row r="10" customFormat="false" ht="15" hidden="false" customHeight="false" outlineLevel="0" collapsed="false">
      <c r="A10" s="0" t="s">
        <v>3030</v>
      </c>
      <c r="B10" s="0" t="s">
        <v>3031</v>
      </c>
      <c r="C10" s="0" t="s">
        <v>626</v>
      </c>
    </row>
    <row r="11" customFormat="false" ht="15" hidden="false" customHeight="false" outlineLevel="0" collapsed="false">
      <c r="A11" s="0" t="s">
        <v>3032</v>
      </c>
      <c r="B11" s="0" t="s">
        <v>3033</v>
      </c>
      <c r="C11" s="0" t="s">
        <v>626</v>
      </c>
    </row>
    <row r="12" customFormat="false" ht="15" hidden="false" customHeight="false" outlineLevel="0" collapsed="false">
      <c r="A12" s="0" t="s">
        <v>3034</v>
      </c>
      <c r="B12" s="0" t="s">
        <v>3035</v>
      </c>
      <c r="C12" s="0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2026-10-05T02:54:32Z</dcterms:created>
  <dc:creator>openpyxl</dc:creator>
  <dc:description/>
  <dc:language>en-US</dc:language>
  <cp:lastModifiedBy/>
  <dcterms:modified xsi:type="dcterms:W3CDTF">2026-10-05T03:10:35Z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